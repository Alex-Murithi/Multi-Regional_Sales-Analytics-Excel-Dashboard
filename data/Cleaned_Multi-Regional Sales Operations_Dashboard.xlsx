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slicers/slicer6.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tables/table1.xml" ContentType="application/vnd.openxmlformats-officedocument.spreadsheetml.table+xml"/>
  <Override PartName="/xl/charts/chartEx3.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24226"/>
  <mc:AlternateContent xmlns:mc="http://schemas.openxmlformats.org/markup-compatibility/2006">
    <mc:Choice Requires="x15">
      <x15ac:absPath xmlns:x15ac="http://schemas.microsoft.com/office/spreadsheetml/2010/11/ac" url="D:\LuxDev\Sales_Analytics\data\"/>
    </mc:Choice>
  </mc:AlternateContent>
  <xr:revisionPtr revIDLastSave="0" documentId="13_ncr:1_{53E7036F-1334-462E-BD1E-7D5CC09BAF5B}" xr6:coauthVersionLast="47" xr6:coauthVersionMax="47" xr10:uidLastSave="{00000000-0000-0000-0000-000000000000}"/>
  <bookViews>
    <workbookView xWindow="-120" yWindow="-120" windowWidth="20730" windowHeight="11040" firstSheet="14" activeTab="14" xr2:uid="{00000000-000D-0000-FFFF-FFFF00000000}"/>
  </bookViews>
  <sheets>
    <sheet name="region hierachy" sheetId="3" r:id="rId1"/>
    <sheet name="cohort analysis" sheetId="15" r:id="rId2"/>
    <sheet name="ABC pivot table" sheetId="16" r:id="rId3"/>
    <sheet name="ABC analysis by SKU" sheetId="18" r:id="rId4"/>
    <sheet name="salesperson pivot_table" sheetId="19" r:id="rId5"/>
    <sheet name="Salesperson_productivity" sheetId="20" r:id="rId6"/>
    <sheet name="Cannibalization" sheetId="21" r:id="rId7"/>
    <sheet name="Price compliance" sheetId="23" r:id="rId8"/>
    <sheet name="Box and whisker chart" sheetId="24" r:id="rId9"/>
    <sheet name="Scenario Summary 2" sheetId="33" r:id="rId10"/>
    <sheet name="Scenario Model" sheetId="25" r:id="rId11"/>
    <sheet name="Scenario Summary" sheetId="27" r:id="rId12"/>
    <sheet name="data table what-if " sheetId="26" r:id="rId13"/>
    <sheet name="service_level_proxy" sheetId="22" r:id="rId14"/>
    <sheet name="Dashboard" sheetId="28" r:id="rId15"/>
    <sheet name="Assignment" sheetId="2" r:id="rId16"/>
    <sheet name="revenue by month" sheetId="30" r:id="rId17"/>
    <sheet name="profit by region and channel" sheetId="31" r:id="rId18"/>
    <sheet name="Top 10 SKUs by Revenue (bar)" sheetId="32" r:id="rId19"/>
    <sheet name="Original" sheetId="1" r:id="rId20"/>
  </sheets>
  <definedNames>
    <definedName name="_xlnm._FilterDatabase" localSheetId="19" hidden="1">Original!$AH$1:$AI$633</definedName>
    <definedName name="_xlchart.v1.0" hidden="1">'Box and whisker chart'!$A$2:$A$17</definedName>
    <definedName name="_xlchart.v1.1" hidden="1">'Box and whisker chart'!$B$1</definedName>
    <definedName name="_xlchart.v1.10" hidden="1">'Box and whisker chart'!$F$2:$F$17</definedName>
    <definedName name="_xlchart.v1.11" hidden="1">'Box and whisker chart'!$A$2:$A$17</definedName>
    <definedName name="_xlchart.v1.12" hidden="1">'Box and whisker chart'!$B$1</definedName>
    <definedName name="_xlchart.v1.13" hidden="1">'Box and whisker chart'!$B$2:$B$17</definedName>
    <definedName name="_xlchart.v1.14" hidden="1">'Box and whisker chart'!$C$1</definedName>
    <definedName name="_xlchart.v1.15" hidden="1">'Box and whisker chart'!$C$2:$C$17</definedName>
    <definedName name="_xlchart.v1.16" hidden="1">'Box and whisker chart'!$D$1</definedName>
    <definedName name="_xlchart.v1.17" hidden="1">'Box and whisker chart'!$D$2:$D$17</definedName>
    <definedName name="_xlchart.v1.18" hidden="1">'Box and whisker chart'!$E$1</definedName>
    <definedName name="_xlchart.v1.19" hidden="1">'Box and whisker chart'!$E$2:$E$17</definedName>
    <definedName name="_xlchart.v1.2" hidden="1">'Box and whisker chart'!$B$2:$B$17</definedName>
    <definedName name="_xlchart.v1.20" hidden="1">'Box and whisker chart'!$F$1</definedName>
    <definedName name="_xlchart.v1.21" hidden="1">'Box and whisker chart'!$F$2:$F$17</definedName>
    <definedName name="_xlchart.v1.22" hidden="1">Original!$T$1</definedName>
    <definedName name="_xlchart.v1.23" hidden="1">Original!$T$2:$T$633</definedName>
    <definedName name="_xlchart.v1.3" hidden="1">'Box and whisker chart'!$C$1</definedName>
    <definedName name="_xlchart.v1.4" hidden="1">'Box and whisker chart'!$C$2:$C$17</definedName>
    <definedName name="_xlchart.v1.5" hidden="1">'Box and whisker chart'!$D$1</definedName>
    <definedName name="_xlchart.v1.6" hidden="1">'Box and whisker chart'!$D$2:$D$17</definedName>
    <definedName name="_xlchart.v1.7" hidden="1">'Box and whisker chart'!$E$1</definedName>
    <definedName name="_xlchart.v1.8" hidden="1">'Box and whisker chart'!$E$2:$E$17</definedName>
    <definedName name="_xlchart.v1.9" hidden="1">'Box and whisker chart'!$F$1</definedName>
    <definedName name="Slicer_Channel">#N/A</definedName>
    <definedName name="Slicer_CohortMonth">#N/A</definedName>
    <definedName name="Slicer_Country">#N/A</definedName>
    <definedName name="Slicer_ProductCategory">#N/A</definedName>
    <definedName name="Slicer_Region">#N/A</definedName>
    <definedName name="Slicer_Region1">#N/A</definedName>
    <definedName name="Slicer_Salesperson">#N/A</definedName>
    <definedName name="Slicer_SKU">#N/A</definedName>
    <definedName name="Slicer_Standardized_o_date1">#N/A</definedName>
  </definedNames>
  <calcPr calcId="191029"/>
  <pivotCaches>
    <pivotCache cacheId="0" r:id="rId21"/>
    <pivotCache cacheId="1" r:id="rId22"/>
  </pivotCaches>
  <extLst>
    <ext xmlns:x14="http://schemas.microsoft.com/office/spreadsheetml/2009/9/main" uri="{BBE1A952-AA13-448e-AADC-164F8A28A991}">
      <x14:slicerCaches>
        <x14:slicerCache r:id="rId23"/>
        <x14:slicerCache r:id="rId24"/>
        <x14:slicerCache r:id="rId25"/>
        <x14:slicerCache r:id="rId26"/>
        <x14:slicerCache r:id="rId27"/>
        <x14:slicerCache r:id="rId28"/>
        <x14:slicerCache r:id="rId29"/>
        <x14:slicerCache r:id="rId30"/>
        <x14:slicerCache r:id="rId3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35" i="28" l="1"/>
  <c r="F636" i="1"/>
  <c r="AA637" i="1"/>
  <c r="A634" i="1"/>
  <c r="Z634" i="1"/>
  <c r="AF638" i="1"/>
  <c r="AD636" i="1"/>
  <c r="G634" i="1"/>
  <c r="AB634" i="1"/>
  <c r="AA634" i="1"/>
  <c r="F662" i="26"/>
  <c r="E662" i="26"/>
  <c r="H662" i="26" s="1"/>
  <c r="D662" i="26"/>
  <c r="C662" i="26"/>
  <c r="I662" i="26" s="1"/>
  <c r="B662" i="26"/>
  <c r="G662" i="26" s="1"/>
  <c r="K662" i="26" s="1"/>
  <c r="A662" i="26"/>
  <c r="F661" i="26"/>
  <c r="E661" i="26"/>
  <c r="H661" i="26" s="1"/>
  <c r="I661" i="26" s="1"/>
  <c r="D661" i="26"/>
  <c r="C661" i="26"/>
  <c r="B661" i="26"/>
  <c r="G661" i="26" s="1"/>
  <c r="A661" i="26"/>
  <c r="H660" i="26"/>
  <c r="I660" i="26" s="1"/>
  <c r="F660" i="26"/>
  <c r="E660" i="26"/>
  <c r="D660" i="26"/>
  <c r="C660" i="26"/>
  <c r="B660" i="26"/>
  <c r="G660" i="26" s="1"/>
  <c r="K660" i="26" s="1"/>
  <c r="A660" i="26"/>
  <c r="E659" i="26"/>
  <c r="H659" i="26" s="1"/>
  <c r="I659" i="26" s="1"/>
  <c r="D659" i="26"/>
  <c r="F659" i="26" s="1"/>
  <c r="C659" i="26"/>
  <c r="B659" i="26"/>
  <c r="G659" i="26" s="1"/>
  <c r="A659" i="26"/>
  <c r="H658" i="26"/>
  <c r="E658" i="26"/>
  <c r="D658" i="26"/>
  <c r="F658" i="26" s="1"/>
  <c r="C658" i="26"/>
  <c r="B658" i="26"/>
  <c r="G658" i="26" s="1"/>
  <c r="K658" i="26" s="1"/>
  <c r="A658" i="26"/>
  <c r="E657" i="26"/>
  <c r="H657" i="26" s="1"/>
  <c r="D657" i="26"/>
  <c r="F657" i="26" s="1"/>
  <c r="C657" i="26"/>
  <c r="B657" i="26"/>
  <c r="G657" i="26" s="1"/>
  <c r="A657" i="26"/>
  <c r="E656" i="26"/>
  <c r="H656" i="26" s="1"/>
  <c r="I656" i="26" s="1"/>
  <c r="D656" i="26"/>
  <c r="F656" i="26" s="1"/>
  <c r="C656" i="26"/>
  <c r="B656" i="26"/>
  <c r="G656" i="26" s="1"/>
  <c r="A656" i="26"/>
  <c r="H655" i="26"/>
  <c r="G655" i="26"/>
  <c r="K655" i="26" s="1"/>
  <c r="E655" i="26"/>
  <c r="D655" i="26"/>
  <c r="F655" i="26" s="1"/>
  <c r="C655" i="26"/>
  <c r="B655" i="26"/>
  <c r="A655" i="26"/>
  <c r="H654" i="26"/>
  <c r="G654" i="26"/>
  <c r="K654" i="26" s="1"/>
  <c r="F654" i="26"/>
  <c r="E654" i="26"/>
  <c r="D654" i="26"/>
  <c r="C654" i="26"/>
  <c r="I654" i="26" s="1"/>
  <c r="J654" i="26" s="1"/>
  <c r="B654" i="26"/>
  <c r="A654" i="26"/>
  <c r="F653" i="26"/>
  <c r="E653" i="26"/>
  <c r="H653" i="26" s="1"/>
  <c r="I653" i="26" s="1"/>
  <c r="D653" i="26"/>
  <c r="C653" i="26"/>
  <c r="B653" i="26"/>
  <c r="G653" i="26" s="1"/>
  <c r="K653" i="26" s="1"/>
  <c r="A653" i="26"/>
  <c r="E652" i="26"/>
  <c r="H652" i="26" s="1"/>
  <c r="D652" i="26"/>
  <c r="F652" i="26" s="1"/>
  <c r="C652" i="26"/>
  <c r="B652" i="26"/>
  <c r="G652" i="26" s="1"/>
  <c r="K652" i="26" s="1"/>
  <c r="A652" i="26"/>
  <c r="H651" i="26"/>
  <c r="G651" i="26"/>
  <c r="K651" i="26" s="1"/>
  <c r="E651" i="26"/>
  <c r="D651" i="26"/>
  <c r="F651" i="26" s="1"/>
  <c r="C651" i="26"/>
  <c r="I651" i="26" s="1"/>
  <c r="B651" i="26"/>
  <c r="A651" i="26"/>
  <c r="H650" i="26"/>
  <c r="G650" i="26"/>
  <c r="K650" i="26" s="1"/>
  <c r="F650" i="26"/>
  <c r="E650" i="26"/>
  <c r="D650" i="26"/>
  <c r="C650" i="26"/>
  <c r="I650" i="26" s="1"/>
  <c r="B650" i="26"/>
  <c r="A650" i="26"/>
  <c r="F649" i="26"/>
  <c r="E649" i="26"/>
  <c r="H649" i="26" s="1"/>
  <c r="I649" i="26" s="1"/>
  <c r="D649" i="26"/>
  <c r="C649" i="26"/>
  <c r="B649" i="26"/>
  <c r="G649" i="26" s="1"/>
  <c r="A649" i="26"/>
  <c r="E648" i="26"/>
  <c r="H648" i="26" s="1"/>
  <c r="I648" i="26" s="1"/>
  <c r="D648" i="26"/>
  <c r="F648" i="26" s="1"/>
  <c r="C648" i="26"/>
  <c r="B648" i="26"/>
  <c r="G648" i="26" s="1"/>
  <c r="A648" i="26"/>
  <c r="H647" i="26"/>
  <c r="G647" i="26"/>
  <c r="K647" i="26" s="1"/>
  <c r="E647" i="26"/>
  <c r="D647" i="26"/>
  <c r="F647" i="26" s="1"/>
  <c r="C647" i="26"/>
  <c r="B647" i="26"/>
  <c r="A647" i="26"/>
  <c r="H646" i="26"/>
  <c r="G646" i="26"/>
  <c r="K646" i="26" s="1"/>
  <c r="F646" i="26"/>
  <c r="E646" i="26"/>
  <c r="D646" i="26"/>
  <c r="C646" i="26"/>
  <c r="I646" i="26" s="1"/>
  <c r="J646" i="26" s="1"/>
  <c r="B646" i="26"/>
  <c r="A646" i="26"/>
  <c r="F645" i="26"/>
  <c r="E645" i="26"/>
  <c r="H645" i="26" s="1"/>
  <c r="I645" i="26" s="1"/>
  <c r="D645" i="26"/>
  <c r="C645" i="26"/>
  <c r="B645" i="26"/>
  <c r="G645" i="26" s="1"/>
  <c r="K645" i="26" s="1"/>
  <c r="A645" i="26"/>
  <c r="E644" i="26"/>
  <c r="H644" i="26" s="1"/>
  <c r="D644" i="26"/>
  <c r="F644" i="26" s="1"/>
  <c r="C644" i="26"/>
  <c r="B644" i="26"/>
  <c r="G644" i="26" s="1"/>
  <c r="K644" i="26" s="1"/>
  <c r="H643" i="26"/>
  <c r="G643" i="26"/>
  <c r="K643" i="26" s="1"/>
  <c r="E643" i="26"/>
  <c r="D643" i="26"/>
  <c r="F643" i="26" s="1"/>
  <c r="C643" i="26"/>
  <c r="I643" i="26" s="1"/>
  <c r="B643" i="26"/>
  <c r="A643" i="26"/>
  <c r="H642" i="26"/>
  <c r="G642" i="26"/>
  <c r="K642" i="26" s="1"/>
  <c r="F642" i="26"/>
  <c r="E642" i="26"/>
  <c r="D642" i="26"/>
  <c r="C642" i="26"/>
  <c r="I642" i="26" s="1"/>
  <c r="B642" i="26"/>
  <c r="A642" i="26"/>
  <c r="F641" i="26"/>
  <c r="E641" i="26"/>
  <c r="H641" i="26" s="1"/>
  <c r="I641" i="26" s="1"/>
  <c r="D641" i="26"/>
  <c r="C641" i="26"/>
  <c r="B641" i="26"/>
  <c r="G641" i="26" s="1"/>
  <c r="A641" i="26"/>
  <c r="E640" i="26"/>
  <c r="H640" i="26" s="1"/>
  <c r="I640" i="26" s="1"/>
  <c r="D640" i="26"/>
  <c r="F640" i="26" s="1"/>
  <c r="C640" i="26"/>
  <c r="B640" i="26"/>
  <c r="G640" i="26" s="1"/>
  <c r="A640" i="26"/>
  <c r="H639" i="26"/>
  <c r="G639" i="26"/>
  <c r="K639" i="26" s="1"/>
  <c r="E639" i="26"/>
  <c r="D639" i="26"/>
  <c r="F639" i="26" s="1"/>
  <c r="C639" i="26"/>
  <c r="B639" i="26"/>
  <c r="A639" i="26"/>
  <c r="H638" i="26"/>
  <c r="G638" i="26"/>
  <c r="K638" i="26" s="1"/>
  <c r="F638" i="26"/>
  <c r="E638" i="26"/>
  <c r="D638" i="26"/>
  <c r="C638" i="26"/>
  <c r="I638" i="26" s="1"/>
  <c r="J638" i="26" s="1"/>
  <c r="B638" i="26"/>
  <c r="A638" i="26"/>
  <c r="F637" i="26"/>
  <c r="E637" i="26"/>
  <c r="H637" i="26" s="1"/>
  <c r="I637" i="26" s="1"/>
  <c r="D637" i="26"/>
  <c r="C637" i="26"/>
  <c r="B637" i="26"/>
  <c r="G637" i="26" s="1"/>
  <c r="K637" i="26" s="1"/>
  <c r="A637" i="26"/>
  <c r="E636" i="26"/>
  <c r="H636" i="26" s="1"/>
  <c r="D636" i="26"/>
  <c r="F636" i="26" s="1"/>
  <c r="C636" i="26"/>
  <c r="B636" i="26"/>
  <c r="G636" i="26" s="1"/>
  <c r="K636" i="26" s="1"/>
  <c r="A636" i="26"/>
  <c r="H635" i="26"/>
  <c r="G635" i="26"/>
  <c r="K635" i="26" s="1"/>
  <c r="E635" i="26"/>
  <c r="D635" i="26"/>
  <c r="F635" i="26" s="1"/>
  <c r="C635" i="26"/>
  <c r="I635" i="26" s="1"/>
  <c r="B635" i="26"/>
  <c r="A635" i="26"/>
  <c r="H634" i="26"/>
  <c r="G634" i="26"/>
  <c r="K634" i="26" s="1"/>
  <c r="F634" i="26"/>
  <c r="E634" i="26"/>
  <c r="D634" i="26"/>
  <c r="C634" i="26"/>
  <c r="I634" i="26" s="1"/>
  <c r="J634" i="26" s="1"/>
  <c r="B634" i="26"/>
  <c r="A634" i="26"/>
  <c r="F633" i="26"/>
  <c r="E633" i="26"/>
  <c r="H633" i="26" s="1"/>
  <c r="I633" i="26" s="1"/>
  <c r="D633" i="26"/>
  <c r="C633" i="26"/>
  <c r="B633" i="26"/>
  <c r="G633" i="26" s="1"/>
  <c r="A633" i="26"/>
  <c r="E632" i="26"/>
  <c r="H632" i="26" s="1"/>
  <c r="I632" i="26" s="1"/>
  <c r="D632" i="26"/>
  <c r="F632" i="26" s="1"/>
  <c r="C632" i="26"/>
  <c r="B632" i="26"/>
  <c r="G632" i="26" s="1"/>
  <c r="A632" i="26"/>
  <c r="H631" i="26"/>
  <c r="G631" i="26"/>
  <c r="K631" i="26" s="1"/>
  <c r="E631" i="26"/>
  <c r="D631" i="26"/>
  <c r="F631" i="26" s="1"/>
  <c r="C631" i="26"/>
  <c r="B631" i="26"/>
  <c r="A631" i="26"/>
  <c r="H630" i="26"/>
  <c r="G630" i="26"/>
  <c r="K630" i="26" s="1"/>
  <c r="F630" i="26"/>
  <c r="E630" i="26"/>
  <c r="D630" i="26"/>
  <c r="C630" i="26"/>
  <c r="I630" i="26" s="1"/>
  <c r="J630" i="26" s="1"/>
  <c r="B630" i="26"/>
  <c r="A630" i="26"/>
  <c r="F629" i="26"/>
  <c r="E629" i="26"/>
  <c r="H629" i="26" s="1"/>
  <c r="I629" i="26" s="1"/>
  <c r="D629" i="26"/>
  <c r="C629" i="26"/>
  <c r="B629" i="26"/>
  <c r="G629" i="26" s="1"/>
  <c r="K629" i="26" s="1"/>
  <c r="A629" i="26"/>
  <c r="E628" i="26"/>
  <c r="H628" i="26" s="1"/>
  <c r="D628" i="26"/>
  <c r="F628" i="26" s="1"/>
  <c r="C628" i="26"/>
  <c r="B628" i="26"/>
  <c r="G628" i="26" s="1"/>
  <c r="K628" i="26" s="1"/>
  <c r="A628" i="26"/>
  <c r="H627" i="26"/>
  <c r="G627" i="26"/>
  <c r="K627" i="26" s="1"/>
  <c r="E627" i="26"/>
  <c r="D627" i="26"/>
  <c r="F627" i="26" s="1"/>
  <c r="C627" i="26"/>
  <c r="I627" i="26" s="1"/>
  <c r="B627" i="26"/>
  <c r="A627" i="26"/>
  <c r="H626" i="26"/>
  <c r="G626" i="26"/>
  <c r="K626" i="26" s="1"/>
  <c r="F626" i="26"/>
  <c r="E626" i="26"/>
  <c r="D626" i="26"/>
  <c r="C626" i="26"/>
  <c r="I626" i="26" s="1"/>
  <c r="B626" i="26"/>
  <c r="A626" i="26"/>
  <c r="F625" i="26"/>
  <c r="E625" i="26"/>
  <c r="H625" i="26" s="1"/>
  <c r="I625" i="26" s="1"/>
  <c r="D625" i="26"/>
  <c r="C625" i="26"/>
  <c r="B625" i="26"/>
  <c r="G625" i="26" s="1"/>
  <c r="A625" i="26"/>
  <c r="E624" i="26"/>
  <c r="H624" i="26" s="1"/>
  <c r="I624" i="26" s="1"/>
  <c r="D624" i="26"/>
  <c r="F624" i="26" s="1"/>
  <c r="C624" i="26"/>
  <c r="B624" i="26"/>
  <c r="G624" i="26" s="1"/>
  <c r="A624" i="26"/>
  <c r="H623" i="26"/>
  <c r="G623" i="26"/>
  <c r="K623" i="26" s="1"/>
  <c r="E623" i="26"/>
  <c r="D623" i="26"/>
  <c r="F623" i="26" s="1"/>
  <c r="C623" i="26"/>
  <c r="B623" i="26"/>
  <c r="A623" i="26"/>
  <c r="H622" i="26"/>
  <c r="G622" i="26"/>
  <c r="K622" i="26" s="1"/>
  <c r="F622" i="26"/>
  <c r="E622" i="26"/>
  <c r="D622" i="26"/>
  <c r="C622" i="26"/>
  <c r="I622" i="26" s="1"/>
  <c r="J622" i="26" s="1"/>
  <c r="B622" i="26"/>
  <c r="A622" i="26"/>
  <c r="F621" i="26"/>
  <c r="E621" i="26"/>
  <c r="H621" i="26" s="1"/>
  <c r="I621" i="26" s="1"/>
  <c r="D621" i="26"/>
  <c r="C621" i="26"/>
  <c r="B621" i="26"/>
  <c r="G621" i="26" s="1"/>
  <c r="K621" i="26" s="1"/>
  <c r="A621" i="26"/>
  <c r="E620" i="26"/>
  <c r="H620" i="26" s="1"/>
  <c r="D620" i="26"/>
  <c r="F620" i="26" s="1"/>
  <c r="C620" i="26"/>
  <c r="B620" i="26"/>
  <c r="G620" i="26" s="1"/>
  <c r="K620" i="26" s="1"/>
  <c r="A620" i="26"/>
  <c r="H619" i="26"/>
  <c r="G619" i="26"/>
  <c r="K619" i="26" s="1"/>
  <c r="E619" i="26"/>
  <c r="D619" i="26"/>
  <c r="F619" i="26" s="1"/>
  <c r="C619" i="26"/>
  <c r="I619" i="26" s="1"/>
  <c r="B619" i="26"/>
  <c r="A619" i="26"/>
  <c r="H618" i="26"/>
  <c r="G618" i="26"/>
  <c r="K618" i="26" s="1"/>
  <c r="F618" i="26"/>
  <c r="E618" i="26"/>
  <c r="D618" i="26"/>
  <c r="C618" i="26"/>
  <c r="I618" i="26" s="1"/>
  <c r="B618" i="26"/>
  <c r="A618" i="26"/>
  <c r="F617" i="26"/>
  <c r="E617" i="26"/>
  <c r="H617" i="26" s="1"/>
  <c r="I617" i="26" s="1"/>
  <c r="D617" i="26"/>
  <c r="C617" i="26"/>
  <c r="B617" i="26"/>
  <c r="G617" i="26" s="1"/>
  <c r="A617" i="26"/>
  <c r="E616" i="26"/>
  <c r="H616" i="26" s="1"/>
  <c r="I616" i="26" s="1"/>
  <c r="D616" i="26"/>
  <c r="F616" i="26" s="1"/>
  <c r="C616" i="26"/>
  <c r="B616" i="26"/>
  <c r="G616" i="26" s="1"/>
  <c r="A616" i="26"/>
  <c r="H615" i="26"/>
  <c r="G615" i="26"/>
  <c r="K615" i="26" s="1"/>
  <c r="E615" i="26"/>
  <c r="D615" i="26"/>
  <c r="F615" i="26" s="1"/>
  <c r="C615" i="26"/>
  <c r="B615" i="26"/>
  <c r="A615" i="26"/>
  <c r="H614" i="26"/>
  <c r="G614" i="26"/>
  <c r="K614" i="26" s="1"/>
  <c r="F614" i="26"/>
  <c r="E614" i="26"/>
  <c r="D614" i="26"/>
  <c r="C614" i="26"/>
  <c r="I614" i="26" s="1"/>
  <c r="J614" i="26" s="1"/>
  <c r="B614" i="26"/>
  <c r="A614" i="26"/>
  <c r="F613" i="26"/>
  <c r="E613" i="26"/>
  <c r="H613" i="26" s="1"/>
  <c r="I613" i="26" s="1"/>
  <c r="D613" i="26"/>
  <c r="C613" i="26"/>
  <c r="B613" i="26"/>
  <c r="G613" i="26" s="1"/>
  <c r="K613" i="26" s="1"/>
  <c r="A613" i="26"/>
  <c r="E612" i="26"/>
  <c r="H612" i="26" s="1"/>
  <c r="D612" i="26"/>
  <c r="F612" i="26" s="1"/>
  <c r="C612" i="26"/>
  <c r="B612" i="26"/>
  <c r="G612" i="26" s="1"/>
  <c r="K612" i="26" s="1"/>
  <c r="A612" i="26"/>
  <c r="H611" i="26"/>
  <c r="G611" i="26"/>
  <c r="K611" i="26" s="1"/>
  <c r="E611" i="26"/>
  <c r="D611" i="26"/>
  <c r="F611" i="26" s="1"/>
  <c r="C611" i="26"/>
  <c r="I611" i="26" s="1"/>
  <c r="B611" i="26"/>
  <c r="A611" i="26"/>
  <c r="H610" i="26"/>
  <c r="G610" i="26"/>
  <c r="K610" i="26" s="1"/>
  <c r="F610" i="26"/>
  <c r="E610" i="26"/>
  <c r="D610" i="26"/>
  <c r="C610" i="26"/>
  <c r="I610" i="26" s="1"/>
  <c r="B610" i="26"/>
  <c r="A610" i="26"/>
  <c r="F609" i="26"/>
  <c r="E609" i="26"/>
  <c r="H609" i="26" s="1"/>
  <c r="I609" i="26" s="1"/>
  <c r="D609" i="26"/>
  <c r="C609" i="26"/>
  <c r="B609" i="26"/>
  <c r="G609" i="26" s="1"/>
  <c r="A609" i="26"/>
  <c r="E608" i="26"/>
  <c r="H608" i="26" s="1"/>
  <c r="I608" i="26" s="1"/>
  <c r="D608" i="26"/>
  <c r="F608" i="26" s="1"/>
  <c r="C608" i="26"/>
  <c r="B608" i="26"/>
  <c r="G608" i="26" s="1"/>
  <c r="A608" i="26"/>
  <c r="H607" i="26"/>
  <c r="G607" i="26"/>
  <c r="K607" i="26" s="1"/>
  <c r="E607" i="26"/>
  <c r="D607" i="26"/>
  <c r="F607" i="26" s="1"/>
  <c r="C607" i="26"/>
  <c r="B607" i="26"/>
  <c r="A607" i="26"/>
  <c r="G606" i="26"/>
  <c r="K606" i="26" s="1"/>
  <c r="F606" i="26"/>
  <c r="E606" i="26"/>
  <c r="H606" i="26" s="1"/>
  <c r="D606" i="26"/>
  <c r="C606" i="26"/>
  <c r="I606" i="26" s="1"/>
  <c r="B606" i="26"/>
  <c r="A606" i="26"/>
  <c r="H605" i="26"/>
  <c r="I605" i="26" s="1"/>
  <c r="E605" i="26"/>
  <c r="D605" i="26"/>
  <c r="F605" i="26" s="1"/>
  <c r="C605" i="26"/>
  <c r="B605" i="26"/>
  <c r="G605" i="26" s="1"/>
  <c r="K605" i="26" s="1"/>
  <c r="A605" i="26"/>
  <c r="G604" i="26"/>
  <c r="E604" i="26"/>
  <c r="H604" i="26" s="1"/>
  <c r="D604" i="26"/>
  <c r="F604" i="26" s="1"/>
  <c r="C604" i="26"/>
  <c r="B604" i="26"/>
  <c r="A604" i="26"/>
  <c r="H603" i="26"/>
  <c r="F603" i="26"/>
  <c r="E603" i="26"/>
  <c r="D603" i="26"/>
  <c r="C603" i="26"/>
  <c r="I603" i="26" s="1"/>
  <c r="B603" i="26"/>
  <c r="G603" i="26" s="1"/>
  <c r="K603" i="26" s="1"/>
  <c r="J603" i="26" s="1"/>
  <c r="A603" i="26"/>
  <c r="I602" i="26"/>
  <c r="G602" i="26"/>
  <c r="F602" i="26"/>
  <c r="E602" i="26"/>
  <c r="H602" i="26" s="1"/>
  <c r="D602" i="26"/>
  <c r="C602" i="26"/>
  <c r="B602" i="26"/>
  <c r="A602" i="26"/>
  <c r="H601" i="26"/>
  <c r="I601" i="26" s="1"/>
  <c r="E601" i="26"/>
  <c r="D601" i="26"/>
  <c r="F601" i="26" s="1"/>
  <c r="C601" i="26"/>
  <c r="B601" i="26"/>
  <c r="G601" i="26" s="1"/>
  <c r="K601" i="26" s="1"/>
  <c r="A601" i="26"/>
  <c r="G600" i="26"/>
  <c r="K600" i="26" s="1"/>
  <c r="E600" i="26"/>
  <c r="H600" i="26" s="1"/>
  <c r="D600" i="26"/>
  <c r="F600" i="26" s="1"/>
  <c r="C600" i="26"/>
  <c r="B600" i="26"/>
  <c r="A600" i="26"/>
  <c r="H599" i="26"/>
  <c r="F599" i="26"/>
  <c r="E599" i="26"/>
  <c r="D599" i="26"/>
  <c r="C599" i="26"/>
  <c r="B599" i="26"/>
  <c r="G599" i="26" s="1"/>
  <c r="K599" i="26" s="1"/>
  <c r="A599" i="26"/>
  <c r="G598" i="26"/>
  <c r="F598" i="26"/>
  <c r="E598" i="26"/>
  <c r="H598" i="26" s="1"/>
  <c r="I598" i="26" s="1"/>
  <c r="D598" i="26"/>
  <c r="C598" i="26"/>
  <c r="B598" i="26"/>
  <c r="A598" i="26"/>
  <c r="H597" i="26"/>
  <c r="E597" i="26"/>
  <c r="D597" i="26"/>
  <c r="F597" i="26" s="1"/>
  <c r="C597" i="26"/>
  <c r="I597" i="26" s="1"/>
  <c r="B597" i="26"/>
  <c r="G597" i="26" s="1"/>
  <c r="K597" i="26" s="1"/>
  <c r="A597" i="26"/>
  <c r="G596" i="26"/>
  <c r="F596" i="26"/>
  <c r="E596" i="26"/>
  <c r="H596" i="26" s="1"/>
  <c r="D596" i="26"/>
  <c r="C596" i="26"/>
  <c r="B596" i="26"/>
  <c r="A596" i="26"/>
  <c r="F595" i="26"/>
  <c r="E595" i="26"/>
  <c r="H595" i="26" s="1"/>
  <c r="I595" i="26" s="1"/>
  <c r="D595" i="26"/>
  <c r="C595" i="26"/>
  <c r="B595" i="26"/>
  <c r="G595" i="26" s="1"/>
  <c r="A595" i="26"/>
  <c r="G594" i="26"/>
  <c r="E594" i="26"/>
  <c r="H594" i="26" s="1"/>
  <c r="I594" i="26" s="1"/>
  <c r="D594" i="26"/>
  <c r="F594" i="26" s="1"/>
  <c r="C594" i="26"/>
  <c r="B594" i="26"/>
  <c r="A594" i="26"/>
  <c r="H593" i="26"/>
  <c r="G593" i="26"/>
  <c r="K593" i="26" s="1"/>
  <c r="E593" i="26"/>
  <c r="D593" i="26"/>
  <c r="F593" i="26" s="1"/>
  <c r="C593" i="26"/>
  <c r="B593" i="26"/>
  <c r="A593" i="26"/>
  <c r="F592" i="26"/>
  <c r="E592" i="26"/>
  <c r="H592" i="26" s="1"/>
  <c r="D592" i="26"/>
  <c r="C592" i="26"/>
  <c r="B592" i="26"/>
  <c r="G592" i="26" s="1"/>
  <c r="A592" i="26"/>
  <c r="F591" i="26"/>
  <c r="E591" i="26"/>
  <c r="H591" i="26" s="1"/>
  <c r="I591" i="26" s="1"/>
  <c r="D591" i="26"/>
  <c r="C591" i="26"/>
  <c r="B591" i="26"/>
  <c r="G591" i="26" s="1"/>
  <c r="A591" i="26"/>
  <c r="G590" i="26"/>
  <c r="E590" i="26"/>
  <c r="H590" i="26" s="1"/>
  <c r="I590" i="26" s="1"/>
  <c r="D590" i="26"/>
  <c r="F590" i="26" s="1"/>
  <c r="C590" i="26"/>
  <c r="B590" i="26"/>
  <c r="A590" i="26"/>
  <c r="H589" i="26"/>
  <c r="G589" i="26"/>
  <c r="K589" i="26" s="1"/>
  <c r="E589" i="26"/>
  <c r="D589" i="26"/>
  <c r="F589" i="26" s="1"/>
  <c r="C589" i="26"/>
  <c r="B589" i="26"/>
  <c r="A589" i="26"/>
  <c r="F588" i="26"/>
  <c r="E588" i="26"/>
  <c r="H588" i="26" s="1"/>
  <c r="D588" i="26"/>
  <c r="C588" i="26"/>
  <c r="B588" i="26"/>
  <c r="G588" i="26" s="1"/>
  <c r="K588" i="26" s="1"/>
  <c r="A588" i="26"/>
  <c r="F587" i="26"/>
  <c r="I587" i="26" s="1"/>
  <c r="E587" i="26"/>
  <c r="H587" i="26" s="1"/>
  <c r="D587" i="26"/>
  <c r="C587" i="26"/>
  <c r="B587" i="26"/>
  <c r="G587" i="26" s="1"/>
  <c r="K587" i="26" s="1"/>
  <c r="A587" i="26"/>
  <c r="H586" i="26"/>
  <c r="I586" i="26" s="1"/>
  <c r="F586" i="26"/>
  <c r="E586" i="26"/>
  <c r="D586" i="26"/>
  <c r="C586" i="26"/>
  <c r="B586" i="26"/>
  <c r="G586" i="26" s="1"/>
  <c r="K586" i="26" s="1"/>
  <c r="A586" i="26"/>
  <c r="H585" i="26"/>
  <c r="G585" i="26"/>
  <c r="K585" i="26" s="1"/>
  <c r="E585" i="26"/>
  <c r="D585" i="26"/>
  <c r="F585" i="26" s="1"/>
  <c r="C585" i="26"/>
  <c r="I585" i="26" s="1"/>
  <c r="B585" i="26"/>
  <c r="A585" i="26"/>
  <c r="H584" i="26"/>
  <c r="F584" i="26"/>
  <c r="E584" i="26"/>
  <c r="D584" i="26"/>
  <c r="C584" i="26"/>
  <c r="B584" i="26"/>
  <c r="G584" i="26" s="1"/>
  <c r="K584" i="26" s="1"/>
  <c r="A584" i="26"/>
  <c r="G583" i="26"/>
  <c r="K583" i="26" s="1"/>
  <c r="F583" i="26"/>
  <c r="E583" i="26"/>
  <c r="H583" i="26" s="1"/>
  <c r="D583" i="26"/>
  <c r="C583" i="26"/>
  <c r="I583" i="26" s="1"/>
  <c r="B583" i="26"/>
  <c r="A583" i="26"/>
  <c r="I582" i="26"/>
  <c r="E582" i="26"/>
  <c r="H582" i="26" s="1"/>
  <c r="D582" i="26"/>
  <c r="F582" i="26" s="1"/>
  <c r="C582" i="26"/>
  <c r="B582" i="26"/>
  <c r="G582" i="26" s="1"/>
  <c r="A582" i="26"/>
  <c r="G581" i="26"/>
  <c r="E581" i="26"/>
  <c r="H581" i="26" s="1"/>
  <c r="D581" i="26"/>
  <c r="F581" i="26" s="1"/>
  <c r="C581" i="26"/>
  <c r="B581" i="26"/>
  <c r="A581" i="26"/>
  <c r="H580" i="26"/>
  <c r="G580" i="26"/>
  <c r="K580" i="26" s="1"/>
  <c r="E580" i="26"/>
  <c r="D580" i="26"/>
  <c r="F580" i="26" s="1"/>
  <c r="C580" i="26"/>
  <c r="B580" i="26"/>
  <c r="A580" i="26"/>
  <c r="F579" i="26"/>
  <c r="E579" i="26"/>
  <c r="H579" i="26" s="1"/>
  <c r="D579" i="26"/>
  <c r="C579" i="26"/>
  <c r="I579" i="26" s="1"/>
  <c r="B579" i="26"/>
  <c r="G579" i="26" s="1"/>
  <c r="K579" i="26" s="1"/>
  <c r="A579" i="26"/>
  <c r="H578" i="26"/>
  <c r="F578" i="26"/>
  <c r="E578" i="26"/>
  <c r="D578" i="26"/>
  <c r="C578" i="26"/>
  <c r="B578" i="26"/>
  <c r="G578" i="26" s="1"/>
  <c r="K578" i="26" s="1"/>
  <c r="A578" i="26"/>
  <c r="H577" i="26"/>
  <c r="E577" i="26"/>
  <c r="D577" i="26"/>
  <c r="F577" i="26" s="1"/>
  <c r="C577" i="26"/>
  <c r="I577" i="26" s="1"/>
  <c r="B577" i="26"/>
  <c r="G577" i="26" s="1"/>
  <c r="K577" i="26" s="1"/>
  <c r="A577" i="26"/>
  <c r="F576" i="26"/>
  <c r="E576" i="26"/>
  <c r="H576" i="26" s="1"/>
  <c r="D576" i="26"/>
  <c r="C576" i="26"/>
  <c r="I576" i="26" s="1"/>
  <c r="B576" i="26"/>
  <c r="G576" i="26" s="1"/>
  <c r="K576" i="26" s="1"/>
  <c r="A576" i="26"/>
  <c r="I575" i="26"/>
  <c r="F575" i="26"/>
  <c r="E575" i="26"/>
  <c r="H575" i="26" s="1"/>
  <c r="D575" i="26"/>
  <c r="C575" i="26"/>
  <c r="B575" i="26"/>
  <c r="G575" i="26" s="1"/>
  <c r="K575" i="26" s="1"/>
  <c r="A575" i="26"/>
  <c r="H574" i="26"/>
  <c r="E574" i="26"/>
  <c r="D574" i="26"/>
  <c r="F574" i="26" s="1"/>
  <c r="C574" i="26"/>
  <c r="B574" i="26"/>
  <c r="G574" i="26" s="1"/>
  <c r="K574" i="26" s="1"/>
  <c r="A574" i="26"/>
  <c r="H573" i="26"/>
  <c r="G573" i="26"/>
  <c r="K573" i="26" s="1"/>
  <c r="E573" i="26"/>
  <c r="D573" i="26"/>
  <c r="F573" i="26" s="1"/>
  <c r="C573" i="26"/>
  <c r="B573" i="26"/>
  <c r="A573" i="26"/>
  <c r="H572" i="26"/>
  <c r="F572" i="26"/>
  <c r="E572" i="26"/>
  <c r="D572" i="26"/>
  <c r="C572" i="26"/>
  <c r="I572" i="26" s="1"/>
  <c r="B572" i="26"/>
  <c r="G572" i="26" s="1"/>
  <c r="K572" i="26" s="1"/>
  <c r="J572" i="26" s="1"/>
  <c r="A572" i="26"/>
  <c r="I571" i="26"/>
  <c r="F571" i="26"/>
  <c r="E571" i="26"/>
  <c r="H571" i="26" s="1"/>
  <c r="D571" i="26"/>
  <c r="C571" i="26"/>
  <c r="B571" i="26"/>
  <c r="G571" i="26" s="1"/>
  <c r="K571" i="26" s="1"/>
  <c r="A571" i="26"/>
  <c r="H570" i="26"/>
  <c r="I570" i="26" s="1"/>
  <c r="E570" i="26"/>
  <c r="D570" i="26"/>
  <c r="F570" i="26" s="1"/>
  <c r="C570" i="26"/>
  <c r="B570" i="26"/>
  <c r="G570" i="26" s="1"/>
  <c r="K570" i="26" s="1"/>
  <c r="A570" i="26"/>
  <c r="H569" i="26"/>
  <c r="G569" i="26"/>
  <c r="K569" i="26" s="1"/>
  <c r="E569" i="26"/>
  <c r="D569" i="26"/>
  <c r="F569" i="26" s="1"/>
  <c r="C569" i="26"/>
  <c r="B569" i="26"/>
  <c r="A569" i="26"/>
  <c r="H568" i="26"/>
  <c r="F568" i="26"/>
  <c r="E568" i="26"/>
  <c r="D568" i="26"/>
  <c r="C568" i="26"/>
  <c r="B568" i="26"/>
  <c r="G568" i="26" s="1"/>
  <c r="K568" i="26" s="1"/>
  <c r="A568" i="26"/>
  <c r="F567" i="26"/>
  <c r="E567" i="26"/>
  <c r="H567" i="26" s="1"/>
  <c r="I567" i="26" s="1"/>
  <c r="D567" i="26"/>
  <c r="C567" i="26"/>
  <c r="B567" i="26"/>
  <c r="G567" i="26" s="1"/>
  <c r="A567" i="26"/>
  <c r="H566" i="26"/>
  <c r="I566" i="26" s="1"/>
  <c r="E566" i="26"/>
  <c r="D566" i="26"/>
  <c r="F566" i="26" s="1"/>
  <c r="C566" i="26"/>
  <c r="B566" i="26"/>
  <c r="G566" i="26" s="1"/>
  <c r="K566" i="26" s="1"/>
  <c r="A566" i="26"/>
  <c r="H565" i="26"/>
  <c r="G565" i="26"/>
  <c r="K565" i="26" s="1"/>
  <c r="E565" i="26"/>
  <c r="D565" i="26"/>
  <c r="F565" i="26" s="1"/>
  <c r="C565" i="26"/>
  <c r="I565" i="26" s="1"/>
  <c r="B565" i="26"/>
  <c r="A565" i="26"/>
  <c r="H564" i="26"/>
  <c r="F564" i="26"/>
  <c r="E564" i="26"/>
  <c r="D564" i="26"/>
  <c r="C564" i="26"/>
  <c r="B564" i="26"/>
  <c r="G564" i="26" s="1"/>
  <c r="K564" i="26" s="1"/>
  <c r="A564" i="26"/>
  <c r="F563" i="26"/>
  <c r="E563" i="26"/>
  <c r="H563" i="26" s="1"/>
  <c r="I563" i="26" s="1"/>
  <c r="D563" i="26"/>
  <c r="C563" i="26"/>
  <c r="B563" i="26"/>
  <c r="G563" i="26" s="1"/>
  <c r="K563" i="26" s="1"/>
  <c r="A563" i="26"/>
  <c r="H562" i="26"/>
  <c r="E562" i="26"/>
  <c r="D562" i="26"/>
  <c r="F562" i="26" s="1"/>
  <c r="C562" i="26"/>
  <c r="B562" i="26"/>
  <c r="G562" i="26" s="1"/>
  <c r="K562" i="26" s="1"/>
  <c r="A562" i="26"/>
  <c r="H561" i="26"/>
  <c r="G561" i="26"/>
  <c r="K561" i="26" s="1"/>
  <c r="E561" i="26"/>
  <c r="D561" i="26"/>
  <c r="F561" i="26" s="1"/>
  <c r="C561" i="26"/>
  <c r="B561" i="26"/>
  <c r="A561" i="26"/>
  <c r="F560" i="26"/>
  <c r="E560" i="26"/>
  <c r="H560" i="26" s="1"/>
  <c r="D560" i="26"/>
  <c r="C560" i="26"/>
  <c r="I560" i="26" s="1"/>
  <c r="J560" i="26" s="1"/>
  <c r="B560" i="26"/>
  <c r="G560" i="26" s="1"/>
  <c r="K560" i="26" s="1"/>
  <c r="A560" i="26"/>
  <c r="F559" i="26"/>
  <c r="E559" i="26"/>
  <c r="H559" i="26" s="1"/>
  <c r="I559" i="26" s="1"/>
  <c r="D559" i="26"/>
  <c r="C559" i="26"/>
  <c r="B559" i="26"/>
  <c r="G559" i="26" s="1"/>
  <c r="K559" i="26" s="1"/>
  <c r="A559" i="26"/>
  <c r="H558" i="26"/>
  <c r="E558" i="26"/>
  <c r="D558" i="26"/>
  <c r="F558" i="26" s="1"/>
  <c r="C558" i="26"/>
  <c r="B558" i="26"/>
  <c r="G558" i="26" s="1"/>
  <c r="K558" i="26" s="1"/>
  <c r="A558" i="26"/>
  <c r="K557" i="26"/>
  <c r="H557" i="26"/>
  <c r="G557" i="26"/>
  <c r="E557" i="26"/>
  <c r="D557" i="26"/>
  <c r="F557" i="26" s="1"/>
  <c r="C557" i="26"/>
  <c r="B557" i="26"/>
  <c r="A557" i="26"/>
  <c r="F556" i="26"/>
  <c r="E556" i="26"/>
  <c r="H556" i="26" s="1"/>
  <c r="D556" i="26"/>
  <c r="C556" i="26"/>
  <c r="I556" i="26" s="1"/>
  <c r="B556" i="26"/>
  <c r="G556" i="26" s="1"/>
  <c r="K556" i="26" s="1"/>
  <c r="A556" i="26"/>
  <c r="F555" i="26"/>
  <c r="I555" i="26" s="1"/>
  <c r="E555" i="26"/>
  <c r="H555" i="26" s="1"/>
  <c r="D555" i="26"/>
  <c r="C555" i="26"/>
  <c r="B555" i="26"/>
  <c r="G555" i="26" s="1"/>
  <c r="K555" i="26" s="1"/>
  <c r="A555" i="26"/>
  <c r="E554" i="26"/>
  <c r="H554" i="26" s="1"/>
  <c r="I554" i="26" s="1"/>
  <c r="D554" i="26"/>
  <c r="F554" i="26" s="1"/>
  <c r="C554" i="26"/>
  <c r="B554" i="26"/>
  <c r="G554" i="26" s="1"/>
  <c r="A554" i="26"/>
  <c r="H553" i="26"/>
  <c r="G553" i="26"/>
  <c r="K553" i="26" s="1"/>
  <c r="E553" i="26"/>
  <c r="D553" i="26"/>
  <c r="F553" i="26" s="1"/>
  <c r="C553" i="26"/>
  <c r="B553" i="26"/>
  <c r="A553" i="26"/>
  <c r="F552" i="26"/>
  <c r="E552" i="26"/>
  <c r="H552" i="26" s="1"/>
  <c r="D552" i="26"/>
  <c r="C552" i="26"/>
  <c r="B552" i="26"/>
  <c r="G552" i="26" s="1"/>
  <c r="K552" i="26" s="1"/>
  <c r="A552" i="26"/>
  <c r="F551" i="26"/>
  <c r="I551" i="26" s="1"/>
  <c r="E551" i="26"/>
  <c r="H551" i="26" s="1"/>
  <c r="D551" i="26"/>
  <c r="C551" i="26"/>
  <c r="B551" i="26"/>
  <c r="G551" i="26" s="1"/>
  <c r="K551" i="26" s="1"/>
  <c r="A551" i="26"/>
  <c r="H550" i="26"/>
  <c r="I550" i="26" s="1"/>
  <c r="E550" i="26"/>
  <c r="D550" i="26"/>
  <c r="F550" i="26" s="1"/>
  <c r="C550" i="26"/>
  <c r="B550" i="26"/>
  <c r="G550" i="26" s="1"/>
  <c r="K550" i="26" s="1"/>
  <c r="A550" i="26"/>
  <c r="H549" i="26"/>
  <c r="G549" i="26"/>
  <c r="K549" i="26" s="1"/>
  <c r="E549" i="26"/>
  <c r="D549" i="26"/>
  <c r="F549" i="26" s="1"/>
  <c r="C549" i="26"/>
  <c r="B549" i="26"/>
  <c r="A549" i="26"/>
  <c r="F548" i="26"/>
  <c r="E548" i="26"/>
  <c r="H548" i="26" s="1"/>
  <c r="D548" i="26"/>
  <c r="C548" i="26"/>
  <c r="B548" i="26"/>
  <c r="G548" i="26" s="1"/>
  <c r="K548" i="26" s="1"/>
  <c r="A548" i="26"/>
  <c r="I547" i="26"/>
  <c r="F547" i="26"/>
  <c r="E547" i="26"/>
  <c r="H547" i="26" s="1"/>
  <c r="D547" i="26"/>
  <c r="C547" i="26"/>
  <c r="B547" i="26"/>
  <c r="G547" i="26" s="1"/>
  <c r="K547" i="26" s="1"/>
  <c r="A547" i="26"/>
  <c r="H546" i="26"/>
  <c r="I546" i="26" s="1"/>
  <c r="E546" i="26"/>
  <c r="D546" i="26"/>
  <c r="F546" i="26" s="1"/>
  <c r="C546" i="26"/>
  <c r="B546" i="26"/>
  <c r="G546" i="26" s="1"/>
  <c r="K546" i="26" s="1"/>
  <c r="A546" i="26"/>
  <c r="H545" i="26"/>
  <c r="G545" i="26"/>
  <c r="K545" i="26" s="1"/>
  <c r="E545" i="26"/>
  <c r="D545" i="26"/>
  <c r="F545" i="26" s="1"/>
  <c r="C545" i="26"/>
  <c r="B545" i="26"/>
  <c r="A545" i="26"/>
  <c r="G544" i="26"/>
  <c r="K544" i="26" s="1"/>
  <c r="F544" i="26"/>
  <c r="E544" i="26"/>
  <c r="H544" i="26" s="1"/>
  <c r="D544" i="26"/>
  <c r="C544" i="26"/>
  <c r="I544" i="26" s="1"/>
  <c r="J544" i="26" s="1"/>
  <c r="B544" i="26"/>
  <c r="A544" i="26"/>
  <c r="I543" i="26"/>
  <c r="F543" i="26"/>
  <c r="E543" i="26"/>
  <c r="H543" i="26" s="1"/>
  <c r="D543" i="26"/>
  <c r="C543" i="26"/>
  <c r="B543" i="26"/>
  <c r="G543" i="26" s="1"/>
  <c r="K543" i="26" s="1"/>
  <c r="A543" i="26"/>
  <c r="E542" i="26"/>
  <c r="H542" i="26" s="1"/>
  <c r="I542" i="26" s="1"/>
  <c r="D542" i="26"/>
  <c r="F542" i="26" s="1"/>
  <c r="C542" i="26"/>
  <c r="B542" i="26"/>
  <c r="G542" i="26" s="1"/>
  <c r="A542" i="26"/>
  <c r="H541" i="26"/>
  <c r="G541" i="26"/>
  <c r="K541" i="26" s="1"/>
  <c r="E541" i="26"/>
  <c r="D541" i="26"/>
  <c r="F541" i="26" s="1"/>
  <c r="C541" i="26"/>
  <c r="B541" i="26"/>
  <c r="A541" i="26"/>
  <c r="G540" i="26"/>
  <c r="K540" i="26" s="1"/>
  <c r="F540" i="26"/>
  <c r="E540" i="26"/>
  <c r="H540" i="26" s="1"/>
  <c r="D540" i="26"/>
  <c r="C540" i="26"/>
  <c r="I540" i="26" s="1"/>
  <c r="J540" i="26" s="1"/>
  <c r="B540" i="26"/>
  <c r="A540" i="26"/>
  <c r="F539" i="26"/>
  <c r="I539" i="26" s="1"/>
  <c r="E539" i="26"/>
  <c r="H539" i="26" s="1"/>
  <c r="D539" i="26"/>
  <c r="C539" i="26"/>
  <c r="B539" i="26"/>
  <c r="G539" i="26" s="1"/>
  <c r="K539" i="26" s="1"/>
  <c r="A539" i="26"/>
  <c r="E538" i="26"/>
  <c r="H538" i="26" s="1"/>
  <c r="I538" i="26" s="1"/>
  <c r="D538" i="26"/>
  <c r="F538" i="26" s="1"/>
  <c r="C538" i="26"/>
  <c r="B538" i="26"/>
  <c r="G538" i="26" s="1"/>
  <c r="A538" i="26"/>
  <c r="H537" i="26"/>
  <c r="G537" i="26"/>
  <c r="K537" i="26" s="1"/>
  <c r="E537" i="26"/>
  <c r="D537" i="26"/>
  <c r="F537" i="26" s="1"/>
  <c r="C537" i="26"/>
  <c r="B537" i="26"/>
  <c r="A537" i="26"/>
  <c r="F536" i="26"/>
  <c r="E536" i="26"/>
  <c r="H536" i="26" s="1"/>
  <c r="D536" i="26"/>
  <c r="C536" i="26"/>
  <c r="B536" i="26"/>
  <c r="G536" i="26" s="1"/>
  <c r="K536" i="26" s="1"/>
  <c r="A536" i="26"/>
  <c r="F535" i="26"/>
  <c r="I535" i="26" s="1"/>
  <c r="E535" i="26"/>
  <c r="H535" i="26" s="1"/>
  <c r="D535" i="26"/>
  <c r="C535" i="26"/>
  <c r="B535" i="26"/>
  <c r="G535" i="26" s="1"/>
  <c r="K535" i="26" s="1"/>
  <c r="A535" i="26"/>
  <c r="H534" i="26"/>
  <c r="I534" i="26" s="1"/>
  <c r="E534" i="26"/>
  <c r="D534" i="26"/>
  <c r="F534" i="26" s="1"/>
  <c r="C534" i="26"/>
  <c r="B534" i="26"/>
  <c r="G534" i="26" s="1"/>
  <c r="K534" i="26" s="1"/>
  <c r="A534" i="26"/>
  <c r="H533" i="26"/>
  <c r="G533" i="26"/>
  <c r="K533" i="26" s="1"/>
  <c r="E533" i="26"/>
  <c r="D533" i="26"/>
  <c r="F533" i="26" s="1"/>
  <c r="C533" i="26"/>
  <c r="B533" i="26"/>
  <c r="A533" i="26"/>
  <c r="F532" i="26"/>
  <c r="E532" i="26"/>
  <c r="H532" i="26" s="1"/>
  <c r="D532" i="26"/>
  <c r="C532" i="26"/>
  <c r="B532" i="26"/>
  <c r="G532" i="26" s="1"/>
  <c r="K532" i="26" s="1"/>
  <c r="A532" i="26"/>
  <c r="I531" i="26"/>
  <c r="F531" i="26"/>
  <c r="E531" i="26"/>
  <c r="H531" i="26" s="1"/>
  <c r="D531" i="26"/>
  <c r="C531" i="26"/>
  <c r="B531" i="26"/>
  <c r="G531" i="26" s="1"/>
  <c r="K531" i="26" s="1"/>
  <c r="A531" i="26"/>
  <c r="H530" i="26"/>
  <c r="I530" i="26" s="1"/>
  <c r="E530" i="26"/>
  <c r="D530" i="26"/>
  <c r="F530" i="26" s="1"/>
  <c r="C530" i="26"/>
  <c r="B530" i="26"/>
  <c r="G530" i="26" s="1"/>
  <c r="K530" i="26" s="1"/>
  <c r="A530" i="26"/>
  <c r="H529" i="26"/>
  <c r="G529" i="26"/>
  <c r="K529" i="26" s="1"/>
  <c r="E529" i="26"/>
  <c r="D529" i="26"/>
  <c r="F529" i="26" s="1"/>
  <c r="C529" i="26"/>
  <c r="B529" i="26"/>
  <c r="A529" i="26"/>
  <c r="G528" i="26"/>
  <c r="K528" i="26" s="1"/>
  <c r="F528" i="26"/>
  <c r="E528" i="26"/>
  <c r="H528" i="26" s="1"/>
  <c r="D528" i="26"/>
  <c r="C528" i="26"/>
  <c r="I528" i="26" s="1"/>
  <c r="J528" i="26" s="1"/>
  <c r="B528" i="26"/>
  <c r="A528" i="26"/>
  <c r="I527" i="26"/>
  <c r="J527" i="26" s="1"/>
  <c r="F527" i="26"/>
  <c r="E527" i="26"/>
  <c r="H527" i="26" s="1"/>
  <c r="D527" i="26"/>
  <c r="C527" i="26"/>
  <c r="B527" i="26"/>
  <c r="G527" i="26" s="1"/>
  <c r="K527" i="26" s="1"/>
  <c r="A527" i="26"/>
  <c r="E526" i="26"/>
  <c r="H526" i="26" s="1"/>
  <c r="I526" i="26" s="1"/>
  <c r="D526" i="26"/>
  <c r="F526" i="26" s="1"/>
  <c r="C526" i="26"/>
  <c r="B526" i="26"/>
  <c r="G526" i="26" s="1"/>
  <c r="A526" i="26"/>
  <c r="H525" i="26"/>
  <c r="G525" i="26"/>
  <c r="K525" i="26" s="1"/>
  <c r="E525" i="26"/>
  <c r="D525" i="26"/>
  <c r="F525" i="26" s="1"/>
  <c r="C525" i="26"/>
  <c r="B525" i="26"/>
  <c r="A525" i="26"/>
  <c r="H524" i="26"/>
  <c r="G524" i="26"/>
  <c r="K524" i="26" s="1"/>
  <c r="F524" i="26"/>
  <c r="E524" i="26"/>
  <c r="D524" i="26"/>
  <c r="C524" i="26"/>
  <c r="I524" i="26" s="1"/>
  <c r="B524" i="26"/>
  <c r="A524" i="26"/>
  <c r="I523" i="26"/>
  <c r="F523" i="26"/>
  <c r="E523" i="26"/>
  <c r="H523" i="26" s="1"/>
  <c r="D523" i="26"/>
  <c r="C523" i="26"/>
  <c r="B523" i="26"/>
  <c r="G523" i="26" s="1"/>
  <c r="K523" i="26" s="1"/>
  <c r="J523" i="26" s="1"/>
  <c r="A523" i="26"/>
  <c r="I522" i="26"/>
  <c r="H522" i="26"/>
  <c r="E522" i="26"/>
  <c r="D522" i="26"/>
  <c r="F522" i="26" s="1"/>
  <c r="C522" i="26"/>
  <c r="B522" i="26"/>
  <c r="G522" i="26" s="1"/>
  <c r="K522" i="26" s="1"/>
  <c r="A522" i="26"/>
  <c r="H521" i="26"/>
  <c r="G521" i="26"/>
  <c r="E521" i="26"/>
  <c r="D521" i="26"/>
  <c r="F521" i="26" s="1"/>
  <c r="C521" i="26"/>
  <c r="I521" i="26" s="1"/>
  <c r="B521" i="26"/>
  <c r="A521" i="26"/>
  <c r="H520" i="26"/>
  <c r="F520" i="26"/>
  <c r="E520" i="26"/>
  <c r="D520" i="26"/>
  <c r="C520" i="26"/>
  <c r="B520" i="26"/>
  <c r="G520" i="26" s="1"/>
  <c r="K520" i="26" s="1"/>
  <c r="A520" i="26"/>
  <c r="I519" i="26"/>
  <c r="G519" i="26"/>
  <c r="K519" i="26" s="1"/>
  <c r="F519" i="26"/>
  <c r="E519" i="26"/>
  <c r="H519" i="26" s="1"/>
  <c r="D519" i="26"/>
  <c r="C519" i="26"/>
  <c r="B519" i="26"/>
  <c r="A519" i="26"/>
  <c r="E518" i="26"/>
  <c r="H518" i="26" s="1"/>
  <c r="D518" i="26"/>
  <c r="F518" i="26" s="1"/>
  <c r="I518" i="26" s="1"/>
  <c r="C518" i="26"/>
  <c r="B518" i="26"/>
  <c r="G518" i="26" s="1"/>
  <c r="A518" i="26"/>
  <c r="G517" i="26"/>
  <c r="K517" i="26" s="1"/>
  <c r="E517" i="26"/>
  <c r="H517" i="26" s="1"/>
  <c r="I517" i="26" s="1"/>
  <c r="D517" i="26"/>
  <c r="F517" i="26" s="1"/>
  <c r="C517" i="26"/>
  <c r="B517" i="26"/>
  <c r="A517" i="26"/>
  <c r="H516" i="26"/>
  <c r="G516" i="26"/>
  <c r="K516" i="26" s="1"/>
  <c r="E516" i="26"/>
  <c r="D516" i="26"/>
  <c r="F516" i="26" s="1"/>
  <c r="C516" i="26"/>
  <c r="B516" i="26"/>
  <c r="A516" i="26"/>
  <c r="F515" i="26"/>
  <c r="E515" i="26"/>
  <c r="H515" i="26" s="1"/>
  <c r="I515" i="26" s="1"/>
  <c r="D515" i="26"/>
  <c r="C515" i="26"/>
  <c r="B515" i="26"/>
  <c r="G515" i="26" s="1"/>
  <c r="K515" i="26" s="1"/>
  <c r="A515" i="26"/>
  <c r="H514" i="26"/>
  <c r="I514" i="26" s="1"/>
  <c r="F514" i="26"/>
  <c r="E514" i="26"/>
  <c r="D514" i="26"/>
  <c r="C514" i="26"/>
  <c r="B514" i="26"/>
  <c r="G514" i="26" s="1"/>
  <c r="A514" i="26"/>
  <c r="H513" i="26"/>
  <c r="G513" i="26"/>
  <c r="E513" i="26"/>
  <c r="D513" i="26"/>
  <c r="F513" i="26" s="1"/>
  <c r="I513" i="26" s="1"/>
  <c r="C513" i="26"/>
  <c r="B513" i="26"/>
  <c r="A513" i="26"/>
  <c r="H512" i="26"/>
  <c r="F512" i="26"/>
  <c r="E512" i="26"/>
  <c r="D512" i="26"/>
  <c r="C512" i="26"/>
  <c r="B512" i="26"/>
  <c r="G512" i="26" s="1"/>
  <c r="K512" i="26" s="1"/>
  <c r="A512" i="26"/>
  <c r="I511" i="26"/>
  <c r="G511" i="26"/>
  <c r="K511" i="26" s="1"/>
  <c r="F511" i="26"/>
  <c r="E511" i="26"/>
  <c r="H511" i="26" s="1"/>
  <c r="D511" i="26"/>
  <c r="C511" i="26"/>
  <c r="B511" i="26"/>
  <c r="A511" i="26"/>
  <c r="E510" i="26"/>
  <c r="H510" i="26" s="1"/>
  <c r="I510" i="26" s="1"/>
  <c r="D510" i="26"/>
  <c r="F510" i="26" s="1"/>
  <c r="C510" i="26"/>
  <c r="B510" i="26"/>
  <c r="G510" i="26" s="1"/>
  <c r="A510" i="26"/>
  <c r="G509" i="26"/>
  <c r="K509" i="26" s="1"/>
  <c r="E509" i="26"/>
  <c r="H509" i="26" s="1"/>
  <c r="I509" i="26" s="1"/>
  <c r="D509" i="26"/>
  <c r="F509" i="26" s="1"/>
  <c r="C509" i="26"/>
  <c r="B509" i="26"/>
  <c r="A509" i="26"/>
  <c r="H508" i="26"/>
  <c r="G508" i="26"/>
  <c r="K508" i="26" s="1"/>
  <c r="E508" i="26"/>
  <c r="D508" i="26"/>
  <c r="F508" i="26" s="1"/>
  <c r="C508" i="26"/>
  <c r="I508" i="26" s="1"/>
  <c r="B508" i="26"/>
  <c r="A508" i="26"/>
  <c r="F507" i="26"/>
  <c r="E507" i="26"/>
  <c r="H507" i="26" s="1"/>
  <c r="D507" i="26"/>
  <c r="C507" i="26"/>
  <c r="B507" i="26"/>
  <c r="G507" i="26" s="1"/>
  <c r="K507" i="26" s="1"/>
  <c r="A507" i="26"/>
  <c r="H506" i="26"/>
  <c r="F506" i="26"/>
  <c r="E506" i="26"/>
  <c r="D506" i="26"/>
  <c r="C506" i="26"/>
  <c r="B506" i="26"/>
  <c r="G506" i="26" s="1"/>
  <c r="K506" i="26" s="1"/>
  <c r="A506" i="26"/>
  <c r="H505" i="26"/>
  <c r="G505" i="26"/>
  <c r="K505" i="26" s="1"/>
  <c r="E505" i="26"/>
  <c r="D505" i="26"/>
  <c r="F505" i="26" s="1"/>
  <c r="I505" i="26" s="1"/>
  <c r="C505" i="26"/>
  <c r="B505" i="26"/>
  <c r="A505" i="26"/>
  <c r="H504" i="26"/>
  <c r="F504" i="26"/>
  <c r="E504" i="26"/>
  <c r="D504" i="26"/>
  <c r="C504" i="26"/>
  <c r="B504" i="26"/>
  <c r="G504" i="26" s="1"/>
  <c r="K504" i="26" s="1"/>
  <c r="A504" i="26"/>
  <c r="G503" i="26"/>
  <c r="K503" i="26" s="1"/>
  <c r="F503" i="26"/>
  <c r="E503" i="26"/>
  <c r="H503" i="26" s="1"/>
  <c r="D503" i="26"/>
  <c r="C503" i="26"/>
  <c r="I503" i="26" s="1"/>
  <c r="B503" i="26"/>
  <c r="A503" i="26"/>
  <c r="E502" i="26"/>
  <c r="H502" i="26" s="1"/>
  <c r="I502" i="26" s="1"/>
  <c r="D502" i="26"/>
  <c r="F502" i="26" s="1"/>
  <c r="C502" i="26"/>
  <c r="B502" i="26"/>
  <c r="G502" i="26" s="1"/>
  <c r="A502" i="26"/>
  <c r="G501" i="26"/>
  <c r="E501" i="26"/>
  <c r="H501" i="26" s="1"/>
  <c r="I501" i="26" s="1"/>
  <c r="D501" i="26"/>
  <c r="F501" i="26" s="1"/>
  <c r="C501" i="26"/>
  <c r="B501" i="26"/>
  <c r="A501" i="26"/>
  <c r="H500" i="26"/>
  <c r="G500" i="26"/>
  <c r="E500" i="26"/>
  <c r="D500" i="26"/>
  <c r="F500" i="26" s="1"/>
  <c r="C500" i="26"/>
  <c r="I500" i="26" s="1"/>
  <c r="B500" i="26"/>
  <c r="A500" i="26"/>
  <c r="F499" i="26"/>
  <c r="E499" i="26"/>
  <c r="H499" i="26" s="1"/>
  <c r="D499" i="26"/>
  <c r="C499" i="26"/>
  <c r="B499" i="26"/>
  <c r="G499" i="26" s="1"/>
  <c r="K499" i="26" s="1"/>
  <c r="A499" i="26"/>
  <c r="H498" i="26"/>
  <c r="F498" i="26"/>
  <c r="E498" i="26"/>
  <c r="D498" i="26"/>
  <c r="C498" i="26"/>
  <c r="B498" i="26"/>
  <c r="G498" i="26" s="1"/>
  <c r="K498" i="26" s="1"/>
  <c r="A498" i="26"/>
  <c r="H497" i="26"/>
  <c r="G497" i="26"/>
  <c r="K497" i="26" s="1"/>
  <c r="E497" i="26"/>
  <c r="D497" i="26"/>
  <c r="F497" i="26" s="1"/>
  <c r="C497" i="26"/>
  <c r="I497" i="26" s="1"/>
  <c r="B497" i="26"/>
  <c r="A497" i="26"/>
  <c r="H496" i="26"/>
  <c r="F496" i="26"/>
  <c r="E496" i="26"/>
  <c r="D496" i="26"/>
  <c r="C496" i="26"/>
  <c r="B496" i="26"/>
  <c r="G496" i="26" s="1"/>
  <c r="K496" i="26" s="1"/>
  <c r="A496" i="26"/>
  <c r="G495" i="26"/>
  <c r="K495" i="26" s="1"/>
  <c r="F495" i="26"/>
  <c r="E495" i="26"/>
  <c r="H495" i="26" s="1"/>
  <c r="D495" i="26"/>
  <c r="C495" i="26"/>
  <c r="I495" i="26" s="1"/>
  <c r="J495" i="26" s="1"/>
  <c r="B495" i="26"/>
  <c r="A495" i="26"/>
  <c r="I494" i="26"/>
  <c r="E494" i="26"/>
  <c r="H494" i="26" s="1"/>
  <c r="D494" i="26"/>
  <c r="F494" i="26" s="1"/>
  <c r="C494" i="26"/>
  <c r="B494" i="26"/>
  <c r="G494" i="26" s="1"/>
  <c r="A494" i="26"/>
  <c r="G493" i="26"/>
  <c r="E493" i="26"/>
  <c r="H493" i="26" s="1"/>
  <c r="I493" i="26" s="1"/>
  <c r="D493" i="26"/>
  <c r="F493" i="26" s="1"/>
  <c r="C493" i="26"/>
  <c r="B493" i="26"/>
  <c r="A493" i="26"/>
  <c r="H492" i="26"/>
  <c r="G492" i="26"/>
  <c r="E492" i="26"/>
  <c r="D492" i="26"/>
  <c r="F492" i="26" s="1"/>
  <c r="C492" i="26"/>
  <c r="B492" i="26"/>
  <c r="A492" i="26"/>
  <c r="K491" i="26"/>
  <c r="F491" i="26"/>
  <c r="E491" i="26"/>
  <c r="H491" i="26" s="1"/>
  <c r="I491" i="26" s="1"/>
  <c r="D491" i="26"/>
  <c r="C491" i="26"/>
  <c r="B491" i="26"/>
  <c r="G491" i="26" s="1"/>
  <c r="A491" i="26"/>
  <c r="H490" i="26"/>
  <c r="I490" i="26" s="1"/>
  <c r="F490" i="26"/>
  <c r="E490" i="26"/>
  <c r="D490" i="26"/>
  <c r="C490" i="26"/>
  <c r="B490" i="26"/>
  <c r="G490" i="26" s="1"/>
  <c r="A490" i="26"/>
  <c r="H489" i="26"/>
  <c r="G489" i="26"/>
  <c r="E489" i="26"/>
  <c r="D489" i="26"/>
  <c r="F489" i="26" s="1"/>
  <c r="C489" i="26"/>
  <c r="I489" i="26" s="1"/>
  <c r="B489" i="26"/>
  <c r="A489" i="26"/>
  <c r="H488" i="26"/>
  <c r="F488" i="26"/>
  <c r="E488" i="26"/>
  <c r="D488" i="26"/>
  <c r="C488" i="26"/>
  <c r="B488" i="26"/>
  <c r="G488" i="26" s="1"/>
  <c r="K488" i="26" s="1"/>
  <c r="A488" i="26"/>
  <c r="G487" i="26"/>
  <c r="K487" i="26" s="1"/>
  <c r="E487" i="26"/>
  <c r="H487" i="26" s="1"/>
  <c r="D487" i="26"/>
  <c r="F487" i="26" s="1"/>
  <c r="C487" i="26"/>
  <c r="I487" i="26" s="1"/>
  <c r="J487" i="26" s="1"/>
  <c r="B487" i="26"/>
  <c r="A487" i="26"/>
  <c r="G486" i="26"/>
  <c r="F486" i="26"/>
  <c r="E486" i="26"/>
  <c r="H486" i="26" s="1"/>
  <c r="D486" i="26"/>
  <c r="C486" i="26"/>
  <c r="B486" i="26"/>
  <c r="A486" i="26"/>
  <c r="F485" i="26"/>
  <c r="E485" i="26"/>
  <c r="H485" i="26" s="1"/>
  <c r="I485" i="26" s="1"/>
  <c r="D485" i="26"/>
  <c r="C485" i="26"/>
  <c r="B485" i="26"/>
  <c r="G485" i="26" s="1"/>
  <c r="A485" i="26"/>
  <c r="G484" i="26"/>
  <c r="E484" i="26"/>
  <c r="H484" i="26" s="1"/>
  <c r="I484" i="26" s="1"/>
  <c r="D484" i="26"/>
  <c r="F484" i="26" s="1"/>
  <c r="C484" i="26"/>
  <c r="B484" i="26"/>
  <c r="A484" i="26"/>
  <c r="H483" i="26"/>
  <c r="G483" i="26"/>
  <c r="K483" i="26" s="1"/>
  <c r="E483" i="26"/>
  <c r="D483" i="26"/>
  <c r="F483" i="26" s="1"/>
  <c r="C483" i="26"/>
  <c r="B483" i="26"/>
  <c r="A483" i="26"/>
  <c r="F482" i="26"/>
  <c r="E482" i="26"/>
  <c r="H482" i="26" s="1"/>
  <c r="D482" i="26"/>
  <c r="C482" i="26"/>
  <c r="B482" i="26"/>
  <c r="G482" i="26" s="1"/>
  <c r="K482" i="26" s="1"/>
  <c r="A482" i="26"/>
  <c r="F481" i="26"/>
  <c r="E481" i="26"/>
  <c r="H481" i="26" s="1"/>
  <c r="I481" i="26" s="1"/>
  <c r="D481" i="26"/>
  <c r="C481" i="26"/>
  <c r="B481" i="26"/>
  <c r="G481" i="26" s="1"/>
  <c r="A481" i="26"/>
  <c r="G480" i="26"/>
  <c r="E480" i="26"/>
  <c r="H480" i="26" s="1"/>
  <c r="I480" i="26" s="1"/>
  <c r="D480" i="26"/>
  <c r="F480" i="26" s="1"/>
  <c r="C480" i="26"/>
  <c r="B480" i="26"/>
  <c r="A480" i="26"/>
  <c r="H479" i="26"/>
  <c r="G479" i="26"/>
  <c r="K479" i="26" s="1"/>
  <c r="E479" i="26"/>
  <c r="D479" i="26"/>
  <c r="F479" i="26" s="1"/>
  <c r="C479" i="26"/>
  <c r="B479" i="26"/>
  <c r="A479" i="26"/>
  <c r="F478" i="26"/>
  <c r="E478" i="26"/>
  <c r="H478" i="26" s="1"/>
  <c r="D478" i="26"/>
  <c r="C478" i="26"/>
  <c r="B478" i="26"/>
  <c r="G478" i="26" s="1"/>
  <c r="K478" i="26" s="1"/>
  <c r="A478" i="26"/>
  <c r="F477" i="26"/>
  <c r="I477" i="26" s="1"/>
  <c r="E477" i="26"/>
  <c r="H477" i="26" s="1"/>
  <c r="D477" i="26"/>
  <c r="C477" i="26"/>
  <c r="B477" i="26"/>
  <c r="G477" i="26" s="1"/>
  <c r="K477" i="26" s="1"/>
  <c r="A477" i="26"/>
  <c r="H476" i="26"/>
  <c r="I476" i="26" s="1"/>
  <c r="G476" i="26"/>
  <c r="K476" i="26" s="1"/>
  <c r="E476" i="26"/>
  <c r="D476" i="26"/>
  <c r="F476" i="26" s="1"/>
  <c r="C476" i="26"/>
  <c r="B476" i="26"/>
  <c r="A476" i="26"/>
  <c r="H475" i="26"/>
  <c r="G475" i="26"/>
  <c r="K475" i="26" s="1"/>
  <c r="E475" i="26"/>
  <c r="D475" i="26"/>
  <c r="F475" i="26" s="1"/>
  <c r="C475" i="26"/>
  <c r="I475" i="26" s="1"/>
  <c r="B475" i="26"/>
  <c r="A475" i="26"/>
  <c r="G474" i="26"/>
  <c r="K474" i="26" s="1"/>
  <c r="F474" i="26"/>
  <c r="E474" i="26"/>
  <c r="H474" i="26" s="1"/>
  <c r="D474" i="26"/>
  <c r="C474" i="26"/>
  <c r="I474" i="26" s="1"/>
  <c r="J474" i="26" s="1"/>
  <c r="B474" i="26"/>
  <c r="A474" i="26"/>
  <c r="I473" i="26"/>
  <c r="J473" i="26" s="1"/>
  <c r="F473" i="26"/>
  <c r="E473" i="26"/>
  <c r="H473" i="26" s="1"/>
  <c r="D473" i="26"/>
  <c r="C473" i="26"/>
  <c r="B473" i="26"/>
  <c r="G473" i="26" s="1"/>
  <c r="K473" i="26" s="1"/>
  <c r="A473" i="26"/>
  <c r="H472" i="26"/>
  <c r="I472" i="26" s="1"/>
  <c r="G472" i="26"/>
  <c r="E472" i="26"/>
  <c r="D472" i="26"/>
  <c r="F472" i="26" s="1"/>
  <c r="C472" i="26"/>
  <c r="B472" i="26"/>
  <c r="A472" i="26"/>
  <c r="H471" i="26"/>
  <c r="G471" i="26"/>
  <c r="E471" i="26"/>
  <c r="D471" i="26"/>
  <c r="F471" i="26" s="1"/>
  <c r="C471" i="26"/>
  <c r="I471" i="26" s="1"/>
  <c r="B471" i="26"/>
  <c r="A471" i="26"/>
  <c r="G470" i="26"/>
  <c r="F470" i="26"/>
  <c r="E470" i="26"/>
  <c r="H470" i="26" s="1"/>
  <c r="D470" i="26"/>
  <c r="C470" i="26"/>
  <c r="B470" i="26"/>
  <c r="A470" i="26"/>
  <c r="F469" i="26"/>
  <c r="E469" i="26"/>
  <c r="H469" i="26" s="1"/>
  <c r="I469" i="26" s="1"/>
  <c r="D469" i="26"/>
  <c r="C469" i="26"/>
  <c r="B469" i="26"/>
  <c r="G469" i="26" s="1"/>
  <c r="A469" i="26"/>
  <c r="G468" i="26"/>
  <c r="E468" i="26"/>
  <c r="H468" i="26" s="1"/>
  <c r="D468" i="26"/>
  <c r="F468" i="26" s="1"/>
  <c r="I468" i="26" s="1"/>
  <c r="C468" i="26"/>
  <c r="B468" i="26"/>
  <c r="A468" i="26"/>
  <c r="K467" i="26"/>
  <c r="H467" i="26"/>
  <c r="G467" i="26"/>
  <c r="E467" i="26"/>
  <c r="D467" i="26"/>
  <c r="F467" i="26" s="1"/>
  <c r="C467" i="26"/>
  <c r="B467" i="26"/>
  <c r="A467" i="26"/>
  <c r="K466" i="26"/>
  <c r="F466" i="26"/>
  <c r="E466" i="26"/>
  <c r="H466" i="26" s="1"/>
  <c r="D466" i="26"/>
  <c r="C466" i="26"/>
  <c r="B466" i="26"/>
  <c r="G466" i="26" s="1"/>
  <c r="A466" i="26"/>
  <c r="F465" i="26"/>
  <c r="E465" i="26"/>
  <c r="H465" i="26" s="1"/>
  <c r="I465" i="26" s="1"/>
  <c r="D465" i="26"/>
  <c r="C465" i="26"/>
  <c r="B465" i="26"/>
  <c r="G465" i="26" s="1"/>
  <c r="A465" i="26"/>
  <c r="G464" i="26"/>
  <c r="E464" i="26"/>
  <c r="H464" i="26" s="1"/>
  <c r="I464" i="26" s="1"/>
  <c r="D464" i="26"/>
  <c r="F464" i="26" s="1"/>
  <c r="C464" i="26"/>
  <c r="B464" i="26"/>
  <c r="A464" i="26"/>
  <c r="H463" i="26"/>
  <c r="G463" i="26"/>
  <c r="K463" i="26" s="1"/>
  <c r="E463" i="26"/>
  <c r="D463" i="26"/>
  <c r="F463" i="26" s="1"/>
  <c r="C463" i="26"/>
  <c r="B463" i="26"/>
  <c r="A463" i="26"/>
  <c r="F462" i="26"/>
  <c r="E462" i="26"/>
  <c r="H462" i="26" s="1"/>
  <c r="D462" i="26"/>
  <c r="C462" i="26"/>
  <c r="B462" i="26"/>
  <c r="G462" i="26" s="1"/>
  <c r="K462" i="26" s="1"/>
  <c r="A462" i="26"/>
  <c r="F461" i="26"/>
  <c r="I461" i="26" s="1"/>
  <c r="E461" i="26"/>
  <c r="H461" i="26" s="1"/>
  <c r="D461" i="26"/>
  <c r="C461" i="26"/>
  <c r="B461" i="26"/>
  <c r="G461" i="26" s="1"/>
  <c r="K461" i="26" s="1"/>
  <c r="A461" i="26"/>
  <c r="H460" i="26"/>
  <c r="I460" i="26" s="1"/>
  <c r="G460" i="26"/>
  <c r="K460" i="26" s="1"/>
  <c r="E460" i="26"/>
  <c r="D460" i="26"/>
  <c r="F460" i="26" s="1"/>
  <c r="C460" i="26"/>
  <c r="B460" i="26"/>
  <c r="A460" i="26"/>
  <c r="H459" i="26"/>
  <c r="G459" i="26"/>
  <c r="K459" i="26" s="1"/>
  <c r="E459" i="26"/>
  <c r="D459" i="26"/>
  <c r="F459" i="26" s="1"/>
  <c r="C459" i="26"/>
  <c r="I459" i="26" s="1"/>
  <c r="B459" i="26"/>
  <c r="A459" i="26"/>
  <c r="G458" i="26"/>
  <c r="K458" i="26" s="1"/>
  <c r="F458" i="26"/>
  <c r="E458" i="26"/>
  <c r="H458" i="26" s="1"/>
  <c r="D458" i="26"/>
  <c r="C458" i="26"/>
  <c r="I458" i="26" s="1"/>
  <c r="B458" i="26"/>
  <c r="A458" i="26"/>
  <c r="I457" i="26"/>
  <c r="F457" i="26"/>
  <c r="E457" i="26"/>
  <c r="H457" i="26" s="1"/>
  <c r="D457" i="26"/>
  <c r="C457" i="26"/>
  <c r="B457" i="26"/>
  <c r="G457" i="26" s="1"/>
  <c r="K457" i="26" s="1"/>
  <c r="A457" i="26"/>
  <c r="H456" i="26"/>
  <c r="I456" i="26" s="1"/>
  <c r="E456" i="26"/>
  <c r="D456" i="26"/>
  <c r="F456" i="26" s="1"/>
  <c r="C456" i="26"/>
  <c r="B456" i="26"/>
  <c r="G456" i="26" s="1"/>
  <c r="K456" i="26" s="1"/>
  <c r="A456" i="26"/>
  <c r="H455" i="26"/>
  <c r="G455" i="26"/>
  <c r="K455" i="26" s="1"/>
  <c r="E455" i="26"/>
  <c r="D455" i="26"/>
  <c r="F455" i="26" s="1"/>
  <c r="C455" i="26"/>
  <c r="I455" i="26" s="1"/>
  <c r="B455" i="26"/>
  <c r="A455" i="26"/>
  <c r="G454" i="26"/>
  <c r="K454" i="26" s="1"/>
  <c r="F454" i="26"/>
  <c r="E454" i="26"/>
  <c r="H454" i="26" s="1"/>
  <c r="D454" i="26"/>
  <c r="C454" i="26"/>
  <c r="I454" i="26" s="1"/>
  <c r="J454" i="26" s="1"/>
  <c r="B454" i="26"/>
  <c r="A454" i="26"/>
  <c r="I453" i="26"/>
  <c r="F453" i="26"/>
  <c r="E453" i="26"/>
  <c r="H453" i="26" s="1"/>
  <c r="D453" i="26"/>
  <c r="C453" i="26"/>
  <c r="B453" i="26"/>
  <c r="G453" i="26" s="1"/>
  <c r="K453" i="26" s="1"/>
  <c r="A453" i="26"/>
  <c r="H452" i="26"/>
  <c r="I452" i="26" s="1"/>
  <c r="E452" i="26"/>
  <c r="D452" i="26"/>
  <c r="F452" i="26" s="1"/>
  <c r="C452" i="26"/>
  <c r="B452" i="26"/>
  <c r="G452" i="26" s="1"/>
  <c r="K452" i="26" s="1"/>
  <c r="A452" i="26"/>
  <c r="H451" i="26"/>
  <c r="G451" i="26"/>
  <c r="K451" i="26" s="1"/>
  <c r="E451" i="26"/>
  <c r="D451" i="26"/>
  <c r="F451" i="26" s="1"/>
  <c r="C451" i="26"/>
  <c r="I451" i="26" s="1"/>
  <c r="B451" i="26"/>
  <c r="A451" i="26"/>
  <c r="G450" i="26"/>
  <c r="K450" i="26" s="1"/>
  <c r="F450" i="26"/>
  <c r="E450" i="26"/>
  <c r="H450" i="26" s="1"/>
  <c r="D450" i="26"/>
  <c r="C450" i="26"/>
  <c r="I450" i="26" s="1"/>
  <c r="J450" i="26" s="1"/>
  <c r="B450" i="26"/>
  <c r="A450" i="26"/>
  <c r="I449" i="26"/>
  <c r="F449" i="26"/>
  <c r="E449" i="26"/>
  <c r="H449" i="26" s="1"/>
  <c r="D449" i="26"/>
  <c r="C449" i="26"/>
  <c r="B449" i="26"/>
  <c r="G449" i="26" s="1"/>
  <c r="K449" i="26" s="1"/>
  <c r="A449" i="26"/>
  <c r="H448" i="26"/>
  <c r="I448" i="26" s="1"/>
  <c r="E448" i="26"/>
  <c r="D448" i="26"/>
  <c r="F448" i="26" s="1"/>
  <c r="C448" i="26"/>
  <c r="B448" i="26"/>
  <c r="G448" i="26" s="1"/>
  <c r="K448" i="26" s="1"/>
  <c r="A448" i="26"/>
  <c r="H447" i="26"/>
  <c r="G447" i="26"/>
  <c r="K447" i="26" s="1"/>
  <c r="E447" i="26"/>
  <c r="D447" i="26"/>
  <c r="F447" i="26" s="1"/>
  <c r="C447" i="26"/>
  <c r="I447" i="26" s="1"/>
  <c r="B447" i="26"/>
  <c r="A447" i="26"/>
  <c r="H446" i="26"/>
  <c r="G446" i="26"/>
  <c r="K446" i="26" s="1"/>
  <c r="J446" i="26" s="1"/>
  <c r="F446" i="26"/>
  <c r="E446" i="26"/>
  <c r="D446" i="26"/>
  <c r="C446" i="26"/>
  <c r="I446" i="26" s="1"/>
  <c r="B446" i="26"/>
  <c r="A446" i="26"/>
  <c r="F445" i="26"/>
  <c r="E445" i="26"/>
  <c r="H445" i="26" s="1"/>
  <c r="I445" i="26" s="1"/>
  <c r="D445" i="26"/>
  <c r="C445" i="26"/>
  <c r="B445" i="26"/>
  <c r="G445" i="26" s="1"/>
  <c r="A445" i="26"/>
  <c r="I444" i="26"/>
  <c r="H444" i="26"/>
  <c r="E444" i="26"/>
  <c r="D444" i="26"/>
  <c r="F444" i="26" s="1"/>
  <c r="C444" i="26"/>
  <c r="B444" i="26"/>
  <c r="G444" i="26" s="1"/>
  <c r="K444" i="26" s="1"/>
  <c r="A444" i="26"/>
  <c r="H443" i="26"/>
  <c r="G443" i="26"/>
  <c r="E443" i="26"/>
  <c r="D443" i="26"/>
  <c r="F443" i="26" s="1"/>
  <c r="C443" i="26"/>
  <c r="I443" i="26" s="1"/>
  <c r="B443" i="26"/>
  <c r="A443" i="26"/>
  <c r="H442" i="26"/>
  <c r="F442" i="26"/>
  <c r="E442" i="26"/>
  <c r="D442" i="26"/>
  <c r="C442" i="26"/>
  <c r="B442" i="26"/>
  <c r="G442" i="26" s="1"/>
  <c r="K442" i="26" s="1"/>
  <c r="A442" i="26"/>
  <c r="F441" i="26"/>
  <c r="E441" i="26"/>
  <c r="H441" i="26" s="1"/>
  <c r="I441" i="26" s="1"/>
  <c r="D441" i="26"/>
  <c r="C441" i="26"/>
  <c r="B441" i="26"/>
  <c r="G441" i="26" s="1"/>
  <c r="A441" i="26"/>
  <c r="E440" i="26"/>
  <c r="H440" i="26" s="1"/>
  <c r="D440" i="26"/>
  <c r="F440" i="26" s="1"/>
  <c r="C440" i="26"/>
  <c r="B440" i="26"/>
  <c r="G440" i="26" s="1"/>
  <c r="A440" i="26"/>
  <c r="H439" i="26"/>
  <c r="G439" i="26"/>
  <c r="K439" i="26" s="1"/>
  <c r="E439" i="26"/>
  <c r="D439" i="26"/>
  <c r="F439" i="26" s="1"/>
  <c r="C439" i="26"/>
  <c r="B439" i="26"/>
  <c r="A439" i="26"/>
  <c r="F438" i="26"/>
  <c r="E438" i="26"/>
  <c r="H438" i="26" s="1"/>
  <c r="D438" i="26"/>
  <c r="C438" i="26"/>
  <c r="B438" i="26"/>
  <c r="G438" i="26" s="1"/>
  <c r="K438" i="26" s="1"/>
  <c r="A438" i="26"/>
  <c r="F437" i="26"/>
  <c r="E437" i="26"/>
  <c r="H437" i="26" s="1"/>
  <c r="I437" i="26" s="1"/>
  <c r="D437" i="26"/>
  <c r="C437" i="26"/>
  <c r="B437" i="26"/>
  <c r="G437" i="26" s="1"/>
  <c r="A437" i="26"/>
  <c r="E436" i="26"/>
  <c r="H436" i="26" s="1"/>
  <c r="D436" i="26"/>
  <c r="F436" i="26" s="1"/>
  <c r="C436" i="26"/>
  <c r="B436" i="26"/>
  <c r="G436" i="26" s="1"/>
  <c r="A436" i="26"/>
  <c r="H435" i="26"/>
  <c r="G435" i="26"/>
  <c r="K435" i="26" s="1"/>
  <c r="E435" i="26"/>
  <c r="D435" i="26"/>
  <c r="F435" i="26" s="1"/>
  <c r="C435" i="26"/>
  <c r="B435" i="26"/>
  <c r="A435" i="26"/>
  <c r="F434" i="26"/>
  <c r="E434" i="26"/>
  <c r="H434" i="26" s="1"/>
  <c r="D434" i="26"/>
  <c r="C434" i="26"/>
  <c r="B434" i="26"/>
  <c r="G434" i="26" s="1"/>
  <c r="A434" i="26"/>
  <c r="F433" i="26"/>
  <c r="E433" i="26"/>
  <c r="H433" i="26" s="1"/>
  <c r="I433" i="26" s="1"/>
  <c r="D433" i="26"/>
  <c r="C433" i="26"/>
  <c r="B433" i="26"/>
  <c r="G433" i="26" s="1"/>
  <c r="A433" i="26"/>
  <c r="E432" i="26"/>
  <c r="H432" i="26" s="1"/>
  <c r="D432" i="26"/>
  <c r="F432" i="26" s="1"/>
  <c r="C432" i="26"/>
  <c r="B432" i="26"/>
  <c r="G432" i="26" s="1"/>
  <c r="A432" i="26"/>
  <c r="E431" i="26"/>
  <c r="H431" i="26" s="1"/>
  <c r="D431" i="26"/>
  <c r="F431" i="26" s="1"/>
  <c r="C431" i="26"/>
  <c r="B431" i="26"/>
  <c r="G431" i="26" s="1"/>
  <c r="K431" i="26" s="1"/>
  <c r="A431" i="26"/>
  <c r="H430" i="26"/>
  <c r="G430" i="26"/>
  <c r="K430" i="26" s="1"/>
  <c r="E430" i="26"/>
  <c r="D430" i="26"/>
  <c r="F430" i="26" s="1"/>
  <c r="C430" i="26"/>
  <c r="I430" i="26" s="1"/>
  <c r="B430" i="26"/>
  <c r="A430" i="26"/>
  <c r="F429" i="26"/>
  <c r="E429" i="26"/>
  <c r="H429" i="26" s="1"/>
  <c r="D429" i="26"/>
  <c r="C429" i="26"/>
  <c r="B429" i="26"/>
  <c r="G429" i="26" s="1"/>
  <c r="K429" i="26" s="1"/>
  <c r="A429" i="26"/>
  <c r="F428" i="26"/>
  <c r="E428" i="26"/>
  <c r="H428" i="26" s="1"/>
  <c r="I428" i="26" s="1"/>
  <c r="D428" i="26"/>
  <c r="C428" i="26"/>
  <c r="B428" i="26"/>
  <c r="G428" i="26" s="1"/>
  <c r="A428" i="26"/>
  <c r="H427" i="26"/>
  <c r="I427" i="26" s="1"/>
  <c r="G427" i="26"/>
  <c r="E427" i="26"/>
  <c r="D427" i="26"/>
  <c r="F427" i="26" s="1"/>
  <c r="C427" i="26"/>
  <c r="B427" i="26"/>
  <c r="A427" i="26"/>
  <c r="H426" i="26"/>
  <c r="G426" i="26"/>
  <c r="K426" i="26" s="1"/>
  <c r="E426" i="26"/>
  <c r="D426" i="26"/>
  <c r="F426" i="26" s="1"/>
  <c r="C426" i="26"/>
  <c r="I426" i="26" s="1"/>
  <c r="B426" i="26"/>
  <c r="A426" i="26"/>
  <c r="F425" i="26"/>
  <c r="E425" i="26"/>
  <c r="H425" i="26" s="1"/>
  <c r="D425" i="26"/>
  <c r="C425" i="26"/>
  <c r="B425" i="26"/>
  <c r="G425" i="26" s="1"/>
  <c r="K425" i="26" s="1"/>
  <c r="A425" i="26"/>
  <c r="F424" i="26"/>
  <c r="E424" i="26"/>
  <c r="H424" i="26" s="1"/>
  <c r="I424" i="26" s="1"/>
  <c r="D424" i="26"/>
  <c r="C424" i="26"/>
  <c r="B424" i="26"/>
  <c r="G424" i="26" s="1"/>
  <c r="A424" i="26"/>
  <c r="H423" i="26"/>
  <c r="G423" i="26"/>
  <c r="K423" i="26" s="1"/>
  <c r="E423" i="26"/>
  <c r="D423" i="26"/>
  <c r="F423" i="26" s="1"/>
  <c r="C423" i="26"/>
  <c r="B423" i="26"/>
  <c r="A423" i="26"/>
  <c r="K422" i="26"/>
  <c r="H422" i="26"/>
  <c r="G422" i="26"/>
  <c r="E422" i="26"/>
  <c r="D422" i="26"/>
  <c r="F422" i="26" s="1"/>
  <c r="C422" i="26"/>
  <c r="B422" i="26"/>
  <c r="A422" i="26"/>
  <c r="F421" i="26"/>
  <c r="E421" i="26"/>
  <c r="H421" i="26" s="1"/>
  <c r="D421" i="26"/>
  <c r="C421" i="26"/>
  <c r="I421" i="26" s="1"/>
  <c r="B421" i="26"/>
  <c r="G421" i="26" s="1"/>
  <c r="A421" i="26"/>
  <c r="I420" i="26"/>
  <c r="F420" i="26"/>
  <c r="E420" i="26"/>
  <c r="H420" i="26" s="1"/>
  <c r="D420" i="26"/>
  <c r="C420" i="26"/>
  <c r="B420" i="26"/>
  <c r="G420" i="26" s="1"/>
  <c r="K420" i="26" s="1"/>
  <c r="A420" i="26"/>
  <c r="H419" i="26"/>
  <c r="I419" i="26" s="1"/>
  <c r="G419" i="26"/>
  <c r="K419" i="26" s="1"/>
  <c r="E419" i="26"/>
  <c r="D419" i="26"/>
  <c r="F419" i="26" s="1"/>
  <c r="C419" i="26"/>
  <c r="B419" i="26"/>
  <c r="A419" i="26"/>
  <c r="H418" i="26"/>
  <c r="G418" i="26"/>
  <c r="K418" i="26" s="1"/>
  <c r="E418" i="26"/>
  <c r="D418" i="26"/>
  <c r="F418" i="26" s="1"/>
  <c r="C418" i="26"/>
  <c r="I418" i="26" s="1"/>
  <c r="B418" i="26"/>
  <c r="A418" i="26"/>
  <c r="F417" i="26"/>
  <c r="E417" i="26"/>
  <c r="H417" i="26" s="1"/>
  <c r="D417" i="26"/>
  <c r="C417" i="26"/>
  <c r="B417" i="26"/>
  <c r="G417" i="26" s="1"/>
  <c r="A417" i="26"/>
  <c r="I416" i="26"/>
  <c r="F416" i="26"/>
  <c r="E416" i="26"/>
  <c r="H416" i="26" s="1"/>
  <c r="D416" i="26"/>
  <c r="C416" i="26"/>
  <c r="B416" i="26"/>
  <c r="G416" i="26" s="1"/>
  <c r="A416" i="26"/>
  <c r="H415" i="26"/>
  <c r="I415" i="26" s="1"/>
  <c r="G415" i="26"/>
  <c r="E415" i="26"/>
  <c r="D415" i="26"/>
  <c r="F415" i="26" s="1"/>
  <c r="C415" i="26"/>
  <c r="B415" i="26"/>
  <c r="A415" i="26"/>
  <c r="H414" i="26"/>
  <c r="G414" i="26"/>
  <c r="K414" i="26" s="1"/>
  <c r="E414" i="26"/>
  <c r="D414" i="26"/>
  <c r="F414" i="26" s="1"/>
  <c r="C414" i="26"/>
  <c r="I414" i="26" s="1"/>
  <c r="B414" i="26"/>
  <c r="A414" i="26"/>
  <c r="F413" i="26"/>
  <c r="E413" i="26"/>
  <c r="H413" i="26" s="1"/>
  <c r="D413" i="26"/>
  <c r="C413" i="26"/>
  <c r="B413" i="26"/>
  <c r="G413" i="26" s="1"/>
  <c r="A413" i="26"/>
  <c r="F412" i="26"/>
  <c r="E412" i="26"/>
  <c r="H412" i="26" s="1"/>
  <c r="I412" i="26" s="1"/>
  <c r="D412" i="26"/>
  <c r="C412" i="26"/>
  <c r="B412" i="26"/>
  <c r="G412" i="26" s="1"/>
  <c r="A412" i="26"/>
  <c r="H411" i="26"/>
  <c r="G411" i="26"/>
  <c r="E411" i="26"/>
  <c r="D411" i="26"/>
  <c r="F411" i="26" s="1"/>
  <c r="C411" i="26"/>
  <c r="B411" i="26"/>
  <c r="A411" i="26"/>
  <c r="H410" i="26"/>
  <c r="G410" i="26"/>
  <c r="K410" i="26" s="1"/>
  <c r="E410" i="26"/>
  <c r="D410" i="26"/>
  <c r="F410" i="26" s="1"/>
  <c r="C410" i="26"/>
  <c r="B410" i="26"/>
  <c r="A410" i="26"/>
  <c r="I409" i="26"/>
  <c r="F409" i="26"/>
  <c r="E409" i="26"/>
  <c r="H409" i="26" s="1"/>
  <c r="D409" i="26"/>
  <c r="C409" i="26"/>
  <c r="B409" i="26"/>
  <c r="G409" i="26" s="1"/>
  <c r="A409" i="26"/>
  <c r="I408" i="26"/>
  <c r="J408" i="26" s="1"/>
  <c r="H408" i="26"/>
  <c r="E408" i="26"/>
  <c r="D408" i="26"/>
  <c r="F408" i="26" s="1"/>
  <c r="C408" i="26"/>
  <c r="B408" i="26"/>
  <c r="G408" i="26" s="1"/>
  <c r="K408" i="26" s="1"/>
  <c r="A408" i="26"/>
  <c r="H407" i="26"/>
  <c r="G407" i="26"/>
  <c r="E407" i="26"/>
  <c r="D407" i="26"/>
  <c r="F407" i="26" s="1"/>
  <c r="C407" i="26"/>
  <c r="I407" i="26" s="1"/>
  <c r="B407" i="26"/>
  <c r="A407" i="26"/>
  <c r="H406" i="26"/>
  <c r="F406" i="26"/>
  <c r="E406" i="26"/>
  <c r="D406" i="26"/>
  <c r="C406" i="26"/>
  <c r="B406" i="26"/>
  <c r="G406" i="26" s="1"/>
  <c r="K406" i="26" s="1"/>
  <c r="A406" i="26"/>
  <c r="F405" i="26"/>
  <c r="E405" i="26"/>
  <c r="H405" i="26" s="1"/>
  <c r="I405" i="26" s="1"/>
  <c r="D405" i="26"/>
  <c r="C405" i="26"/>
  <c r="B405" i="26"/>
  <c r="G405" i="26" s="1"/>
  <c r="A405" i="26"/>
  <c r="E404" i="26"/>
  <c r="H404" i="26" s="1"/>
  <c r="I404" i="26" s="1"/>
  <c r="D404" i="26"/>
  <c r="F404" i="26" s="1"/>
  <c r="C404" i="26"/>
  <c r="B404" i="26"/>
  <c r="G404" i="26" s="1"/>
  <c r="A404" i="26"/>
  <c r="K403" i="26"/>
  <c r="H403" i="26"/>
  <c r="G403" i="26"/>
  <c r="E403" i="26"/>
  <c r="D403" i="26"/>
  <c r="F403" i="26" s="1"/>
  <c r="C403" i="26"/>
  <c r="B403" i="26"/>
  <c r="A403" i="26"/>
  <c r="K402" i="26"/>
  <c r="H402" i="26"/>
  <c r="F402" i="26"/>
  <c r="E402" i="26"/>
  <c r="D402" i="26"/>
  <c r="C402" i="26"/>
  <c r="B402" i="26"/>
  <c r="G402" i="26" s="1"/>
  <c r="A402" i="26"/>
  <c r="F401" i="26"/>
  <c r="E401" i="26"/>
  <c r="H401" i="26" s="1"/>
  <c r="D401" i="26"/>
  <c r="C401" i="26"/>
  <c r="B401" i="26"/>
  <c r="G401" i="26" s="1"/>
  <c r="K401" i="26" s="1"/>
  <c r="A401" i="26"/>
  <c r="E400" i="26"/>
  <c r="H400" i="26" s="1"/>
  <c r="D400" i="26"/>
  <c r="F400" i="26" s="1"/>
  <c r="C400" i="26"/>
  <c r="B400" i="26"/>
  <c r="G400" i="26" s="1"/>
  <c r="A400" i="26"/>
  <c r="H399" i="26"/>
  <c r="G399" i="26"/>
  <c r="K399" i="26" s="1"/>
  <c r="E399" i="26"/>
  <c r="D399" i="26"/>
  <c r="F399" i="26" s="1"/>
  <c r="C399" i="26"/>
  <c r="B399" i="26"/>
  <c r="A399" i="26"/>
  <c r="H398" i="26"/>
  <c r="F398" i="26"/>
  <c r="E398" i="26"/>
  <c r="D398" i="26"/>
  <c r="C398" i="26"/>
  <c r="B398" i="26"/>
  <c r="G398" i="26" s="1"/>
  <c r="K398" i="26" s="1"/>
  <c r="A398" i="26"/>
  <c r="I397" i="26"/>
  <c r="F397" i="26"/>
  <c r="E397" i="26"/>
  <c r="H397" i="26" s="1"/>
  <c r="D397" i="26"/>
  <c r="C397" i="26"/>
  <c r="B397" i="26"/>
  <c r="G397" i="26" s="1"/>
  <c r="K397" i="26" s="1"/>
  <c r="A397" i="26"/>
  <c r="H396" i="26"/>
  <c r="I396" i="26" s="1"/>
  <c r="E396" i="26"/>
  <c r="D396" i="26"/>
  <c r="F396" i="26" s="1"/>
  <c r="C396" i="26"/>
  <c r="B396" i="26"/>
  <c r="G396" i="26" s="1"/>
  <c r="K396" i="26" s="1"/>
  <c r="A396" i="26"/>
  <c r="H395" i="26"/>
  <c r="G395" i="26"/>
  <c r="K395" i="26" s="1"/>
  <c r="E395" i="26"/>
  <c r="D395" i="26"/>
  <c r="F395" i="26" s="1"/>
  <c r="C395" i="26"/>
  <c r="I395" i="26" s="1"/>
  <c r="B395" i="26"/>
  <c r="A395" i="26"/>
  <c r="H394" i="26"/>
  <c r="G394" i="26"/>
  <c r="K394" i="26" s="1"/>
  <c r="F394" i="26"/>
  <c r="E394" i="26"/>
  <c r="D394" i="26"/>
  <c r="C394" i="26"/>
  <c r="I394" i="26" s="1"/>
  <c r="J394" i="26" s="1"/>
  <c r="B394" i="26"/>
  <c r="A394" i="26"/>
  <c r="I393" i="26"/>
  <c r="F393" i="26"/>
  <c r="E393" i="26"/>
  <c r="H393" i="26" s="1"/>
  <c r="D393" i="26"/>
  <c r="C393" i="26"/>
  <c r="B393" i="26"/>
  <c r="G393" i="26" s="1"/>
  <c r="A393" i="26"/>
  <c r="I392" i="26"/>
  <c r="H392" i="26"/>
  <c r="E392" i="26"/>
  <c r="D392" i="26"/>
  <c r="F392" i="26" s="1"/>
  <c r="C392" i="26"/>
  <c r="B392" i="26"/>
  <c r="G392" i="26" s="1"/>
  <c r="K392" i="26" s="1"/>
  <c r="A392" i="26"/>
  <c r="H391" i="26"/>
  <c r="G391" i="26"/>
  <c r="E391" i="26"/>
  <c r="D391" i="26"/>
  <c r="F391" i="26" s="1"/>
  <c r="C391" i="26"/>
  <c r="I391" i="26" s="1"/>
  <c r="B391" i="26"/>
  <c r="A391" i="26"/>
  <c r="H390" i="26"/>
  <c r="F390" i="26"/>
  <c r="E390" i="26"/>
  <c r="D390" i="26"/>
  <c r="C390" i="26"/>
  <c r="B390" i="26"/>
  <c r="G390" i="26" s="1"/>
  <c r="K390" i="26" s="1"/>
  <c r="A390" i="26"/>
  <c r="F389" i="26"/>
  <c r="E389" i="26"/>
  <c r="H389" i="26" s="1"/>
  <c r="I389" i="26" s="1"/>
  <c r="D389" i="26"/>
  <c r="C389" i="26"/>
  <c r="B389" i="26"/>
  <c r="G389" i="26" s="1"/>
  <c r="A389" i="26"/>
  <c r="E388" i="26"/>
  <c r="H388" i="26" s="1"/>
  <c r="I388" i="26" s="1"/>
  <c r="D388" i="26"/>
  <c r="F388" i="26" s="1"/>
  <c r="C388" i="26"/>
  <c r="B388" i="26"/>
  <c r="G388" i="26" s="1"/>
  <c r="A388" i="26"/>
  <c r="H387" i="26"/>
  <c r="G387" i="26"/>
  <c r="K387" i="26" s="1"/>
  <c r="E387" i="26"/>
  <c r="D387" i="26"/>
  <c r="F387" i="26" s="1"/>
  <c r="C387" i="26"/>
  <c r="B387" i="26"/>
  <c r="A387" i="26"/>
  <c r="H386" i="26"/>
  <c r="F386" i="26"/>
  <c r="E386" i="26"/>
  <c r="D386" i="26"/>
  <c r="C386" i="26"/>
  <c r="B386" i="26"/>
  <c r="G386" i="26" s="1"/>
  <c r="K386" i="26" s="1"/>
  <c r="A386" i="26"/>
  <c r="F385" i="26"/>
  <c r="E385" i="26"/>
  <c r="H385" i="26" s="1"/>
  <c r="D385" i="26"/>
  <c r="C385" i="26"/>
  <c r="B385" i="26"/>
  <c r="G385" i="26" s="1"/>
  <c r="K385" i="26" s="1"/>
  <c r="A385" i="26"/>
  <c r="E384" i="26"/>
  <c r="H384" i="26" s="1"/>
  <c r="D384" i="26"/>
  <c r="F384" i="26" s="1"/>
  <c r="C384" i="26"/>
  <c r="B384" i="26"/>
  <c r="G384" i="26" s="1"/>
  <c r="A384" i="26"/>
  <c r="H383" i="26"/>
  <c r="G383" i="26"/>
  <c r="K383" i="26" s="1"/>
  <c r="E383" i="26"/>
  <c r="D383" i="26"/>
  <c r="F383" i="26" s="1"/>
  <c r="C383" i="26"/>
  <c r="B383" i="26"/>
  <c r="A383" i="26"/>
  <c r="H382" i="26"/>
  <c r="F382" i="26"/>
  <c r="E382" i="26"/>
  <c r="D382" i="26"/>
  <c r="C382" i="26"/>
  <c r="B382" i="26"/>
  <c r="G382" i="26" s="1"/>
  <c r="K382" i="26" s="1"/>
  <c r="A382" i="26"/>
  <c r="I381" i="26"/>
  <c r="F381" i="26"/>
  <c r="E381" i="26"/>
  <c r="H381" i="26" s="1"/>
  <c r="D381" i="26"/>
  <c r="C381" i="26"/>
  <c r="B381" i="26"/>
  <c r="G381" i="26" s="1"/>
  <c r="K381" i="26" s="1"/>
  <c r="A381" i="26"/>
  <c r="H380" i="26"/>
  <c r="I380" i="26" s="1"/>
  <c r="E380" i="26"/>
  <c r="D380" i="26"/>
  <c r="F380" i="26" s="1"/>
  <c r="C380" i="26"/>
  <c r="B380" i="26"/>
  <c r="G380" i="26" s="1"/>
  <c r="K380" i="26" s="1"/>
  <c r="A380" i="26"/>
  <c r="H379" i="26"/>
  <c r="G379" i="26"/>
  <c r="K379" i="26" s="1"/>
  <c r="E379" i="26"/>
  <c r="D379" i="26"/>
  <c r="F379" i="26" s="1"/>
  <c r="C379" i="26"/>
  <c r="I379" i="26" s="1"/>
  <c r="B379" i="26"/>
  <c r="A379" i="26"/>
  <c r="H378" i="26"/>
  <c r="G378" i="26"/>
  <c r="K378" i="26" s="1"/>
  <c r="F378" i="26"/>
  <c r="E378" i="26"/>
  <c r="D378" i="26"/>
  <c r="C378" i="26"/>
  <c r="I378" i="26" s="1"/>
  <c r="B378" i="26"/>
  <c r="A378" i="26"/>
  <c r="I377" i="26"/>
  <c r="F377" i="26"/>
  <c r="E377" i="26"/>
  <c r="H377" i="26" s="1"/>
  <c r="D377" i="26"/>
  <c r="C377" i="26"/>
  <c r="B377" i="26"/>
  <c r="G377" i="26" s="1"/>
  <c r="A377" i="26"/>
  <c r="I376" i="26"/>
  <c r="H376" i="26"/>
  <c r="E376" i="26"/>
  <c r="D376" i="26"/>
  <c r="F376" i="26" s="1"/>
  <c r="C376" i="26"/>
  <c r="B376" i="26"/>
  <c r="G376" i="26" s="1"/>
  <c r="K376" i="26" s="1"/>
  <c r="A376" i="26"/>
  <c r="H375" i="26"/>
  <c r="G375" i="26"/>
  <c r="E375" i="26"/>
  <c r="D375" i="26"/>
  <c r="F375" i="26" s="1"/>
  <c r="C375" i="26"/>
  <c r="I375" i="26" s="1"/>
  <c r="B375" i="26"/>
  <c r="A375" i="26"/>
  <c r="H374" i="26"/>
  <c r="F374" i="26"/>
  <c r="E374" i="26"/>
  <c r="D374" i="26"/>
  <c r="C374" i="26"/>
  <c r="B374" i="26"/>
  <c r="G374" i="26" s="1"/>
  <c r="K374" i="26" s="1"/>
  <c r="A374" i="26"/>
  <c r="F373" i="26"/>
  <c r="E373" i="26"/>
  <c r="H373" i="26" s="1"/>
  <c r="I373" i="26" s="1"/>
  <c r="D373" i="26"/>
  <c r="C373" i="26"/>
  <c r="B373" i="26"/>
  <c r="G373" i="26" s="1"/>
  <c r="A373" i="26"/>
  <c r="E372" i="26"/>
  <c r="H372" i="26" s="1"/>
  <c r="I372" i="26" s="1"/>
  <c r="D372" i="26"/>
  <c r="F372" i="26" s="1"/>
  <c r="C372" i="26"/>
  <c r="B372" i="26"/>
  <c r="G372" i="26" s="1"/>
  <c r="A372" i="26"/>
  <c r="H371" i="26"/>
  <c r="G371" i="26"/>
  <c r="K371" i="26" s="1"/>
  <c r="E371" i="26"/>
  <c r="D371" i="26"/>
  <c r="F371" i="26" s="1"/>
  <c r="C371" i="26"/>
  <c r="B371" i="26"/>
  <c r="A371" i="26"/>
  <c r="H370" i="26"/>
  <c r="F370" i="26"/>
  <c r="E370" i="26"/>
  <c r="D370" i="26"/>
  <c r="C370" i="26"/>
  <c r="B370" i="26"/>
  <c r="G370" i="26" s="1"/>
  <c r="K370" i="26" s="1"/>
  <c r="A370" i="26"/>
  <c r="F369" i="26"/>
  <c r="E369" i="26"/>
  <c r="H369" i="26" s="1"/>
  <c r="D369" i="26"/>
  <c r="C369" i="26"/>
  <c r="B369" i="26"/>
  <c r="G369" i="26" s="1"/>
  <c r="K369" i="26" s="1"/>
  <c r="A369" i="26"/>
  <c r="E368" i="26"/>
  <c r="H368" i="26" s="1"/>
  <c r="D368" i="26"/>
  <c r="F368" i="26" s="1"/>
  <c r="C368" i="26"/>
  <c r="B368" i="26"/>
  <c r="G368" i="26" s="1"/>
  <c r="A368" i="26"/>
  <c r="H367" i="26"/>
  <c r="G367" i="26"/>
  <c r="K367" i="26" s="1"/>
  <c r="E367" i="26"/>
  <c r="D367" i="26"/>
  <c r="F367" i="26" s="1"/>
  <c r="C367" i="26"/>
  <c r="B367" i="26"/>
  <c r="A367" i="26"/>
  <c r="H366" i="26"/>
  <c r="F366" i="26"/>
  <c r="E366" i="26"/>
  <c r="D366" i="26"/>
  <c r="C366" i="26"/>
  <c r="B366" i="26"/>
  <c r="G366" i="26" s="1"/>
  <c r="K366" i="26" s="1"/>
  <c r="A366" i="26"/>
  <c r="I365" i="26"/>
  <c r="F365" i="26"/>
  <c r="E365" i="26"/>
  <c r="H365" i="26" s="1"/>
  <c r="D365" i="26"/>
  <c r="C365" i="26"/>
  <c r="B365" i="26"/>
  <c r="G365" i="26" s="1"/>
  <c r="K365" i="26" s="1"/>
  <c r="A365" i="26"/>
  <c r="H364" i="26"/>
  <c r="I364" i="26" s="1"/>
  <c r="E364" i="26"/>
  <c r="D364" i="26"/>
  <c r="F364" i="26" s="1"/>
  <c r="C364" i="26"/>
  <c r="B364" i="26"/>
  <c r="G364" i="26" s="1"/>
  <c r="K364" i="26" s="1"/>
  <c r="A364" i="26"/>
  <c r="H363" i="26"/>
  <c r="G363" i="26"/>
  <c r="K363" i="26" s="1"/>
  <c r="E363" i="26"/>
  <c r="D363" i="26"/>
  <c r="F363" i="26" s="1"/>
  <c r="C363" i="26"/>
  <c r="I363" i="26" s="1"/>
  <c r="B363" i="26"/>
  <c r="A363" i="26"/>
  <c r="H362" i="26"/>
  <c r="G362" i="26"/>
  <c r="K362" i="26" s="1"/>
  <c r="F362" i="26"/>
  <c r="E362" i="26"/>
  <c r="D362" i="26"/>
  <c r="C362" i="26"/>
  <c r="I362" i="26" s="1"/>
  <c r="B362" i="26"/>
  <c r="A362" i="26"/>
  <c r="I361" i="26"/>
  <c r="F361" i="26"/>
  <c r="E361" i="26"/>
  <c r="H361" i="26" s="1"/>
  <c r="D361" i="26"/>
  <c r="C361" i="26"/>
  <c r="B361" i="26"/>
  <c r="G361" i="26" s="1"/>
  <c r="A361" i="26"/>
  <c r="I360" i="26"/>
  <c r="H360" i="26"/>
  <c r="E360" i="26"/>
  <c r="D360" i="26"/>
  <c r="F360" i="26" s="1"/>
  <c r="C360" i="26"/>
  <c r="B360" i="26"/>
  <c r="G360" i="26" s="1"/>
  <c r="K360" i="26" s="1"/>
  <c r="A360" i="26"/>
  <c r="H359" i="26"/>
  <c r="G359" i="26"/>
  <c r="E359" i="26"/>
  <c r="D359" i="26"/>
  <c r="F359" i="26" s="1"/>
  <c r="C359" i="26"/>
  <c r="I359" i="26" s="1"/>
  <c r="B359" i="26"/>
  <c r="A359" i="26"/>
  <c r="H358" i="26"/>
  <c r="F358" i="26"/>
  <c r="E358" i="26"/>
  <c r="D358" i="26"/>
  <c r="C358" i="26"/>
  <c r="B358" i="26"/>
  <c r="G358" i="26" s="1"/>
  <c r="K358" i="26" s="1"/>
  <c r="A358" i="26"/>
  <c r="F357" i="26"/>
  <c r="E357" i="26"/>
  <c r="H357" i="26" s="1"/>
  <c r="I357" i="26" s="1"/>
  <c r="D357" i="26"/>
  <c r="C357" i="26"/>
  <c r="B357" i="26"/>
  <c r="G357" i="26" s="1"/>
  <c r="A357" i="26"/>
  <c r="E356" i="26"/>
  <c r="H356" i="26" s="1"/>
  <c r="I356" i="26" s="1"/>
  <c r="D356" i="26"/>
  <c r="F356" i="26" s="1"/>
  <c r="C356" i="26"/>
  <c r="B356" i="26"/>
  <c r="G356" i="26" s="1"/>
  <c r="A356" i="26"/>
  <c r="H355" i="26"/>
  <c r="G355" i="26"/>
  <c r="K355" i="26" s="1"/>
  <c r="E355" i="26"/>
  <c r="D355" i="26"/>
  <c r="F355" i="26" s="1"/>
  <c r="C355" i="26"/>
  <c r="B355" i="26"/>
  <c r="A355" i="26"/>
  <c r="H354" i="26"/>
  <c r="F354" i="26"/>
  <c r="E354" i="26"/>
  <c r="D354" i="26"/>
  <c r="C354" i="26"/>
  <c r="B354" i="26"/>
  <c r="G354" i="26" s="1"/>
  <c r="K354" i="26" s="1"/>
  <c r="A354" i="26"/>
  <c r="F353" i="26"/>
  <c r="E353" i="26"/>
  <c r="H353" i="26" s="1"/>
  <c r="D353" i="26"/>
  <c r="C353" i="26"/>
  <c r="B353" i="26"/>
  <c r="G353" i="26" s="1"/>
  <c r="K353" i="26" s="1"/>
  <c r="A353" i="26"/>
  <c r="E352" i="26"/>
  <c r="H352" i="26" s="1"/>
  <c r="D352" i="26"/>
  <c r="F352" i="26" s="1"/>
  <c r="C352" i="26"/>
  <c r="B352" i="26"/>
  <c r="G352" i="26" s="1"/>
  <c r="A352" i="26"/>
  <c r="H351" i="26"/>
  <c r="G351" i="26"/>
  <c r="K351" i="26" s="1"/>
  <c r="E351" i="26"/>
  <c r="D351" i="26"/>
  <c r="F351" i="26" s="1"/>
  <c r="C351" i="26"/>
  <c r="B351" i="26"/>
  <c r="A351" i="26"/>
  <c r="H350" i="26"/>
  <c r="F350" i="26"/>
  <c r="E350" i="26"/>
  <c r="D350" i="26"/>
  <c r="C350" i="26"/>
  <c r="B350" i="26"/>
  <c r="G350" i="26" s="1"/>
  <c r="K350" i="26" s="1"/>
  <c r="A350" i="26"/>
  <c r="I349" i="26"/>
  <c r="F349" i="26"/>
  <c r="E349" i="26"/>
  <c r="H349" i="26" s="1"/>
  <c r="D349" i="26"/>
  <c r="C349" i="26"/>
  <c r="B349" i="26"/>
  <c r="G349" i="26" s="1"/>
  <c r="K349" i="26" s="1"/>
  <c r="A349" i="26"/>
  <c r="H348" i="26"/>
  <c r="I348" i="26" s="1"/>
  <c r="E348" i="26"/>
  <c r="D348" i="26"/>
  <c r="F348" i="26" s="1"/>
  <c r="C348" i="26"/>
  <c r="B348" i="26"/>
  <c r="G348" i="26" s="1"/>
  <c r="K348" i="26" s="1"/>
  <c r="A348" i="26"/>
  <c r="H347" i="26"/>
  <c r="G347" i="26"/>
  <c r="K347" i="26" s="1"/>
  <c r="E347" i="26"/>
  <c r="D347" i="26"/>
  <c r="F347" i="26" s="1"/>
  <c r="C347" i="26"/>
  <c r="I347" i="26" s="1"/>
  <c r="B347" i="26"/>
  <c r="A347" i="26"/>
  <c r="H346" i="26"/>
  <c r="G346" i="26"/>
  <c r="K346" i="26" s="1"/>
  <c r="F346" i="26"/>
  <c r="E346" i="26"/>
  <c r="D346" i="26"/>
  <c r="C346" i="26"/>
  <c r="I346" i="26" s="1"/>
  <c r="J346" i="26" s="1"/>
  <c r="B346" i="26"/>
  <c r="A346" i="26"/>
  <c r="I345" i="26"/>
  <c r="F345" i="26"/>
  <c r="E345" i="26"/>
  <c r="H345" i="26" s="1"/>
  <c r="D345" i="26"/>
  <c r="C345" i="26"/>
  <c r="B345" i="26"/>
  <c r="G345" i="26" s="1"/>
  <c r="A345" i="26"/>
  <c r="I344" i="26"/>
  <c r="J344" i="26" s="1"/>
  <c r="H344" i="26"/>
  <c r="E344" i="26"/>
  <c r="D344" i="26"/>
  <c r="F344" i="26" s="1"/>
  <c r="C344" i="26"/>
  <c r="B344" i="26"/>
  <c r="G344" i="26" s="1"/>
  <c r="K344" i="26" s="1"/>
  <c r="A344" i="26"/>
  <c r="H343" i="26"/>
  <c r="G343" i="26"/>
  <c r="E343" i="26"/>
  <c r="D343" i="26"/>
  <c r="F343" i="26" s="1"/>
  <c r="I343" i="26" s="1"/>
  <c r="C343" i="26"/>
  <c r="B343" i="26"/>
  <c r="A343" i="26"/>
  <c r="H342" i="26"/>
  <c r="F342" i="26"/>
  <c r="E342" i="26"/>
  <c r="D342" i="26"/>
  <c r="C342" i="26"/>
  <c r="B342" i="26"/>
  <c r="G342" i="26" s="1"/>
  <c r="K342" i="26" s="1"/>
  <c r="A342" i="26"/>
  <c r="I341" i="26"/>
  <c r="G341" i="26"/>
  <c r="K341" i="26" s="1"/>
  <c r="F341" i="26"/>
  <c r="E341" i="26"/>
  <c r="H341" i="26" s="1"/>
  <c r="D341" i="26"/>
  <c r="C341" i="26"/>
  <c r="B341" i="26"/>
  <c r="A341" i="26"/>
  <c r="E340" i="26"/>
  <c r="H340" i="26" s="1"/>
  <c r="I340" i="26" s="1"/>
  <c r="D340" i="26"/>
  <c r="F340" i="26" s="1"/>
  <c r="C340" i="26"/>
  <c r="B340" i="26"/>
  <c r="G340" i="26" s="1"/>
  <c r="A340" i="26"/>
  <c r="G339" i="26"/>
  <c r="K339" i="26" s="1"/>
  <c r="E339" i="26"/>
  <c r="H339" i="26" s="1"/>
  <c r="D339" i="26"/>
  <c r="F339" i="26" s="1"/>
  <c r="C339" i="26"/>
  <c r="I339" i="26" s="1"/>
  <c r="B339" i="26"/>
  <c r="A339" i="26"/>
  <c r="H338" i="26"/>
  <c r="G338" i="26"/>
  <c r="K338" i="26" s="1"/>
  <c r="E338" i="26"/>
  <c r="D338" i="26"/>
  <c r="F338" i="26" s="1"/>
  <c r="C338" i="26"/>
  <c r="I338" i="26" s="1"/>
  <c r="B338" i="26"/>
  <c r="A338" i="26"/>
  <c r="F337" i="26"/>
  <c r="E337" i="26"/>
  <c r="H337" i="26" s="1"/>
  <c r="D337" i="26"/>
  <c r="C337" i="26"/>
  <c r="B337" i="26"/>
  <c r="G337" i="26" s="1"/>
  <c r="K337" i="26" s="1"/>
  <c r="A337" i="26"/>
  <c r="H336" i="26"/>
  <c r="F336" i="26"/>
  <c r="E336" i="26"/>
  <c r="D336" i="26"/>
  <c r="C336" i="26"/>
  <c r="B336" i="26"/>
  <c r="G336" i="26" s="1"/>
  <c r="K336" i="26" s="1"/>
  <c r="A336" i="26"/>
  <c r="H335" i="26"/>
  <c r="G335" i="26"/>
  <c r="E335" i="26"/>
  <c r="D335" i="26"/>
  <c r="F335" i="26" s="1"/>
  <c r="I335" i="26" s="1"/>
  <c r="C335" i="26"/>
  <c r="B335" i="26"/>
  <c r="A335" i="26"/>
  <c r="H334" i="26"/>
  <c r="F334" i="26"/>
  <c r="E334" i="26"/>
  <c r="D334" i="26"/>
  <c r="C334" i="26"/>
  <c r="B334" i="26"/>
  <c r="G334" i="26" s="1"/>
  <c r="K334" i="26" s="1"/>
  <c r="A334" i="26"/>
  <c r="G333" i="26"/>
  <c r="K333" i="26" s="1"/>
  <c r="F333" i="26"/>
  <c r="E333" i="26"/>
  <c r="H333" i="26" s="1"/>
  <c r="D333" i="26"/>
  <c r="C333" i="26"/>
  <c r="I333" i="26" s="1"/>
  <c r="B333" i="26"/>
  <c r="A333" i="26"/>
  <c r="E332" i="26"/>
  <c r="H332" i="26" s="1"/>
  <c r="I332" i="26" s="1"/>
  <c r="D332" i="26"/>
  <c r="F332" i="26" s="1"/>
  <c r="C332" i="26"/>
  <c r="B332" i="26"/>
  <c r="G332" i="26" s="1"/>
  <c r="A332" i="26"/>
  <c r="G331" i="26"/>
  <c r="E331" i="26"/>
  <c r="H331" i="26" s="1"/>
  <c r="D331" i="26"/>
  <c r="F331" i="26" s="1"/>
  <c r="C331" i="26"/>
  <c r="B331" i="26"/>
  <c r="A331" i="26"/>
  <c r="H330" i="26"/>
  <c r="G330" i="26"/>
  <c r="E330" i="26"/>
  <c r="D330" i="26"/>
  <c r="F330" i="26" s="1"/>
  <c r="C330" i="26"/>
  <c r="I330" i="26" s="1"/>
  <c r="B330" i="26"/>
  <c r="A330" i="26"/>
  <c r="F329" i="26"/>
  <c r="E329" i="26"/>
  <c r="H329" i="26" s="1"/>
  <c r="D329" i="26"/>
  <c r="C329" i="26"/>
  <c r="I329" i="26" s="1"/>
  <c r="B329" i="26"/>
  <c r="G329" i="26" s="1"/>
  <c r="K329" i="26" s="1"/>
  <c r="A329" i="26"/>
  <c r="H328" i="26"/>
  <c r="F328" i="26"/>
  <c r="E328" i="26"/>
  <c r="D328" i="26"/>
  <c r="C328" i="26"/>
  <c r="B328" i="26"/>
  <c r="G328" i="26" s="1"/>
  <c r="K328" i="26" s="1"/>
  <c r="A328" i="26"/>
  <c r="H327" i="26"/>
  <c r="G327" i="26"/>
  <c r="E327" i="26"/>
  <c r="D327" i="26"/>
  <c r="F327" i="26" s="1"/>
  <c r="C327" i="26"/>
  <c r="I327" i="26" s="1"/>
  <c r="B327" i="26"/>
  <c r="A327" i="26"/>
  <c r="H326" i="26"/>
  <c r="G326" i="26"/>
  <c r="K326" i="26" s="1"/>
  <c r="J326" i="26" s="1"/>
  <c r="F326" i="26"/>
  <c r="E326" i="26"/>
  <c r="D326" i="26"/>
  <c r="C326" i="26"/>
  <c r="I326" i="26" s="1"/>
  <c r="B326" i="26"/>
  <c r="A326" i="26"/>
  <c r="F325" i="26"/>
  <c r="E325" i="26"/>
  <c r="H325" i="26" s="1"/>
  <c r="I325" i="26" s="1"/>
  <c r="D325" i="26"/>
  <c r="C325" i="26"/>
  <c r="B325" i="26"/>
  <c r="G325" i="26" s="1"/>
  <c r="A325" i="26"/>
  <c r="I324" i="26"/>
  <c r="H324" i="26"/>
  <c r="E324" i="26"/>
  <c r="D324" i="26"/>
  <c r="F324" i="26" s="1"/>
  <c r="C324" i="26"/>
  <c r="B324" i="26"/>
  <c r="G324" i="26" s="1"/>
  <c r="K324" i="26" s="1"/>
  <c r="A324" i="26"/>
  <c r="H323" i="26"/>
  <c r="G323" i="26"/>
  <c r="E323" i="26"/>
  <c r="D323" i="26"/>
  <c r="F323" i="26" s="1"/>
  <c r="C323" i="26"/>
  <c r="I323" i="26" s="1"/>
  <c r="B323" i="26"/>
  <c r="A323" i="26"/>
  <c r="H322" i="26"/>
  <c r="F322" i="26"/>
  <c r="E322" i="26"/>
  <c r="D322" i="26"/>
  <c r="C322" i="26"/>
  <c r="B322" i="26"/>
  <c r="G322" i="26" s="1"/>
  <c r="K322" i="26" s="1"/>
  <c r="A322" i="26"/>
  <c r="F321" i="26"/>
  <c r="E321" i="26"/>
  <c r="H321" i="26" s="1"/>
  <c r="I321" i="26" s="1"/>
  <c r="D321" i="26"/>
  <c r="C321" i="26"/>
  <c r="B321" i="26"/>
  <c r="G321" i="26" s="1"/>
  <c r="A321" i="26"/>
  <c r="E320" i="26"/>
  <c r="H320" i="26" s="1"/>
  <c r="I320" i="26" s="1"/>
  <c r="D320" i="26"/>
  <c r="F320" i="26" s="1"/>
  <c r="C320" i="26"/>
  <c r="B320" i="26"/>
  <c r="G320" i="26" s="1"/>
  <c r="A320" i="26"/>
  <c r="H319" i="26"/>
  <c r="G319" i="26"/>
  <c r="K319" i="26" s="1"/>
  <c r="E319" i="26"/>
  <c r="D319" i="26"/>
  <c r="F319" i="26" s="1"/>
  <c r="C319" i="26"/>
  <c r="B319" i="26"/>
  <c r="A319" i="26"/>
  <c r="H318" i="26"/>
  <c r="F318" i="26"/>
  <c r="E318" i="26"/>
  <c r="D318" i="26"/>
  <c r="C318" i="26"/>
  <c r="B318" i="26"/>
  <c r="G318" i="26" s="1"/>
  <c r="K318" i="26" s="1"/>
  <c r="A318" i="26"/>
  <c r="F317" i="26"/>
  <c r="I317" i="26" s="1"/>
  <c r="E317" i="26"/>
  <c r="H317" i="26" s="1"/>
  <c r="D317" i="26"/>
  <c r="C317" i="26"/>
  <c r="B317" i="26"/>
  <c r="G317" i="26" s="1"/>
  <c r="K317" i="26" s="1"/>
  <c r="A317" i="26"/>
  <c r="E316" i="26"/>
  <c r="H316" i="26" s="1"/>
  <c r="I316" i="26" s="1"/>
  <c r="D316" i="26"/>
  <c r="F316" i="26" s="1"/>
  <c r="C316" i="26"/>
  <c r="B316" i="26"/>
  <c r="G316" i="26" s="1"/>
  <c r="A316" i="26"/>
  <c r="H315" i="26"/>
  <c r="G315" i="26"/>
  <c r="K315" i="26" s="1"/>
  <c r="E315" i="26"/>
  <c r="D315" i="26"/>
  <c r="F315" i="26" s="1"/>
  <c r="C315" i="26"/>
  <c r="B315" i="26"/>
  <c r="A315" i="26"/>
  <c r="H314" i="26"/>
  <c r="G314" i="26"/>
  <c r="K314" i="26" s="1"/>
  <c r="F314" i="26"/>
  <c r="E314" i="26"/>
  <c r="D314" i="26"/>
  <c r="C314" i="26"/>
  <c r="I314" i="26" s="1"/>
  <c r="J314" i="26" s="1"/>
  <c r="B314" i="26"/>
  <c r="A314" i="26"/>
  <c r="I313" i="26"/>
  <c r="F313" i="26"/>
  <c r="E313" i="26"/>
  <c r="H313" i="26" s="1"/>
  <c r="D313" i="26"/>
  <c r="C313" i="26"/>
  <c r="B313" i="26"/>
  <c r="G313" i="26" s="1"/>
  <c r="K313" i="26" s="1"/>
  <c r="A313" i="26"/>
  <c r="H312" i="26"/>
  <c r="I312" i="26" s="1"/>
  <c r="E312" i="26"/>
  <c r="D312" i="26"/>
  <c r="F312" i="26" s="1"/>
  <c r="C312" i="26"/>
  <c r="B312" i="26"/>
  <c r="G312" i="26" s="1"/>
  <c r="K312" i="26" s="1"/>
  <c r="A312" i="26"/>
  <c r="H311" i="26"/>
  <c r="G311" i="26"/>
  <c r="K311" i="26" s="1"/>
  <c r="E311" i="26"/>
  <c r="D311" i="26"/>
  <c r="F311" i="26" s="1"/>
  <c r="C311" i="26"/>
  <c r="I311" i="26" s="1"/>
  <c r="B311" i="26"/>
  <c r="A311" i="26"/>
  <c r="H310" i="26"/>
  <c r="G310" i="26"/>
  <c r="K310" i="26" s="1"/>
  <c r="J310" i="26" s="1"/>
  <c r="F310" i="26"/>
  <c r="E310" i="26"/>
  <c r="D310" i="26"/>
  <c r="C310" i="26"/>
  <c r="I310" i="26" s="1"/>
  <c r="B310" i="26"/>
  <c r="A310" i="26"/>
  <c r="F309" i="26"/>
  <c r="E309" i="26"/>
  <c r="H309" i="26" s="1"/>
  <c r="I309" i="26" s="1"/>
  <c r="D309" i="26"/>
  <c r="C309" i="26"/>
  <c r="B309" i="26"/>
  <c r="G309" i="26" s="1"/>
  <c r="A309" i="26"/>
  <c r="I308" i="26"/>
  <c r="H308" i="26"/>
  <c r="E308" i="26"/>
  <c r="D308" i="26"/>
  <c r="F308" i="26" s="1"/>
  <c r="C308" i="26"/>
  <c r="B308" i="26"/>
  <c r="G308" i="26" s="1"/>
  <c r="K308" i="26" s="1"/>
  <c r="A308" i="26"/>
  <c r="H307" i="26"/>
  <c r="G307" i="26"/>
  <c r="E307" i="26"/>
  <c r="D307" i="26"/>
  <c r="F307" i="26" s="1"/>
  <c r="C307" i="26"/>
  <c r="I307" i="26" s="1"/>
  <c r="B307" i="26"/>
  <c r="A307" i="26"/>
  <c r="H306" i="26"/>
  <c r="F306" i="26"/>
  <c r="E306" i="26"/>
  <c r="D306" i="26"/>
  <c r="C306" i="26"/>
  <c r="B306" i="26"/>
  <c r="G306" i="26" s="1"/>
  <c r="K306" i="26" s="1"/>
  <c r="A306" i="26"/>
  <c r="F305" i="26"/>
  <c r="E305" i="26"/>
  <c r="H305" i="26" s="1"/>
  <c r="I305" i="26" s="1"/>
  <c r="D305" i="26"/>
  <c r="C305" i="26"/>
  <c r="B305" i="26"/>
  <c r="G305" i="26" s="1"/>
  <c r="A305" i="26"/>
  <c r="E304" i="26"/>
  <c r="H304" i="26" s="1"/>
  <c r="I304" i="26" s="1"/>
  <c r="D304" i="26"/>
  <c r="F304" i="26" s="1"/>
  <c r="C304" i="26"/>
  <c r="B304" i="26"/>
  <c r="G304" i="26" s="1"/>
  <c r="A304" i="26"/>
  <c r="H303" i="26"/>
  <c r="G303" i="26"/>
  <c r="K303" i="26" s="1"/>
  <c r="E303" i="26"/>
  <c r="D303" i="26"/>
  <c r="F303" i="26" s="1"/>
  <c r="C303" i="26"/>
  <c r="B303" i="26"/>
  <c r="A303" i="26"/>
  <c r="H302" i="26"/>
  <c r="F302" i="26"/>
  <c r="E302" i="26"/>
  <c r="D302" i="26"/>
  <c r="C302" i="26"/>
  <c r="B302" i="26"/>
  <c r="G302" i="26" s="1"/>
  <c r="K302" i="26" s="1"/>
  <c r="A302" i="26"/>
  <c r="F301" i="26"/>
  <c r="I301" i="26" s="1"/>
  <c r="E301" i="26"/>
  <c r="H301" i="26" s="1"/>
  <c r="D301" i="26"/>
  <c r="C301" i="26"/>
  <c r="B301" i="26"/>
  <c r="G301" i="26" s="1"/>
  <c r="K301" i="26" s="1"/>
  <c r="A301" i="26"/>
  <c r="E300" i="26"/>
  <c r="H300" i="26" s="1"/>
  <c r="I300" i="26" s="1"/>
  <c r="D300" i="26"/>
  <c r="F300" i="26" s="1"/>
  <c r="C300" i="26"/>
  <c r="B300" i="26"/>
  <c r="G300" i="26" s="1"/>
  <c r="A300" i="26"/>
  <c r="H299" i="26"/>
  <c r="G299" i="26"/>
  <c r="K299" i="26" s="1"/>
  <c r="E299" i="26"/>
  <c r="D299" i="26"/>
  <c r="F299" i="26" s="1"/>
  <c r="C299" i="26"/>
  <c r="B299" i="26"/>
  <c r="A299" i="26"/>
  <c r="H298" i="26"/>
  <c r="G298" i="26"/>
  <c r="K298" i="26" s="1"/>
  <c r="F298" i="26"/>
  <c r="E298" i="26"/>
  <c r="D298" i="26"/>
  <c r="C298" i="26"/>
  <c r="I298" i="26" s="1"/>
  <c r="B298" i="26"/>
  <c r="A298" i="26"/>
  <c r="I297" i="26"/>
  <c r="F297" i="26"/>
  <c r="E297" i="26"/>
  <c r="H297" i="26" s="1"/>
  <c r="D297" i="26"/>
  <c r="C297" i="26"/>
  <c r="B297" i="26"/>
  <c r="G297" i="26" s="1"/>
  <c r="K297" i="26" s="1"/>
  <c r="A297" i="26"/>
  <c r="H296" i="26"/>
  <c r="I296" i="26" s="1"/>
  <c r="E296" i="26"/>
  <c r="D296" i="26"/>
  <c r="F296" i="26" s="1"/>
  <c r="C296" i="26"/>
  <c r="B296" i="26"/>
  <c r="G296" i="26" s="1"/>
  <c r="K296" i="26" s="1"/>
  <c r="A296" i="26"/>
  <c r="H295" i="26"/>
  <c r="G295" i="26"/>
  <c r="K295" i="26" s="1"/>
  <c r="E295" i="26"/>
  <c r="D295" i="26"/>
  <c r="F295" i="26" s="1"/>
  <c r="C295" i="26"/>
  <c r="I295" i="26" s="1"/>
  <c r="B295" i="26"/>
  <c r="A295" i="26"/>
  <c r="H294" i="26"/>
  <c r="G294" i="26"/>
  <c r="K294" i="26" s="1"/>
  <c r="J294" i="26" s="1"/>
  <c r="F294" i="26"/>
  <c r="E294" i="26"/>
  <c r="D294" i="26"/>
  <c r="C294" i="26"/>
  <c r="I294" i="26" s="1"/>
  <c r="B294" i="26"/>
  <c r="A294" i="26"/>
  <c r="F293" i="26"/>
  <c r="E293" i="26"/>
  <c r="H293" i="26" s="1"/>
  <c r="I293" i="26" s="1"/>
  <c r="D293" i="26"/>
  <c r="C293" i="26"/>
  <c r="B293" i="26"/>
  <c r="G293" i="26" s="1"/>
  <c r="A293" i="26"/>
  <c r="I292" i="26"/>
  <c r="H292" i="26"/>
  <c r="E292" i="26"/>
  <c r="D292" i="26"/>
  <c r="F292" i="26" s="1"/>
  <c r="C292" i="26"/>
  <c r="B292" i="26"/>
  <c r="G292" i="26" s="1"/>
  <c r="K292" i="26" s="1"/>
  <c r="A292" i="26"/>
  <c r="H291" i="26"/>
  <c r="G291" i="26"/>
  <c r="E291" i="26"/>
  <c r="D291" i="26"/>
  <c r="F291" i="26" s="1"/>
  <c r="C291" i="26"/>
  <c r="I291" i="26" s="1"/>
  <c r="B291" i="26"/>
  <c r="A291" i="26"/>
  <c r="H290" i="26"/>
  <c r="F290" i="26"/>
  <c r="E290" i="26"/>
  <c r="D290" i="26"/>
  <c r="C290" i="26"/>
  <c r="B290" i="26"/>
  <c r="G290" i="26" s="1"/>
  <c r="K290" i="26" s="1"/>
  <c r="A290" i="26"/>
  <c r="F289" i="26"/>
  <c r="E289" i="26"/>
  <c r="H289" i="26" s="1"/>
  <c r="I289" i="26" s="1"/>
  <c r="D289" i="26"/>
  <c r="C289" i="26"/>
  <c r="B289" i="26"/>
  <c r="G289" i="26" s="1"/>
  <c r="A289" i="26"/>
  <c r="E288" i="26"/>
  <c r="H288" i="26" s="1"/>
  <c r="I288" i="26" s="1"/>
  <c r="D288" i="26"/>
  <c r="F288" i="26" s="1"/>
  <c r="C288" i="26"/>
  <c r="B288" i="26"/>
  <c r="G288" i="26" s="1"/>
  <c r="A288" i="26"/>
  <c r="H287" i="26"/>
  <c r="G287" i="26"/>
  <c r="K287" i="26" s="1"/>
  <c r="E287" i="26"/>
  <c r="D287" i="26"/>
  <c r="F287" i="26" s="1"/>
  <c r="C287" i="26"/>
  <c r="B287" i="26"/>
  <c r="A287" i="26"/>
  <c r="H286" i="26"/>
  <c r="F286" i="26"/>
  <c r="E286" i="26"/>
  <c r="D286" i="26"/>
  <c r="C286" i="26"/>
  <c r="B286" i="26"/>
  <c r="G286" i="26" s="1"/>
  <c r="K286" i="26" s="1"/>
  <c r="A286" i="26"/>
  <c r="F285" i="26"/>
  <c r="I285" i="26" s="1"/>
  <c r="E285" i="26"/>
  <c r="H285" i="26" s="1"/>
  <c r="D285" i="26"/>
  <c r="C285" i="26"/>
  <c r="B285" i="26"/>
  <c r="G285" i="26" s="1"/>
  <c r="K285" i="26" s="1"/>
  <c r="A285" i="26"/>
  <c r="E284" i="26"/>
  <c r="H284" i="26" s="1"/>
  <c r="I284" i="26" s="1"/>
  <c r="D284" i="26"/>
  <c r="F284" i="26" s="1"/>
  <c r="C284" i="26"/>
  <c r="B284" i="26"/>
  <c r="G284" i="26" s="1"/>
  <c r="A284" i="26"/>
  <c r="H283" i="26"/>
  <c r="G283" i="26"/>
  <c r="K283" i="26" s="1"/>
  <c r="E283" i="26"/>
  <c r="D283" i="26"/>
  <c r="F283" i="26" s="1"/>
  <c r="C283" i="26"/>
  <c r="B283" i="26"/>
  <c r="A283" i="26"/>
  <c r="H282" i="26"/>
  <c r="G282" i="26"/>
  <c r="K282" i="26" s="1"/>
  <c r="F282" i="26"/>
  <c r="E282" i="26"/>
  <c r="D282" i="26"/>
  <c r="C282" i="26"/>
  <c r="I282" i="26" s="1"/>
  <c r="B282" i="26"/>
  <c r="A282" i="26"/>
  <c r="I281" i="26"/>
  <c r="F281" i="26"/>
  <c r="E281" i="26"/>
  <c r="H281" i="26" s="1"/>
  <c r="D281" i="26"/>
  <c r="C281" i="26"/>
  <c r="B281" i="26"/>
  <c r="G281" i="26" s="1"/>
  <c r="K281" i="26" s="1"/>
  <c r="A281" i="26"/>
  <c r="H280" i="26"/>
  <c r="I280" i="26" s="1"/>
  <c r="E280" i="26"/>
  <c r="D280" i="26"/>
  <c r="F280" i="26" s="1"/>
  <c r="C280" i="26"/>
  <c r="B280" i="26"/>
  <c r="G280" i="26" s="1"/>
  <c r="K280" i="26" s="1"/>
  <c r="A280" i="26"/>
  <c r="H279" i="26"/>
  <c r="G279" i="26"/>
  <c r="K279" i="26" s="1"/>
  <c r="E279" i="26"/>
  <c r="D279" i="26"/>
  <c r="F279" i="26" s="1"/>
  <c r="C279" i="26"/>
  <c r="I279" i="26" s="1"/>
  <c r="B279" i="26"/>
  <c r="A279" i="26"/>
  <c r="H278" i="26"/>
  <c r="G278" i="26"/>
  <c r="K278" i="26" s="1"/>
  <c r="J278" i="26" s="1"/>
  <c r="F278" i="26"/>
  <c r="E278" i="26"/>
  <c r="D278" i="26"/>
  <c r="C278" i="26"/>
  <c r="I278" i="26" s="1"/>
  <c r="B278" i="26"/>
  <c r="A278" i="26"/>
  <c r="F277" i="26"/>
  <c r="E277" i="26"/>
  <c r="H277" i="26" s="1"/>
  <c r="I277" i="26" s="1"/>
  <c r="D277" i="26"/>
  <c r="C277" i="26"/>
  <c r="B277" i="26"/>
  <c r="G277" i="26" s="1"/>
  <c r="A277" i="26"/>
  <c r="I276" i="26"/>
  <c r="H276" i="26"/>
  <c r="E276" i="26"/>
  <c r="D276" i="26"/>
  <c r="F276" i="26" s="1"/>
  <c r="C276" i="26"/>
  <c r="B276" i="26"/>
  <c r="G276" i="26" s="1"/>
  <c r="K276" i="26" s="1"/>
  <c r="A276" i="26"/>
  <c r="H275" i="26"/>
  <c r="K275" i="26" s="1"/>
  <c r="G275" i="26"/>
  <c r="E275" i="26"/>
  <c r="D275" i="26"/>
  <c r="F275" i="26" s="1"/>
  <c r="C275" i="26"/>
  <c r="I275" i="26" s="1"/>
  <c r="B275" i="26"/>
  <c r="A275" i="26"/>
  <c r="H274" i="26"/>
  <c r="F274" i="26"/>
  <c r="E274" i="26"/>
  <c r="D274" i="26"/>
  <c r="C274" i="26"/>
  <c r="B274" i="26"/>
  <c r="G274" i="26" s="1"/>
  <c r="K274" i="26" s="1"/>
  <c r="A274" i="26"/>
  <c r="F273" i="26"/>
  <c r="E273" i="26"/>
  <c r="H273" i="26" s="1"/>
  <c r="I273" i="26" s="1"/>
  <c r="D273" i="26"/>
  <c r="C273" i="26"/>
  <c r="B273" i="26"/>
  <c r="G273" i="26" s="1"/>
  <c r="A273" i="26"/>
  <c r="E272" i="26"/>
  <c r="H272" i="26" s="1"/>
  <c r="I272" i="26" s="1"/>
  <c r="D272" i="26"/>
  <c r="F272" i="26" s="1"/>
  <c r="C272" i="26"/>
  <c r="B272" i="26"/>
  <c r="G272" i="26" s="1"/>
  <c r="A272" i="26"/>
  <c r="H271" i="26"/>
  <c r="G271" i="26"/>
  <c r="K271" i="26" s="1"/>
  <c r="E271" i="26"/>
  <c r="D271" i="26"/>
  <c r="F271" i="26" s="1"/>
  <c r="C271" i="26"/>
  <c r="B271" i="26"/>
  <c r="A271" i="26"/>
  <c r="H270" i="26"/>
  <c r="F270" i="26"/>
  <c r="E270" i="26"/>
  <c r="D270" i="26"/>
  <c r="C270" i="26"/>
  <c r="B270" i="26"/>
  <c r="G270" i="26" s="1"/>
  <c r="K270" i="26" s="1"/>
  <c r="A270" i="26"/>
  <c r="F269" i="26"/>
  <c r="I269" i="26" s="1"/>
  <c r="E269" i="26"/>
  <c r="H269" i="26" s="1"/>
  <c r="D269" i="26"/>
  <c r="C269" i="26"/>
  <c r="B269" i="26"/>
  <c r="G269" i="26" s="1"/>
  <c r="K269" i="26" s="1"/>
  <c r="A269" i="26"/>
  <c r="E268" i="26"/>
  <c r="H268" i="26" s="1"/>
  <c r="I268" i="26" s="1"/>
  <c r="D268" i="26"/>
  <c r="F268" i="26" s="1"/>
  <c r="C268" i="26"/>
  <c r="B268" i="26"/>
  <c r="G268" i="26" s="1"/>
  <c r="A268" i="26"/>
  <c r="H267" i="26"/>
  <c r="G267" i="26"/>
  <c r="K267" i="26" s="1"/>
  <c r="E267" i="26"/>
  <c r="D267" i="26"/>
  <c r="F267" i="26" s="1"/>
  <c r="C267" i="26"/>
  <c r="B267" i="26"/>
  <c r="A267" i="26"/>
  <c r="H266" i="26"/>
  <c r="G266" i="26"/>
  <c r="K266" i="26" s="1"/>
  <c r="F266" i="26"/>
  <c r="E266" i="26"/>
  <c r="D266" i="26"/>
  <c r="C266" i="26"/>
  <c r="I266" i="26" s="1"/>
  <c r="J266" i="26" s="1"/>
  <c r="B266" i="26"/>
  <c r="A266" i="26"/>
  <c r="I265" i="26"/>
  <c r="F265" i="26"/>
  <c r="E265" i="26"/>
  <c r="H265" i="26" s="1"/>
  <c r="D265" i="26"/>
  <c r="C265" i="26"/>
  <c r="B265" i="26"/>
  <c r="G265" i="26" s="1"/>
  <c r="K265" i="26" s="1"/>
  <c r="A265" i="26"/>
  <c r="H264" i="26"/>
  <c r="I264" i="26" s="1"/>
  <c r="E264" i="26"/>
  <c r="D264" i="26"/>
  <c r="F264" i="26" s="1"/>
  <c r="C264" i="26"/>
  <c r="B264" i="26"/>
  <c r="G264" i="26" s="1"/>
  <c r="K264" i="26" s="1"/>
  <c r="A264" i="26"/>
  <c r="H263" i="26"/>
  <c r="G263" i="26"/>
  <c r="K263" i="26" s="1"/>
  <c r="E263" i="26"/>
  <c r="D263" i="26"/>
  <c r="F263" i="26" s="1"/>
  <c r="C263" i="26"/>
  <c r="I263" i="26" s="1"/>
  <c r="B263" i="26"/>
  <c r="A263" i="26"/>
  <c r="H262" i="26"/>
  <c r="G262" i="26"/>
  <c r="K262" i="26" s="1"/>
  <c r="J262" i="26" s="1"/>
  <c r="F262" i="26"/>
  <c r="E262" i="26"/>
  <c r="D262" i="26"/>
  <c r="C262" i="26"/>
  <c r="I262" i="26" s="1"/>
  <c r="B262" i="26"/>
  <c r="A262" i="26"/>
  <c r="F261" i="26"/>
  <c r="E261" i="26"/>
  <c r="H261" i="26" s="1"/>
  <c r="I261" i="26" s="1"/>
  <c r="D261" i="26"/>
  <c r="C261" i="26"/>
  <c r="B261" i="26"/>
  <c r="G261" i="26" s="1"/>
  <c r="A261" i="26"/>
  <c r="I260" i="26"/>
  <c r="J260" i="26" s="1"/>
  <c r="H260" i="26"/>
  <c r="E260" i="26"/>
  <c r="D260" i="26"/>
  <c r="F260" i="26" s="1"/>
  <c r="C260" i="26"/>
  <c r="B260" i="26"/>
  <c r="G260" i="26" s="1"/>
  <c r="K260" i="26" s="1"/>
  <c r="A260" i="26"/>
  <c r="H259" i="26"/>
  <c r="G259" i="26"/>
  <c r="E259" i="26"/>
  <c r="D259" i="26"/>
  <c r="F259" i="26" s="1"/>
  <c r="C259" i="26"/>
  <c r="I259" i="26" s="1"/>
  <c r="B259" i="26"/>
  <c r="A259" i="26"/>
  <c r="H258" i="26"/>
  <c r="F258" i="26"/>
  <c r="E258" i="26"/>
  <c r="D258" i="26"/>
  <c r="C258" i="26"/>
  <c r="B258" i="26"/>
  <c r="G258" i="26" s="1"/>
  <c r="K258" i="26" s="1"/>
  <c r="A258" i="26"/>
  <c r="F257" i="26"/>
  <c r="E257" i="26"/>
  <c r="H257" i="26" s="1"/>
  <c r="I257" i="26" s="1"/>
  <c r="D257" i="26"/>
  <c r="C257" i="26"/>
  <c r="B257" i="26"/>
  <c r="G257" i="26" s="1"/>
  <c r="A257" i="26"/>
  <c r="E256" i="26"/>
  <c r="H256" i="26" s="1"/>
  <c r="I256" i="26" s="1"/>
  <c r="D256" i="26"/>
  <c r="F256" i="26" s="1"/>
  <c r="C256" i="26"/>
  <c r="B256" i="26"/>
  <c r="G256" i="26" s="1"/>
  <c r="A256" i="26"/>
  <c r="K255" i="26"/>
  <c r="H255" i="26"/>
  <c r="G255" i="26"/>
  <c r="E255" i="26"/>
  <c r="D255" i="26"/>
  <c r="F255" i="26" s="1"/>
  <c r="C255" i="26"/>
  <c r="B255" i="26"/>
  <c r="A255" i="26"/>
  <c r="H254" i="26"/>
  <c r="F254" i="26"/>
  <c r="E254" i="26"/>
  <c r="D254" i="26"/>
  <c r="C254" i="26"/>
  <c r="B254" i="26"/>
  <c r="G254" i="26" s="1"/>
  <c r="K254" i="26" s="1"/>
  <c r="A254" i="26"/>
  <c r="F253" i="26"/>
  <c r="I253" i="26" s="1"/>
  <c r="E253" i="26"/>
  <c r="H253" i="26" s="1"/>
  <c r="D253" i="26"/>
  <c r="C253" i="26"/>
  <c r="B253" i="26"/>
  <c r="G253" i="26" s="1"/>
  <c r="K253" i="26" s="1"/>
  <c r="A253" i="26"/>
  <c r="E252" i="26"/>
  <c r="H252" i="26" s="1"/>
  <c r="I252" i="26" s="1"/>
  <c r="D252" i="26"/>
  <c r="F252" i="26" s="1"/>
  <c r="C252" i="26"/>
  <c r="B252" i="26"/>
  <c r="G252" i="26" s="1"/>
  <c r="A252" i="26"/>
  <c r="H251" i="26"/>
  <c r="G251" i="26"/>
  <c r="K251" i="26" s="1"/>
  <c r="E251" i="26"/>
  <c r="D251" i="26"/>
  <c r="F251" i="26" s="1"/>
  <c r="C251" i="26"/>
  <c r="B251" i="26"/>
  <c r="A251" i="26"/>
  <c r="H250" i="26"/>
  <c r="G250" i="26"/>
  <c r="K250" i="26" s="1"/>
  <c r="F250" i="26"/>
  <c r="E250" i="26"/>
  <c r="D250" i="26"/>
  <c r="C250" i="26"/>
  <c r="I250" i="26" s="1"/>
  <c r="J250" i="26" s="1"/>
  <c r="B250" i="26"/>
  <c r="A250" i="26"/>
  <c r="I249" i="26"/>
  <c r="F249" i="26"/>
  <c r="E249" i="26"/>
  <c r="H249" i="26" s="1"/>
  <c r="D249" i="26"/>
  <c r="C249" i="26"/>
  <c r="B249" i="26"/>
  <c r="G249" i="26" s="1"/>
  <c r="K249" i="26" s="1"/>
  <c r="A249" i="26"/>
  <c r="H248" i="26"/>
  <c r="I248" i="26" s="1"/>
  <c r="E248" i="26"/>
  <c r="D248" i="26"/>
  <c r="F248" i="26" s="1"/>
  <c r="C248" i="26"/>
  <c r="B248" i="26"/>
  <c r="G248" i="26" s="1"/>
  <c r="K248" i="26" s="1"/>
  <c r="A248" i="26"/>
  <c r="H247" i="26"/>
  <c r="G247" i="26"/>
  <c r="K247" i="26" s="1"/>
  <c r="E247" i="26"/>
  <c r="D247" i="26"/>
  <c r="F247" i="26" s="1"/>
  <c r="C247" i="26"/>
  <c r="I247" i="26" s="1"/>
  <c r="B247" i="26"/>
  <c r="A247" i="26"/>
  <c r="H246" i="26"/>
  <c r="G246" i="26"/>
  <c r="K246" i="26" s="1"/>
  <c r="E246" i="26"/>
  <c r="D246" i="26"/>
  <c r="F246" i="26" s="1"/>
  <c r="C246" i="26"/>
  <c r="B246" i="26"/>
  <c r="A246" i="26"/>
  <c r="F245" i="26"/>
  <c r="E245" i="26"/>
  <c r="H245" i="26" s="1"/>
  <c r="D245" i="26"/>
  <c r="C245" i="26"/>
  <c r="I245" i="26" s="1"/>
  <c r="B245" i="26"/>
  <c r="G245" i="26" s="1"/>
  <c r="K245" i="26" s="1"/>
  <c r="A245" i="26"/>
  <c r="H244" i="26"/>
  <c r="E244" i="26"/>
  <c r="D244" i="26"/>
  <c r="F244" i="26" s="1"/>
  <c r="C244" i="26"/>
  <c r="B244" i="26"/>
  <c r="G244" i="26" s="1"/>
  <c r="A244" i="26"/>
  <c r="G243" i="26"/>
  <c r="E243" i="26"/>
  <c r="H243" i="26" s="1"/>
  <c r="D243" i="26"/>
  <c r="F243" i="26" s="1"/>
  <c r="C243" i="26"/>
  <c r="B243" i="26"/>
  <c r="A243" i="26"/>
  <c r="H242" i="26"/>
  <c r="F242" i="26"/>
  <c r="E242" i="26"/>
  <c r="D242" i="26"/>
  <c r="C242" i="26"/>
  <c r="B242" i="26"/>
  <c r="G242" i="26" s="1"/>
  <c r="K242" i="26" s="1"/>
  <c r="A242" i="26"/>
  <c r="I241" i="26"/>
  <c r="G241" i="26"/>
  <c r="K241" i="26" s="1"/>
  <c r="F241" i="26"/>
  <c r="E241" i="26"/>
  <c r="H241" i="26" s="1"/>
  <c r="D241" i="26"/>
  <c r="C241" i="26"/>
  <c r="B241" i="26"/>
  <c r="A241" i="26"/>
  <c r="F240" i="26"/>
  <c r="E240" i="26"/>
  <c r="H240" i="26" s="1"/>
  <c r="I240" i="26" s="1"/>
  <c r="D240" i="26"/>
  <c r="C240" i="26"/>
  <c r="B240" i="26"/>
  <c r="G240" i="26" s="1"/>
  <c r="A240" i="26"/>
  <c r="H239" i="26"/>
  <c r="G239" i="26"/>
  <c r="K239" i="26" s="1"/>
  <c r="E239" i="26"/>
  <c r="D239" i="26"/>
  <c r="F239" i="26" s="1"/>
  <c r="C239" i="26"/>
  <c r="I239" i="26" s="1"/>
  <c r="B239" i="26"/>
  <c r="A239" i="26"/>
  <c r="H238" i="26"/>
  <c r="G238" i="26"/>
  <c r="K238" i="26" s="1"/>
  <c r="E238" i="26"/>
  <c r="D238" i="26"/>
  <c r="F238" i="26" s="1"/>
  <c r="C238" i="26"/>
  <c r="B238" i="26"/>
  <c r="A238" i="26"/>
  <c r="F237" i="26"/>
  <c r="E237" i="26"/>
  <c r="H237" i="26" s="1"/>
  <c r="D237" i="26"/>
  <c r="C237" i="26"/>
  <c r="I237" i="26" s="1"/>
  <c r="B237" i="26"/>
  <c r="G237" i="26" s="1"/>
  <c r="K237" i="26" s="1"/>
  <c r="A237" i="26"/>
  <c r="H236" i="26"/>
  <c r="E236" i="26"/>
  <c r="D236" i="26"/>
  <c r="F236" i="26" s="1"/>
  <c r="C236" i="26"/>
  <c r="B236" i="26"/>
  <c r="G236" i="26" s="1"/>
  <c r="A236" i="26"/>
  <c r="G235" i="26"/>
  <c r="E235" i="26"/>
  <c r="H235" i="26" s="1"/>
  <c r="D235" i="26"/>
  <c r="F235" i="26" s="1"/>
  <c r="C235" i="26"/>
  <c r="B235" i="26"/>
  <c r="A235" i="26"/>
  <c r="H234" i="26"/>
  <c r="F234" i="26"/>
  <c r="E234" i="26"/>
  <c r="D234" i="26"/>
  <c r="C234" i="26"/>
  <c r="B234" i="26"/>
  <c r="G234" i="26" s="1"/>
  <c r="K234" i="26" s="1"/>
  <c r="A234" i="26"/>
  <c r="I233" i="26"/>
  <c r="G233" i="26"/>
  <c r="K233" i="26" s="1"/>
  <c r="F233" i="26"/>
  <c r="E233" i="26"/>
  <c r="H233" i="26" s="1"/>
  <c r="D233" i="26"/>
  <c r="C233" i="26"/>
  <c r="B233" i="26"/>
  <c r="A233" i="26"/>
  <c r="F232" i="26"/>
  <c r="E232" i="26"/>
  <c r="H232" i="26" s="1"/>
  <c r="I232" i="26" s="1"/>
  <c r="D232" i="26"/>
  <c r="C232" i="26"/>
  <c r="B232" i="26"/>
  <c r="G232" i="26" s="1"/>
  <c r="A232" i="26"/>
  <c r="H231" i="26"/>
  <c r="G231" i="26"/>
  <c r="K231" i="26" s="1"/>
  <c r="E231" i="26"/>
  <c r="D231" i="26"/>
  <c r="F231" i="26" s="1"/>
  <c r="C231" i="26"/>
  <c r="I231" i="26" s="1"/>
  <c r="B231" i="26"/>
  <c r="A231" i="26"/>
  <c r="H230" i="26"/>
  <c r="G230" i="26"/>
  <c r="K230" i="26" s="1"/>
  <c r="E230" i="26"/>
  <c r="D230" i="26"/>
  <c r="F230" i="26" s="1"/>
  <c r="C230" i="26"/>
  <c r="B230" i="26"/>
  <c r="A230" i="26"/>
  <c r="F229" i="26"/>
  <c r="E229" i="26"/>
  <c r="H229" i="26" s="1"/>
  <c r="D229" i="26"/>
  <c r="C229" i="26"/>
  <c r="I229" i="26" s="1"/>
  <c r="B229" i="26"/>
  <c r="G229" i="26" s="1"/>
  <c r="K229" i="26" s="1"/>
  <c r="A229" i="26"/>
  <c r="H228" i="26"/>
  <c r="I228" i="26" s="1"/>
  <c r="E228" i="26"/>
  <c r="D228" i="26"/>
  <c r="F228" i="26" s="1"/>
  <c r="C228" i="26"/>
  <c r="B228" i="26"/>
  <c r="G228" i="26" s="1"/>
  <c r="A228" i="26"/>
  <c r="G227" i="26"/>
  <c r="E227" i="26"/>
  <c r="H227" i="26" s="1"/>
  <c r="D227" i="26"/>
  <c r="F227" i="26" s="1"/>
  <c r="C227" i="26"/>
  <c r="B227" i="26"/>
  <c r="A227" i="26"/>
  <c r="H226" i="26"/>
  <c r="F226" i="26"/>
  <c r="E226" i="26"/>
  <c r="D226" i="26"/>
  <c r="C226" i="26"/>
  <c r="B226" i="26"/>
  <c r="G226" i="26" s="1"/>
  <c r="K226" i="26" s="1"/>
  <c r="A226" i="26"/>
  <c r="I225" i="26"/>
  <c r="G225" i="26"/>
  <c r="K225" i="26" s="1"/>
  <c r="F225" i="26"/>
  <c r="E225" i="26"/>
  <c r="H225" i="26" s="1"/>
  <c r="D225" i="26"/>
  <c r="C225" i="26"/>
  <c r="B225" i="26"/>
  <c r="A225" i="26"/>
  <c r="F224" i="26"/>
  <c r="E224" i="26"/>
  <c r="H224" i="26" s="1"/>
  <c r="I224" i="26" s="1"/>
  <c r="D224" i="26"/>
  <c r="C224" i="26"/>
  <c r="B224" i="26"/>
  <c r="G224" i="26" s="1"/>
  <c r="A224" i="26"/>
  <c r="H223" i="26"/>
  <c r="G223" i="26"/>
  <c r="K223" i="26" s="1"/>
  <c r="E223" i="26"/>
  <c r="D223" i="26"/>
  <c r="F223" i="26" s="1"/>
  <c r="C223" i="26"/>
  <c r="I223" i="26" s="1"/>
  <c r="B223" i="26"/>
  <c r="A223" i="26"/>
  <c r="H222" i="26"/>
  <c r="G222" i="26"/>
  <c r="K222" i="26" s="1"/>
  <c r="E222" i="26"/>
  <c r="D222" i="26"/>
  <c r="F222" i="26" s="1"/>
  <c r="C222" i="26"/>
  <c r="B222" i="26"/>
  <c r="A222" i="26"/>
  <c r="F221" i="26"/>
  <c r="E221" i="26"/>
  <c r="H221" i="26" s="1"/>
  <c r="D221" i="26"/>
  <c r="C221" i="26"/>
  <c r="I221" i="26" s="1"/>
  <c r="B221" i="26"/>
  <c r="G221" i="26" s="1"/>
  <c r="K221" i="26" s="1"/>
  <c r="A221" i="26"/>
  <c r="H220" i="26"/>
  <c r="I220" i="26" s="1"/>
  <c r="E220" i="26"/>
  <c r="D220" i="26"/>
  <c r="F220" i="26" s="1"/>
  <c r="C220" i="26"/>
  <c r="B220" i="26"/>
  <c r="G220" i="26" s="1"/>
  <c r="A220" i="26"/>
  <c r="G219" i="26"/>
  <c r="E219" i="26"/>
  <c r="H219" i="26" s="1"/>
  <c r="D219" i="26"/>
  <c r="F219" i="26" s="1"/>
  <c r="C219" i="26"/>
  <c r="B219" i="26"/>
  <c r="A219" i="26"/>
  <c r="H218" i="26"/>
  <c r="F218" i="26"/>
  <c r="E218" i="26"/>
  <c r="D218" i="26"/>
  <c r="C218" i="26"/>
  <c r="B218" i="26"/>
  <c r="G218" i="26" s="1"/>
  <c r="K218" i="26" s="1"/>
  <c r="A218" i="26"/>
  <c r="I217" i="26"/>
  <c r="G217" i="26"/>
  <c r="K217" i="26" s="1"/>
  <c r="F217" i="26"/>
  <c r="E217" i="26"/>
  <c r="H217" i="26" s="1"/>
  <c r="D217" i="26"/>
  <c r="C217" i="26"/>
  <c r="B217" i="26"/>
  <c r="A217" i="26"/>
  <c r="F216" i="26"/>
  <c r="E216" i="26"/>
  <c r="H216" i="26" s="1"/>
  <c r="I216" i="26" s="1"/>
  <c r="D216" i="26"/>
  <c r="C216" i="26"/>
  <c r="B216" i="26"/>
  <c r="G216" i="26" s="1"/>
  <c r="A216" i="26"/>
  <c r="H215" i="26"/>
  <c r="G215" i="26"/>
  <c r="K215" i="26" s="1"/>
  <c r="E215" i="26"/>
  <c r="D215" i="26"/>
  <c r="F215" i="26" s="1"/>
  <c r="C215" i="26"/>
  <c r="I215" i="26" s="1"/>
  <c r="B215" i="26"/>
  <c r="A215" i="26"/>
  <c r="H214" i="26"/>
  <c r="G214" i="26"/>
  <c r="K214" i="26" s="1"/>
  <c r="E214" i="26"/>
  <c r="D214" i="26"/>
  <c r="F214" i="26" s="1"/>
  <c r="C214" i="26"/>
  <c r="B214" i="26"/>
  <c r="A214" i="26"/>
  <c r="F213" i="26"/>
  <c r="E213" i="26"/>
  <c r="H213" i="26" s="1"/>
  <c r="D213" i="26"/>
  <c r="C213" i="26"/>
  <c r="I213" i="26" s="1"/>
  <c r="B213" i="26"/>
  <c r="G213" i="26" s="1"/>
  <c r="K213" i="26" s="1"/>
  <c r="A213" i="26"/>
  <c r="H212" i="26"/>
  <c r="E212" i="26"/>
  <c r="D212" i="26"/>
  <c r="F212" i="26" s="1"/>
  <c r="C212" i="26"/>
  <c r="B212" i="26"/>
  <c r="G212" i="26" s="1"/>
  <c r="A212" i="26"/>
  <c r="G211" i="26"/>
  <c r="E211" i="26"/>
  <c r="H211" i="26" s="1"/>
  <c r="D211" i="26"/>
  <c r="F211" i="26" s="1"/>
  <c r="C211" i="26"/>
  <c r="B211" i="26"/>
  <c r="A211" i="26"/>
  <c r="H210" i="26"/>
  <c r="F210" i="26"/>
  <c r="E210" i="26"/>
  <c r="D210" i="26"/>
  <c r="C210" i="26"/>
  <c r="B210" i="26"/>
  <c r="G210" i="26" s="1"/>
  <c r="K210" i="26" s="1"/>
  <c r="A210" i="26"/>
  <c r="I209" i="26"/>
  <c r="G209" i="26"/>
  <c r="K209" i="26" s="1"/>
  <c r="F209" i="26"/>
  <c r="E209" i="26"/>
  <c r="H209" i="26" s="1"/>
  <c r="D209" i="26"/>
  <c r="C209" i="26"/>
  <c r="B209" i="26"/>
  <c r="A209" i="26"/>
  <c r="F208" i="26"/>
  <c r="E208" i="26"/>
  <c r="H208" i="26" s="1"/>
  <c r="I208" i="26" s="1"/>
  <c r="D208" i="26"/>
  <c r="C208" i="26"/>
  <c r="B208" i="26"/>
  <c r="G208" i="26" s="1"/>
  <c r="A208" i="26"/>
  <c r="H207" i="26"/>
  <c r="G207" i="26"/>
  <c r="K207" i="26" s="1"/>
  <c r="E207" i="26"/>
  <c r="D207" i="26"/>
  <c r="F207" i="26" s="1"/>
  <c r="C207" i="26"/>
  <c r="I207" i="26" s="1"/>
  <c r="B207" i="26"/>
  <c r="A207" i="26"/>
  <c r="H206" i="26"/>
  <c r="G206" i="26"/>
  <c r="K206" i="26" s="1"/>
  <c r="E206" i="26"/>
  <c r="D206" i="26"/>
  <c r="F206" i="26" s="1"/>
  <c r="C206" i="26"/>
  <c r="B206" i="26"/>
  <c r="A206" i="26"/>
  <c r="F205" i="26"/>
  <c r="E205" i="26"/>
  <c r="H205" i="26" s="1"/>
  <c r="D205" i="26"/>
  <c r="C205" i="26"/>
  <c r="I205" i="26" s="1"/>
  <c r="B205" i="26"/>
  <c r="G205" i="26" s="1"/>
  <c r="K205" i="26" s="1"/>
  <c r="A205" i="26"/>
  <c r="H204" i="26"/>
  <c r="E204" i="26"/>
  <c r="D204" i="26"/>
  <c r="F204" i="26" s="1"/>
  <c r="C204" i="26"/>
  <c r="B204" i="26"/>
  <c r="G204" i="26" s="1"/>
  <c r="A204" i="26"/>
  <c r="G203" i="26"/>
  <c r="E203" i="26"/>
  <c r="H203" i="26" s="1"/>
  <c r="D203" i="26"/>
  <c r="F203" i="26" s="1"/>
  <c r="C203" i="26"/>
  <c r="B203" i="26"/>
  <c r="A203" i="26"/>
  <c r="H202" i="26"/>
  <c r="F202" i="26"/>
  <c r="E202" i="26"/>
  <c r="D202" i="26"/>
  <c r="C202" i="26"/>
  <c r="B202" i="26"/>
  <c r="G202" i="26" s="1"/>
  <c r="K202" i="26" s="1"/>
  <c r="A202" i="26"/>
  <c r="I201" i="26"/>
  <c r="G201" i="26"/>
  <c r="K201" i="26" s="1"/>
  <c r="F201" i="26"/>
  <c r="E201" i="26"/>
  <c r="H201" i="26" s="1"/>
  <c r="D201" i="26"/>
  <c r="C201" i="26"/>
  <c r="B201" i="26"/>
  <c r="A201" i="26"/>
  <c r="F200" i="26"/>
  <c r="E200" i="26"/>
  <c r="H200" i="26" s="1"/>
  <c r="I200" i="26" s="1"/>
  <c r="D200" i="26"/>
  <c r="C200" i="26"/>
  <c r="B200" i="26"/>
  <c r="G200" i="26" s="1"/>
  <c r="A200" i="26"/>
  <c r="H199" i="26"/>
  <c r="G199" i="26"/>
  <c r="K199" i="26" s="1"/>
  <c r="E199" i="26"/>
  <c r="D199" i="26"/>
  <c r="F199" i="26" s="1"/>
  <c r="C199" i="26"/>
  <c r="I199" i="26" s="1"/>
  <c r="B199" i="26"/>
  <c r="A199" i="26"/>
  <c r="H198" i="26"/>
  <c r="G198" i="26"/>
  <c r="K198" i="26" s="1"/>
  <c r="E198" i="26"/>
  <c r="D198" i="26"/>
  <c r="F198" i="26" s="1"/>
  <c r="C198" i="26"/>
  <c r="B198" i="26"/>
  <c r="A198" i="26"/>
  <c r="F197" i="26"/>
  <c r="E197" i="26"/>
  <c r="H197" i="26" s="1"/>
  <c r="D197" i="26"/>
  <c r="C197" i="26"/>
  <c r="I197" i="26" s="1"/>
  <c r="B197" i="26"/>
  <c r="G197" i="26" s="1"/>
  <c r="K197" i="26" s="1"/>
  <c r="A197" i="26"/>
  <c r="H196" i="26"/>
  <c r="I196" i="26" s="1"/>
  <c r="E196" i="26"/>
  <c r="D196" i="26"/>
  <c r="F196" i="26" s="1"/>
  <c r="C196" i="26"/>
  <c r="B196" i="26"/>
  <c r="G196" i="26" s="1"/>
  <c r="A196" i="26"/>
  <c r="G195" i="26"/>
  <c r="E195" i="26"/>
  <c r="H195" i="26" s="1"/>
  <c r="D195" i="26"/>
  <c r="F195" i="26" s="1"/>
  <c r="C195" i="26"/>
  <c r="B195" i="26"/>
  <c r="A195" i="26"/>
  <c r="H194" i="26"/>
  <c r="F194" i="26"/>
  <c r="E194" i="26"/>
  <c r="D194" i="26"/>
  <c r="C194" i="26"/>
  <c r="B194" i="26"/>
  <c r="G194" i="26" s="1"/>
  <c r="K194" i="26" s="1"/>
  <c r="A194" i="26"/>
  <c r="I193" i="26"/>
  <c r="G193" i="26"/>
  <c r="K193" i="26" s="1"/>
  <c r="F193" i="26"/>
  <c r="E193" i="26"/>
  <c r="H193" i="26" s="1"/>
  <c r="D193" i="26"/>
  <c r="C193" i="26"/>
  <c r="B193" i="26"/>
  <c r="A193" i="26"/>
  <c r="F192" i="26"/>
  <c r="E192" i="26"/>
  <c r="H192" i="26" s="1"/>
  <c r="I192" i="26" s="1"/>
  <c r="D192" i="26"/>
  <c r="C192" i="26"/>
  <c r="B192" i="26"/>
  <c r="G192" i="26" s="1"/>
  <c r="A192" i="26"/>
  <c r="H191" i="26"/>
  <c r="G191" i="26"/>
  <c r="K191" i="26" s="1"/>
  <c r="E191" i="26"/>
  <c r="D191" i="26"/>
  <c r="F191" i="26" s="1"/>
  <c r="C191" i="26"/>
  <c r="I191" i="26" s="1"/>
  <c r="B191" i="26"/>
  <c r="A191" i="26"/>
  <c r="H190" i="26"/>
  <c r="G190" i="26"/>
  <c r="K190" i="26" s="1"/>
  <c r="E190" i="26"/>
  <c r="D190" i="26"/>
  <c r="F190" i="26" s="1"/>
  <c r="C190" i="26"/>
  <c r="B190" i="26"/>
  <c r="A190" i="26"/>
  <c r="F189" i="26"/>
  <c r="E189" i="26"/>
  <c r="H189" i="26" s="1"/>
  <c r="D189" i="26"/>
  <c r="C189" i="26"/>
  <c r="I189" i="26" s="1"/>
  <c r="B189" i="26"/>
  <c r="G189" i="26" s="1"/>
  <c r="K189" i="26" s="1"/>
  <c r="A189" i="26"/>
  <c r="H188" i="26"/>
  <c r="I188" i="26" s="1"/>
  <c r="E188" i="26"/>
  <c r="D188" i="26"/>
  <c r="F188" i="26" s="1"/>
  <c r="C188" i="26"/>
  <c r="B188" i="26"/>
  <c r="G188" i="26" s="1"/>
  <c r="A188" i="26"/>
  <c r="G187" i="26"/>
  <c r="E187" i="26"/>
  <c r="H187" i="26" s="1"/>
  <c r="D187" i="26"/>
  <c r="F187" i="26" s="1"/>
  <c r="C187" i="26"/>
  <c r="B187" i="26"/>
  <c r="A187" i="26"/>
  <c r="H186" i="26"/>
  <c r="F186" i="26"/>
  <c r="E186" i="26"/>
  <c r="D186" i="26"/>
  <c r="C186" i="26"/>
  <c r="B186" i="26"/>
  <c r="G186" i="26" s="1"/>
  <c r="K186" i="26" s="1"/>
  <c r="A186" i="26"/>
  <c r="I185" i="26"/>
  <c r="G185" i="26"/>
  <c r="K185" i="26" s="1"/>
  <c r="F185" i="26"/>
  <c r="E185" i="26"/>
  <c r="H185" i="26" s="1"/>
  <c r="D185" i="26"/>
  <c r="C185" i="26"/>
  <c r="B185" i="26"/>
  <c r="A185" i="26"/>
  <c r="F184" i="26"/>
  <c r="E184" i="26"/>
  <c r="H184" i="26" s="1"/>
  <c r="I184" i="26" s="1"/>
  <c r="D184" i="26"/>
  <c r="C184" i="26"/>
  <c r="B184" i="26"/>
  <c r="G184" i="26" s="1"/>
  <c r="A184" i="26"/>
  <c r="H183" i="26"/>
  <c r="G183" i="26"/>
  <c r="K183" i="26" s="1"/>
  <c r="E183" i="26"/>
  <c r="D183" i="26"/>
  <c r="F183" i="26" s="1"/>
  <c r="C183" i="26"/>
  <c r="I183" i="26" s="1"/>
  <c r="B183" i="26"/>
  <c r="A183" i="26"/>
  <c r="H182" i="26"/>
  <c r="G182" i="26"/>
  <c r="K182" i="26" s="1"/>
  <c r="E182" i="26"/>
  <c r="D182" i="26"/>
  <c r="F182" i="26" s="1"/>
  <c r="C182" i="26"/>
  <c r="B182" i="26"/>
  <c r="A182" i="26"/>
  <c r="F181" i="26"/>
  <c r="E181" i="26"/>
  <c r="H181" i="26" s="1"/>
  <c r="D181" i="26"/>
  <c r="C181" i="26"/>
  <c r="I181" i="26" s="1"/>
  <c r="B181" i="26"/>
  <c r="G181" i="26" s="1"/>
  <c r="K181" i="26" s="1"/>
  <c r="A181" i="26"/>
  <c r="H180" i="26"/>
  <c r="E180" i="26"/>
  <c r="D180" i="26"/>
  <c r="F180" i="26" s="1"/>
  <c r="C180" i="26"/>
  <c r="B180" i="26"/>
  <c r="G180" i="26" s="1"/>
  <c r="A180" i="26"/>
  <c r="G179" i="26"/>
  <c r="E179" i="26"/>
  <c r="H179" i="26" s="1"/>
  <c r="D179" i="26"/>
  <c r="F179" i="26" s="1"/>
  <c r="C179" i="26"/>
  <c r="B179" i="26"/>
  <c r="A179" i="26"/>
  <c r="H178" i="26"/>
  <c r="F178" i="26"/>
  <c r="E178" i="26"/>
  <c r="D178" i="26"/>
  <c r="C178" i="26"/>
  <c r="B178" i="26"/>
  <c r="G178" i="26" s="1"/>
  <c r="K178" i="26" s="1"/>
  <c r="A178" i="26"/>
  <c r="I177" i="26"/>
  <c r="G177" i="26"/>
  <c r="K177" i="26" s="1"/>
  <c r="F177" i="26"/>
  <c r="E177" i="26"/>
  <c r="H177" i="26" s="1"/>
  <c r="D177" i="26"/>
  <c r="C177" i="26"/>
  <c r="B177" i="26"/>
  <c r="A177" i="26"/>
  <c r="F176" i="26"/>
  <c r="E176" i="26"/>
  <c r="H176" i="26" s="1"/>
  <c r="I176" i="26" s="1"/>
  <c r="D176" i="26"/>
  <c r="C176" i="26"/>
  <c r="B176" i="26"/>
  <c r="G176" i="26" s="1"/>
  <c r="A176" i="26"/>
  <c r="H175" i="26"/>
  <c r="G175" i="26"/>
  <c r="K175" i="26" s="1"/>
  <c r="E175" i="26"/>
  <c r="D175" i="26"/>
  <c r="F175" i="26" s="1"/>
  <c r="C175" i="26"/>
  <c r="I175" i="26" s="1"/>
  <c r="B175" i="26"/>
  <c r="A175" i="26"/>
  <c r="H174" i="26"/>
  <c r="G174" i="26"/>
  <c r="K174" i="26" s="1"/>
  <c r="E174" i="26"/>
  <c r="D174" i="26"/>
  <c r="F174" i="26" s="1"/>
  <c r="C174" i="26"/>
  <c r="B174" i="26"/>
  <c r="A174" i="26"/>
  <c r="F173" i="26"/>
  <c r="E173" i="26"/>
  <c r="H173" i="26" s="1"/>
  <c r="D173" i="26"/>
  <c r="C173" i="26"/>
  <c r="I173" i="26" s="1"/>
  <c r="B173" i="26"/>
  <c r="G173" i="26" s="1"/>
  <c r="K173" i="26" s="1"/>
  <c r="A173" i="26"/>
  <c r="H172" i="26"/>
  <c r="E172" i="26"/>
  <c r="D172" i="26"/>
  <c r="F172" i="26" s="1"/>
  <c r="C172" i="26"/>
  <c r="B172" i="26"/>
  <c r="G172" i="26" s="1"/>
  <c r="A172" i="26"/>
  <c r="G171" i="26"/>
  <c r="E171" i="26"/>
  <c r="H171" i="26" s="1"/>
  <c r="D171" i="26"/>
  <c r="F171" i="26" s="1"/>
  <c r="C171" i="26"/>
  <c r="B171" i="26"/>
  <c r="A171" i="26"/>
  <c r="H170" i="26"/>
  <c r="F170" i="26"/>
  <c r="E170" i="26"/>
  <c r="D170" i="26"/>
  <c r="C170" i="26"/>
  <c r="B170" i="26"/>
  <c r="G170" i="26" s="1"/>
  <c r="K170" i="26" s="1"/>
  <c r="A170" i="26"/>
  <c r="I169" i="26"/>
  <c r="G169" i="26"/>
  <c r="K169" i="26" s="1"/>
  <c r="F169" i="26"/>
  <c r="E169" i="26"/>
  <c r="H169" i="26" s="1"/>
  <c r="D169" i="26"/>
  <c r="C169" i="26"/>
  <c r="B169" i="26"/>
  <c r="A169" i="26"/>
  <c r="F168" i="26"/>
  <c r="E168" i="26"/>
  <c r="H168" i="26" s="1"/>
  <c r="I168" i="26" s="1"/>
  <c r="D168" i="26"/>
  <c r="C168" i="26"/>
  <c r="B168" i="26"/>
  <c r="G168" i="26" s="1"/>
  <c r="A168" i="26"/>
  <c r="H167" i="26"/>
  <c r="G167" i="26"/>
  <c r="K167" i="26" s="1"/>
  <c r="E167" i="26"/>
  <c r="D167" i="26"/>
  <c r="F167" i="26" s="1"/>
  <c r="C167" i="26"/>
  <c r="I167" i="26" s="1"/>
  <c r="B167" i="26"/>
  <c r="A167" i="26"/>
  <c r="H166" i="26"/>
  <c r="G166" i="26"/>
  <c r="K166" i="26" s="1"/>
  <c r="E166" i="26"/>
  <c r="D166" i="26"/>
  <c r="F166" i="26" s="1"/>
  <c r="C166" i="26"/>
  <c r="B166" i="26"/>
  <c r="A166" i="26"/>
  <c r="F165" i="26"/>
  <c r="E165" i="26"/>
  <c r="H165" i="26" s="1"/>
  <c r="D165" i="26"/>
  <c r="C165" i="26"/>
  <c r="I165" i="26" s="1"/>
  <c r="B165" i="26"/>
  <c r="G165" i="26" s="1"/>
  <c r="K165" i="26" s="1"/>
  <c r="A165" i="26"/>
  <c r="H164" i="26"/>
  <c r="I164" i="26" s="1"/>
  <c r="E164" i="26"/>
  <c r="D164" i="26"/>
  <c r="F164" i="26" s="1"/>
  <c r="C164" i="26"/>
  <c r="B164" i="26"/>
  <c r="G164" i="26" s="1"/>
  <c r="A164" i="26"/>
  <c r="G163" i="26"/>
  <c r="E163" i="26"/>
  <c r="H163" i="26" s="1"/>
  <c r="D163" i="26"/>
  <c r="F163" i="26" s="1"/>
  <c r="C163" i="26"/>
  <c r="B163" i="26"/>
  <c r="A163" i="26"/>
  <c r="H162" i="26"/>
  <c r="F162" i="26"/>
  <c r="E162" i="26"/>
  <c r="D162" i="26"/>
  <c r="C162" i="26"/>
  <c r="B162" i="26"/>
  <c r="G162" i="26" s="1"/>
  <c r="K162" i="26" s="1"/>
  <c r="A162" i="26"/>
  <c r="I161" i="26"/>
  <c r="G161" i="26"/>
  <c r="K161" i="26" s="1"/>
  <c r="F161" i="26"/>
  <c r="E161" i="26"/>
  <c r="H161" i="26" s="1"/>
  <c r="D161" i="26"/>
  <c r="C161" i="26"/>
  <c r="B161" i="26"/>
  <c r="A161" i="26"/>
  <c r="F160" i="26"/>
  <c r="E160" i="26"/>
  <c r="H160" i="26" s="1"/>
  <c r="I160" i="26" s="1"/>
  <c r="D160" i="26"/>
  <c r="C160" i="26"/>
  <c r="B160" i="26"/>
  <c r="G160" i="26" s="1"/>
  <c r="A160" i="26"/>
  <c r="H159" i="26"/>
  <c r="E159" i="26"/>
  <c r="D159" i="26"/>
  <c r="F159" i="26" s="1"/>
  <c r="C159" i="26"/>
  <c r="I159" i="26" s="1"/>
  <c r="B159" i="26"/>
  <c r="G159" i="26" s="1"/>
  <c r="K159" i="26" s="1"/>
  <c r="A159" i="26"/>
  <c r="F158" i="26"/>
  <c r="E158" i="26"/>
  <c r="H158" i="26" s="1"/>
  <c r="I158" i="26" s="1"/>
  <c r="D158" i="26"/>
  <c r="C158" i="26"/>
  <c r="B158" i="26"/>
  <c r="G158" i="26" s="1"/>
  <c r="A158" i="26"/>
  <c r="H157" i="26"/>
  <c r="I157" i="26" s="1"/>
  <c r="J157" i="26" s="1"/>
  <c r="G157" i="26"/>
  <c r="K157" i="26" s="1"/>
  <c r="E157" i="26"/>
  <c r="D157" i="26"/>
  <c r="F157" i="26" s="1"/>
  <c r="C157" i="26"/>
  <c r="B157" i="26"/>
  <c r="A157" i="26"/>
  <c r="H156" i="26"/>
  <c r="G156" i="26"/>
  <c r="K156" i="26" s="1"/>
  <c r="E156" i="26"/>
  <c r="D156" i="26"/>
  <c r="F156" i="26" s="1"/>
  <c r="C156" i="26"/>
  <c r="I156" i="26" s="1"/>
  <c r="B156" i="26"/>
  <c r="A156" i="26"/>
  <c r="F155" i="26"/>
  <c r="E155" i="26"/>
  <c r="H155" i="26" s="1"/>
  <c r="D155" i="26"/>
  <c r="C155" i="26"/>
  <c r="B155" i="26"/>
  <c r="G155" i="26" s="1"/>
  <c r="A155" i="26"/>
  <c r="F154" i="26"/>
  <c r="E154" i="26"/>
  <c r="H154" i="26" s="1"/>
  <c r="I154" i="26" s="1"/>
  <c r="D154" i="26"/>
  <c r="C154" i="26"/>
  <c r="B154" i="26"/>
  <c r="G154" i="26" s="1"/>
  <c r="K154" i="26" s="1"/>
  <c r="A154" i="26"/>
  <c r="H153" i="26"/>
  <c r="I153" i="26" s="1"/>
  <c r="G153" i="26"/>
  <c r="K153" i="26" s="1"/>
  <c r="E153" i="26"/>
  <c r="D153" i="26"/>
  <c r="F153" i="26" s="1"/>
  <c r="C153" i="26"/>
  <c r="B153" i="26"/>
  <c r="A153" i="26"/>
  <c r="H152" i="26"/>
  <c r="G152" i="26"/>
  <c r="K152" i="26" s="1"/>
  <c r="E152" i="26"/>
  <c r="D152" i="26"/>
  <c r="F152" i="26" s="1"/>
  <c r="C152" i="26"/>
  <c r="B152" i="26"/>
  <c r="A152" i="26"/>
  <c r="F151" i="26"/>
  <c r="E151" i="26"/>
  <c r="H151" i="26" s="1"/>
  <c r="D151" i="26"/>
  <c r="C151" i="26"/>
  <c r="I151" i="26" s="1"/>
  <c r="B151" i="26"/>
  <c r="G151" i="26" s="1"/>
  <c r="K151" i="26" s="1"/>
  <c r="A151" i="26"/>
  <c r="F150" i="26"/>
  <c r="E150" i="26"/>
  <c r="H150" i="26" s="1"/>
  <c r="I150" i="26" s="1"/>
  <c r="D150" i="26"/>
  <c r="C150" i="26"/>
  <c r="B150" i="26"/>
  <c r="G150" i="26" s="1"/>
  <c r="A150" i="26"/>
  <c r="H149" i="26"/>
  <c r="I149" i="26" s="1"/>
  <c r="G149" i="26"/>
  <c r="K149" i="26" s="1"/>
  <c r="E149" i="26"/>
  <c r="D149" i="26"/>
  <c r="F149" i="26" s="1"/>
  <c r="C149" i="26"/>
  <c r="B149" i="26"/>
  <c r="A149" i="26"/>
  <c r="H148" i="26"/>
  <c r="G148" i="26"/>
  <c r="K148" i="26" s="1"/>
  <c r="E148" i="26"/>
  <c r="D148" i="26"/>
  <c r="F148" i="26" s="1"/>
  <c r="C148" i="26"/>
  <c r="I148" i="26" s="1"/>
  <c r="B148" i="26"/>
  <c r="A148" i="26"/>
  <c r="F147" i="26"/>
  <c r="E147" i="26"/>
  <c r="H147" i="26" s="1"/>
  <c r="D147" i="26"/>
  <c r="C147" i="26"/>
  <c r="B147" i="26"/>
  <c r="G147" i="26" s="1"/>
  <c r="A147" i="26"/>
  <c r="F146" i="26"/>
  <c r="E146" i="26"/>
  <c r="H146" i="26" s="1"/>
  <c r="I146" i="26" s="1"/>
  <c r="D146" i="26"/>
  <c r="C146" i="26"/>
  <c r="B146" i="26"/>
  <c r="G146" i="26" s="1"/>
  <c r="K146" i="26" s="1"/>
  <c r="A146" i="26"/>
  <c r="H145" i="26"/>
  <c r="I145" i="26" s="1"/>
  <c r="G145" i="26"/>
  <c r="K145" i="26" s="1"/>
  <c r="E145" i="26"/>
  <c r="D145" i="26"/>
  <c r="F145" i="26" s="1"/>
  <c r="C145" i="26"/>
  <c r="B145" i="26"/>
  <c r="A145" i="26"/>
  <c r="H144" i="26"/>
  <c r="G144" i="26"/>
  <c r="K144" i="26" s="1"/>
  <c r="E144" i="26"/>
  <c r="D144" i="26"/>
  <c r="F144" i="26" s="1"/>
  <c r="C144" i="26"/>
  <c r="B144" i="26"/>
  <c r="A144" i="26"/>
  <c r="F143" i="26"/>
  <c r="E143" i="26"/>
  <c r="H143" i="26" s="1"/>
  <c r="D143" i="26"/>
  <c r="C143" i="26"/>
  <c r="I143" i="26" s="1"/>
  <c r="B143" i="26"/>
  <c r="G143" i="26" s="1"/>
  <c r="K143" i="26" s="1"/>
  <c r="A143" i="26"/>
  <c r="F142" i="26"/>
  <c r="E142" i="26"/>
  <c r="H142" i="26" s="1"/>
  <c r="I142" i="26" s="1"/>
  <c r="D142" i="26"/>
  <c r="C142" i="26"/>
  <c r="B142" i="26"/>
  <c r="G142" i="26" s="1"/>
  <c r="A142" i="26"/>
  <c r="H141" i="26"/>
  <c r="I141" i="26" s="1"/>
  <c r="G141" i="26"/>
  <c r="K141" i="26" s="1"/>
  <c r="E141" i="26"/>
  <c r="D141" i="26"/>
  <c r="F141" i="26" s="1"/>
  <c r="C141" i="26"/>
  <c r="B141" i="26"/>
  <c r="A141" i="26"/>
  <c r="H140" i="26"/>
  <c r="G140" i="26"/>
  <c r="K140" i="26" s="1"/>
  <c r="E140" i="26"/>
  <c r="D140" i="26"/>
  <c r="F140" i="26" s="1"/>
  <c r="C140" i="26"/>
  <c r="I140" i="26" s="1"/>
  <c r="B140" i="26"/>
  <c r="A140" i="26"/>
  <c r="F139" i="26"/>
  <c r="E139" i="26"/>
  <c r="H139" i="26" s="1"/>
  <c r="D139" i="26"/>
  <c r="C139" i="26"/>
  <c r="B139" i="26"/>
  <c r="G139" i="26" s="1"/>
  <c r="A139" i="26"/>
  <c r="F138" i="26"/>
  <c r="E138" i="26"/>
  <c r="H138" i="26" s="1"/>
  <c r="I138" i="26" s="1"/>
  <c r="D138" i="26"/>
  <c r="C138" i="26"/>
  <c r="B138" i="26"/>
  <c r="G138" i="26" s="1"/>
  <c r="K138" i="26" s="1"/>
  <c r="A138" i="26"/>
  <c r="H137" i="26"/>
  <c r="I137" i="26" s="1"/>
  <c r="G137" i="26"/>
  <c r="K137" i="26" s="1"/>
  <c r="E137" i="26"/>
  <c r="D137" i="26"/>
  <c r="F137" i="26" s="1"/>
  <c r="C137" i="26"/>
  <c r="B137" i="26"/>
  <c r="A137" i="26"/>
  <c r="H136" i="26"/>
  <c r="G136" i="26"/>
  <c r="K136" i="26" s="1"/>
  <c r="E136" i="26"/>
  <c r="D136" i="26"/>
  <c r="F136" i="26" s="1"/>
  <c r="C136" i="26"/>
  <c r="B136" i="26"/>
  <c r="A136" i="26"/>
  <c r="F135" i="26"/>
  <c r="E135" i="26"/>
  <c r="H135" i="26" s="1"/>
  <c r="D135" i="26"/>
  <c r="C135" i="26"/>
  <c r="I135" i="26" s="1"/>
  <c r="B135" i="26"/>
  <c r="G135" i="26" s="1"/>
  <c r="K135" i="26" s="1"/>
  <c r="A135" i="26"/>
  <c r="F134" i="26"/>
  <c r="E134" i="26"/>
  <c r="H134" i="26" s="1"/>
  <c r="I134" i="26" s="1"/>
  <c r="D134" i="26"/>
  <c r="C134" i="26"/>
  <c r="B134" i="26"/>
  <c r="G134" i="26" s="1"/>
  <c r="A134" i="26"/>
  <c r="H133" i="26"/>
  <c r="I133" i="26" s="1"/>
  <c r="G133" i="26"/>
  <c r="K133" i="26" s="1"/>
  <c r="E133" i="26"/>
  <c r="D133" i="26"/>
  <c r="F133" i="26" s="1"/>
  <c r="C133" i="26"/>
  <c r="B133" i="26"/>
  <c r="A133" i="26"/>
  <c r="H132" i="26"/>
  <c r="G132" i="26"/>
  <c r="K132" i="26" s="1"/>
  <c r="E132" i="26"/>
  <c r="D132" i="26"/>
  <c r="F132" i="26" s="1"/>
  <c r="C132" i="26"/>
  <c r="I132" i="26" s="1"/>
  <c r="B132" i="26"/>
  <c r="A132" i="26"/>
  <c r="F131" i="26"/>
  <c r="E131" i="26"/>
  <c r="H131" i="26" s="1"/>
  <c r="D131" i="26"/>
  <c r="C131" i="26"/>
  <c r="B131" i="26"/>
  <c r="G131" i="26" s="1"/>
  <c r="A131" i="26"/>
  <c r="F130" i="26"/>
  <c r="E130" i="26"/>
  <c r="H130" i="26" s="1"/>
  <c r="I130" i="26" s="1"/>
  <c r="D130" i="26"/>
  <c r="C130" i="26"/>
  <c r="B130" i="26"/>
  <c r="G130" i="26" s="1"/>
  <c r="K130" i="26" s="1"/>
  <c r="A130" i="26"/>
  <c r="H129" i="26"/>
  <c r="I129" i="26" s="1"/>
  <c r="G129" i="26"/>
  <c r="K129" i="26" s="1"/>
  <c r="E129" i="26"/>
  <c r="D129" i="26"/>
  <c r="F129" i="26" s="1"/>
  <c r="C129" i="26"/>
  <c r="B129" i="26"/>
  <c r="A129" i="26"/>
  <c r="H128" i="26"/>
  <c r="G128" i="26"/>
  <c r="K128" i="26" s="1"/>
  <c r="E128" i="26"/>
  <c r="D128" i="26"/>
  <c r="F128" i="26" s="1"/>
  <c r="C128" i="26"/>
  <c r="B128" i="26"/>
  <c r="A128" i="26"/>
  <c r="F127" i="26"/>
  <c r="E127" i="26"/>
  <c r="H127" i="26" s="1"/>
  <c r="D127" i="26"/>
  <c r="C127" i="26"/>
  <c r="I127" i="26" s="1"/>
  <c r="B127" i="26"/>
  <c r="G127" i="26" s="1"/>
  <c r="K127" i="26" s="1"/>
  <c r="A127" i="26"/>
  <c r="F126" i="26"/>
  <c r="E126" i="26"/>
  <c r="H126" i="26" s="1"/>
  <c r="I126" i="26" s="1"/>
  <c r="D126" i="26"/>
  <c r="C126" i="26"/>
  <c r="B126" i="26"/>
  <c r="G126" i="26" s="1"/>
  <c r="A126" i="26"/>
  <c r="H125" i="26"/>
  <c r="I125" i="26" s="1"/>
  <c r="J125" i="26" s="1"/>
  <c r="G125" i="26"/>
  <c r="K125" i="26" s="1"/>
  <c r="E125" i="26"/>
  <c r="D125" i="26"/>
  <c r="F125" i="26" s="1"/>
  <c r="C125" i="26"/>
  <c r="B125" i="26"/>
  <c r="A125" i="26"/>
  <c r="H124" i="26"/>
  <c r="G124" i="26"/>
  <c r="K124" i="26" s="1"/>
  <c r="E124" i="26"/>
  <c r="D124" i="26"/>
  <c r="F124" i="26" s="1"/>
  <c r="C124" i="26"/>
  <c r="I124" i="26" s="1"/>
  <c r="B124" i="26"/>
  <c r="A124" i="26"/>
  <c r="F123" i="26"/>
  <c r="E123" i="26"/>
  <c r="H123" i="26" s="1"/>
  <c r="D123" i="26"/>
  <c r="C123" i="26"/>
  <c r="B123" i="26"/>
  <c r="G123" i="26" s="1"/>
  <c r="A123" i="26"/>
  <c r="F122" i="26"/>
  <c r="E122" i="26"/>
  <c r="H122" i="26" s="1"/>
  <c r="I122" i="26" s="1"/>
  <c r="D122" i="26"/>
  <c r="C122" i="26"/>
  <c r="B122" i="26"/>
  <c r="G122" i="26" s="1"/>
  <c r="K122" i="26" s="1"/>
  <c r="A122" i="26"/>
  <c r="H121" i="26"/>
  <c r="I121" i="26" s="1"/>
  <c r="G121" i="26"/>
  <c r="K121" i="26" s="1"/>
  <c r="E121" i="26"/>
  <c r="D121" i="26"/>
  <c r="F121" i="26" s="1"/>
  <c r="C121" i="26"/>
  <c r="B121" i="26"/>
  <c r="A121" i="26"/>
  <c r="H120" i="26"/>
  <c r="G120" i="26"/>
  <c r="K120" i="26" s="1"/>
  <c r="E120" i="26"/>
  <c r="D120" i="26"/>
  <c r="F120" i="26" s="1"/>
  <c r="C120" i="26"/>
  <c r="B120" i="26"/>
  <c r="A120" i="26"/>
  <c r="F119" i="26"/>
  <c r="E119" i="26"/>
  <c r="H119" i="26" s="1"/>
  <c r="D119" i="26"/>
  <c r="C119" i="26"/>
  <c r="I119" i="26" s="1"/>
  <c r="B119" i="26"/>
  <c r="G119" i="26" s="1"/>
  <c r="K119" i="26" s="1"/>
  <c r="A119" i="26"/>
  <c r="F118" i="26"/>
  <c r="E118" i="26"/>
  <c r="H118" i="26" s="1"/>
  <c r="I118" i="26" s="1"/>
  <c r="D118" i="26"/>
  <c r="C118" i="26"/>
  <c r="B118" i="26"/>
  <c r="G118" i="26" s="1"/>
  <c r="A118" i="26"/>
  <c r="H117" i="26"/>
  <c r="I117" i="26" s="1"/>
  <c r="G117" i="26"/>
  <c r="K117" i="26" s="1"/>
  <c r="E117" i="26"/>
  <c r="D117" i="26"/>
  <c r="F117" i="26" s="1"/>
  <c r="C117" i="26"/>
  <c r="B117" i="26"/>
  <c r="A117" i="26"/>
  <c r="H116" i="26"/>
  <c r="G116" i="26"/>
  <c r="K116" i="26" s="1"/>
  <c r="E116" i="26"/>
  <c r="D116" i="26"/>
  <c r="F116" i="26" s="1"/>
  <c r="C116" i="26"/>
  <c r="I116" i="26" s="1"/>
  <c r="B116" i="26"/>
  <c r="A116" i="26"/>
  <c r="F115" i="26"/>
  <c r="E115" i="26"/>
  <c r="H115" i="26" s="1"/>
  <c r="D115" i="26"/>
  <c r="C115" i="26"/>
  <c r="B115" i="26"/>
  <c r="G115" i="26" s="1"/>
  <c r="A115" i="26"/>
  <c r="F114" i="26"/>
  <c r="E114" i="26"/>
  <c r="H114" i="26" s="1"/>
  <c r="I114" i="26" s="1"/>
  <c r="D114" i="26"/>
  <c r="C114" i="26"/>
  <c r="B114" i="26"/>
  <c r="G114" i="26" s="1"/>
  <c r="K114" i="26" s="1"/>
  <c r="A114" i="26"/>
  <c r="H113" i="26"/>
  <c r="I113" i="26" s="1"/>
  <c r="G113" i="26"/>
  <c r="K113" i="26" s="1"/>
  <c r="E113" i="26"/>
  <c r="D113" i="26"/>
  <c r="F113" i="26" s="1"/>
  <c r="C113" i="26"/>
  <c r="B113" i="26"/>
  <c r="A113" i="26"/>
  <c r="H112" i="26"/>
  <c r="G112" i="26"/>
  <c r="K112" i="26" s="1"/>
  <c r="E112" i="26"/>
  <c r="D112" i="26"/>
  <c r="F112" i="26" s="1"/>
  <c r="C112" i="26"/>
  <c r="B112" i="26"/>
  <c r="A112" i="26"/>
  <c r="F111" i="26"/>
  <c r="E111" i="26"/>
  <c r="H111" i="26" s="1"/>
  <c r="D111" i="26"/>
  <c r="C111" i="26"/>
  <c r="I111" i="26" s="1"/>
  <c r="B111" i="26"/>
  <c r="G111" i="26" s="1"/>
  <c r="K111" i="26" s="1"/>
  <c r="A111" i="26"/>
  <c r="F110" i="26"/>
  <c r="E110" i="26"/>
  <c r="H110" i="26" s="1"/>
  <c r="I110" i="26" s="1"/>
  <c r="D110" i="26"/>
  <c r="C110" i="26"/>
  <c r="B110" i="26"/>
  <c r="G110" i="26" s="1"/>
  <c r="A110" i="26"/>
  <c r="H109" i="26"/>
  <c r="I109" i="26" s="1"/>
  <c r="J109" i="26" s="1"/>
  <c r="G109" i="26"/>
  <c r="K109" i="26" s="1"/>
  <c r="E109" i="26"/>
  <c r="D109" i="26"/>
  <c r="F109" i="26" s="1"/>
  <c r="C109" i="26"/>
  <c r="B109" i="26"/>
  <c r="A109" i="26"/>
  <c r="H108" i="26"/>
  <c r="G108" i="26"/>
  <c r="K108" i="26" s="1"/>
  <c r="E108" i="26"/>
  <c r="D108" i="26"/>
  <c r="F108" i="26" s="1"/>
  <c r="C108" i="26"/>
  <c r="I108" i="26" s="1"/>
  <c r="B108" i="26"/>
  <c r="A108" i="26"/>
  <c r="F107" i="26"/>
  <c r="E107" i="26"/>
  <c r="H107" i="26" s="1"/>
  <c r="D107" i="26"/>
  <c r="C107" i="26"/>
  <c r="B107" i="26"/>
  <c r="G107" i="26" s="1"/>
  <c r="A107" i="26"/>
  <c r="F106" i="26"/>
  <c r="E106" i="26"/>
  <c r="H106" i="26" s="1"/>
  <c r="I106" i="26" s="1"/>
  <c r="D106" i="26"/>
  <c r="C106" i="26"/>
  <c r="B106" i="26"/>
  <c r="G106" i="26" s="1"/>
  <c r="K106" i="26" s="1"/>
  <c r="A106" i="26"/>
  <c r="H105" i="26"/>
  <c r="I105" i="26" s="1"/>
  <c r="G105" i="26"/>
  <c r="K105" i="26" s="1"/>
  <c r="E105" i="26"/>
  <c r="D105" i="26"/>
  <c r="F105" i="26" s="1"/>
  <c r="C105" i="26"/>
  <c r="B105" i="26"/>
  <c r="A105" i="26"/>
  <c r="H104" i="26"/>
  <c r="G104" i="26"/>
  <c r="K104" i="26" s="1"/>
  <c r="E104" i="26"/>
  <c r="D104" i="26"/>
  <c r="F104" i="26" s="1"/>
  <c r="C104" i="26"/>
  <c r="B104" i="26"/>
  <c r="A104" i="26"/>
  <c r="F103" i="26"/>
  <c r="E103" i="26"/>
  <c r="H103" i="26" s="1"/>
  <c r="D103" i="26"/>
  <c r="C103" i="26"/>
  <c r="I103" i="26" s="1"/>
  <c r="B103" i="26"/>
  <c r="G103" i="26" s="1"/>
  <c r="K103" i="26" s="1"/>
  <c r="A103" i="26"/>
  <c r="F102" i="26"/>
  <c r="E102" i="26"/>
  <c r="H102" i="26" s="1"/>
  <c r="I102" i="26" s="1"/>
  <c r="D102" i="26"/>
  <c r="C102" i="26"/>
  <c r="B102" i="26"/>
  <c r="G102" i="26" s="1"/>
  <c r="A102" i="26"/>
  <c r="H101" i="26"/>
  <c r="I101" i="26" s="1"/>
  <c r="E101" i="26"/>
  <c r="D101" i="26"/>
  <c r="F101" i="26" s="1"/>
  <c r="C101" i="26"/>
  <c r="B101" i="26"/>
  <c r="G101" i="26" s="1"/>
  <c r="K101" i="26" s="1"/>
  <c r="A101" i="26"/>
  <c r="H100" i="26"/>
  <c r="G100" i="26"/>
  <c r="K100" i="26" s="1"/>
  <c r="E100" i="26"/>
  <c r="D100" i="26"/>
  <c r="F100" i="26" s="1"/>
  <c r="C100" i="26"/>
  <c r="I100" i="26" s="1"/>
  <c r="B100" i="26"/>
  <c r="A100" i="26"/>
  <c r="F99" i="26"/>
  <c r="E99" i="26"/>
  <c r="H99" i="26" s="1"/>
  <c r="D99" i="26"/>
  <c r="C99" i="26"/>
  <c r="I99" i="26" s="1"/>
  <c r="B99" i="26"/>
  <c r="G99" i="26" s="1"/>
  <c r="A99" i="26"/>
  <c r="F98" i="26"/>
  <c r="E98" i="26"/>
  <c r="H98" i="26" s="1"/>
  <c r="I98" i="26" s="1"/>
  <c r="D98" i="26"/>
  <c r="C98" i="26"/>
  <c r="B98" i="26"/>
  <c r="G98" i="26" s="1"/>
  <c r="A98" i="26"/>
  <c r="H97" i="26"/>
  <c r="E97" i="26"/>
  <c r="D97" i="26"/>
  <c r="F97" i="26" s="1"/>
  <c r="C97" i="26"/>
  <c r="B97" i="26"/>
  <c r="G97" i="26" s="1"/>
  <c r="K97" i="26" s="1"/>
  <c r="A97" i="26"/>
  <c r="H96" i="26"/>
  <c r="G96" i="26"/>
  <c r="K96" i="26" s="1"/>
  <c r="E96" i="26"/>
  <c r="D96" i="26"/>
  <c r="F96" i="26" s="1"/>
  <c r="C96" i="26"/>
  <c r="I96" i="26" s="1"/>
  <c r="B96" i="26"/>
  <c r="A96" i="26"/>
  <c r="F95" i="26"/>
  <c r="E95" i="26"/>
  <c r="H95" i="26" s="1"/>
  <c r="D95" i="26"/>
  <c r="C95" i="26"/>
  <c r="B95" i="26"/>
  <c r="G95" i="26" s="1"/>
  <c r="A95" i="26"/>
  <c r="F94" i="26"/>
  <c r="E94" i="26"/>
  <c r="H94" i="26" s="1"/>
  <c r="I94" i="26" s="1"/>
  <c r="D94" i="26"/>
  <c r="C94" i="26"/>
  <c r="B94" i="26"/>
  <c r="G94" i="26" s="1"/>
  <c r="K94" i="26" s="1"/>
  <c r="A94" i="26"/>
  <c r="H93" i="26"/>
  <c r="E93" i="26"/>
  <c r="D93" i="26"/>
  <c r="F93" i="26" s="1"/>
  <c r="C93" i="26"/>
  <c r="B93" i="26"/>
  <c r="G93" i="26" s="1"/>
  <c r="K93" i="26" s="1"/>
  <c r="A93" i="26"/>
  <c r="H92" i="26"/>
  <c r="G92" i="26"/>
  <c r="K92" i="26" s="1"/>
  <c r="E92" i="26"/>
  <c r="D92" i="26"/>
  <c r="F92" i="26" s="1"/>
  <c r="C92" i="26"/>
  <c r="I92" i="26" s="1"/>
  <c r="J92" i="26" s="1"/>
  <c r="B92" i="26"/>
  <c r="A92" i="26"/>
  <c r="H91" i="26"/>
  <c r="F91" i="26"/>
  <c r="E91" i="26"/>
  <c r="D91" i="26"/>
  <c r="C91" i="26"/>
  <c r="I91" i="26" s="1"/>
  <c r="B91" i="26"/>
  <c r="G91" i="26" s="1"/>
  <c r="K91" i="26" s="1"/>
  <c r="A91" i="26"/>
  <c r="F90" i="26"/>
  <c r="E90" i="26"/>
  <c r="H90" i="26" s="1"/>
  <c r="I90" i="26" s="1"/>
  <c r="D90" i="26"/>
  <c r="C90" i="26"/>
  <c r="B90" i="26"/>
  <c r="G90" i="26" s="1"/>
  <c r="A90" i="26"/>
  <c r="H89" i="26"/>
  <c r="I89" i="26" s="1"/>
  <c r="E89" i="26"/>
  <c r="D89" i="26"/>
  <c r="F89" i="26" s="1"/>
  <c r="C89" i="26"/>
  <c r="B89" i="26"/>
  <c r="G89" i="26" s="1"/>
  <c r="K89" i="26" s="1"/>
  <c r="A89" i="26"/>
  <c r="H88" i="26"/>
  <c r="G88" i="26"/>
  <c r="K88" i="26" s="1"/>
  <c r="E88" i="26"/>
  <c r="D88" i="26"/>
  <c r="F88" i="26" s="1"/>
  <c r="C88" i="26"/>
  <c r="I88" i="26" s="1"/>
  <c r="B88" i="26"/>
  <c r="A88" i="26"/>
  <c r="H87" i="26"/>
  <c r="F87" i="26"/>
  <c r="E87" i="26"/>
  <c r="D87" i="26"/>
  <c r="C87" i="26"/>
  <c r="I87" i="26" s="1"/>
  <c r="B87" i="26"/>
  <c r="G87" i="26" s="1"/>
  <c r="K87" i="26" s="1"/>
  <c r="A87" i="26"/>
  <c r="F86" i="26"/>
  <c r="E86" i="26"/>
  <c r="H86" i="26" s="1"/>
  <c r="I86" i="26" s="1"/>
  <c r="D86" i="26"/>
  <c r="C86" i="26"/>
  <c r="B86" i="26"/>
  <c r="G86" i="26" s="1"/>
  <c r="K86" i="26" s="1"/>
  <c r="A86" i="26"/>
  <c r="H85" i="26"/>
  <c r="E85" i="26"/>
  <c r="D85" i="26"/>
  <c r="F85" i="26" s="1"/>
  <c r="C85" i="26"/>
  <c r="B85" i="26"/>
  <c r="G85" i="26" s="1"/>
  <c r="K85" i="26" s="1"/>
  <c r="A85" i="26"/>
  <c r="H84" i="26"/>
  <c r="G84" i="26"/>
  <c r="K84" i="26" s="1"/>
  <c r="E84" i="26"/>
  <c r="D84" i="26"/>
  <c r="F84" i="26" s="1"/>
  <c r="C84" i="26"/>
  <c r="I84" i="26" s="1"/>
  <c r="J84" i="26" s="1"/>
  <c r="B84" i="26"/>
  <c r="A84" i="26"/>
  <c r="H83" i="26"/>
  <c r="F83" i="26"/>
  <c r="E83" i="26"/>
  <c r="D83" i="26"/>
  <c r="C83" i="26"/>
  <c r="I83" i="26" s="1"/>
  <c r="B83" i="26"/>
  <c r="G83" i="26" s="1"/>
  <c r="K83" i="26" s="1"/>
  <c r="A83" i="26"/>
  <c r="F82" i="26"/>
  <c r="E82" i="26"/>
  <c r="H82" i="26" s="1"/>
  <c r="I82" i="26" s="1"/>
  <c r="D82" i="26"/>
  <c r="C82" i="26"/>
  <c r="B82" i="26"/>
  <c r="G82" i="26" s="1"/>
  <c r="A82" i="26"/>
  <c r="H81" i="26"/>
  <c r="I81" i="26" s="1"/>
  <c r="E81" i="26"/>
  <c r="D81" i="26"/>
  <c r="F81" i="26" s="1"/>
  <c r="C81" i="26"/>
  <c r="B81" i="26"/>
  <c r="G81" i="26" s="1"/>
  <c r="K81" i="26" s="1"/>
  <c r="A81" i="26"/>
  <c r="H80" i="26"/>
  <c r="G80" i="26"/>
  <c r="K80" i="26" s="1"/>
  <c r="E80" i="26"/>
  <c r="D80" i="26"/>
  <c r="F80" i="26" s="1"/>
  <c r="C80" i="26"/>
  <c r="I80" i="26" s="1"/>
  <c r="B80" i="26"/>
  <c r="A80" i="26"/>
  <c r="H79" i="26"/>
  <c r="F79" i="26"/>
  <c r="E79" i="26"/>
  <c r="D79" i="26"/>
  <c r="C79" i="26"/>
  <c r="I79" i="26" s="1"/>
  <c r="B79" i="26"/>
  <c r="G79" i="26" s="1"/>
  <c r="K79" i="26" s="1"/>
  <c r="A79" i="26"/>
  <c r="F78" i="26"/>
  <c r="E78" i="26"/>
  <c r="H78" i="26" s="1"/>
  <c r="I78" i="26" s="1"/>
  <c r="D78" i="26"/>
  <c r="C78" i="26"/>
  <c r="B78" i="26"/>
  <c r="G78" i="26" s="1"/>
  <c r="K78" i="26" s="1"/>
  <c r="A78" i="26"/>
  <c r="H77" i="26"/>
  <c r="E77" i="26"/>
  <c r="D77" i="26"/>
  <c r="F77" i="26" s="1"/>
  <c r="C77" i="26"/>
  <c r="B77" i="26"/>
  <c r="G77" i="26" s="1"/>
  <c r="K77" i="26" s="1"/>
  <c r="A77" i="26"/>
  <c r="H76" i="26"/>
  <c r="G76" i="26"/>
  <c r="K76" i="26" s="1"/>
  <c r="E76" i="26"/>
  <c r="D76" i="26"/>
  <c r="F76" i="26" s="1"/>
  <c r="C76" i="26"/>
  <c r="I76" i="26" s="1"/>
  <c r="J76" i="26" s="1"/>
  <c r="B76" i="26"/>
  <c r="A76" i="26"/>
  <c r="H75" i="26"/>
  <c r="F75" i="26"/>
  <c r="E75" i="26"/>
  <c r="D75" i="26"/>
  <c r="C75" i="26"/>
  <c r="I75" i="26" s="1"/>
  <c r="B75" i="26"/>
  <c r="G75" i="26" s="1"/>
  <c r="K75" i="26" s="1"/>
  <c r="A75" i="26"/>
  <c r="F74" i="26"/>
  <c r="E74" i="26"/>
  <c r="H74" i="26" s="1"/>
  <c r="D74" i="26"/>
  <c r="C74" i="26"/>
  <c r="B74" i="26"/>
  <c r="G74" i="26" s="1"/>
  <c r="A74" i="26"/>
  <c r="H73" i="26"/>
  <c r="F73" i="26"/>
  <c r="E73" i="26"/>
  <c r="D73" i="26"/>
  <c r="C73" i="26"/>
  <c r="B73" i="26"/>
  <c r="G73" i="26" s="1"/>
  <c r="K73" i="26" s="1"/>
  <c r="A73" i="26"/>
  <c r="I72" i="26"/>
  <c r="G72" i="26"/>
  <c r="E72" i="26"/>
  <c r="H72" i="26" s="1"/>
  <c r="D72" i="26"/>
  <c r="F72" i="26" s="1"/>
  <c r="C72" i="26"/>
  <c r="B72" i="26"/>
  <c r="A72" i="26"/>
  <c r="H71" i="26"/>
  <c r="E71" i="26"/>
  <c r="D71" i="26"/>
  <c r="F71" i="26" s="1"/>
  <c r="C71" i="26"/>
  <c r="B71" i="26"/>
  <c r="G71" i="26" s="1"/>
  <c r="K71" i="26" s="1"/>
  <c r="A71" i="26"/>
  <c r="G70" i="26"/>
  <c r="K70" i="26" s="1"/>
  <c r="F70" i="26"/>
  <c r="E70" i="26"/>
  <c r="H70" i="26" s="1"/>
  <c r="D70" i="26"/>
  <c r="C70" i="26"/>
  <c r="B70" i="26"/>
  <c r="A70" i="26"/>
  <c r="H69" i="26"/>
  <c r="F69" i="26"/>
  <c r="E69" i="26"/>
  <c r="D69" i="26"/>
  <c r="C69" i="26"/>
  <c r="B69" i="26"/>
  <c r="G69" i="26" s="1"/>
  <c r="K69" i="26" s="1"/>
  <c r="A69" i="26"/>
  <c r="G68" i="26"/>
  <c r="K68" i="26" s="1"/>
  <c r="E68" i="26"/>
  <c r="H68" i="26" s="1"/>
  <c r="D68" i="26"/>
  <c r="F68" i="26" s="1"/>
  <c r="C68" i="26"/>
  <c r="I68" i="26" s="1"/>
  <c r="B68" i="26"/>
  <c r="A68" i="26"/>
  <c r="H67" i="26"/>
  <c r="F67" i="26"/>
  <c r="E67" i="26"/>
  <c r="D67" i="26"/>
  <c r="C67" i="26"/>
  <c r="B67" i="26"/>
  <c r="G67" i="26" s="1"/>
  <c r="K67" i="26" s="1"/>
  <c r="A67" i="26"/>
  <c r="G66" i="26"/>
  <c r="K66" i="26" s="1"/>
  <c r="F66" i="26"/>
  <c r="E66" i="26"/>
  <c r="H66" i="26" s="1"/>
  <c r="D66" i="26"/>
  <c r="C66" i="26"/>
  <c r="I66" i="26" s="1"/>
  <c r="B66" i="26"/>
  <c r="A66" i="26"/>
  <c r="H65" i="26"/>
  <c r="F65" i="26"/>
  <c r="E65" i="26"/>
  <c r="D65" i="26"/>
  <c r="C65" i="26"/>
  <c r="B65" i="26"/>
  <c r="G65" i="26" s="1"/>
  <c r="K65" i="26" s="1"/>
  <c r="A65" i="26"/>
  <c r="G64" i="26"/>
  <c r="K64" i="26" s="1"/>
  <c r="E64" i="26"/>
  <c r="H64" i="26" s="1"/>
  <c r="D64" i="26"/>
  <c r="F64" i="26" s="1"/>
  <c r="C64" i="26"/>
  <c r="I64" i="26" s="1"/>
  <c r="B64" i="26"/>
  <c r="A64" i="26"/>
  <c r="H63" i="26"/>
  <c r="F63" i="26"/>
  <c r="E63" i="26"/>
  <c r="D63" i="26"/>
  <c r="C63" i="26"/>
  <c r="B63" i="26"/>
  <c r="G63" i="26" s="1"/>
  <c r="K63" i="26" s="1"/>
  <c r="A63" i="26"/>
  <c r="G62" i="26"/>
  <c r="K62" i="26" s="1"/>
  <c r="F62" i="26"/>
  <c r="E62" i="26"/>
  <c r="H62" i="26" s="1"/>
  <c r="D62" i="26"/>
  <c r="C62" i="26"/>
  <c r="I62" i="26" s="1"/>
  <c r="B62" i="26"/>
  <c r="A62" i="26"/>
  <c r="H61" i="26"/>
  <c r="E61" i="26"/>
  <c r="D61" i="26"/>
  <c r="F61" i="26" s="1"/>
  <c r="C61" i="26"/>
  <c r="B61" i="26"/>
  <c r="G61" i="26" s="1"/>
  <c r="A61" i="26"/>
  <c r="K60" i="26"/>
  <c r="G60" i="26"/>
  <c r="E60" i="26"/>
  <c r="H60" i="26" s="1"/>
  <c r="D60" i="26"/>
  <c r="F60" i="26" s="1"/>
  <c r="C60" i="26"/>
  <c r="I60" i="26" s="1"/>
  <c r="B60" i="26"/>
  <c r="A60" i="26"/>
  <c r="H59" i="26"/>
  <c r="E59" i="26"/>
  <c r="D59" i="26"/>
  <c r="F59" i="26" s="1"/>
  <c r="C59" i="26"/>
  <c r="B59" i="26"/>
  <c r="G59" i="26" s="1"/>
  <c r="A59" i="26"/>
  <c r="I58" i="26"/>
  <c r="G58" i="26"/>
  <c r="F58" i="26"/>
  <c r="E58" i="26"/>
  <c r="H58" i="26" s="1"/>
  <c r="K58" i="26" s="1"/>
  <c r="D58" i="26"/>
  <c r="C58" i="26"/>
  <c r="B58" i="26"/>
  <c r="A58" i="26"/>
  <c r="H57" i="26"/>
  <c r="E57" i="26"/>
  <c r="D57" i="26"/>
  <c r="F57" i="26" s="1"/>
  <c r="C57" i="26"/>
  <c r="B57" i="26"/>
  <c r="G57" i="26" s="1"/>
  <c r="K57" i="26" s="1"/>
  <c r="A57" i="26"/>
  <c r="G56" i="26"/>
  <c r="K56" i="26" s="1"/>
  <c r="E56" i="26"/>
  <c r="H56" i="26" s="1"/>
  <c r="D56" i="26"/>
  <c r="F56" i="26" s="1"/>
  <c r="C56" i="26"/>
  <c r="I56" i="26" s="1"/>
  <c r="B56" i="26"/>
  <c r="A56" i="26"/>
  <c r="H55" i="26"/>
  <c r="E55" i="26"/>
  <c r="D55" i="26"/>
  <c r="F55" i="26" s="1"/>
  <c r="C55" i="26"/>
  <c r="B55" i="26"/>
  <c r="G55" i="26" s="1"/>
  <c r="K55" i="26" s="1"/>
  <c r="A55" i="26"/>
  <c r="G54" i="26"/>
  <c r="F54" i="26"/>
  <c r="E54" i="26"/>
  <c r="H54" i="26" s="1"/>
  <c r="D54" i="26"/>
  <c r="C54" i="26"/>
  <c r="I54" i="26" s="1"/>
  <c r="B54" i="26"/>
  <c r="A54" i="26"/>
  <c r="H53" i="26"/>
  <c r="F53" i="26"/>
  <c r="E53" i="26"/>
  <c r="D53" i="26"/>
  <c r="C53" i="26"/>
  <c r="B53" i="26"/>
  <c r="G53" i="26" s="1"/>
  <c r="K53" i="26" s="1"/>
  <c r="A53" i="26"/>
  <c r="G52" i="26"/>
  <c r="K52" i="26" s="1"/>
  <c r="E52" i="26"/>
  <c r="H52" i="26" s="1"/>
  <c r="D52" i="26"/>
  <c r="F52" i="26" s="1"/>
  <c r="C52" i="26"/>
  <c r="I52" i="26" s="1"/>
  <c r="B52" i="26"/>
  <c r="A52" i="26"/>
  <c r="H51" i="26"/>
  <c r="F51" i="26"/>
  <c r="E51" i="26"/>
  <c r="D51" i="26"/>
  <c r="C51" i="26"/>
  <c r="B51" i="26"/>
  <c r="G51" i="26" s="1"/>
  <c r="K51" i="26" s="1"/>
  <c r="A51" i="26"/>
  <c r="G50" i="26"/>
  <c r="K50" i="26" s="1"/>
  <c r="F50" i="26"/>
  <c r="E50" i="26"/>
  <c r="H50" i="26" s="1"/>
  <c r="D50" i="26"/>
  <c r="C50" i="26"/>
  <c r="I50" i="26" s="1"/>
  <c r="J50" i="26" s="1"/>
  <c r="B50" i="26"/>
  <c r="A50" i="26"/>
  <c r="H49" i="26"/>
  <c r="F49" i="26"/>
  <c r="E49" i="26"/>
  <c r="D49" i="26"/>
  <c r="C49" i="26"/>
  <c r="B49" i="26"/>
  <c r="G49" i="26" s="1"/>
  <c r="K49" i="26" s="1"/>
  <c r="A49" i="26"/>
  <c r="G48" i="26"/>
  <c r="K48" i="26" s="1"/>
  <c r="E48" i="26"/>
  <c r="H48" i="26" s="1"/>
  <c r="D48" i="26"/>
  <c r="F48" i="26" s="1"/>
  <c r="C48" i="26"/>
  <c r="I48" i="26" s="1"/>
  <c r="B48" i="26"/>
  <c r="A48" i="26"/>
  <c r="H47" i="26"/>
  <c r="F47" i="26"/>
  <c r="E47" i="26"/>
  <c r="D47" i="26"/>
  <c r="C47" i="26"/>
  <c r="B47" i="26"/>
  <c r="G47" i="26" s="1"/>
  <c r="K47" i="26" s="1"/>
  <c r="A47" i="26"/>
  <c r="G46" i="26"/>
  <c r="K46" i="26" s="1"/>
  <c r="F46" i="26"/>
  <c r="E46" i="26"/>
  <c r="H46" i="26" s="1"/>
  <c r="D46" i="26"/>
  <c r="C46" i="26"/>
  <c r="I46" i="26" s="1"/>
  <c r="J46" i="26" s="1"/>
  <c r="B46" i="26"/>
  <c r="A46" i="26"/>
  <c r="H45" i="26"/>
  <c r="E45" i="26"/>
  <c r="D45" i="26"/>
  <c r="F45" i="26" s="1"/>
  <c r="C45" i="26"/>
  <c r="B45" i="26"/>
  <c r="G45" i="26" s="1"/>
  <c r="A45" i="26"/>
  <c r="G44" i="26"/>
  <c r="K44" i="26" s="1"/>
  <c r="E44" i="26"/>
  <c r="H44" i="26" s="1"/>
  <c r="D44" i="26"/>
  <c r="F44" i="26" s="1"/>
  <c r="C44" i="26"/>
  <c r="I44" i="26" s="1"/>
  <c r="B44" i="26"/>
  <c r="A44" i="26"/>
  <c r="H43" i="26"/>
  <c r="E43" i="26"/>
  <c r="D43" i="26"/>
  <c r="F43" i="26" s="1"/>
  <c r="C43" i="26"/>
  <c r="B43" i="26"/>
  <c r="G43" i="26" s="1"/>
  <c r="A43" i="26"/>
  <c r="I42" i="26"/>
  <c r="G42" i="26"/>
  <c r="F42" i="26"/>
  <c r="E42" i="26"/>
  <c r="H42" i="26" s="1"/>
  <c r="D42" i="26"/>
  <c r="C42" i="26"/>
  <c r="B42" i="26"/>
  <c r="A42" i="26"/>
  <c r="H41" i="26"/>
  <c r="E41" i="26"/>
  <c r="D41" i="26"/>
  <c r="F41" i="26" s="1"/>
  <c r="C41" i="26"/>
  <c r="B41" i="26"/>
  <c r="G41" i="26" s="1"/>
  <c r="K41" i="26" s="1"/>
  <c r="A41" i="26"/>
  <c r="G40" i="26"/>
  <c r="K40" i="26" s="1"/>
  <c r="E40" i="26"/>
  <c r="H40" i="26" s="1"/>
  <c r="D40" i="26"/>
  <c r="F40" i="26" s="1"/>
  <c r="C40" i="26"/>
  <c r="I40" i="26" s="1"/>
  <c r="B40" i="26"/>
  <c r="A40" i="26"/>
  <c r="H39" i="26"/>
  <c r="E39" i="26"/>
  <c r="D39" i="26"/>
  <c r="F39" i="26" s="1"/>
  <c r="C39" i="26"/>
  <c r="B39" i="26"/>
  <c r="G39" i="26" s="1"/>
  <c r="K39" i="26" s="1"/>
  <c r="A39" i="26"/>
  <c r="G38" i="26"/>
  <c r="F38" i="26"/>
  <c r="E38" i="26"/>
  <c r="H38" i="26" s="1"/>
  <c r="D38" i="26"/>
  <c r="C38" i="26"/>
  <c r="I38" i="26" s="1"/>
  <c r="B38" i="26"/>
  <c r="A38" i="26"/>
  <c r="H37" i="26"/>
  <c r="I37" i="26" s="1"/>
  <c r="F37" i="26"/>
  <c r="E37" i="26"/>
  <c r="D37" i="26"/>
  <c r="C37" i="26"/>
  <c r="B37" i="26"/>
  <c r="G37" i="26" s="1"/>
  <c r="A37" i="26"/>
  <c r="G36" i="26"/>
  <c r="K36" i="26" s="1"/>
  <c r="E36" i="26"/>
  <c r="H36" i="26" s="1"/>
  <c r="D36" i="26"/>
  <c r="F36" i="26" s="1"/>
  <c r="C36" i="26"/>
  <c r="I36" i="26" s="1"/>
  <c r="B36" i="26"/>
  <c r="A36" i="26"/>
  <c r="H35" i="26"/>
  <c r="F35" i="26"/>
  <c r="E35" i="26"/>
  <c r="D35" i="26"/>
  <c r="C35" i="26"/>
  <c r="I35" i="26" s="1"/>
  <c r="B35" i="26"/>
  <c r="G35" i="26" s="1"/>
  <c r="A35" i="26"/>
  <c r="I34" i="26"/>
  <c r="G34" i="26"/>
  <c r="K34" i="26" s="1"/>
  <c r="F34" i="26"/>
  <c r="E34" i="26"/>
  <c r="H34" i="26" s="1"/>
  <c r="D34" i="26"/>
  <c r="C34" i="26"/>
  <c r="B34" i="26"/>
  <c r="A34" i="26"/>
  <c r="H33" i="26"/>
  <c r="E33" i="26"/>
  <c r="D33" i="26"/>
  <c r="F33" i="26" s="1"/>
  <c r="C33" i="26"/>
  <c r="B33" i="26"/>
  <c r="G33" i="26" s="1"/>
  <c r="K33" i="26" s="1"/>
  <c r="A33" i="26"/>
  <c r="K32" i="26"/>
  <c r="G32" i="26"/>
  <c r="E32" i="26"/>
  <c r="H32" i="26" s="1"/>
  <c r="D32" i="26"/>
  <c r="F32" i="26" s="1"/>
  <c r="C32" i="26"/>
  <c r="I32" i="26" s="1"/>
  <c r="B32" i="26"/>
  <c r="A32" i="26"/>
  <c r="H31" i="26"/>
  <c r="E31" i="26"/>
  <c r="D31" i="26"/>
  <c r="F31" i="26" s="1"/>
  <c r="C31" i="26"/>
  <c r="B31" i="26"/>
  <c r="G31" i="26" s="1"/>
  <c r="K31" i="26" s="1"/>
  <c r="A31" i="26"/>
  <c r="E8" i="25"/>
  <c r="H8" i="25" s="1"/>
  <c r="E9" i="25"/>
  <c r="H9" i="25" s="1"/>
  <c r="E10" i="25"/>
  <c r="H10" i="25" s="1"/>
  <c r="E11" i="25"/>
  <c r="H11" i="25" s="1"/>
  <c r="E12" i="25"/>
  <c r="H12" i="25" s="1"/>
  <c r="E13" i="25"/>
  <c r="H13" i="25" s="1"/>
  <c r="E14" i="25"/>
  <c r="H14" i="25" s="1"/>
  <c r="E15" i="25"/>
  <c r="H15" i="25" s="1"/>
  <c r="E16" i="25"/>
  <c r="H16" i="25" s="1"/>
  <c r="E17" i="25"/>
  <c r="H17" i="25" s="1"/>
  <c r="E18" i="25"/>
  <c r="H18" i="25" s="1"/>
  <c r="E19" i="25"/>
  <c r="H19" i="25" s="1"/>
  <c r="E20" i="25"/>
  <c r="H20" i="25" s="1"/>
  <c r="E21" i="25"/>
  <c r="H21" i="25" s="1"/>
  <c r="E22" i="25"/>
  <c r="H22" i="25" s="1"/>
  <c r="E23" i="25"/>
  <c r="H23" i="25" s="1"/>
  <c r="E24" i="25"/>
  <c r="H24" i="25" s="1"/>
  <c r="E25" i="25"/>
  <c r="H25" i="25" s="1"/>
  <c r="E26" i="25"/>
  <c r="H26" i="25" s="1"/>
  <c r="E27" i="25"/>
  <c r="H27" i="25" s="1"/>
  <c r="E28" i="25"/>
  <c r="H28" i="25" s="1"/>
  <c r="E29" i="25"/>
  <c r="H29" i="25" s="1"/>
  <c r="E30" i="25"/>
  <c r="H30" i="25" s="1"/>
  <c r="E31" i="25"/>
  <c r="H31" i="25" s="1"/>
  <c r="E32" i="25"/>
  <c r="H32" i="25" s="1"/>
  <c r="E33" i="25"/>
  <c r="H33" i="25" s="1"/>
  <c r="E34" i="25"/>
  <c r="H34" i="25" s="1"/>
  <c r="E35" i="25"/>
  <c r="H35" i="25" s="1"/>
  <c r="E36" i="25"/>
  <c r="H36" i="25" s="1"/>
  <c r="E37" i="25"/>
  <c r="H37" i="25" s="1"/>
  <c r="E38" i="25"/>
  <c r="H38" i="25" s="1"/>
  <c r="E39" i="25"/>
  <c r="H39" i="25" s="1"/>
  <c r="E40" i="25"/>
  <c r="H40" i="25" s="1"/>
  <c r="E41" i="25"/>
  <c r="H41" i="25" s="1"/>
  <c r="E42" i="25"/>
  <c r="H42" i="25" s="1"/>
  <c r="E43" i="25"/>
  <c r="H43" i="25" s="1"/>
  <c r="E44" i="25"/>
  <c r="H44" i="25" s="1"/>
  <c r="E45" i="25"/>
  <c r="H45" i="25" s="1"/>
  <c r="E46" i="25"/>
  <c r="H46" i="25" s="1"/>
  <c r="E47" i="25"/>
  <c r="H47" i="25" s="1"/>
  <c r="E48" i="25"/>
  <c r="H48" i="25" s="1"/>
  <c r="E49" i="25"/>
  <c r="H49" i="25" s="1"/>
  <c r="E50" i="25"/>
  <c r="H50" i="25" s="1"/>
  <c r="E51" i="25"/>
  <c r="H51" i="25" s="1"/>
  <c r="E52" i="25"/>
  <c r="H52" i="25" s="1"/>
  <c r="E53" i="25"/>
  <c r="H53" i="25" s="1"/>
  <c r="E54" i="25"/>
  <c r="H54" i="25" s="1"/>
  <c r="E55" i="25"/>
  <c r="H55" i="25" s="1"/>
  <c r="E56" i="25"/>
  <c r="H56" i="25" s="1"/>
  <c r="E57" i="25"/>
  <c r="H57" i="25" s="1"/>
  <c r="E58" i="25"/>
  <c r="H58" i="25" s="1"/>
  <c r="E59" i="25"/>
  <c r="H59" i="25" s="1"/>
  <c r="E60" i="25"/>
  <c r="H60" i="25" s="1"/>
  <c r="E61" i="25"/>
  <c r="H61" i="25" s="1"/>
  <c r="E62" i="25"/>
  <c r="H62" i="25" s="1"/>
  <c r="E63" i="25"/>
  <c r="H63" i="25" s="1"/>
  <c r="E64" i="25"/>
  <c r="H64" i="25" s="1"/>
  <c r="E65" i="25"/>
  <c r="H65" i="25" s="1"/>
  <c r="E66" i="25"/>
  <c r="H66" i="25" s="1"/>
  <c r="E67" i="25"/>
  <c r="H67" i="25" s="1"/>
  <c r="E68" i="25"/>
  <c r="H68" i="25" s="1"/>
  <c r="E69" i="25"/>
  <c r="H69" i="25" s="1"/>
  <c r="E70" i="25"/>
  <c r="H70" i="25" s="1"/>
  <c r="E71" i="25"/>
  <c r="H71" i="25" s="1"/>
  <c r="E72" i="25"/>
  <c r="H72" i="25" s="1"/>
  <c r="E73" i="25"/>
  <c r="H73" i="25" s="1"/>
  <c r="E74" i="25"/>
  <c r="H74" i="25" s="1"/>
  <c r="E75" i="25"/>
  <c r="H75" i="25" s="1"/>
  <c r="E76" i="25"/>
  <c r="H76" i="25" s="1"/>
  <c r="E77" i="25"/>
  <c r="H77" i="25" s="1"/>
  <c r="E78" i="25"/>
  <c r="H78" i="25" s="1"/>
  <c r="E79" i="25"/>
  <c r="H79" i="25" s="1"/>
  <c r="E80" i="25"/>
  <c r="H80" i="25" s="1"/>
  <c r="E81" i="25"/>
  <c r="H81" i="25" s="1"/>
  <c r="E82" i="25"/>
  <c r="H82" i="25" s="1"/>
  <c r="E83" i="25"/>
  <c r="H83" i="25" s="1"/>
  <c r="E84" i="25"/>
  <c r="H84" i="25" s="1"/>
  <c r="E85" i="25"/>
  <c r="H85" i="25" s="1"/>
  <c r="E86" i="25"/>
  <c r="H86" i="25" s="1"/>
  <c r="E87" i="25"/>
  <c r="H87" i="25" s="1"/>
  <c r="E88" i="25"/>
  <c r="H88" i="25" s="1"/>
  <c r="E89" i="25"/>
  <c r="H89" i="25" s="1"/>
  <c r="E90" i="25"/>
  <c r="H90" i="25" s="1"/>
  <c r="E91" i="25"/>
  <c r="H91" i="25" s="1"/>
  <c r="E92" i="25"/>
  <c r="H92" i="25" s="1"/>
  <c r="E93" i="25"/>
  <c r="H93" i="25" s="1"/>
  <c r="E94" i="25"/>
  <c r="H94" i="25" s="1"/>
  <c r="E95" i="25"/>
  <c r="H95" i="25" s="1"/>
  <c r="E96" i="25"/>
  <c r="H96" i="25" s="1"/>
  <c r="E97" i="25"/>
  <c r="H97" i="25" s="1"/>
  <c r="E98" i="25"/>
  <c r="H98" i="25" s="1"/>
  <c r="E99" i="25"/>
  <c r="H99" i="25" s="1"/>
  <c r="E100" i="25"/>
  <c r="H100" i="25" s="1"/>
  <c r="E101" i="25"/>
  <c r="H101" i="25" s="1"/>
  <c r="E102" i="25"/>
  <c r="H102" i="25" s="1"/>
  <c r="E103" i="25"/>
  <c r="H103" i="25" s="1"/>
  <c r="E104" i="25"/>
  <c r="H104" i="25" s="1"/>
  <c r="E105" i="25"/>
  <c r="H105" i="25" s="1"/>
  <c r="E106" i="25"/>
  <c r="H106" i="25" s="1"/>
  <c r="E107" i="25"/>
  <c r="H107" i="25" s="1"/>
  <c r="E108" i="25"/>
  <c r="H108" i="25" s="1"/>
  <c r="E109" i="25"/>
  <c r="H109" i="25" s="1"/>
  <c r="E110" i="25"/>
  <c r="H110" i="25" s="1"/>
  <c r="E111" i="25"/>
  <c r="H111" i="25" s="1"/>
  <c r="E112" i="25"/>
  <c r="H112" i="25" s="1"/>
  <c r="E113" i="25"/>
  <c r="H113" i="25" s="1"/>
  <c r="E114" i="25"/>
  <c r="H114" i="25" s="1"/>
  <c r="E115" i="25"/>
  <c r="H115" i="25" s="1"/>
  <c r="E116" i="25"/>
  <c r="H116" i="25" s="1"/>
  <c r="E117" i="25"/>
  <c r="H117" i="25" s="1"/>
  <c r="E118" i="25"/>
  <c r="H118" i="25" s="1"/>
  <c r="E119" i="25"/>
  <c r="H119" i="25" s="1"/>
  <c r="E120" i="25"/>
  <c r="H120" i="25" s="1"/>
  <c r="E121" i="25"/>
  <c r="H121" i="25" s="1"/>
  <c r="E122" i="25"/>
  <c r="H122" i="25" s="1"/>
  <c r="E123" i="25"/>
  <c r="H123" i="25" s="1"/>
  <c r="E124" i="25"/>
  <c r="H124" i="25" s="1"/>
  <c r="E125" i="25"/>
  <c r="H125" i="25" s="1"/>
  <c r="E126" i="25"/>
  <c r="H126" i="25" s="1"/>
  <c r="E127" i="25"/>
  <c r="H127" i="25" s="1"/>
  <c r="E128" i="25"/>
  <c r="H128" i="25" s="1"/>
  <c r="E129" i="25"/>
  <c r="H129" i="25" s="1"/>
  <c r="E130" i="25"/>
  <c r="H130" i="25" s="1"/>
  <c r="E131" i="25"/>
  <c r="H131" i="25" s="1"/>
  <c r="E132" i="25"/>
  <c r="H132" i="25" s="1"/>
  <c r="E133" i="25"/>
  <c r="H133" i="25" s="1"/>
  <c r="E134" i="25"/>
  <c r="H134" i="25" s="1"/>
  <c r="E135" i="25"/>
  <c r="H135" i="25" s="1"/>
  <c r="E136" i="25"/>
  <c r="H136" i="25" s="1"/>
  <c r="E137" i="25"/>
  <c r="H137" i="25" s="1"/>
  <c r="E138" i="25"/>
  <c r="H138" i="25" s="1"/>
  <c r="E139" i="25"/>
  <c r="H139" i="25" s="1"/>
  <c r="E140" i="25"/>
  <c r="H140" i="25" s="1"/>
  <c r="E141" i="25"/>
  <c r="H141" i="25" s="1"/>
  <c r="E142" i="25"/>
  <c r="H142" i="25" s="1"/>
  <c r="E143" i="25"/>
  <c r="H143" i="25" s="1"/>
  <c r="E144" i="25"/>
  <c r="H144" i="25" s="1"/>
  <c r="E145" i="25"/>
  <c r="H145" i="25" s="1"/>
  <c r="E146" i="25"/>
  <c r="H146" i="25" s="1"/>
  <c r="E147" i="25"/>
  <c r="H147" i="25" s="1"/>
  <c r="E148" i="25"/>
  <c r="H148" i="25" s="1"/>
  <c r="E149" i="25"/>
  <c r="H149" i="25" s="1"/>
  <c r="E150" i="25"/>
  <c r="H150" i="25" s="1"/>
  <c r="E151" i="25"/>
  <c r="H151" i="25" s="1"/>
  <c r="E152" i="25"/>
  <c r="H152" i="25" s="1"/>
  <c r="E153" i="25"/>
  <c r="H153" i="25" s="1"/>
  <c r="E154" i="25"/>
  <c r="H154" i="25" s="1"/>
  <c r="E155" i="25"/>
  <c r="H155" i="25" s="1"/>
  <c r="E156" i="25"/>
  <c r="H156" i="25" s="1"/>
  <c r="E157" i="25"/>
  <c r="H157" i="25" s="1"/>
  <c r="E158" i="25"/>
  <c r="H158" i="25" s="1"/>
  <c r="E159" i="25"/>
  <c r="H159" i="25" s="1"/>
  <c r="E160" i="25"/>
  <c r="H160" i="25" s="1"/>
  <c r="E161" i="25"/>
  <c r="H161" i="25" s="1"/>
  <c r="E162" i="25"/>
  <c r="H162" i="25" s="1"/>
  <c r="E163" i="25"/>
  <c r="H163" i="25" s="1"/>
  <c r="E164" i="25"/>
  <c r="H164" i="25" s="1"/>
  <c r="E165" i="25"/>
  <c r="H165" i="25" s="1"/>
  <c r="E166" i="25"/>
  <c r="H166" i="25" s="1"/>
  <c r="E167" i="25"/>
  <c r="H167" i="25" s="1"/>
  <c r="E168" i="25"/>
  <c r="H168" i="25" s="1"/>
  <c r="E169" i="25"/>
  <c r="H169" i="25" s="1"/>
  <c r="E170" i="25"/>
  <c r="H170" i="25" s="1"/>
  <c r="E171" i="25"/>
  <c r="H171" i="25" s="1"/>
  <c r="E172" i="25"/>
  <c r="H172" i="25" s="1"/>
  <c r="E173" i="25"/>
  <c r="H173" i="25" s="1"/>
  <c r="E174" i="25"/>
  <c r="H174" i="25" s="1"/>
  <c r="E175" i="25"/>
  <c r="H175" i="25" s="1"/>
  <c r="E176" i="25"/>
  <c r="H176" i="25" s="1"/>
  <c r="E177" i="25"/>
  <c r="H177" i="25" s="1"/>
  <c r="E178" i="25"/>
  <c r="H178" i="25" s="1"/>
  <c r="E179" i="25"/>
  <c r="H179" i="25" s="1"/>
  <c r="E180" i="25"/>
  <c r="H180" i="25" s="1"/>
  <c r="E181" i="25"/>
  <c r="H181" i="25" s="1"/>
  <c r="E182" i="25"/>
  <c r="H182" i="25" s="1"/>
  <c r="E183" i="25"/>
  <c r="H183" i="25" s="1"/>
  <c r="E184" i="25"/>
  <c r="H184" i="25" s="1"/>
  <c r="E185" i="25"/>
  <c r="H185" i="25" s="1"/>
  <c r="E186" i="25"/>
  <c r="H186" i="25" s="1"/>
  <c r="E187" i="25"/>
  <c r="H187" i="25" s="1"/>
  <c r="E188" i="25"/>
  <c r="H188" i="25" s="1"/>
  <c r="E189" i="25"/>
  <c r="H189" i="25" s="1"/>
  <c r="E190" i="25"/>
  <c r="H190" i="25" s="1"/>
  <c r="E191" i="25"/>
  <c r="H191" i="25" s="1"/>
  <c r="E192" i="25"/>
  <c r="H192" i="25" s="1"/>
  <c r="E193" i="25"/>
  <c r="H193" i="25" s="1"/>
  <c r="E194" i="25"/>
  <c r="H194" i="25" s="1"/>
  <c r="E195" i="25"/>
  <c r="H195" i="25" s="1"/>
  <c r="E196" i="25"/>
  <c r="H196" i="25" s="1"/>
  <c r="E197" i="25"/>
  <c r="H197" i="25" s="1"/>
  <c r="E198" i="25"/>
  <c r="H198" i="25" s="1"/>
  <c r="E199" i="25"/>
  <c r="H199" i="25" s="1"/>
  <c r="E200" i="25"/>
  <c r="H200" i="25" s="1"/>
  <c r="E201" i="25"/>
  <c r="H201" i="25" s="1"/>
  <c r="E202" i="25"/>
  <c r="H202" i="25" s="1"/>
  <c r="E203" i="25"/>
  <c r="H203" i="25" s="1"/>
  <c r="E204" i="25"/>
  <c r="H204" i="25" s="1"/>
  <c r="E205" i="25"/>
  <c r="H205" i="25" s="1"/>
  <c r="E206" i="25"/>
  <c r="H206" i="25" s="1"/>
  <c r="E207" i="25"/>
  <c r="H207" i="25" s="1"/>
  <c r="E208" i="25"/>
  <c r="H208" i="25" s="1"/>
  <c r="E209" i="25"/>
  <c r="H209" i="25" s="1"/>
  <c r="E210" i="25"/>
  <c r="H210" i="25" s="1"/>
  <c r="E211" i="25"/>
  <c r="H211" i="25" s="1"/>
  <c r="E212" i="25"/>
  <c r="H212" i="25" s="1"/>
  <c r="E213" i="25"/>
  <c r="H213" i="25" s="1"/>
  <c r="E214" i="25"/>
  <c r="H214" i="25" s="1"/>
  <c r="E215" i="25"/>
  <c r="H215" i="25" s="1"/>
  <c r="E216" i="25"/>
  <c r="H216" i="25" s="1"/>
  <c r="E217" i="25"/>
  <c r="H217" i="25" s="1"/>
  <c r="E218" i="25"/>
  <c r="H218" i="25" s="1"/>
  <c r="E219" i="25"/>
  <c r="H219" i="25" s="1"/>
  <c r="E220" i="25"/>
  <c r="H220" i="25" s="1"/>
  <c r="E221" i="25"/>
  <c r="H221" i="25" s="1"/>
  <c r="E222" i="25"/>
  <c r="H222" i="25" s="1"/>
  <c r="E223" i="25"/>
  <c r="H223" i="25" s="1"/>
  <c r="E224" i="25"/>
  <c r="H224" i="25" s="1"/>
  <c r="E225" i="25"/>
  <c r="H225" i="25" s="1"/>
  <c r="E226" i="25"/>
  <c r="H226" i="25" s="1"/>
  <c r="E227" i="25"/>
  <c r="H227" i="25" s="1"/>
  <c r="E228" i="25"/>
  <c r="H228" i="25" s="1"/>
  <c r="E229" i="25"/>
  <c r="H229" i="25" s="1"/>
  <c r="E230" i="25"/>
  <c r="H230" i="25" s="1"/>
  <c r="E231" i="25"/>
  <c r="H231" i="25" s="1"/>
  <c r="E232" i="25"/>
  <c r="H232" i="25" s="1"/>
  <c r="E233" i="25"/>
  <c r="H233" i="25" s="1"/>
  <c r="E234" i="25"/>
  <c r="H234" i="25" s="1"/>
  <c r="E235" i="25"/>
  <c r="H235" i="25" s="1"/>
  <c r="E236" i="25"/>
  <c r="H236" i="25" s="1"/>
  <c r="E237" i="25"/>
  <c r="H237" i="25" s="1"/>
  <c r="E238" i="25"/>
  <c r="H238" i="25" s="1"/>
  <c r="E239" i="25"/>
  <c r="H239" i="25" s="1"/>
  <c r="E240" i="25"/>
  <c r="H240" i="25" s="1"/>
  <c r="E241" i="25"/>
  <c r="H241" i="25" s="1"/>
  <c r="E242" i="25"/>
  <c r="H242" i="25" s="1"/>
  <c r="E243" i="25"/>
  <c r="H243" i="25" s="1"/>
  <c r="E244" i="25"/>
  <c r="H244" i="25" s="1"/>
  <c r="E245" i="25"/>
  <c r="H245" i="25" s="1"/>
  <c r="E246" i="25"/>
  <c r="H246" i="25" s="1"/>
  <c r="E247" i="25"/>
  <c r="H247" i="25" s="1"/>
  <c r="E248" i="25"/>
  <c r="H248" i="25" s="1"/>
  <c r="E249" i="25"/>
  <c r="H249" i="25" s="1"/>
  <c r="E250" i="25"/>
  <c r="H250" i="25" s="1"/>
  <c r="E251" i="25"/>
  <c r="H251" i="25" s="1"/>
  <c r="E252" i="25"/>
  <c r="H252" i="25" s="1"/>
  <c r="E253" i="25"/>
  <c r="H253" i="25" s="1"/>
  <c r="E254" i="25"/>
  <c r="H254" i="25" s="1"/>
  <c r="E255" i="25"/>
  <c r="H255" i="25" s="1"/>
  <c r="E256" i="25"/>
  <c r="H256" i="25" s="1"/>
  <c r="E257" i="25"/>
  <c r="H257" i="25" s="1"/>
  <c r="E258" i="25"/>
  <c r="H258" i="25" s="1"/>
  <c r="E259" i="25"/>
  <c r="H259" i="25" s="1"/>
  <c r="E260" i="25"/>
  <c r="H260" i="25" s="1"/>
  <c r="E261" i="25"/>
  <c r="H261" i="25" s="1"/>
  <c r="E262" i="25"/>
  <c r="H262" i="25" s="1"/>
  <c r="E263" i="25"/>
  <c r="H263" i="25" s="1"/>
  <c r="E264" i="25"/>
  <c r="H264" i="25" s="1"/>
  <c r="E265" i="25"/>
  <c r="H265" i="25" s="1"/>
  <c r="E266" i="25"/>
  <c r="H266" i="25" s="1"/>
  <c r="E267" i="25"/>
  <c r="H267" i="25" s="1"/>
  <c r="E268" i="25"/>
  <c r="H268" i="25" s="1"/>
  <c r="E269" i="25"/>
  <c r="H269" i="25" s="1"/>
  <c r="E270" i="25"/>
  <c r="H270" i="25" s="1"/>
  <c r="E271" i="25"/>
  <c r="H271" i="25" s="1"/>
  <c r="E272" i="25"/>
  <c r="H272" i="25" s="1"/>
  <c r="E273" i="25"/>
  <c r="H273" i="25" s="1"/>
  <c r="E274" i="25"/>
  <c r="H274" i="25" s="1"/>
  <c r="E275" i="25"/>
  <c r="H275" i="25" s="1"/>
  <c r="E276" i="25"/>
  <c r="H276" i="25" s="1"/>
  <c r="E277" i="25"/>
  <c r="H277" i="25" s="1"/>
  <c r="E278" i="25"/>
  <c r="H278" i="25" s="1"/>
  <c r="E279" i="25"/>
  <c r="H279" i="25" s="1"/>
  <c r="E280" i="25"/>
  <c r="H280" i="25" s="1"/>
  <c r="E281" i="25"/>
  <c r="H281" i="25" s="1"/>
  <c r="E282" i="25"/>
  <c r="H282" i="25" s="1"/>
  <c r="E283" i="25"/>
  <c r="H283" i="25" s="1"/>
  <c r="E284" i="25"/>
  <c r="H284" i="25" s="1"/>
  <c r="E285" i="25"/>
  <c r="H285" i="25" s="1"/>
  <c r="E286" i="25"/>
  <c r="H286" i="25" s="1"/>
  <c r="E287" i="25"/>
  <c r="H287" i="25" s="1"/>
  <c r="E288" i="25"/>
  <c r="H288" i="25" s="1"/>
  <c r="E289" i="25"/>
  <c r="H289" i="25" s="1"/>
  <c r="E290" i="25"/>
  <c r="H290" i="25" s="1"/>
  <c r="E291" i="25"/>
  <c r="H291" i="25" s="1"/>
  <c r="E292" i="25"/>
  <c r="H292" i="25" s="1"/>
  <c r="E293" i="25"/>
  <c r="H293" i="25" s="1"/>
  <c r="E294" i="25"/>
  <c r="H294" i="25" s="1"/>
  <c r="E295" i="25"/>
  <c r="H295" i="25" s="1"/>
  <c r="E296" i="25"/>
  <c r="H296" i="25" s="1"/>
  <c r="E297" i="25"/>
  <c r="H297" i="25" s="1"/>
  <c r="E298" i="25"/>
  <c r="H298" i="25" s="1"/>
  <c r="E299" i="25"/>
  <c r="H299" i="25" s="1"/>
  <c r="E300" i="25"/>
  <c r="H300" i="25" s="1"/>
  <c r="E301" i="25"/>
  <c r="H301" i="25" s="1"/>
  <c r="E302" i="25"/>
  <c r="H302" i="25" s="1"/>
  <c r="E303" i="25"/>
  <c r="H303" i="25" s="1"/>
  <c r="E304" i="25"/>
  <c r="H304" i="25" s="1"/>
  <c r="E305" i="25"/>
  <c r="H305" i="25" s="1"/>
  <c r="E306" i="25"/>
  <c r="H306" i="25" s="1"/>
  <c r="E307" i="25"/>
  <c r="H307" i="25" s="1"/>
  <c r="E308" i="25"/>
  <c r="H308" i="25" s="1"/>
  <c r="E309" i="25"/>
  <c r="H309" i="25" s="1"/>
  <c r="E310" i="25"/>
  <c r="H310" i="25" s="1"/>
  <c r="E311" i="25"/>
  <c r="H311" i="25" s="1"/>
  <c r="E312" i="25"/>
  <c r="H312" i="25" s="1"/>
  <c r="E313" i="25"/>
  <c r="H313" i="25" s="1"/>
  <c r="E314" i="25"/>
  <c r="H314" i="25" s="1"/>
  <c r="E315" i="25"/>
  <c r="H315" i="25" s="1"/>
  <c r="E316" i="25"/>
  <c r="H316" i="25" s="1"/>
  <c r="E317" i="25"/>
  <c r="H317" i="25" s="1"/>
  <c r="E318" i="25"/>
  <c r="H318" i="25" s="1"/>
  <c r="E319" i="25"/>
  <c r="H319" i="25" s="1"/>
  <c r="E320" i="25"/>
  <c r="H320" i="25" s="1"/>
  <c r="E321" i="25"/>
  <c r="H321" i="25" s="1"/>
  <c r="E322" i="25"/>
  <c r="H322" i="25" s="1"/>
  <c r="E323" i="25"/>
  <c r="H323" i="25" s="1"/>
  <c r="E324" i="25"/>
  <c r="H324" i="25" s="1"/>
  <c r="E325" i="25"/>
  <c r="H325" i="25" s="1"/>
  <c r="E326" i="25"/>
  <c r="H326" i="25" s="1"/>
  <c r="E327" i="25"/>
  <c r="H327" i="25" s="1"/>
  <c r="E328" i="25"/>
  <c r="H328" i="25" s="1"/>
  <c r="E329" i="25"/>
  <c r="H329" i="25" s="1"/>
  <c r="E330" i="25"/>
  <c r="H330" i="25" s="1"/>
  <c r="E331" i="25"/>
  <c r="H331" i="25" s="1"/>
  <c r="E332" i="25"/>
  <c r="H332" i="25" s="1"/>
  <c r="E333" i="25"/>
  <c r="H333" i="25" s="1"/>
  <c r="E334" i="25"/>
  <c r="H334" i="25" s="1"/>
  <c r="E335" i="25"/>
  <c r="H335" i="25" s="1"/>
  <c r="E336" i="25"/>
  <c r="H336" i="25" s="1"/>
  <c r="E337" i="25"/>
  <c r="H337" i="25" s="1"/>
  <c r="E338" i="25"/>
  <c r="H338" i="25" s="1"/>
  <c r="E339" i="25"/>
  <c r="H339" i="25" s="1"/>
  <c r="E340" i="25"/>
  <c r="H340" i="25" s="1"/>
  <c r="E341" i="25"/>
  <c r="H341" i="25" s="1"/>
  <c r="E342" i="25"/>
  <c r="H342" i="25" s="1"/>
  <c r="E343" i="25"/>
  <c r="H343" i="25" s="1"/>
  <c r="E344" i="25"/>
  <c r="H344" i="25" s="1"/>
  <c r="E345" i="25"/>
  <c r="H345" i="25" s="1"/>
  <c r="E346" i="25"/>
  <c r="H346" i="25" s="1"/>
  <c r="E347" i="25"/>
  <c r="H347" i="25" s="1"/>
  <c r="E348" i="25"/>
  <c r="H348" i="25" s="1"/>
  <c r="E349" i="25"/>
  <c r="H349" i="25" s="1"/>
  <c r="E350" i="25"/>
  <c r="H350" i="25" s="1"/>
  <c r="E351" i="25"/>
  <c r="H351" i="25" s="1"/>
  <c r="E352" i="25"/>
  <c r="H352" i="25" s="1"/>
  <c r="E353" i="25"/>
  <c r="H353" i="25" s="1"/>
  <c r="E354" i="25"/>
  <c r="H354" i="25" s="1"/>
  <c r="E355" i="25"/>
  <c r="H355" i="25" s="1"/>
  <c r="E356" i="25"/>
  <c r="H356" i="25" s="1"/>
  <c r="E357" i="25"/>
  <c r="H357" i="25" s="1"/>
  <c r="E358" i="25"/>
  <c r="H358" i="25" s="1"/>
  <c r="E359" i="25"/>
  <c r="H359" i="25" s="1"/>
  <c r="E360" i="25"/>
  <c r="H360" i="25" s="1"/>
  <c r="E361" i="25"/>
  <c r="H361" i="25" s="1"/>
  <c r="E362" i="25"/>
  <c r="H362" i="25" s="1"/>
  <c r="E363" i="25"/>
  <c r="H363" i="25" s="1"/>
  <c r="E364" i="25"/>
  <c r="H364" i="25" s="1"/>
  <c r="E365" i="25"/>
  <c r="H365" i="25" s="1"/>
  <c r="E366" i="25"/>
  <c r="H366" i="25" s="1"/>
  <c r="E367" i="25"/>
  <c r="H367" i="25" s="1"/>
  <c r="E368" i="25"/>
  <c r="H368" i="25" s="1"/>
  <c r="E369" i="25"/>
  <c r="H369" i="25" s="1"/>
  <c r="E370" i="25"/>
  <c r="H370" i="25" s="1"/>
  <c r="E371" i="25"/>
  <c r="H371" i="25" s="1"/>
  <c r="E372" i="25"/>
  <c r="H372" i="25" s="1"/>
  <c r="E373" i="25"/>
  <c r="H373" i="25" s="1"/>
  <c r="E374" i="25"/>
  <c r="H374" i="25" s="1"/>
  <c r="E375" i="25"/>
  <c r="H375" i="25" s="1"/>
  <c r="E376" i="25"/>
  <c r="H376" i="25" s="1"/>
  <c r="E377" i="25"/>
  <c r="H377" i="25" s="1"/>
  <c r="E378" i="25"/>
  <c r="H378" i="25" s="1"/>
  <c r="E379" i="25"/>
  <c r="H379" i="25" s="1"/>
  <c r="E380" i="25"/>
  <c r="H380" i="25" s="1"/>
  <c r="E381" i="25"/>
  <c r="H381" i="25" s="1"/>
  <c r="E382" i="25"/>
  <c r="H382" i="25" s="1"/>
  <c r="E383" i="25"/>
  <c r="H383" i="25" s="1"/>
  <c r="E384" i="25"/>
  <c r="H384" i="25" s="1"/>
  <c r="E385" i="25"/>
  <c r="H385" i="25" s="1"/>
  <c r="E386" i="25"/>
  <c r="H386" i="25" s="1"/>
  <c r="E387" i="25"/>
  <c r="H387" i="25" s="1"/>
  <c r="E388" i="25"/>
  <c r="H388" i="25" s="1"/>
  <c r="E389" i="25"/>
  <c r="H389" i="25" s="1"/>
  <c r="E390" i="25"/>
  <c r="H390" i="25" s="1"/>
  <c r="E391" i="25"/>
  <c r="H391" i="25" s="1"/>
  <c r="E392" i="25"/>
  <c r="H392" i="25" s="1"/>
  <c r="E393" i="25"/>
  <c r="H393" i="25" s="1"/>
  <c r="E394" i="25"/>
  <c r="H394" i="25" s="1"/>
  <c r="E395" i="25"/>
  <c r="H395" i="25" s="1"/>
  <c r="E396" i="25"/>
  <c r="H396" i="25" s="1"/>
  <c r="E397" i="25"/>
  <c r="H397" i="25" s="1"/>
  <c r="E398" i="25"/>
  <c r="H398" i="25" s="1"/>
  <c r="E399" i="25"/>
  <c r="H399" i="25" s="1"/>
  <c r="E400" i="25"/>
  <c r="H400" i="25" s="1"/>
  <c r="E401" i="25"/>
  <c r="H401" i="25" s="1"/>
  <c r="E402" i="25"/>
  <c r="H402" i="25" s="1"/>
  <c r="E403" i="25"/>
  <c r="H403" i="25" s="1"/>
  <c r="E404" i="25"/>
  <c r="H404" i="25" s="1"/>
  <c r="E405" i="25"/>
  <c r="H405" i="25" s="1"/>
  <c r="E406" i="25"/>
  <c r="H406" i="25" s="1"/>
  <c r="E407" i="25"/>
  <c r="H407" i="25" s="1"/>
  <c r="E408" i="25"/>
  <c r="H408" i="25" s="1"/>
  <c r="E409" i="25"/>
  <c r="H409" i="25" s="1"/>
  <c r="E410" i="25"/>
  <c r="H410" i="25" s="1"/>
  <c r="E411" i="25"/>
  <c r="H411" i="25" s="1"/>
  <c r="E412" i="25"/>
  <c r="H412" i="25" s="1"/>
  <c r="E413" i="25"/>
  <c r="H413" i="25" s="1"/>
  <c r="E414" i="25"/>
  <c r="H414" i="25" s="1"/>
  <c r="E415" i="25"/>
  <c r="H415" i="25" s="1"/>
  <c r="E416" i="25"/>
  <c r="H416" i="25" s="1"/>
  <c r="E417" i="25"/>
  <c r="H417" i="25" s="1"/>
  <c r="E418" i="25"/>
  <c r="H418" i="25" s="1"/>
  <c r="E419" i="25"/>
  <c r="H419" i="25" s="1"/>
  <c r="E420" i="25"/>
  <c r="H420" i="25" s="1"/>
  <c r="E421" i="25"/>
  <c r="H421" i="25" s="1"/>
  <c r="E422" i="25"/>
  <c r="H422" i="25" s="1"/>
  <c r="E423" i="25"/>
  <c r="H423" i="25" s="1"/>
  <c r="E424" i="25"/>
  <c r="H424" i="25" s="1"/>
  <c r="E425" i="25"/>
  <c r="H425" i="25" s="1"/>
  <c r="E426" i="25"/>
  <c r="H426" i="25" s="1"/>
  <c r="E427" i="25"/>
  <c r="H427" i="25" s="1"/>
  <c r="E428" i="25"/>
  <c r="H428" i="25" s="1"/>
  <c r="E429" i="25"/>
  <c r="H429" i="25" s="1"/>
  <c r="E430" i="25"/>
  <c r="H430" i="25" s="1"/>
  <c r="E431" i="25"/>
  <c r="H431" i="25" s="1"/>
  <c r="E432" i="25"/>
  <c r="H432" i="25" s="1"/>
  <c r="E433" i="25"/>
  <c r="H433" i="25" s="1"/>
  <c r="E434" i="25"/>
  <c r="H434" i="25" s="1"/>
  <c r="E435" i="25"/>
  <c r="H435" i="25" s="1"/>
  <c r="E436" i="25"/>
  <c r="H436" i="25" s="1"/>
  <c r="E437" i="25"/>
  <c r="H437" i="25" s="1"/>
  <c r="E438" i="25"/>
  <c r="H438" i="25" s="1"/>
  <c r="E439" i="25"/>
  <c r="H439" i="25" s="1"/>
  <c r="E440" i="25"/>
  <c r="H440" i="25" s="1"/>
  <c r="E441" i="25"/>
  <c r="H441" i="25" s="1"/>
  <c r="E442" i="25"/>
  <c r="H442" i="25" s="1"/>
  <c r="E443" i="25"/>
  <c r="H443" i="25" s="1"/>
  <c r="E444" i="25"/>
  <c r="H444" i="25" s="1"/>
  <c r="E445" i="25"/>
  <c r="H445" i="25" s="1"/>
  <c r="E446" i="25"/>
  <c r="H446" i="25" s="1"/>
  <c r="E447" i="25"/>
  <c r="H447" i="25" s="1"/>
  <c r="E448" i="25"/>
  <c r="H448" i="25" s="1"/>
  <c r="E449" i="25"/>
  <c r="H449" i="25" s="1"/>
  <c r="E450" i="25"/>
  <c r="H450" i="25" s="1"/>
  <c r="E451" i="25"/>
  <c r="H451" i="25" s="1"/>
  <c r="E452" i="25"/>
  <c r="H452" i="25" s="1"/>
  <c r="E453" i="25"/>
  <c r="H453" i="25" s="1"/>
  <c r="E454" i="25"/>
  <c r="H454" i="25" s="1"/>
  <c r="E455" i="25"/>
  <c r="H455" i="25" s="1"/>
  <c r="E456" i="25"/>
  <c r="H456" i="25" s="1"/>
  <c r="E457" i="25"/>
  <c r="H457" i="25" s="1"/>
  <c r="E458" i="25"/>
  <c r="H458" i="25" s="1"/>
  <c r="E459" i="25"/>
  <c r="H459" i="25" s="1"/>
  <c r="E460" i="25"/>
  <c r="H460" i="25" s="1"/>
  <c r="E461" i="25"/>
  <c r="H461" i="25" s="1"/>
  <c r="E462" i="25"/>
  <c r="H462" i="25" s="1"/>
  <c r="E463" i="25"/>
  <c r="H463" i="25" s="1"/>
  <c r="E464" i="25"/>
  <c r="H464" i="25" s="1"/>
  <c r="E465" i="25"/>
  <c r="H465" i="25" s="1"/>
  <c r="E466" i="25"/>
  <c r="H466" i="25" s="1"/>
  <c r="E467" i="25"/>
  <c r="H467" i="25" s="1"/>
  <c r="E468" i="25"/>
  <c r="H468" i="25" s="1"/>
  <c r="E469" i="25"/>
  <c r="H469" i="25" s="1"/>
  <c r="E470" i="25"/>
  <c r="H470" i="25" s="1"/>
  <c r="E471" i="25"/>
  <c r="H471" i="25" s="1"/>
  <c r="E472" i="25"/>
  <c r="H472" i="25" s="1"/>
  <c r="E473" i="25"/>
  <c r="H473" i="25" s="1"/>
  <c r="E474" i="25"/>
  <c r="H474" i="25" s="1"/>
  <c r="E475" i="25"/>
  <c r="H475" i="25" s="1"/>
  <c r="E476" i="25"/>
  <c r="H476" i="25" s="1"/>
  <c r="E477" i="25"/>
  <c r="H477" i="25" s="1"/>
  <c r="E478" i="25"/>
  <c r="H478" i="25" s="1"/>
  <c r="E479" i="25"/>
  <c r="H479" i="25" s="1"/>
  <c r="E480" i="25"/>
  <c r="H480" i="25" s="1"/>
  <c r="E481" i="25"/>
  <c r="H481" i="25" s="1"/>
  <c r="E482" i="25"/>
  <c r="H482" i="25" s="1"/>
  <c r="E483" i="25"/>
  <c r="H483" i="25" s="1"/>
  <c r="E484" i="25"/>
  <c r="H484" i="25" s="1"/>
  <c r="E485" i="25"/>
  <c r="H485" i="25" s="1"/>
  <c r="E486" i="25"/>
  <c r="H486" i="25" s="1"/>
  <c r="E487" i="25"/>
  <c r="H487" i="25" s="1"/>
  <c r="E488" i="25"/>
  <c r="H488" i="25" s="1"/>
  <c r="E489" i="25"/>
  <c r="H489" i="25" s="1"/>
  <c r="E490" i="25"/>
  <c r="H490" i="25" s="1"/>
  <c r="E491" i="25"/>
  <c r="H491" i="25" s="1"/>
  <c r="E492" i="25"/>
  <c r="H492" i="25" s="1"/>
  <c r="E493" i="25"/>
  <c r="H493" i="25" s="1"/>
  <c r="E494" i="25"/>
  <c r="H494" i="25" s="1"/>
  <c r="E495" i="25"/>
  <c r="H495" i="25" s="1"/>
  <c r="E496" i="25"/>
  <c r="H496" i="25" s="1"/>
  <c r="E497" i="25"/>
  <c r="H497" i="25" s="1"/>
  <c r="E498" i="25"/>
  <c r="H498" i="25" s="1"/>
  <c r="E499" i="25"/>
  <c r="H499" i="25" s="1"/>
  <c r="E500" i="25"/>
  <c r="H500" i="25" s="1"/>
  <c r="E501" i="25"/>
  <c r="H501" i="25" s="1"/>
  <c r="E502" i="25"/>
  <c r="H502" i="25" s="1"/>
  <c r="E503" i="25"/>
  <c r="H503" i="25" s="1"/>
  <c r="E504" i="25"/>
  <c r="H504" i="25" s="1"/>
  <c r="E505" i="25"/>
  <c r="H505" i="25" s="1"/>
  <c r="E506" i="25"/>
  <c r="H506" i="25" s="1"/>
  <c r="E507" i="25"/>
  <c r="H507" i="25" s="1"/>
  <c r="E508" i="25"/>
  <c r="H508" i="25" s="1"/>
  <c r="E509" i="25"/>
  <c r="H509" i="25" s="1"/>
  <c r="E510" i="25"/>
  <c r="H510" i="25" s="1"/>
  <c r="E511" i="25"/>
  <c r="H511" i="25" s="1"/>
  <c r="E512" i="25"/>
  <c r="H512" i="25" s="1"/>
  <c r="E513" i="25"/>
  <c r="H513" i="25" s="1"/>
  <c r="E514" i="25"/>
  <c r="H514" i="25" s="1"/>
  <c r="E515" i="25"/>
  <c r="H515" i="25" s="1"/>
  <c r="E516" i="25"/>
  <c r="H516" i="25" s="1"/>
  <c r="E517" i="25"/>
  <c r="H517" i="25" s="1"/>
  <c r="E518" i="25"/>
  <c r="H518" i="25" s="1"/>
  <c r="E519" i="25"/>
  <c r="H519" i="25" s="1"/>
  <c r="E520" i="25"/>
  <c r="H520" i="25" s="1"/>
  <c r="E521" i="25"/>
  <c r="H521" i="25" s="1"/>
  <c r="E522" i="25"/>
  <c r="H522" i="25" s="1"/>
  <c r="E523" i="25"/>
  <c r="H523" i="25" s="1"/>
  <c r="E524" i="25"/>
  <c r="H524" i="25" s="1"/>
  <c r="E525" i="25"/>
  <c r="H525" i="25" s="1"/>
  <c r="E526" i="25"/>
  <c r="H526" i="25" s="1"/>
  <c r="E527" i="25"/>
  <c r="H527" i="25" s="1"/>
  <c r="E528" i="25"/>
  <c r="H528" i="25" s="1"/>
  <c r="E529" i="25"/>
  <c r="H529" i="25" s="1"/>
  <c r="E530" i="25"/>
  <c r="H530" i="25" s="1"/>
  <c r="E531" i="25"/>
  <c r="H531" i="25" s="1"/>
  <c r="E532" i="25"/>
  <c r="H532" i="25" s="1"/>
  <c r="E533" i="25"/>
  <c r="H533" i="25" s="1"/>
  <c r="E534" i="25"/>
  <c r="H534" i="25" s="1"/>
  <c r="E535" i="25"/>
  <c r="H535" i="25" s="1"/>
  <c r="E536" i="25"/>
  <c r="H536" i="25" s="1"/>
  <c r="E537" i="25"/>
  <c r="H537" i="25" s="1"/>
  <c r="E538" i="25"/>
  <c r="H538" i="25" s="1"/>
  <c r="E539" i="25"/>
  <c r="H539" i="25" s="1"/>
  <c r="E540" i="25"/>
  <c r="H540" i="25" s="1"/>
  <c r="E541" i="25"/>
  <c r="H541" i="25" s="1"/>
  <c r="E542" i="25"/>
  <c r="H542" i="25" s="1"/>
  <c r="E543" i="25"/>
  <c r="H543" i="25" s="1"/>
  <c r="E544" i="25"/>
  <c r="H544" i="25" s="1"/>
  <c r="E545" i="25"/>
  <c r="H545" i="25" s="1"/>
  <c r="E546" i="25"/>
  <c r="H546" i="25" s="1"/>
  <c r="E547" i="25"/>
  <c r="H547" i="25" s="1"/>
  <c r="E548" i="25"/>
  <c r="H548" i="25" s="1"/>
  <c r="E549" i="25"/>
  <c r="H549" i="25" s="1"/>
  <c r="E550" i="25"/>
  <c r="H550" i="25" s="1"/>
  <c r="E551" i="25"/>
  <c r="H551" i="25" s="1"/>
  <c r="E552" i="25"/>
  <c r="H552" i="25" s="1"/>
  <c r="E553" i="25"/>
  <c r="H553" i="25" s="1"/>
  <c r="E554" i="25"/>
  <c r="H554" i="25" s="1"/>
  <c r="E555" i="25"/>
  <c r="H555" i="25" s="1"/>
  <c r="E556" i="25"/>
  <c r="H556" i="25" s="1"/>
  <c r="E557" i="25"/>
  <c r="H557" i="25" s="1"/>
  <c r="E558" i="25"/>
  <c r="H558" i="25" s="1"/>
  <c r="E559" i="25"/>
  <c r="H559" i="25" s="1"/>
  <c r="E560" i="25"/>
  <c r="H560" i="25" s="1"/>
  <c r="E561" i="25"/>
  <c r="H561" i="25" s="1"/>
  <c r="E562" i="25"/>
  <c r="H562" i="25" s="1"/>
  <c r="E563" i="25"/>
  <c r="H563" i="25" s="1"/>
  <c r="E564" i="25"/>
  <c r="H564" i="25" s="1"/>
  <c r="E565" i="25"/>
  <c r="H565" i="25" s="1"/>
  <c r="E566" i="25"/>
  <c r="H566" i="25" s="1"/>
  <c r="E567" i="25"/>
  <c r="H567" i="25" s="1"/>
  <c r="E568" i="25"/>
  <c r="H568" i="25" s="1"/>
  <c r="E569" i="25"/>
  <c r="H569" i="25" s="1"/>
  <c r="E570" i="25"/>
  <c r="H570" i="25" s="1"/>
  <c r="E571" i="25"/>
  <c r="H571" i="25" s="1"/>
  <c r="E572" i="25"/>
  <c r="H572" i="25" s="1"/>
  <c r="E573" i="25"/>
  <c r="H573" i="25" s="1"/>
  <c r="E574" i="25"/>
  <c r="H574" i="25" s="1"/>
  <c r="E575" i="25"/>
  <c r="H575" i="25" s="1"/>
  <c r="E576" i="25"/>
  <c r="H576" i="25" s="1"/>
  <c r="E577" i="25"/>
  <c r="H577" i="25" s="1"/>
  <c r="E578" i="25"/>
  <c r="H578" i="25" s="1"/>
  <c r="E579" i="25"/>
  <c r="H579" i="25" s="1"/>
  <c r="E580" i="25"/>
  <c r="H580" i="25" s="1"/>
  <c r="E581" i="25"/>
  <c r="H581" i="25" s="1"/>
  <c r="E582" i="25"/>
  <c r="H582" i="25" s="1"/>
  <c r="E583" i="25"/>
  <c r="H583" i="25" s="1"/>
  <c r="E584" i="25"/>
  <c r="H584" i="25" s="1"/>
  <c r="E585" i="25"/>
  <c r="H585" i="25" s="1"/>
  <c r="E586" i="25"/>
  <c r="H586" i="25" s="1"/>
  <c r="E587" i="25"/>
  <c r="H587" i="25" s="1"/>
  <c r="E588" i="25"/>
  <c r="H588" i="25" s="1"/>
  <c r="E589" i="25"/>
  <c r="H589" i="25" s="1"/>
  <c r="E590" i="25"/>
  <c r="H590" i="25" s="1"/>
  <c r="E591" i="25"/>
  <c r="H591" i="25" s="1"/>
  <c r="E592" i="25"/>
  <c r="H592" i="25" s="1"/>
  <c r="E593" i="25"/>
  <c r="H593" i="25" s="1"/>
  <c r="E594" i="25"/>
  <c r="H594" i="25" s="1"/>
  <c r="E595" i="25"/>
  <c r="H595" i="25" s="1"/>
  <c r="E596" i="25"/>
  <c r="H596" i="25" s="1"/>
  <c r="E597" i="25"/>
  <c r="H597" i="25" s="1"/>
  <c r="E598" i="25"/>
  <c r="H598" i="25" s="1"/>
  <c r="E599" i="25"/>
  <c r="H599" i="25" s="1"/>
  <c r="E600" i="25"/>
  <c r="H600" i="25" s="1"/>
  <c r="E601" i="25"/>
  <c r="H601" i="25" s="1"/>
  <c r="E602" i="25"/>
  <c r="H602" i="25" s="1"/>
  <c r="E603" i="25"/>
  <c r="H603" i="25" s="1"/>
  <c r="E604" i="25"/>
  <c r="H604" i="25" s="1"/>
  <c r="E605" i="25"/>
  <c r="H605" i="25" s="1"/>
  <c r="E606" i="25"/>
  <c r="H606" i="25" s="1"/>
  <c r="E607" i="25"/>
  <c r="H607" i="25" s="1"/>
  <c r="E608" i="25"/>
  <c r="H608" i="25" s="1"/>
  <c r="E609" i="25"/>
  <c r="H609" i="25" s="1"/>
  <c r="E610" i="25"/>
  <c r="H610" i="25" s="1"/>
  <c r="E611" i="25"/>
  <c r="H611" i="25" s="1"/>
  <c r="E612" i="25"/>
  <c r="H612" i="25" s="1"/>
  <c r="E613" i="25"/>
  <c r="H613" i="25" s="1"/>
  <c r="E614" i="25"/>
  <c r="H614" i="25" s="1"/>
  <c r="E615" i="25"/>
  <c r="H615" i="25" s="1"/>
  <c r="E616" i="25"/>
  <c r="H616" i="25" s="1"/>
  <c r="E617" i="25"/>
  <c r="H617" i="25" s="1"/>
  <c r="E618" i="25"/>
  <c r="H618" i="25" s="1"/>
  <c r="E619" i="25"/>
  <c r="H619" i="25" s="1"/>
  <c r="E620" i="25"/>
  <c r="H620" i="25" s="1"/>
  <c r="E621" i="25"/>
  <c r="H621" i="25" s="1"/>
  <c r="E622" i="25"/>
  <c r="H622" i="25" s="1"/>
  <c r="E623" i="25"/>
  <c r="H623" i="25" s="1"/>
  <c r="E624" i="25"/>
  <c r="H624" i="25" s="1"/>
  <c r="E625" i="25"/>
  <c r="H625" i="25" s="1"/>
  <c r="E626" i="25"/>
  <c r="H626" i="25" s="1"/>
  <c r="E627" i="25"/>
  <c r="H627" i="25" s="1"/>
  <c r="E628" i="25"/>
  <c r="H628" i="25" s="1"/>
  <c r="E629" i="25"/>
  <c r="H629" i="25" s="1"/>
  <c r="E630" i="25"/>
  <c r="H630" i="25" s="1"/>
  <c r="E631" i="25"/>
  <c r="H631" i="25" s="1"/>
  <c r="E632" i="25"/>
  <c r="H632" i="25" s="1"/>
  <c r="E633" i="25"/>
  <c r="H633" i="25" s="1"/>
  <c r="E634" i="25"/>
  <c r="H634" i="25" s="1"/>
  <c r="E635" i="25"/>
  <c r="H635" i="25" s="1"/>
  <c r="E636" i="25"/>
  <c r="H636" i="25" s="1"/>
  <c r="E637" i="25"/>
  <c r="H637" i="25" s="1"/>
  <c r="E638" i="25"/>
  <c r="H638" i="25" s="1"/>
  <c r="D8" i="25"/>
  <c r="F8" i="25" s="1"/>
  <c r="D9" i="25"/>
  <c r="F9" i="25" s="1"/>
  <c r="D10" i="25"/>
  <c r="F10" i="25" s="1"/>
  <c r="D11" i="25"/>
  <c r="F11" i="25" s="1"/>
  <c r="D12" i="25"/>
  <c r="F12" i="25" s="1"/>
  <c r="D13" i="25"/>
  <c r="F13" i="25" s="1"/>
  <c r="D14" i="25"/>
  <c r="F14" i="25" s="1"/>
  <c r="D15" i="25"/>
  <c r="F15" i="25" s="1"/>
  <c r="D16" i="25"/>
  <c r="F16" i="25" s="1"/>
  <c r="D17" i="25"/>
  <c r="F17" i="25" s="1"/>
  <c r="D18" i="25"/>
  <c r="F18" i="25" s="1"/>
  <c r="D19" i="25"/>
  <c r="F19" i="25" s="1"/>
  <c r="D20" i="25"/>
  <c r="F20" i="25" s="1"/>
  <c r="D21" i="25"/>
  <c r="F21" i="25" s="1"/>
  <c r="D22" i="25"/>
  <c r="F22" i="25" s="1"/>
  <c r="D23" i="25"/>
  <c r="F23" i="25" s="1"/>
  <c r="D24" i="25"/>
  <c r="F24" i="25" s="1"/>
  <c r="D25" i="25"/>
  <c r="F25" i="25" s="1"/>
  <c r="D26" i="25"/>
  <c r="F26" i="25" s="1"/>
  <c r="D27" i="25"/>
  <c r="F27" i="25" s="1"/>
  <c r="D28" i="25"/>
  <c r="F28" i="25" s="1"/>
  <c r="D29" i="25"/>
  <c r="F29" i="25" s="1"/>
  <c r="D30" i="25"/>
  <c r="F30" i="25" s="1"/>
  <c r="D31" i="25"/>
  <c r="F31" i="25" s="1"/>
  <c r="D32" i="25"/>
  <c r="F32" i="25" s="1"/>
  <c r="D33" i="25"/>
  <c r="F33" i="25" s="1"/>
  <c r="D34" i="25"/>
  <c r="F34" i="25" s="1"/>
  <c r="D35" i="25"/>
  <c r="F35" i="25" s="1"/>
  <c r="D36" i="25"/>
  <c r="F36" i="25" s="1"/>
  <c r="D37" i="25"/>
  <c r="F37" i="25" s="1"/>
  <c r="D38" i="25"/>
  <c r="F38" i="25" s="1"/>
  <c r="D39" i="25"/>
  <c r="F39" i="25" s="1"/>
  <c r="D40" i="25"/>
  <c r="F40" i="25" s="1"/>
  <c r="D41" i="25"/>
  <c r="F41" i="25" s="1"/>
  <c r="D42" i="25"/>
  <c r="F42" i="25" s="1"/>
  <c r="D43" i="25"/>
  <c r="F43" i="25" s="1"/>
  <c r="D44" i="25"/>
  <c r="F44" i="25" s="1"/>
  <c r="D45" i="25"/>
  <c r="F45" i="25" s="1"/>
  <c r="D46" i="25"/>
  <c r="F46" i="25" s="1"/>
  <c r="D47" i="25"/>
  <c r="F47" i="25" s="1"/>
  <c r="D48" i="25"/>
  <c r="F48" i="25" s="1"/>
  <c r="D49" i="25"/>
  <c r="F49" i="25" s="1"/>
  <c r="D50" i="25"/>
  <c r="F50" i="25" s="1"/>
  <c r="D51" i="25"/>
  <c r="F51" i="25" s="1"/>
  <c r="D52" i="25"/>
  <c r="F52" i="25" s="1"/>
  <c r="D53" i="25"/>
  <c r="F53" i="25" s="1"/>
  <c r="D54" i="25"/>
  <c r="F54" i="25" s="1"/>
  <c r="D55" i="25"/>
  <c r="F55" i="25" s="1"/>
  <c r="D56" i="25"/>
  <c r="F56" i="25" s="1"/>
  <c r="D57" i="25"/>
  <c r="F57" i="25" s="1"/>
  <c r="D58" i="25"/>
  <c r="F58" i="25" s="1"/>
  <c r="D59" i="25"/>
  <c r="F59" i="25" s="1"/>
  <c r="D60" i="25"/>
  <c r="F60" i="25" s="1"/>
  <c r="D61" i="25"/>
  <c r="F61" i="25" s="1"/>
  <c r="D62" i="25"/>
  <c r="F62" i="25" s="1"/>
  <c r="D63" i="25"/>
  <c r="F63" i="25" s="1"/>
  <c r="D64" i="25"/>
  <c r="F64" i="25" s="1"/>
  <c r="D65" i="25"/>
  <c r="F65" i="25" s="1"/>
  <c r="D66" i="25"/>
  <c r="F66" i="25" s="1"/>
  <c r="D67" i="25"/>
  <c r="F67" i="25" s="1"/>
  <c r="D68" i="25"/>
  <c r="F68" i="25" s="1"/>
  <c r="D69" i="25"/>
  <c r="F69" i="25" s="1"/>
  <c r="D70" i="25"/>
  <c r="F70" i="25" s="1"/>
  <c r="D71" i="25"/>
  <c r="F71" i="25" s="1"/>
  <c r="D72" i="25"/>
  <c r="F72" i="25" s="1"/>
  <c r="D73" i="25"/>
  <c r="F73" i="25" s="1"/>
  <c r="D74" i="25"/>
  <c r="F74" i="25" s="1"/>
  <c r="D75" i="25"/>
  <c r="F75" i="25" s="1"/>
  <c r="D76" i="25"/>
  <c r="F76" i="25" s="1"/>
  <c r="D77" i="25"/>
  <c r="F77" i="25" s="1"/>
  <c r="D78" i="25"/>
  <c r="F78" i="25" s="1"/>
  <c r="D79" i="25"/>
  <c r="F79" i="25" s="1"/>
  <c r="D80" i="25"/>
  <c r="F80" i="25" s="1"/>
  <c r="D81" i="25"/>
  <c r="F81" i="25" s="1"/>
  <c r="D82" i="25"/>
  <c r="F82" i="25" s="1"/>
  <c r="D83" i="25"/>
  <c r="F83" i="25" s="1"/>
  <c r="D84" i="25"/>
  <c r="F84" i="25" s="1"/>
  <c r="D85" i="25"/>
  <c r="F85" i="25" s="1"/>
  <c r="D86" i="25"/>
  <c r="F86" i="25" s="1"/>
  <c r="D87" i="25"/>
  <c r="F87" i="25" s="1"/>
  <c r="D88" i="25"/>
  <c r="F88" i="25" s="1"/>
  <c r="D89" i="25"/>
  <c r="F89" i="25" s="1"/>
  <c r="D90" i="25"/>
  <c r="F90" i="25" s="1"/>
  <c r="D91" i="25"/>
  <c r="F91" i="25" s="1"/>
  <c r="D92" i="25"/>
  <c r="F92" i="25" s="1"/>
  <c r="D93" i="25"/>
  <c r="F93" i="25" s="1"/>
  <c r="D94" i="25"/>
  <c r="F94" i="25" s="1"/>
  <c r="D95" i="25"/>
  <c r="F95" i="25" s="1"/>
  <c r="D96" i="25"/>
  <c r="F96" i="25" s="1"/>
  <c r="D97" i="25"/>
  <c r="F97" i="25" s="1"/>
  <c r="D98" i="25"/>
  <c r="F98" i="25" s="1"/>
  <c r="D99" i="25"/>
  <c r="F99" i="25" s="1"/>
  <c r="D100" i="25"/>
  <c r="F100" i="25" s="1"/>
  <c r="D101" i="25"/>
  <c r="F101" i="25" s="1"/>
  <c r="D102" i="25"/>
  <c r="F102" i="25" s="1"/>
  <c r="D103" i="25"/>
  <c r="F103" i="25" s="1"/>
  <c r="D104" i="25"/>
  <c r="F104" i="25" s="1"/>
  <c r="D105" i="25"/>
  <c r="F105" i="25" s="1"/>
  <c r="D106" i="25"/>
  <c r="F106" i="25" s="1"/>
  <c r="D107" i="25"/>
  <c r="F107" i="25" s="1"/>
  <c r="D108" i="25"/>
  <c r="F108" i="25" s="1"/>
  <c r="D109" i="25"/>
  <c r="F109" i="25" s="1"/>
  <c r="D110" i="25"/>
  <c r="F110" i="25" s="1"/>
  <c r="D111" i="25"/>
  <c r="F111" i="25" s="1"/>
  <c r="D112" i="25"/>
  <c r="F112" i="25" s="1"/>
  <c r="D113" i="25"/>
  <c r="F113" i="25" s="1"/>
  <c r="D114" i="25"/>
  <c r="F114" i="25" s="1"/>
  <c r="D115" i="25"/>
  <c r="F115" i="25" s="1"/>
  <c r="D116" i="25"/>
  <c r="F116" i="25" s="1"/>
  <c r="D117" i="25"/>
  <c r="F117" i="25" s="1"/>
  <c r="D118" i="25"/>
  <c r="F118" i="25" s="1"/>
  <c r="D119" i="25"/>
  <c r="F119" i="25" s="1"/>
  <c r="D120" i="25"/>
  <c r="F120" i="25" s="1"/>
  <c r="D121" i="25"/>
  <c r="F121" i="25" s="1"/>
  <c r="D122" i="25"/>
  <c r="F122" i="25" s="1"/>
  <c r="D123" i="25"/>
  <c r="F123" i="25" s="1"/>
  <c r="D124" i="25"/>
  <c r="F124" i="25" s="1"/>
  <c r="D125" i="25"/>
  <c r="F125" i="25" s="1"/>
  <c r="D126" i="25"/>
  <c r="F126" i="25" s="1"/>
  <c r="D127" i="25"/>
  <c r="F127" i="25" s="1"/>
  <c r="D128" i="25"/>
  <c r="F128" i="25" s="1"/>
  <c r="D129" i="25"/>
  <c r="F129" i="25" s="1"/>
  <c r="D130" i="25"/>
  <c r="F130" i="25" s="1"/>
  <c r="D131" i="25"/>
  <c r="F131" i="25" s="1"/>
  <c r="D132" i="25"/>
  <c r="F132" i="25" s="1"/>
  <c r="D133" i="25"/>
  <c r="F133" i="25" s="1"/>
  <c r="D134" i="25"/>
  <c r="F134" i="25" s="1"/>
  <c r="D135" i="25"/>
  <c r="F135" i="25" s="1"/>
  <c r="D136" i="25"/>
  <c r="F136" i="25" s="1"/>
  <c r="D137" i="25"/>
  <c r="F137" i="25" s="1"/>
  <c r="D138" i="25"/>
  <c r="F138" i="25" s="1"/>
  <c r="D139" i="25"/>
  <c r="F139" i="25" s="1"/>
  <c r="D140" i="25"/>
  <c r="F140" i="25" s="1"/>
  <c r="D141" i="25"/>
  <c r="F141" i="25" s="1"/>
  <c r="D142" i="25"/>
  <c r="F142" i="25" s="1"/>
  <c r="D143" i="25"/>
  <c r="F143" i="25" s="1"/>
  <c r="D144" i="25"/>
  <c r="F144" i="25" s="1"/>
  <c r="D145" i="25"/>
  <c r="F145" i="25" s="1"/>
  <c r="D146" i="25"/>
  <c r="F146" i="25" s="1"/>
  <c r="D147" i="25"/>
  <c r="F147" i="25" s="1"/>
  <c r="D148" i="25"/>
  <c r="F148" i="25" s="1"/>
  <c r="D149" i="25"/>
  <c r="F149" i="25" s="1"/>
  <c r="D150" i="25"/>
  <c r="F150" i="25" s="1"/>
  <c r="D151" i="25"/>
  <c r="F151" i="25" s="1"/>
  <c r="D152" i="25"/>
  <c r="F152" i="25" s="1"/>
  <c r="D153" i="25"/>
  <c r="F153" i="25" s="1"/>
  <c r="D154" i="25"/>
  <c r="F154" i="25" s="1"/>
  <c r="D155" i="25"/>
  <c r="F155" i="25" s="1"/>
  <c r="D156" i="25"/>
  <c r="F156" i="25" s="1"/>
  <c r="D157" i="25"/>
  <c r="F157" i="25" s="1"/>
  <c r="D158" i="25"/>
  <c r="F158" i="25" s="1"/>
  <c r="D159" i="25"/>
  <c r="F159" i="25" s="1"/>
  <c r="D160" i="25"/>
  <c r="F160" i="25" s="1"/>
  <c r="D161" i="25"/>
  <c r="F161" i="25" s="1"/>
  <c r="D162" i="25"/>
  <c r="F162" i="25" s="1"/>
  <c r="D163" i="25"/>
  <c r="F163" i="25" s="1"/>
  <c r="D164" i="25"/>
  <c r="F164" i="25" s="1"/>
  <c r="D165" i="25"/>
  <c r="F165" i="25" s="1"/>
  <c r="D166" i="25"/>
  <c r="F166" i="25" s="1"/>
  <c r="D167" i="25"/>
  <c r="F167" i="25" s="1"/>
  <c r="D168" i="25"/>
  <c r="F168" i="25" s="1"/>
  <c r="D169" i="25"/>
  <c r="F169" i="25" s="1"/>
  <c r="D170" i="25"/>
  <c r="F170" i="25" s="1"/>
  <c r="D171" i="25"/>
  <c r="F171" i="25" s="1"/>
  <c r="D172" i="25"/>
  <c r="F172" i="25" s="1"/>
  <c r="D173" i="25"/>
  <c r="F173" i="25" s="1"/>
  <c r="D174" i="25"/>
  <c r="F174" i="25" s="1"/>
  <c r="D175" i="25"/>
  <c r="F175" i="25" s="1"/>
  <c r="D176" i="25"/>
  <c r="F176" i="25" s="1"/>
  <c r="D177" i="25"/>
  <c r="F177" i="25" s="1"/>
  <c r="D178" i="25"/>
  <c r="F178" i="25" s="1"/>
  <c r="D179" i="25"/>
  <c r="F179" i="25" s="1"/>
  <c r="D180" i="25"/>
  <c r="F180" i="25" s="1"/>
  <c r="D181" i="25"/>
  <c r="F181" i="25" s="1"/>
  <c r="D182" i="25"/>
  <c r="F182" i="25" s="1"/>
  <c r="D183" i="25"/>
  <c r="F183" i="25" s="1"/>
  <c r="D184" i="25"/>
  <c r="F184" i="25" s="1"/>
  <c r="D185" i="25"/>
  <c r="F185" i="25" s="1"/>
  <c r="D186" i="25"/>
  <c r="F186" i="25" s="1"/>
  <c r="D187" i="25"/>
  <c r="F187" i="25" s="1"/>
  <c r="D188" i="25"/>
  <c r="F188" i="25" s="1"/>
  <c r="D189" i="25"/>
  <c r="F189" i="25" s="1"/>
  <c r="D190" i="25"/>
  <c r="F190" i="25" s="1"/>
  <c r="D191" i="25"/>
  <c r="F191" i="25" s="1"/>
  <c r="D192" i="25"/>
  <c r="F192" i="25" s="1"/>
  <c r="D193" i="25"/>
  <c r="F193" i="25" s="1"/>
  <c r="D194" i="25"/>
  <c r="F194" i="25" s="1"/>
  <c r="D195" i="25"/>
  <c r="F195" i="25" s="1"/>
  <c r="D196" i="25"/>
  <c r="F196" i="25" s="1"/>
  <c r="D197" i="25"/>
  <c r="F197" i="25" s="1"/>
  <c r="D198" i="25"/>
  <c r="F198" i="25" s="1"/>
  <c r="D199" i="25"/>
  <c r="F199" i="25" s="1"/>
  <c r="D200" i="25"/>
  <c r="F200" i="25" s="1"/>
  <c r="D201" i="25"/>
  <c r="F201" i="25" s="1"/>
  <c r="D202" i="25"/>
  <c r="F202" i="25" s="1"/>
  <c r="D203" i="25"/>
  <c r="F203" i="25" s="1"/>
  <c r="D204" i="25"/>
  <c r="F204" i="25" s="1"/>
  <c r="D205" i="25"/>
  <c r="F205" i="25" s="1"/>
  <c r="D206" i="25"/>
  <c r="F206" i="25" s="1"/>
  <c r="D207" i="25"/>
  <c r="F207" i="25" s="1"/>
  <c r="D208" i="25"/>
  <c r="F208" i="25" s="1"/>
  <c r="D209" i="25"/>
  <c r="F209" i="25" s="1"/>
  <c r="D210" i="25"/>
  <c r="F210" i="25" s="1"/>
  <c r="D211" i="25"/>
  <c r="F211" i="25" s="1"/>
  <c r="D212" i="25"/>
  <c r="F212" i="25" s="1"/>
  <c r="D213" i="25"/>
  <c r="F213" i="25" s="1"/>
  <c r="D214" i="25"/>
  <c r="F214" i="25" s="1"/>
  <c r="D215" i="25"/>
  <c r="F215" i="25" s="1"/>
  <c r="D216" i="25"/>
  <c r="F216" i="25" s="1"/>
  <c r="D217" i="25"/>
  <c r="F217" i="25" s="1"/>
  <c r="D218" i="25"/>
  <c r="F218" i="25" s="1"/>
  <c r="D219" i="25"/>
  <c r="F219" i="25" s="1"/>
  <c r="D220" i="25"/>
  <c r="F220" i="25" s="1"/>
  <c r="D221" i="25"/>
  <c r="F221" i="25" s="1"/>
  <c r="D222" i="25"/>
  <c r="F222" i="25" s="1"/>
  <c r="D223" i="25"/>
  <c r="F223" i="25" s="1"/>
  <c r="D224" i="25"/>
  <c r="F224" i="25" s="1"/>
  <c r="D225" i="25"/>
  <c r="F225" i="25" s="1"/>
  <c r="D226" i="25"/>
  <c r="F226" i="25" s="1"/>
  <c r="D227" i="25"/>
  <c r="F227" i="25" s="1"/>
  <c r="D228" i="25"/>
  <c r="F228" i="25" s="1"/>
  <c r="D229" i="25"/>
  <c r="F229" i="25" s="1"/>
  <c r="D230" i="25"/>
  <c r="F230" i="25" s="1"/>
  <c r="D231" i="25"/>
  <c r="F231" i="25" s="1"/>
  <c r="D232" i="25"/>
  <c r="F232" i="25" s="1"/>
  <c r="D233" i="25"/>
  <c r="F233" i="25" s="1"/>
  <c r="D234" i="25"/>
  <c r="F234" i="25" s="1"/>
  <c r="D235" i="25"/>
  <c r="F235" i="25" s="1"/>
  <c r="D236" i="25"/>
  <c r="F236" i="25" s="1"/>
  <c r="D237" i="25"/>
  <c r="F237" i="25" s="1"/>
  <c r="D238" i="25"/>
  <c r="F238" i="25" s="1"/>
  <c r="D239" i="25"/>
  <c r="F239" i="25" s="1"/>
  <c r="D240" i="25"/>
  <c r="F240" i="25" s="1"/>
  <c r="D241" i="25"/>
  <c r="F241" i="25" s="1"/>
  <c r="D242" i="25"/>
  <c r="F242" i="25" s="1"/>
  <c r="D243" i="25"/>
  <c r="F243" i="25" s="1"/>
  <c r="D244" i="25"/>
  <c r="F244" i="25" s="1"/>
  <c r="D245" i="25"/>
  <c r="F245" i="25" s="1"/>
  <c r="D246" i="25"/>
  <c r="F246" i="25" s="1"/>
  <c r="D247" i="25"/>
  <c r="F247" i="25" s="1"/>
  <c r="D248" i="25"/>
  <c r="F248" i="25" s="1"/>
  <c r="D249" i="25"/>
  <c r="F249" i="25" s="1"/>
  <c r="D250" i="25"/>
  <c r="F250" i="25" s="1"/>
  <c r="D251" i="25"/>
  <c r="F251" i="25" s="1"/>
  <c r="D252" i="25"/>
  <c r="F252" i="25" s="1"/>
  <c r="D253" i="25"/>
  <c r="F253" i="25" s="1"/>
  <c r="D254" i="25"/>
  <c r="F254" i="25" s="1"/>
  <c r="D255" i="25"/>
  <c r="F255" i="25" s="1"/>
  <c r="D256" i="25"/>
  <c r="F256" i="25" s="1"/>
  <c r="D257" i="25"/>
  <c r="F257" i="25" s="1"/>
  <c r="D258" i="25"/>
  <c r="F258" i="25" s="1"/>
  <c r="D259" i="25"/>
  <c r="F259" i="25" s="1"/>
  <c r="D260" i="25"/>
  <c r="F260" i="25" s="1"/>
  <c r="D261" i="25"/>
  <c r="F261" i="25" s="1"/>
  <c r="D262" i="25"/>
  <c r="F262" i="25" s="1"/>
  <c r="D263" i="25"/>
  <c r="F263" i="25" s="1"/>
  <c r="D264" i="25"/>
  <c r="F264" i="25" s="1"/>
  <c r="D265" i="25"/>
  <c r="F265" i="25" s="1"/>
  <c r="D266" i="25"/>
  <c r="F266" i="25" s="1"/>
  <c r="D267" i="25"/>
  <c r="F267" i="25" s="1"/>
  <c r="D268" i="25"/>
  <c r="F268" i="25" s="1"/>
  <c r="D269" i="25"/>
  <c r="F269" i="25" s="1"/>
  <c r="D270" i="25"/>
  <c r="F270" i="25" s="1"/>
  <c r="D271" i="25"/>
  <c r="F271" i="25" s="1"/>
  <c r="D272" i="25"/>
  <c r="F272" i="25" s="1"/>
  <c r="D273" i="25"/>
  <c r="F273" i="25" s="1"/>
  <c r="D274" i="25"/>
  <c r="F274" i="25" s="1"/>
  <c r="D275" i="25"/>
  <c r="F275" i="25" s="1"/>
  <c r="D276" i="25"/>
  <c r="F276" i="25" s="1"/>
  <c r="D277" i="25"/>
  <c r="F277" i="25" s="1"/>
  <c r="D278" i="25"/>
  <c r="F278" i="25" s="1"/>
  <c r="D279" i="25"/>
  <c r="F279" i="25" s="1"/>
  <c r="D280" i="25"/>
  <c r="F280" i="25" s="1"/>
  <c r="D281" i="25"/>
  <c r="F281" i="25" s="1"/>
  <c r="D282" i="25"/>
  <c r="F282" i="25" s="1"/>
  <c r="D283" i="25"/>
  <c r="F283" i="25" s="1"/>
  <c r="D284" i="25"/>
  <c r="F284" i="25" s="1"/>
  <c r="D285" i="25"/>
  <c r="F285" i="25" s="1"/>
  <c r="D286" i="25"/>
  <c r="F286" i="25" s="1"/>
  <c r="D287" i="25"/>
  <c r="F287" i="25" s="1"/>
  <c r="D288" i="25"/>
  <c r="F288" i="25" s="1"/>
  <c r="D289" i="25"/>
  <c r="F289" i="25" s="1"/>
  <c r="D290" i="25"/>
  <c r="F290" i="25" s="1"/>
  <c r="D291" i="25"/>
  <c r="F291" i="25" s="1"/>
  <c r="D292" i="25"/>
  <c r="F292" i="25" s="1"/>
  <c r="D293" i="25"/>
  <c r="F293" i="25" s="1"/>
  <c r="D294" i="25"/>
  <c r="F294" i="25" s="1"/>
  <c r="D295" i="25"/>
  <c r="F295" i="25" s="1"/>
  <c r="D296" i="25"/>
  <c r="F296" i="25" s="1"/>
  <c r="D297" i="25"/>
  <c r="F297" i="25" s="1"/>
  <c r="D298" i="25"/>
  <c r="F298" i="25" s="1"/>
  <c r="D299" i="25"/>
  <c r="F299" i="25" s="1"/>
  <c r="D300" i="25"/>
  <c r="F300" i="25" s="1"/>
  <c r="D301" i="25"/>
  <c r="F301" i="25" s="1"/>
  <c r="D302" i="25"/>
  <c r="F302" i="25" s="1"/>
  <c r="D303" i="25"/>
  <c r="F303" i="25" s="1"/>
  <c r="D304" i="25"/>
  <c r="F304" i="25" s="1"/>
  <c r="D305" i="25"/>
  <c r="F305" i="25" s="1"/>
  <c r="D306" i="25"/>
  <c r="F306" i="25" s="1"/>
  <c r="D307" i="25"/>
  <c r="F307" i="25" s="1"/>
  <c r="D308" i="25"/>
  <c r="F308" i="25" s="1"/>
  <c r="D309" i="25"/>
  <c r="F309" i="25" s="1"/>
  <c r="D310" i="25"/>
  <c r="F310" i="25" s="1"/>
  <c r="D311" i="25"/>
  <c r="F311" i="25" s="1"/>
  <c r="D312" i="25"/>
  <c r="F312" i="25" s="1"/>
  <c r="D313" i="25"/>
  <c r="F313" i="25" s="1"/>
  <c r="D314" i="25"/>
  <c r="F314" i="25" s="1"/>
  <c r="D315" i="25"/>
  <c r="F315" i="25" s="1"/>
  <c r="D316" i="25"/>
  <c r="F316" i="25" s="1"/>
  <c r="D317" i="25"/>
  <c r="F317" i="25" s="1"/>
  <c r="D318" i="25"/>
  <c r="F318" i="25" s="1"/>
  <c r="D319" i="25"/>
  <c r="F319" i="25" s="1"/>
  <c r="D320" i="25"/>
  <c r="F320" i="25" s="1"/>
  <c r="D321" i="25"/>
  <c r="F321" i="25" s="1"/>
  <c r="D322" i="25"/>
  <c r="F322" i="25" s="1"/>
  <c r="D323" i="25"/>
  <c r="F323" i="25" s="1"/>
  <c r="D324" i="25"/>
  <c r="F324" i="25" s="1"/>
  <c r="D325" i="25"/>
  <c r="F325" i="25" s="1"/>
  <c r="D326" i="25"/>
  <c r="F326" i="25" s="1"/>
  <c r="D327" i="25"/>
  <c r="F327" i="25" s="1"/>
  <c r="D328" i="25"/>
  <c r="F328" i="25" s="1"/>
  <c r="D329" i="25"/>
  <c r="F329" i="25" s="1"/>
  <c r="D330" i="25"/>
  <c r="F330" i="25" s="1"/>
  <c r="D331" i="25"/>
  <c r="F331" i="25" s="1"/>
  <c r="D332" i="25"/>
  <c r="F332" i="25" s="1"/>
  <c r="D333" i="25"/>
  <c r="F333" i="25" s="1"/>
  <c r="D334" i="25"/>
  <c r="F334" i="25" s="1"/>
  <c r="D335" i="25"/>
  <c r="F335" i="25" s="1"/>
  <c r="D336" i="25"/>
  <c r="F336" i="25" s="1"/>
  <c r="D337" i="25"/>
  <c r="F337" i="25" s="1"/>
  <c r="D338" i="25"/>
  <c r="F338" i="25" s="1"/>
  <c r="D339" i="25"/>
  <c r="F339" i="25" s="1"/>
  <c r="D340" i="25"/>
  <c r="F340" i="25" s="1"/>
  <c r="D341" i="25"/>
  <c r="F341" i="25" s="1"/>
  <c r="D342" i="25"/>
  <c r="F342" i="25" s="1"/>
  <c r="D343" i="25"/>
  <c r="F343" i="25" s="1"/>
  <c r="D344" i="25"/>
  <c r="F344" i="25" s="1"/>
  <c r="D345" i="25"/>
  <c r="F345" i="25" s="1"/>
  <c r="D346" i="25"/>
  <c r="F346" i="25" s="1"/>
  <c r="D347" i="25"/>
  <c r="F347" i="25" s="1"/>
  <c r="D348" i="25"/>
  <c r="F348" i="25" s="1"/>
  <c r="D349" i="25"/>
  <c r="F349" i="25" s="1"/>
  <c r="D350" i="25"/>
  <c r="F350" i="25" s="1"/>
  <c r="D351" i="25"/>
  <c r="F351" i="25" s="1"/>
  <c r="D352" i="25"/>
  <c r="F352" i="25" s="1"/>
  <c r="D353" i="25"/>
  <c r="F353" i="25" s="1"/>
  <c r="D354" i="25"/>
  <c r="F354" i="25" s="1"/>
  <c r="D355" i="25"/>
  <c r="F355" i="25" s="1"/>
  <c r="D356" i="25"/>
  <c r="F356" i="25" s="1"/>
  <c r="D357" i="25"/>
  <c r="F357" i="25" s="1"/>
  <c r="D358" i="25"/>
  <c r="F358" i="25" s="1"/>
  <c r="D359" i="25"/>
  <c r="F359" i="25" s="1"/>
  <c r="D360" i="25"/>
  <c r="F360" i="25" s="1"/>
  <c r="D361" i="25"/>
  <c r="F361" i="25" s="1"/>
  <c r="D362" i="25"/>
  <c r="F362" i="25" s="1"/>
  <c r="D363" i="25"/>
  <c r="F363" i="25" s="1"/>
  <c r="D364" i="25"/>
  <c r="F364" i="25" s="1"/>
  <c r="D365" i="25"/>
  <c r="F365" i="25" s="1"/>
  <c r="D366" i="25"/>
  <c r="F366" i="25" s="1"/>
  <c r="D367" i="25"/>
  <c r="F367" i="25" s="1"/>
  <c r="D368" i="25"/>
  <c r="F368" i="25" s="1"/>
  <c r="D369" i="25"/>
  <c r="F369" i="25" s="1"/>
  <c r="D370" i="25"/>
  <c r="F370" i="25" s="1"/>
  <c r="D371" i="25"/>
  <c r="F371" i="25" s="1"/>
  <c r="D372" i="25"/>
  <c r="F372" i="25" s="1"/>
  <c r="D373" i="25"/>
  <c r="F373" i="25" s="1"/>
  <c r="D374" i="25"/>
  <c r="F374" i="25" s="1"/>
  <c r="D375" i="25"/>
  <c r="F375" i="25" s="1"/>
  <c r="D376" i="25"/>
  <c r="F376" i="25" s="1"/>
  <c r="D377" i="25"/>
  <c r="F377" i="25" s="1"/>
  <c r="D378" i="25"/>
  <c r="F378" i="25" s="1"/>
  <c r="D379" i="25"/>
  <c r="F379" i="25" s="1"/>
  <c r="D380" i="25"/>
  <c r="F380" i="25" s="1"/>
  <c r="D381" i="25"/>
  <c r="F381" i="25" s="1"/>
  <c r="D382" i="25"/>
  <c r="F382" i="25" s="1"/>
  <c r="D383" i="25"/>
  <c r="F383" i="25" s="1"/>
  <c r="D384" i="25"/>
  <c r="F384" i="25" s="1"/>
  <c r="D385" i="25"/>
  <c r="F385" i="25" s="1"/>
  <c r="D386" i="25"/>
  <c r="F386" i="25" s="1"/>
  <c r="D387" i="25"/>
  <c r="F387" i="25" s="1"/>
  <c r="D388" i="25"/>
  <c r="F388" i="25" s="1"/>
  <c r="D389" i="25"/>
  <c r="F389" i="25" s="1"/>
  <c r="D390" i="25"/>
  <c r="F390" i="25" s="1"/>
  <c r="D391" i="25"/>
  <c r="F391" i="25" s="1"/>
  <c r="D392" i="25"/>
  <c r="F392" i="25" s="1"/>
  <c r="D393" i="25"/>
  <c r="F393" i="25" s="1"/>
  <c r="D394" i="25"/>
  <c r="F394" i="25" s="1"/>
  <c r="D395" i="25"/>
  <c r="F395" i="25" s="1"/>
  <c r="D396" i="25"/>
  <c r="F396" i="25" s="1"/>
  <c r="D397" i="25"/>
  <c r="F397" i="25" s="1"/>
  <c r="D398" i="25"/>
  <c r="F398" i="25" s="1"/>
  <c r="D399" i="25"/>
  <c r="F399" i="25" s="1"/>
  <c r="D400" i="25"/>
  <c r="F400" i="25" s="1"/>
  <c r="D401" i="25"/>
  <c r="F401" i="25" s="1"/>
  <c r="D402" i="25"/>
  <c r="F402" i="25" s="1"/>
  <c r="D403" i="25"/>
  <c r="F403" i="25" s="1"/>
  <c r="D404" i="25"/>
  <c r="F404" i="25" s="1"/>
  <c r="D405" i="25"/>
  <c r="F405" i="25" s="1"/>
  <c r="D406" i="25"/>
  <c r="F406" i="25" s="1"/>
  <c r="D407" i="25"/>
  <c r="F407" i="25" s="1"/>
  <c r="D408" i="25"/>
  <c r="F408" i="25" s="1"/>
  <c r="D409" i="25"/>
  <c r="F409" i="25" s="1"/>
  <c r="D410" i="25"/>
  <c r="F410" i="25" s="1"/>
  <c r="D411" i="25"/>
  <c r="F411" i="25" s="1"/>
  <c r="D412" i="25"/>
  <c r="F412" i="25" s="1"/>
  <c r="D413" i="25"/>
  <c r="F413" i="25" s="1"/>
  <c r="D414" i="25"/>
  <c r="F414" i="25" s="1"/>
  <c r="D415" i="25"/>
  <c r="F415" i="25" s="1"/>
  <c r="D416" i="25"/>
  <c r="F416" i="25" s="1"/>
  <c r="D417" i="25"/>
  <c r="F417" i="25" s="1"/>
  <c r="D418" i="25"/>
  <c r="F418" i="25" s="1"/>
  <c r="D419" i="25"/>
  <c r="F419" i="25" s="1"/>
  <c r="D420" i="25"/>
  <c r="F420" i="25" s="1"/>
  <c r="D421" i="25"/>
  <c r="F421" i="25" s="1"/>
  <c r="D422" i="25"/>
  <c r="F422" i="25" s="1"/>
  <c r="D423" i="25"/>
  <c r="F423" i="25" s="1"/>
  <c r="D424" i="25"/>
  <c r="F424" i="25" s="1"/>
  <c r="D425" i="25"/>
  <c r="F425" i="25" s="1"/>
  <c r="D426" i="25"/>
  <c r="F426" i="25" s="1"/>
  <c r="D427" i="25"/>
  <c r="F427" i="25" s="1"/>
  <c r="D428" i="25"/>
  <c r="F428" i="25" s="1"/>
  <c r="D429" i="25"/>
  <c r="F429" i="25" s="1"/>
  <c r="D430" i="25"/>
  <c r="F430" i="25" s="1"/>
  <c r="D431" i="25"/>
  <c r="F431" i="25" s="1"/>
  <c r="D432" i="25"/>
  <c r="F432" i="25" s="1"/>
  <c r="D433" i="25"/>
  <c r="F433" i="25" s="1"/>
  <c r="D434" i="25"/>
  <c r="F434" i="25" s="1"/>
  <c r="D435" i="25"/>
  <c r="F435" i="25" s="1"/>
  <c r="D436" i="25"/>
  <c r="F436" i="25" s="1"/>
  <c r="D437" i="25"/>
  <c r="F437" i="25" s="1"/>
  <c r="D438" i="25"/>
  <c r="F438" i="25" s="1"/>
  <c r="D439" i="25"/>
  <c r="F439" i="25" s="1"/>
  <c r="D440" i="25"/>
  <c r="F440" i="25" s="1"/>
  <c r="D441" i="25"/>
  <c r="F441" i="25" s="1"/>
  <c r="D442" i="25"/>
  <c r="F442" i="25" s="1"/>
  <c r="D443" i="25"/>
  <c r="F443" i="25" s="1"/>
  <c r="D444" i="25"/>
  <c r="F444" i="25" s="1"/>
  <c r="D445" i="25"/>
  <c r="F445" i="25" s="1"/>
  <c r="D446" i="25"/>
  <c r="F446" i="25" s="1"/>
  <c r="D447" i="25"/>
  <c r="F447" i="25" s="1"/>
  <c r="D448" i="25"/>
  <c r="F448" i="25" s="1"/>
  <c r="D449" i="25"/>
  <c r="F449" i="25" s="1"/>
  <c r="D450" i="25"/>
  <c r="F450" i="25" s="1"/>
  <c r="D451" i="25"/>
  <c r="F451" i="25" s="1"/>
  <c r="D452" i="25"/>
  <c r="F452" i="25" s="1"/>
  <c r="D453" i="25"/>
  <c r="F453" i="25" s="1"/>
  <c r="D454" i="25"/>
  <c r="F454" i="25" s="1"/>
  <c r="D455" i="25"/>
  <c r="F455" i="25" s="1"/>
  <c r="D456" i="25"/>
  <c r="F456" i="25" s="1"/>
  <c r="D457" i="25"/>
  <c r="F457" i="25" s="1"/>
  <c r="D458" i="25"/>
  <c r="F458" i="25" s="1"/>
  <c r="D459" i="25"/>
  <c r="F459" i="25" s="1"/>
  <c r="D460" i="25"/>
  <c r="F460" i="25" s="1"/>
  <c r="D461" i="25"/>
  <c r="F461" i="25" s="1"/>
  <c r="D462" i="25"/>
  <c r="F462" i="25" s="1"/>
  <c r="D463" i="25"/>
  <c r="F463" i="25" s="1"/>
  <c r="D464" i="25"/>
  <c r="F464" i="25" s="1"/>
  <c r="D465" i="25"/>
  <c r="F465" i="25" s="1"/>
  <c r="D466" i="25"/>
  <c r="F466" i="25" s="1"/>
  <c r="D467" i="25"/>
  <c r="F467" i="25" s="1"/>
  <c r="D468" i="25"/>
  <c r="F468" i="25" s="1"/>
  <c r="D469" i="25"/>
  <c r="F469" i="25" s="1"/>
  <c r="D470" i="25"/>
  <c r="F470" i="25" s="1"/>
  <c r="D471" i="25"/>
  <c r="F471" i="25" s="1"/>
  <c r="D472" i="25"/>
  <c r="F472" i="25" s="1"/>
  <c r="D473" i="25"/>
  <c r="F473" i="25" s="1"/>
  <c r="D474" i="25"/>
  <c r="F474" i="25" s="1"/>
  <c r="D475" i="25"/>
  <c r="F475" i="25" s="1"/>
  <c r="D476" i="25"/>
  <c r="F476" i="25" s="1"/>
  <c r="D477" i="25"/>
  <c r="F477" i="25" s="1"/>
  <c r="D478" i="25"/>
  <c r="F478" i="25" s="1"/>
  <c r="D479" i="25"/>
  <c r="F479" i="25" s="1"/>
  <c r="D480" i="25"/>
  <c r="F480" i="25" s="1"/>
  <c r="D481" i="25"/>
  <c r="F481" i="25" s="1"/>
  <c r="D482" i="25"/>
  <c r="F482" i="25" s="1"/>
  <c r="D483" i="25"/>
  <c r="F483" i="25" s="1"/>
  <c r="D484" i="25"/>
  <c r="F484" i="25" s="1"/>
  <c r="D485" i="25"/>
  <c r="F485" i="25" s="1"/>
  <c r="D486" i="25"/>
  <c r="F486" i="25" s="1"/>
  <c r="D487" i="25"/>
  <c r="F487" i="25" s="1"/>
  <c r="D488" i="25"/>
  <c r="F488" i="25" s="1"/>
  <c r="D489" i="25"/>
  <c r="F489" i="25" s="1"/>
  <c r="D490" i="25"/>
  <c r="F490" i="25" s="1"/>
  <c r="D491" i="25"/>
  <c r="F491" i="25" s="1"/>
  <c r="D492" i="25"/>
  <c r="F492" i="25" s="1"/>
  <c r="D493" i="25"/>
  <c r="F493" i="25" s="1"/>
  <c r="D494" i="25"/>
  <c r="F494" i="25" s="1"/>
  <c r="D495" i="25"/>
  <c r="F495" i="25" s="1"/>
  <c r="D496" i="25"/>
  <c r="F496" i="25" s="1"/>
  <c r="D497" i="25"/>
  <c r="F497" i="25" s="1"/>
  <c r="D498" i="25"/>
  <c r="F498" i="25" s="1"/>
  <c r="D499" i="25"/>
  <c r="F499" i="25" s="1"/>
  <c r="D500" i="25"/>
  <c r="F500" i="25" s="1"/>
  <c r="D501" i="25"/>
  <c r="F501" i="25" s="1"/>
  <c r="D502" i="25"/>
  <c r="F502" i="25" s="1"/>
  <c r="D503" i="25"/>
  <c r="F503" i="25" s="1"/>
  <c r="D504" i="25"/>
  <c r="F504" i="25" s="1"/>
  <c r="D505" i="25"/>
  <c r="F505" i="25" s="1"/>
  <c r="D506" i="25"/>
  <c r="F506" i="25" s="1"/>
  <c r="D507" i="25"/>
  <c r="F507" i="25" s="1"/>
  <c r="D508" i="25"/>
  <c r="F508" i="25" s="1"/>
  <c r="D509" i="25"/>
  <c r="F509" i="25" s="1"/>
  <c r="D510" i="25"/>
  <c r="F510" i="25" s="1"/>
  <c r="D511" i="25"/>
  <c r="F511" i="25" s="1"/>
  <c r="D512" i="25"/>
  <c r="F512" i="25" s="1"/>
  <c r="D513" i="25"/>
  <c r="F513" i="25" s="1"/>
  <c r="D514" i="25"/>
  <c r="F514" i="25" s="1"/>
  <c r="D515" i="25"/>
  <c r="F515" i="25" s="1"/>
  <c r="D516" i="25"/>
  <c r="F516" i="25" s="1"/>
  <c r="D517" i="25"/>
  <c r="F517" i="25" s="1"/>
  <c r="D518" i="25"/>
  <c r="F518" i="25" s="1"/>
  <c r="D519" i="25"/>
  <c r="F519" i="25" s="1"/>
  <c r="D520" i="25"/>
  <c r="F520" i="25" s="1"/>
  <c r="D521" i="25"/>
  <c r="F521" i="25" s="1"/>
  <c r="D522" i="25"/>
  <c r="F522" i="25" s="1"/>
  <c r="D523" i="25"/>
  <c r="F523" i="25" s="1"/>
  <c r="D524" i="25"/>
  <c r="F524" i="25" s="1"/>
  <c r="D525" i="25"/>
  <c r="F525" i="25" s="1"/>
  <c r="D526" i="25"/>
  <c r="F526" i="25" s="1"/>
  <c r="D527" i="25"/>
  <c r="F527" i="25" s="1"/>
  <c r="D528" i="25"/>
  <c r="F528" i="25" s="1"/>
  <c r="D529" i="25"/>
  <c r="F529" i="25" s="1"/>
  <c r="D530" i="25"/>
  <c r="F530" i="25" s="1"/>
  <c r="D531" i="25"/>
  <c r="F531" i="25" s="1"/>
  <c r="D532" i="25"/>
  <c r="F532" i="25" s="1"/>
  <c r="D533" i="25"/>
  <c r="F533" i="25" s="1"/>
  <c r="D534" i="25"/>
  <c r="F534" i="25" s="1"/>
  <c r="D535" i="25"/>
  <c r="F535" i="25" s="1"/>
  <c r="D536" i="25"/>
  <c r="F536" i="25" s="1"/>
  <c r="D537" i="25"/>
  <c r="F537" i="25" s="1"/>
  <c r="D538" i="25"/>
  <c r="F538" i="25" s="1"/>
  <c r="D539" i="25"/>
  <c r="F539" i="25" s="1"/>
  <c r="D540" i="25"/>
  <c r="F540" i="25" s="1"/>
  <c r="D541" i="25"/>
  <c r="F541" i="25" s="1"/>
  <c r="D542" i="25"/>
  <c r="F542" i="25" s="1"/>
  <c r="D543" i="25"/>
  <c r="F543" i="25" s="1"/>
  <c r="D544" i="25"/>
  <c r="F544" i="25" s="1"/>
  <c r="D545" i="25"/>
  <c r="F545" i="25" s="1"/>
  <c r="D546" i="25"/>
  <c r="F546" i="25" s="1"/>
  <c r="D547" i="25"/>
  <c r="F547" i="25" s="1"/>
  <c r="D548" i="25"/>
  <c r="F548" i="25" s="1"/>
  <c r="D549" i="25"/>
  <c r="F549" i="25" s="1"/>
  <c r="D550" i="25"/>
  <c r="F550" i="25" s="1"/>
  <c r="D551" i="25"/>
  <c r="F551" i="25" s="1"/>
  <c r="D552" i="25"/>
  <c r="F552" i="25" s="1"/>
  <c r="D553" i="25"/>
  <c r="F553" i="25" s="1"/>
  <c r="D554" i="25"/>
  <c r="F554" i="25" s="1"/>
  <c r="D555" i="25"/>
  <c r="F555" i="25" s="1"/>
  <c r="D556" i="25"/>
  <c r="F556" i="25" s="1"/>
  <c r="D557" i="25"/>
  <c r="F557" i="25" s="1"/>
  <c r="D558" i="25"/>
  <c r="F558" i="25" s="1"/>
  <c r="D559" i="25"/>
  <c r="F559" i="25" s="1"/>
  <c r="D560" i="25"/>
  <c r="F560" i="25" s="1"/>
  <c r="D561" i="25"/>
  <c r="F561" i="25" s="1"/>
  <c r="D562" i="25"/>
  <c r="F562" i="25" s="1"/>
  <c r="D563" i="25"/>
  <c r="F563" i="25" s="1"/>
  <c r="D564" i="25"/>
  <c r="F564" i="25" s="1"/>
  <c r="D565" i="25"/>
  <c r="F565" i="25" s="1"/>
  <c r="D566" i="25"/>
  <c r="F566" i="25" s="1"/>
  <c r="D567" i="25"/>
  <c r="F567" i="25" s="1"/>
  <c r="D568" i="25"/>
  <c r="F568" i="25" s="1"/>
  <c r="D569" i="25"/>
  <c r="F569" i="25" s="1"/>
  <c r="D570" i="25"/>
  <c r="F570" i="25" s="1"/>
  <c r="D571" i="25"/>
  <c r="F571" i="25" s="1"/>
  <c r="D572" i="25"/>
  <c r="F572" i="25" s="1"/>
  <c r="D573" i="25"/>
  <c r="F573" i="25" s="1"/>
  <c r="D574" i="25"/>
  <c r="F574" i="25" s="1"/>
  <c r="D575" i="25"/>
  <c r="F575" i="25" s="1"/>
  <c r="D576" i="25"/>
  <c r="F576" i="25" s="1"/>
  <c r="D577" i="25"/>
  <c r="F577" i="25" s="1"/>
  <c r="D578" i="25"/>
  <c r="F578" i="25" s="1"/>
  <c r="D579" i="25"/>
  <c r="F579" i="25" s="1"/>
  <c r="D580" i="25"/>
  <c r="F580" i="25" s="1"/>
  <c r="D581" i="25"/>
  <c r="F581" i="25" s="1"/>
  <c r="D582" i="25"/>
  <c r="F582" i="25" s="1"/>
  <c r="D583" i="25"/>
  <c r="F583" i="25" s="1"/>
  <c r="D584" i="25"/>
  <c r="F584" i="25" s="1"/>
  <c r="D585" i="25"/>
  <c r="F585" i="25" s="1"/>
  <c r="D586" i="25"/>
  <c r="F586" i="25" s="1"/>
  <c r="D587" i="25"/>
  <c r="F587" i="25" s="1"/>
  <c r="D588" i="25"/>
  <c r="F588" i="25" s="1"/>
  <c r="D589" i="25"/>
  <c r="F589" i="25" s="1"/>
  <c r="D590" i="25"/>
  <c r="F590" i="25" s="1"/>
  <c r="D591" i="25"/>
  <c r="F591" i="25" s="1"/>
  <c r="D592" i="25"/>
  <c r="F592" i="25" s="1"/>
  <c r="D593" i="25"/>
  <c r="F593" i="25" s="1"/>
  <c r="D594" i="25"/>
  <c r="F594" i="25" s="1"/>
  <c r="D595" i="25"/>
  <c r="F595" i="25" s="1"/>
  <c r="D596" i="25"/>
  <c r="F596" i="25" s="1"/>
  <c r="D597" i="25"/>
  <c r="F597" i="25" s="1"/>
  <c r="D598" i="25"/>
  <c r="F598" i="25" s="1"/>
  <c r="D599" i="25"/>
  <c r="F599" i="25" s="1"/>
  <c r="D600" i="25"/>
  <c r="F600" i="25" s="1"/>
  <c r="D601" i="25"/>
  <c r="F601" i="25" s="1"/>
  <c r="D602" i="25"/>
  <c r="F602" i="25" s="1"/>
  <c r="D603" i="25"/>
  <c r="F603" i="25" s="1"/>
  <c r="D604" i="25"/>
  <c r="F604" i="25" s="1"/>
  <c r="D605" i="25"/>
  <c r="F605" i="25" s="1"/>
  <c r="D606" i="25"/>
  <c r="F606" i="25" s="1"/>
  <c r="D607" i="25"/>
  <c r="F607" i="25" s="1"/>
  <c r="D608" i="25"/>
  <c r="F608" i="25" s="1"/>
  <c r="D609" i="25"/>
  <c r="F609" i="25" s="1"/>
  <c r="D610" i="25"/>
  <c r="F610" i="25" s="1"/>
  <c r="D611" i="25"/>
  <c r="F611" i="25" s="1"/>
  <c r="D612" i="25"/>
  <c r="F612" i="25" s="1"/>
  <c r="D613" i="25"/>
  <c r="F613" i="25" s="1"/>
  <c r="D614" i="25"/>
  <c r="F614" i="25" s="1"/>
  <c r="D615" i="25"/>
  <c r="F615" i="25" s="1"/>
  <c r="D616" i="25"/>
  <c r="F616" i="25" s="1"/>
  <c r="D617" i="25"/>
  <c r="F617" i="25" s="1"/>
  <c r="D618" i="25"/>
  <c r="F618" i="25" s="1"/>
  <c r="D619" i="25"/>
  <c r="F619" i="25" s="1"/>
  <c r="D620" i="25"/>
  <c r="F620" i="25" s="1"/>
  <c r="D621" i="25"/>
  <c r="F621" i="25" s="1"/>
  <c r="D622" i="25"/>
  <c r="F622" i="25" s="1"/>
  <c r="D623" i="25"/>
  <c r="F623" i="25" s="1"/>
  <c r="D624" i="25"/>
  <c r="F624" i="25" s="1"/>
  <c r="D625" i="25"/>
  <c r="F625" i="25" s="1"/>
  <c r="D626" i="25"/>
  <c r="F626" i="25" s="1"/>
  <c r="D627" i="25"/>
  <c r="F627" i="25" s="1"/>
  <c r="D628" i="25"/>
  <c r="F628" i="25" s="1"/>
  <c r="D629" i="25"/>
  <c r="F629" i="25" s="1"/>
  <c r="D630" i="25"/>
  <c r="F630" i="25" s="1"/>
  <c r="D631" i="25"/>
  <c r="F631" i="25" s="1"/>
  <c r="D632" i="25"/>
  <c r="F632" i="25" s="1"/>
  <c r="D633" i="25"/>
  <c r="F633" i="25" s="1"/>
  <c r="D634" i="25"/>
  <c r="F634" i="25" s="1"/>
  <c r="D635" i="25"/>
  <c r="F635" i="25" s="1"/>
  <c r="D636" i="25"/>
  <c r="F636" i="25" s="1"/>
  <c r="D637" i="25"/>
  <c r="F637" i="25" s="1"/>
  <c r="D638" i="25"/>
  <c r="F638" i="25" s="1"/>
  <c r="C8" i="25"/>
  <c r="C9" i="25"/>
  <c r="C10" i="25"/>
  <c r="C11" i="25"/>
  <c r="C12" i="25"/>
  <c r="C13" i="25"/>
  <c r="C14" i="25"/>
  <c r="C15" i="25"/>
  <c r="C16" i="25"/>
  <c r="C17" i="25"/>
  <c r="C18" i="25"/>
  <c r="C19" i="25"/>
  <c r="C20" i="25"/>
  <c r="C21" i="25"/>
  <c r="C22" i="25"/>
  <c r="C23" i="25"/>
  <c r="C24" i="25"/>
  <c r="C25" i="25"/>
  <c r="C26" i="25"/>
  <c r="C27" i="25"/>
  <c r="C28" i="25"/>
  <c r="C29" i="25"/>
  <c r="C30" i="25"/>
  <c r="C31" i="25"/>
  <c r="C32" i="25"/>
  <c r="C33" i="25"/>
  <c r="C34" i="25"/>
  <c r="C35" i="25"/>
  <c r="C36" i="25"/>
  <c r="C37" i="25"/>
  <c r="C38" i="25"/>
  <c r="C39" i="25"/>
  <c r="C40" i="25"/>
  <c r="C41" i="25"/>
  <c r="C42" i="25"/>
  <c r="C43" i="25"/>
  <c r="C44" i="25"/>
  <c r="C45" i="25"/>
  <c r="C46" i="25"/>
  <c r="C47" i="25"/>
  <c r="C48" i="25"/>
  <c r="C49" i="25"/>
  <c r="C50" i="25"/>
  <c r="C51" i="25"/>
  <c r="C52" i="25"/>
  <c r="C53" i="25"/>
  <c r="C54" i="25"/>
  <c r="C55" i="25"/>
  <c r="C56" i="25"/>
  <c r="C57" i="25"/>
  <c r="C58" i="25"/>
  <c r="C59" i="25"/>
  <c r="C60" i="25"/>
  <c r="C61" i="25"/>
  <c r="C62" i="25"/>
  <c r="C63" i="25"/>
  <c r="C64" i="25"/>
  <c r="C65" i="25"/>
  <c r="C66" i="25"/>
  <c r="C67" i="25"/>
  <c r="C68" i="25"/>
  <c r="C69" i="25"/>
  <c r="C70" i="25"/>
  <c r="C71" i="25"/>
  <c r="C72" i="25"/>
  <c r="C73" i="25"/>
  <c r="C74" i="25"/>
  <c r="C75" i="25"/>
  <c r="C76" i="25"/>
  <c r="C77" i="25"/>
  <c r="C78" i="25"/>
  <c r="C79" i="25"/>
  <c r="C80" i="25"/>
  <c r="C81" i="25"/>
  <c r="C82" i="25"/>
  <c r="C83" i="25"/>
  <c r="C84" i="25"/>
  <c r="C85" i="25"/>
  <c r="C86" i="25"/>
  <c r="C87" i="25"/>
  <c r="C88" i="25"/>
  <c r="C89" i="25"/>
  <c r="C90" i="25"/>
  <c r="C91" i="25"/>
  <c r="C92" i="25"/>
  <c r="C93" i="25"/>
  <c r="C94" i="25"/>
  <c r="C95" i="25"/>
  <c r="C96" i="25"/>
  <c r="C97" i="25"/>
  <c r="C98" i="25"/>
  <c r="C99" i="25"/>
  <c r="C100" i="25"/>
  <c r="C101" i="25"/>
  <c r="C102" i="25"/>
  <c r="C103" i="25"/>
  <c r="C104" i="25"/>
  <c r="C105" i="25"/>
  <c r="C106" i="25"/>
  <c r="C107" i="25"/>
  <c r="C108" i="25"/>
  <c r="C109" i="25"/>
  <c r="C110" i="25"/>
  <c r="C111" i="25"/>
  <c r="C112" i="25"/>
  <c r="C113" i="25"/>
  <c r="C114" i="25"/>
  <c r="C115" i="25"/>
  <c r="C116" i="25"/>
  <c r="C117" i="25"/>
  <c r="C118" i="25"/>
  <c r="C119" i="25"/>
  <c r="C120" i="25"/>
  <c r="C121" i="25"/>
  <c r="C122" i="25"/>
  <c r="C123" i="25"/>
  <c r="C124" i="25"/>
  <c r="C125" i="25"/>
  <c r="C126" i="25"/>
  <c r="C127" i="25"/>
  <c r="C128" i="25"/>
  <c r="C129" i="25"/>
  <c r="C130" i="25"/>
  <c r="C131" i="25"/>
  <c r="C132" i="25"/>
  <c r="C133" i="25"/>
  <c r="C134" i="25"/>
  <c r="C135" i="25"/>
  <c r="C136" i="25"/>
  <c r="C137" i="25"/>
  <c r="C138" i="25"/>
  <c r="C139" i="25"/>
  <c r="C140" i="25"/>
  <c r="C141" i="25"/>
  <c r="C142" i="25"/>
  <c r="C143" i="25"/>
  <c r="C144" i="25"/>
  <c r="C145" i="25"/>
  <c r="C146" i="25"/>
  <c r="C147" i="25"/>
  <c r="C148" i="25"/>
  <c r="C149" i="25"/>
  <c r="C150" i="25"/>
  <c r="C151" i="25"/>
  <c r="C152" i="25"/>
  <c r="C153" i="25"/>
  <c r="C154" i="25"/>
  <c r="C155" i="25"/>
  <c r="C156" i="25"/>
  <c r="C157" i="25"/>
  <c r="C158" i="25"/>
  <c r="C159" i="25"/>
  <c r="C160" i="25"/>
  <c r="C161" i="25"/>
  <c r="C162" i="25"/>
  <c r="C163" i="25"/>
  <c r="C164" i="25"/>
  <c r="C165" i="25"/>
  <c r="C166" i="25"/>
  <c r="C167" i="25"/>
  <c r="C168" i="25"/>
  <c r="C169" i="25"/>
  <c r="C170" i="25"/>
  <c r="C171" i="25"/>
  <c r="C172" i="25"/>
  <c r="C173" i="25"/>
  <c r="C174" i="25"/>
  <c r="C175" i="25"/>
  <c r="C176" i="25"/>
  <c r="C177" i="25"/>
  <c r="C178" i="25"/>
  <c r="C179" i="25"/>
  <c r="C180" i="25"/>
  <c r="C181" i="25"/>
  <c r="C182" i="25"/>
  <c r="C183" i="25"/>
  <c r="C184" i="25"/>
  <c r="C185" i="25"/>
  <c r="C186" i="25"/>
  <c r="C187" i="25"/>
  <c r="C188" i="25"/>
  <c r="C189" i="25"/>
  <c r="C190" i="25"/>
  <c r="C191" i="25"/>
  <c r="C192" i="25"/>
  <c r="C193" i="25"/>
  <c r="C194" i="25"/>
  <c r="C195" i="25"/>
  <c r="C196" i="25"/>
  <c r="C197" i="25"/>
  <c r="C198" i="25"/>
  <c r="C199" i="25"/>
  <c r="C200" i="25"/>
  <c r="C201" i="25"/>
  <c r="C202" i="25"/>
  <c r="C203" i="25"/>
  <c r="C204" i="25"/>
  <c r="C205" i="25"/>
  <c r="C206" i="25"/>
  <c r="C207" i="25"/>
  <c r="C208" i="25"/>
  <c r="C209" i="25"/>
  <c r="C210" i="25"/>
  <c r="C211" i="25"/>
  <c r="C212" i="25"/>
  <c r="C213" i="25"/>
  <c r="C214" i="25"/>
  <c r="C215" i="25"/>
  <c r="C216" i="25"/>
  <c r="C217" i="25"/>
  <c r="C218" i="25"/>
  <c r="C219" i="25"/>
  <c r="C220" i="25"/>
  <c r="C221" i="25"/>
  <c r="C222" i="25"/>
  <c r="C223" i="25"/>
  <c r="C224" i="25"/>
  <c r="C225" i="25"/>
  <c r="C226" i="25"/>
  <c r="C227" i="25"/>
  <c r="C228" i="25"/>
  <c r="C229" i="25"/>
  <c r="C230" i="25"/>
  <c r="C231" i="25"/>
  <c r="C232" i="25"/>
  <c r="C233" i="25"/>
  <c r="C234" i="25"/>
  <c r="C235" i="25"/>
  <c r="C236" i="25"/>
  <c r="C237" i="25"/>
  <c r="C238" i="25"/>
  <c r="C239" i="25"/>
  <c r="C240" i="25"/>
  <c r="C241" i="25"/>
  <c r="C242" i="25"/>
  <c r="C243" i="25"/>
  <c r="C244" i="25"/>
  <c r="C245" i="25"/>
  <c r="C246" i="25"/>
  <c r="C247" i="25"/>
  <c r="C248" i="25"/>
  <c r="C249" i="25"/>
  <c r="C250" i="25"/>
  <c r="C251" i="25"/>
  <c r="C252" i="25"/>
  <c r="C253" i="25"/>
  <c r="C254" i="25"/>
  <c r="C255" i="25"/>
  <c r="C256" i="25"/>
  <c r="C257" i="25"/>
  <c r="C258" i="25"/>
  <c r="C259" i="25"/>
  <c r="C260" i="25"/>
  <c r="C261" i="25"/>
  <c r="C262" i="25"/>
  <c r="C263" i="25"/>
  <c r="C264" i="25"/>
  <c r="C265" i="25"/>
  <c r="C266" i="25"/>
  <c r="C267" i="25"/>
  <c r="C268" i="25"/>
  <c r="C269" i="25"/>
  <c r="C270" i="25"/>
  <c r="C271" i="25"/>
  <c r="C272" i="25"/>
  <c r="C273" i="25"/>
  <c r="C274" i="25"/>
  <c r="C275" i="25"/>
  <c r="C276" i="25"/>
  <c r="C277" i="25"/>
  <c r="C278" i="25"/>
  <c r="C279" i="25"/>
  <c r="C280" i="25"/>
  <c r="C281" i="25"/>
  <c r="C282" i="25"/>
  <c r="C283" i="25"/>
  <c r="C284" i="25"/>
  <c r="C285" i="25"/>
  <c r="C286" i="25"/>
  <c r="C287" i="25"/>
  <c r="C288" i="25"/>
  <c r="C289" i="25"/>
  <c r="C290" i="25"/>
  <c r="C291" i="25"/>
  <c r="C292" i="25"/>
  <c r="C293" i="25"/>
  <c r="C294" i="25"/>
  <c r="C295" i="25"/>
  <c r="C296" i="25"/>
  <c r="C297" i="25"/>
  <c r="C298" i="25"/>
  <c r="C299" i="25"/>
  <c r="C300" i="25"/>
  <c r="C301" i="25"/>
  <c r="C302" i="25"/>
  <c r="C303" i="25"/>
  <c r="C304" i="25"/>
  <c r="C305" i="25"/>
  <c r="C306" i="25"/>
  <c r="C307" i="25"/>
  <c r="C308" i="25"/>
  <c r="C309" i="25"/>
  <c r="C310" i="25"/>
  <c r="C311" i="25"/>
  <c r="C312" i="25"/>
  <c r="C313" i="25"/>
  <c r="C314" i="25"/>
  <c r="C315" i="25"/>
  <c r="C316" i="25"/>
  <c r="C317" i="25"/>
  <c r="C318" i="25"/>
  <c r="C319" i="25"/>
  <c r="C320" i="25"/>
  <c r="C321" i="25"/>
  <c r="C322" i="25"/>
  <c r="C323" i="25"/>
  <c r="C324" i="25"/>
  <c r="C325" i="25"/>
  <c r="C326" i="25"/>
  <c r="C327" i="25"/>
  <c r="C328" i="25"/>
  <c r="C329" i="25"/>
  <c r="C330" i="25"/>
  <c r="C331" i="25"/>
  <c r="C332" i="25"/>
  <c r="C333" i="25"/>
  <c r="C334" i="25"/>
  <c r="C335" i="25"/>
  <c r="C336" i="25"/>
  <c r="C337" i="25"/>
  <c r="C338" i="25"/>
  <c r="C339" i="25"/>
  <c r="C340" i="25"/>
  <c r="C341" i="25"/>
  <c r="C342" i="25"/>
  <c r="C343" i="25"/>
  <c r="C344" i="25"/>
  <c r="C345" i="25"/>
  <c r="C346" i="25"/>
  <c r="C347" i="25"/>
  <c r="C348" i="25"/>
  <c r="C349" i="25"/>
  <c r="C350" i="25"/>
  <c r="C351" i="25"/>
  <c r="C352" i="25"/>
  <c r="C353" i="25"/>
  <c r="C354" i="25"/>
  <c r="C355" i="25"/>
  <c r="C356" i="25"/>
  <c r="C357" i="25"/>
  <c r="C358" i="25"/>
  <c r="C359" i="25"/>
  <c r="C360" i="25"/>
  <c r="C361" i="25"/>
  <c r="C362" i="25"/>
  <c r="C363" i="25"/>
  <c r="C364" i="25"/>
  <c r="C365" i="25"/>
  <c r="C366" i="25"/>
  <c r="C367" i="25"/>
  <c r="C368" i="25"/>
  <c r="C369" i="25"/>
  <c r="C370" i="25"/>
  <c r="C371" i="25"/>
  <c r="C372" i="25"/>
  <c r="C373" i="25"/>
  <c r="C374" i="25"/>
  <c r="C375" i="25"/>
  <c r="C376" i="25"/>
  <c r="C377" i="25"/>
  <c r="C378" i="25"/>
  <c r="C379" i="25"/>
  <c r="C380" i="25"/>
  <c r="C381" i="25"/>
  <c r="C382" i="25"/>
  <c r="C383" i="25"/>
  <c r="C384" i="25"/>
  <c r="C385" i="25"/>
  <c r="C386" i="25"/>
  <c r="C387" i="25"/>
  <c r="C388" i="25"/>
  <c r="C389" i="25"/>
  <c r="C390" i="25"/>
  <c r="C391" i="25"/>
  <c r="C392" i="25"/>
  <c r="C393" i="25"/>
  <c r="C394" i="25"/>
  <c r="C395" i="25"/>
  <c r="C396" i="25"/>
  <c r="C397" i="25"/>
  <c r="C398" i="25"/>
  <c r="C399" i="25"/>
  <c r="C400" i="25"/>
  <c r="C401" i="25"/>
  <c r="C402" i="25"/>
  <c r="C403" i="25"/>
  <c r="C404" i="25"/>
  <c r="C405" i="25"/>
  <c r="C406" i="25"/>
  <c r="C407" i="25"/>
  <c r="C408" i="25"/>
  <c r="C409" i="25"/>
  <c r="C410" i="25"/>
  <c r="C411" i="25"/>
  <c r="C412" i="25"/>
  <c r="C413" i="25"/>
  <c r="C414" i="25"/>
  <c r="C415" i="25"/>
  <c r="C416" i="25"/>
  <c r="C417" i="25"/>
  <c r="C418" i="25"/>
  <c r="C419" i="25"/>
  <c r="C420" i="25"/>
  <c r="C421" i="25"/>
  <c r="C422" i="25"/>
  <c r="C423" i="25"/>
  <c r="C424" i="25"/>
  <c r="C425" i="25"/>
  <c r="C426" i="25"/>
  <c r="C427" i="25"/>
  <c r="C428" i="25"/>
  <c r="C429" i="25"/>
  <c r="C430" i="25"/>
  <c r="C431" i="25"/>
  <c r="C432" i="25"/>
  <c r="C433" i="25"/>
  <c r="C434" i="25"/>
  <c r="C435" i="25"/>
  <c r="C436" i="25"/>
  <c r="C437" i="25"/>
  <c r="C438" i="25"/>
  <c r="C439" i="25"/>
  <c r="C440" i="25"/>
  <c r="C441" i="25"/>
  <c r="C442" i="25"/>
  <c r="C443" i="25"/>
  <c r="C444" i="25"/>
  <c r="C445" i="25"/>
  <c r="C446" i="25"/>
  <c r="C447" i="25"/>
  <c r="C448" i="25"/>
  <c r="C449" i="25"/>
  <c r="C450" i="25"/>
  <c r="C451" i="25"/>
  <c r="C452" i="25"/>
  <c r="C453" i="25"/>
  <c r="C454" i="25"/>
  <c r="C455" i="25"/>
  <c r="C456" i="25"/>
  <c r="C457" i="25"/>
  <c r="C458" i="25"/>
  <c r="C459" i="25"/>
  <c r="C460" i="25"/>
  <c r="C461" i="25"/>
  <c r="C462" i="25"/>
  <c r="C463" i="25"/>
  <c r="C464" i="25"/>
  <c r="C465" i="25"/>
  <c r="C466" i="25"/>
  <c r="C467" i="25"/>
  <c r="C468" i="25"/>
  <c r="C469" i="25"/>
  <c r="C470" i="25"/>
  <c r="C471" i="25"/>
  <c r="C472" i="25"/>
  <c r="C473" i="25"/>
  <c r="C474" i="25"/>
  <c r="C475" i="25"/>
  <c r="C476" i="25"/>
  <c r="C477" i="25"/>
  <c r="C478" i="25"/>
  <c r="C479" i="25"/>
  <c r="C480" i="25"/>
  <c r="C481" i="25"/>
  <c r="C482" i="25"/>
  <c r="C483" i="25"/>
  <c r="C484" i="25"/>
  <c r="C485" i="25"/>
  <c r="C486" i="25"/>
  <c r="C487" i="25"/>
  <c r="C488" i="25"/>
  <c r="C489" i="25"/>
  <c r="C490" i="25"/>
  <c r="C491" i="25"/>
  <c r="C492" i="25"/>
  <c r="C493" i="25"/>
  <c r="C494" i="25"/>
  <c r="C495" i="25"/>
  <c r="C496" i="25"/>
  <c r="C497" i="25"/>
  <c r="C498" i="25"/>
  <c r="C499" i="25"/>
  <c r="C500" i="25"/>
  <c r="C501" i="25"/>
  <c r="C502" i="25"/>
  <c r="C503" i="25"/>
  <c r="C504" i="25"/>
  <c r="C505" i="25"/>
  <c r="C506" i="25"/>
  <c r="C507" i="25"/>
  <c r="C508" i="25"/>
  <c r="C509" i="25"/>
  <c r="C510" i="25"/>
  <c r="C511" i="25"/>
  <c r="C512" i="25"/>
  <c r="C513" i="25"/>
  <c r="C514" i="25"/>
  <c r="C515" i="25"/>
  <c r="C516" i="25"/>
  <c r="C517" i="25"/>
  <c r="C518" i="25"/>
  <c r="C519" i="25"/>
  <c r="C520" i="25"/>
  <c r="C521" i="25"/>
  <c r="C522" i="25"/>
  <c r="C523" i="25"/>
  <c r="C524" i="25"/>
  <c r="C525" i="25"/>
  <c r="C526" i="25"/>
  <c r="C527" i="25"/>
  <c r="C528" i="25"/>
  <c r="C529" i="25"/>
  <c r="C530" i="25"/>
  <c r="C531" i="25"/>
  <c r="C532" i="25"/>
  <c r="C533" i="25"/>
  <c r="C534" i="25"/>
  <c r="C535" i="25"/>
  <c r="C536" i="25"/>
  <c r="C537" i="25"/>
  <c r="C538" i="25"/>
  <c r="C539" i="25"/>
  <c r="C540" i="25"/>
  <c r="C541" i="25"/>
  <c r="C542" i="25"/>
  <c r="C543" i="25"/>
  <c r="C544" i="25"/>
  <c r="C545" i="25"/>
  <c r="C546" i="25"/>
  <c r="C547" i="25"/>
  <c r="C548" i="25"/>
  <c r="C549" i="25"/>
  <c r="C550" i="25"/>
  <c r="C551" i="25"/>
  <c r="C552" i="25"/>
  <c r="C553" i="25"/>
  <c r="C554" i="25"/>
  <c r="C555" i="25"/>
  <c r="C556" i="25"/>
  <c r="C557" i="25"/>
  <c r="C558" i="25"/>
  <c r="C559" i="25"/>
  <c r="C560" i="25"/>
  <c r="C561" i="25"/>
  <c r="C562" i="25"/>
  <c r="C563" i="25"/>
  <c r="C564" i="25"/>
  <c r="C565" i="25"/>
  <c r="C566" i="25"/>
  <c r="C567" i="25"/>
  <c r="C568" i="25"/>
  <c r="C569" i="25"/>
  <c r="C570" i="25"/>
  <c r="C571" i="25"/>
  <c r="C572" i="25"/>
  <c r="C573" i="25"/>
  <c r="C574" i="25"/>
  <c r="C575" i="25"/>
  <c r="C576" i="25"/>
  <c r="C577" i="25"/>
  <c r="C578" i="25"/>
  <c r="C579" i="25"/>
  <c r="C580" i="25"/>
  <c r="C581" i="25"/>
  <c r="C582" i="25"/>
  <c r="C583" i="25"/>
  <c r="C584" i="25"/>
  <c r="C585" i="25"/>
  <c r="C586" i="25"/>
  <c r="C587" i="25"/>
  <c r="C588" i="25"/>
  <c r="C589" i="25"/>
  <c r="C590" i="25"/>
  <c r="C591" i="25"/>
  <c r="C592" i="25"/>
  <c r="C593" i="25"/>
  <c r="C594" i="25"/>
  <c r="C595" i="25"/>
  <c r="C596" i="25"/>
  <c r="C597" i="25"/>
  <c r="C598" i="25"/>
  <c r="C599" i="25"/>
  <c r="C600" i="25"/>
  <c r="C601" i="25"/>
  <c r="C602" i="25"/>
  <c r="C603" i="25"/>
  <c r="C604" i="25"/>
  <c r="C605" i="25"/>
  <c r="C606" i="25"/>
  <c r="C607" i="25"/>
  <c r="C608" i="25"/>
  <c r="C609" i="25"/>
  <c r="C610" i="25"/>
  <c r="C611" i="25"/>
  <c r="C612" i="25"/>
  <c r="C613" i="25"/>
  <c r="C614" i="25"/>
  <c r="C615" i="25"/>
  <c r="C616" i="25"/>
  <c r="C617" i="25"/>
  <c r="C618" i="25"/>
  <c r="C619" i="25"/>
  <c r="C620" i="25"/>
  <c r="C621" i="25"/>
  <c r="C622" i="25"/>
  <c r="C623" i="25"/>
  <c r="C624" i="25"/>
  <c r="C625" i="25"/>
  <c r="C626" i="25"/>
  <c r="C627" i="25"/>
  <c r="C628" i="25"/>
  <c r="C629" i="25"/>
  <c r="C630" i="25"/>
  <c r="C631" i="25"/>
  <c r="C632" i="25"/>
  <c r="C633" i="25"/>
  <c r="C634" i="25"/>
  <c r="C635" i="25"/>
  <c r="C636" i="25"/>
  <c r="C637" i="25"/>
  <c r="C638" i="25"/>
  <c r="B8" i="25"/>
  <c r="G8" i="25" s="1"/>
  <c r="B9" i="25"/>
  <c r="G9" i="25" s="1"/>
  <c r="B10" i="25"/>
  <c r="G10" i="25" s="1"/>
  <c r="B11" i="25"/>
  <c r="G11" i="25" s="1"/>
  <c r="B12" i="25"/>
  <c r="G12" i="25" s="1"/>
  <c r="B13" i="25"/>
  <c r="G13" i="25" s="1"/>
  <c r="B14" i="25"/>
  <c r="G14" i="25" s="1"/>
  <c r="B15" i="25"/>
  <c r="G15" i="25" s="1"/>
  <c r="B16" i="25"/>
  <c r="G16" i="25" s="1"/>
  <c r="B17" i="25"/>
  <c r="G17" i="25" s="1"/>
  <c r="B18" i="25"/>
  <c r="G18" i="25" s="1"/>
  <c r="B19" i="25"/>
  <c r="G19" i="25" s="1"/>
  <c r="B20" i="25"/>
  <c r="G20" i="25" s="1"/>
  <c r="B21" i="25"/>
  <c r="G21" i="25" s="1"/>
  <c r="B22" i="25"/>
  <c r="G22" i="25" s="1"/>
  <c r="B23" i="25"/>
  <c r="G23" i="25" s="1"/>
  <c r="B24" i="25"/>
  <c r="G24" i="25" s="1"/>
  <c r="B25" i="25"/>
  <c r="G25" i="25" s="1"/>
  <c r="B26" i="25"/>
  <c r="G26" i="25" s="1"/>
  <c r="B27" i="25"/>
  <c r="G27" i="25" s="1"/>
  <c r="B28" i="25"/>
  <c r="G28" i="25" s="1"/>
  <c r="B29" i="25"/>
  <c r="G29" i="25" s="1"/>
  <c r="B30" i="25"/>
  <c r="G30" i="25" s="1"/>
  <c r="B31" i="25"/>
  <c r="G31" i="25" s="1"/>
  <c r="B32" i="25"/>
  <c r="G32" i="25" s="1"/>
  <c r="B33" i="25"/>
  <c r="G33" i="25" s="1"/>
  <c r="B34" i="25"/>
  <c r="G34" i="25" s="1"/>
  <c r="B35" i="25"/>
  <c r="G35" i="25" s="1"/>
  <c r="B36" i="25"/>
  <c r="G36" i="25" s="1"/>
  <c r="B37" i="25"/>
  <c r="G37" i="25" s="1"/>
  <c r="B38" i="25"/>
  <c r="G38" i="25" s="1"/>
  <c r="B39" i="25"/>
  <c r="G39" i="25" s="1"/>
  <c r="B40" i="25"/>
  <c r="G40" i="25" s="1"/>
  <c r="B41" i="25"/>
  <c r="G41" i="25" s="1"/>
  <c r="B42" i="25"/>
  <c r="G42" i="25" s="1"/>
  <c r="B43" i="25"/>
  <c r="G43" i="25" s="1"/>
  <c r="B44" i="25"/>
  <c r="G44" i="25" s="1"/>
  <c r="B45" i="25"/>
  <c r="G45" i="25" s="1"/>
  <c r="B46" i="25"/>
  <c r="G46" i="25" s="1"/>
  <c r="B47" i="25"/>
  <c r="G47" i="25" s="1"/>
  <c r="B48" i="25"/>
  <c r="G48" i="25" s="1"/>
  <c r="B49" i="25"/>
  <c r="G49" i="25" s="1"/>
  <c r="B50" i="25"/>
  <c r="G50" i="25" s="1"/>
  <c r="B51" i="25"/>
  <c r="G51" i="25" s="1"/>
  <c r="B52" i="25"/>
  <c r="G52" i="25" s="1"/>
  <c r="B53" i="25"/>
  <c r="G53" i="25" s="1"/>
  <c r="B54" i="25"/>
  <c r="G54" i="25" s="1"/>
  <c r="B55" i="25"/>
  <c r="G55" i="25" s="1"/>
  <c r="B56" i="25"/>
  <c r="G56" i="25" s="1"/>
  <c r="B57" i="25"/>
  <c r="G57" i="25" s="1"/>
  <c r="B58" i="25"/>
  <c r="G58" i="25" s="1"/>
  <c r="B59" i="25"/>
  <c r="G59" i="25" s="1"/>
  <c r="B60" i="25"/>
  <c r="G60" i="25" s="1"/>
  <c r="B61" i="25"/>
  <c r="G61" i="25" s="1"/>
  <c r="B62" i="25"/>
  <c r="G62" i="25" s="1"/>
  <c r="B63" i="25"/>
  <c r="G63" i="25" s="1"/>
  <c r="B64" i="25"/>
  <c r="G64" i="25" s="1"/>
  <c r="B65" i="25"/>
  <c r="G65" i="25" s="1"/>
  <c r="B66" i="25"/>
  <c r="G66" i="25" s="1"/>
  <c r="B67" i="25"/>
  <c r="G67" i="25" s="1"/>
  <c r="B68" i="25"/>
  <c r="G68" i="25" s="1"/>
  <c r="B69" i="25"/>
  <c r="G69" i="25" s="1"/>
  <c r="B70" i="25"/>
  <c r="G70" i="25" s="1"/>
  <c r="B71" i="25"/>
  <c r="G71" i="25" s="1"/>
  <c r="B72" i="25"/>
  <c r="G72" i="25" s="1"/>
  <c r="B73" i="25"/>
  <c r="G73" i="25" s="1"/>
  <c r="B74" i="25"/>
  <c r="G74" i="25" s="1"/>
  <c r="B75" i="25"/>
  <c r="G75" i="25" s="1"/>
  <c r="B76" i="25"/>
  <c r="G76" i="25" s="1"/>
  <c r="B77" i="25"/>
  <c r="G77" i="25" s="1"/>
  <c r="B78" i="25"/>
  <c r="G78" i="25" s="1"/>
  <c r="B79" i="25"/>
  <c r="G79" i="25" s="1"/>
  <c r="B80" i="25"/>
  <c r="G80" i="25" s="1"/>
  <c r="B81" i="25"/>
  <c r="G81" i="25" s="1"/>
  <c r="B82" i="25"/>
  <c r="G82" i="25" s="1"/>
  <c r="B83" i="25"/>
  <c r="G83" i="25" s="1"/>
  <c r="B84" i="25"/>
  <c r="G84" i="25" s="1"/>
  <c r="B85" i="25"/>
  <c r="G85" i="25" s="1"/>
  <c r="B86" i="25"/>
  <c r="G86" i="25" s="1"/>
  <c r="B87" i="25"/>
  <c r="G87" i="25" s="1"/>
  <c r="B88" i="25"/>
  <c r="G88" i="25" s="1"/>
  <c r="B89" i="25"/>
  <c r="G89" i="25" s="1"/>
  <c r="B90" i="25"/>
  <c r="G90" i="25" s="1"/>
  <c r="B91" i="25"/>
  <c r="G91" i="25" s="1"/>
  <c r="B92" i="25"/>
  <c r="G92" i="25" s="1"/>
  <c r="B93" i="25"/>
  <c r="G93" i="25" s="1"/>
  <c r="B94" i="25"/>
  <c r="G94" i="25" s="1"/>
  <c r="B95" i="25"/>
  <c r="G95" i="25" s="1"/>
  <c r="B96" i="25"/>
  <c r="G96" i="25" s="1"/>
  <c r="B97" i="25"/>
  <c r="G97" i="25" s="1"/>
  <c r="B98" i="25"/>
  <c r="G98" i="25" s="1"/>
  <c r="B99" i="25"/>
  <c r="G99" i="25" s="1"/>
  <c r="B100" i="25"/>
  <c r="G100" i="25" s="1"/>
  <c r="B101" i="25"/>
  <c r="G101" i="25" s="1"/>
  <c r="B102" i="25"/>
  <c r="G102" i="25" s="1"/>
  <c r="B103" i="25"/>
  <c r="G103" i="25" s="1"/>
  <c r="B104" i="25"/>
  <c r="G104" i="25" s="1"/>
  <c r="B105" i="25"/>
  <c r="G105" i="25" s="1"/>
  <c r="B106" i="25"/>
  <c r="G106" i="25" s="1"/>
  <c r="B107" i="25"/>
  <c r="G107" i="25" s="1"/>
  <c r="B108" i="25"/>
  <c r="G108" i="25" s="1"/>
  <c r="B109" i="25"/>
  <c r="G109" i="25" s="1"/>
  <c r="B110" i="25"/>
  <c r="G110" i="25" s="1"/>
  <c r="B111" i="25"/>
  <c r="G111" i="25" s="1"/>
  <c r="B112" i="25"/>
  <c r="G112" i="25" s="1"/>
  <c r="B113" i="25"/>
  <c r="G113" i="25" s="1"/>
  <c r="B114" i="25"/>
  <c r="G114" i="25" s="1"/>
  <c r="B115" i="25"/>
  <c r="G115" i="25" s="1"/>
  <c r="B116" i="25"/>
  <c r="G116" i="25" s="1"/>
  <c r="B117" i="25"/>
  <c r="G117" i="25" s="1"/>
  <c r="B118" i="25"/>
  <c r="G118" i="25" s="1"/>
  <c r="B119" i="25"/>
  <c r="G119" i="25" s="1"/>
  <c r="B120" i="25"/>
  <c r="G120" i="25" s="1"/>
  <c r="B121" i="25"/>
  <c r="G121" i="25" s="1"/>
  <c r="B122" i="25"/>
  <c r="G122" i="25" s="1"/>
  <c r="B123" i="25"/>
  <c r="G123" i="25" s="1"/>
  <c r="B124" i="25"/>
  <c r="G124" i="25" s="1"/>
  <c r="B125" i="25"/>
  <c r="G125" i="25" s="1"/>
  <c r="B126" i="25"/>
  <c r="G126" i="25" s="1"/>
  <c r="B127" i="25"/>
  <c r="G127" i="25" s="1"/>
  <c r="B128" i="25"/>
  <c r="G128" i="25" s="1"/>
  <c r="B129" i="25"/>
  <c r="G129" i="25" s="1"/>
  <c r="B130" i="25"/>
  <c r="G130" i="25" s="1"/>
  <c r="B131" i="25"/>
  <c r="G131" i="25" s="1"/>
  <c r="B132" i="25"/>
  <c r="G132" i="25" s="1"/>
  <c r="B133" i="25"/>
  <c r="G133" i="25" s="1"/>
  <c r="B134" i="25"/>
  <c r="G134" i="25" s="1"/>
  <c r="B135" i="25"/>
  <c r="G135" i="25" s="1"/>
  <c r="B136" i="25"/>
  <c r="G136" i="25" s="1"/>
  <c r="B137" i="25"/>
  <c r="G137" i="25" s="1"/>
  <c r="B138" i="25"/>
  <c r="G138" i="25" s="1"/>
  <c r="B139" i="25"/>
  <c r="G139" i="25" s="1"/>
  <c r="B140" i="25"/>
  <c r="G140" i="25" s="1"/>
  <c r="B141" i="25"/>
  <c r="G141" i="25" s="1"/>
  <c r="B142" i="25"/>
  <c r="G142" i="25" s="1"/>
  <c r="B143" i="25"/>
  <c r="G143" i="25" s="1"/>
  <c r="B144" i="25"/>
  <c r="G144" i="25" s="1"/>
  <c r="B145" i="25"/>
  <c r="G145" i="25" s="1"/>
  <c r="B146" i="25"/>
  <c r="G146" i="25" s="1"/>
  <c r="B147" i="25"/>
  <c r="G147" i="25" s="1"/>
  <c r="B148" i="25"/>
  <c r="G148" i="25" s="1"/>
  <c r="B149" i="25"/>
  <c r="G149" i="25" s="1"/>
  <c r="B150" i="25"/>
  <c r="G150" i="25" s="1"/>
  <c r="B151" i="25"/>
  <c r="G151" i="25" s="1"/>
  <c r="B152" i="25"/>
  <c r="G152" i="25" s="1"/>
  <c r="B153" i="25"/>
  <c r="G153" i="25" s="1"/>
  <c r="B154" i="25"/>
  <c r="G154" i="25" s="1"/>
  <c r="B155" i="25"/>
  <c r="G155" i="25" s="1"/>
  <c r="K155" i="25" s="1"/>
  <c r="B156" i="25"/>
  <c r="G156" i="25" s="1"/>
  <c r="B157" i="25"/>
  <c r="G157" i="25" s="1"/>
  <c r="B158" i="25"/>
  <c r="G158" i="25" s="1"/>
  <c r="B159" i="25"/>
  <c r="G159" i="25" s="1"/>
  <c r="B160" i="25"/>
  <c r="G160" i="25" s="1"/>
  <c r="B161" i="25"/>
  <c r="G161" i="25" s="1"/>
  <c r="B162" i="25"/>
  <c r="G162" i="25" s="1"/>
  <c r="B163" i="25"/>
  <c r="G163" i="25" s="1"/>
  <c r="B164" i="25"/>
  <c r="G164" i="25" s="1"/>
  <c r="B165" i="25"/>
  <c r="G165" i="25" s="1"/>
  <c r="B166" i="25"/>
  <c r="G166" i="25" s="1"/>
  <c r="B167" i="25"/>
  <c r="G167" i="25" s="1"/>
  <c r="B168" i="25"/>
  <c r="G168" i="25" s="1"/>
  <c r="B169" i="25"/>
  <c r="G169" i="25" s="1"/>
  <c r="B170" i="25"/>
  <c r="G170" i="25" s="1"/>
  <c r="B171" i="25"/>
  <c r="G171" i="25" s="1"/>
  <c r="B172" i="25"/>
  <c r="G172" i="25" s="1"/>
  <c r="B173" i="25"/>
  <c r="G173" i="25" s="1"/>
  <c r="B174" i="25"/>
  <c r="G174" i="25" s="1"/>
  <c r="B175" i="25"/>
  <c r="G175" i="25" s="1"/>
  <c r="B176" i="25"/>
  <c r="G176" i="25" s="1"/>
  <c r="B177" i="25"/>
  <c r="G177" i="25" s="1"/>
  <c r="B178" i="25"/>
  <c r="G178" i="25" s="1"/>
  <c r="B179" i="25"/>
  <c r="G179" i="25" s="1"/>
  <c r="B180" i="25"/>
  <c r="G180" i="25" s="1"/>
  <c r="B181" i="25"/>
  <c r="G181" i="25" s="1"/>
  <c r="B182" i="25"/>
  <c r="G182" i="25" s="1"/>
  <c r="B183" i="25"/>
  <c r="G183" i="25" s="1"/>
  <c r="B184" i="25"/>
  <c r="G184" i="25" s="1"/>
  <c r="B185" i="25"/>
  <c r="G185" i="25" s="1"/>
  <c r="B186" i="25"/>
  <c r="G186" i="25" s="1"/>
  <c r="B187" i="25"/>
  <c r="G187" i="25" s="1"/>
  <c r="B188" i="25"/>
  <c r="G188" i="25" s="1"/>
  <c r="B189" i="25"/>
  <c r="G189" i="25" s="1"/>
  <c r="B190" i="25"/>
  <c r="G190" i="25" s="1"/>
  <c r="B191" i="25"/>
  <c r="G191" i="25" s="1"/>
  <c r="B192" i="25"/>
  <c r="G192" i="25" s="1"/>
  <c r="B193" i="25"/>
  <c r="G193" i="25" s="1"/>
  <c r="B194" i="25"/>
  <c r="G194" i="25" s="1"/>
  <c r="B195" i="25"/>
  <c r="G195" i="25" s="1"/>
  <c r="B196" i="25"/>
  <c r="G196" i="25" s="1"/>
  <c r="B197" i="25"/>
  <c r="G197" i="25" s="1"/>
  <c r="B198" i="25"/>
  <c r="G198" i="25" s="1"/>
  <c r="B199" i="25"/>
  <c r="G199" i="25" s="1"/>
  <c r="B200" i="25"/>
  <c r="G200" i="25" s="1"/>
  <c r="B201" i="25"/>
  <c r="G201" i="25" s="1"/>
  <c r="B202" i="25"/>
  <c r="G202" i="25" s="1"/>
  <c r="B203" i="25"/>
  <c r="G203" i="25" s="1"/>
  <c r="B204" i="25"/>
  <c r="G204" i="25" s="1"/>
  <c r="B205" i="25"/>
  <c r="G205" i="25" s="1"/>
  <c r="B206" i="25"/>
  <c r="G206" i="25" s="1"/>
  <c r="B207" i="25"/>
  <c r="G207" i="25" s="1"/>
  <c r="B208" i="25"/>
  <c r="G208" i="25" s="1"/>
  <c r="B209" i="25"/>
  <c r="G209" i="25" s="1"/>
  <c r="B210" i="25"/>
  <c r="G210" i="25" s="1"/>
  <c r="B211" i="25"/>
  <c r="G211" i="25" s="1"/>
  <c r="B212" i="25"/>
  <c r="G212" i="25" s="1"/>
  <c r="B213" i="25"/>
  <c r="G213" i="25" s="1"/>
  <c r="B214" i="25"/>
  <c r="G214" i="25" s="1"/>
  <c r="B215" i="25"/>
  <c r="G215" i="25" s="1"/>
  <c r="B216" i="25"/>
  <c r="G216" i="25" s="1"/>
  <c r="B217" i="25"/>
  <c r="G217" i="25" s="1"/>
  <c r="B218" i="25"/>
  <c r="G218" i="25" s="1"/>
  <c r="B219" i="25"/>
  <c r="G219" i="25" s="1"/>
  <c r="B220" i="25"/>
  <c r="G220" i="25" s="1"/>
  <c r="B221" i="25"/>
  <c r="G221" i="25" s="1"/>
  <c r="B222" i="25"/>
  <c r="G222" i="25" s="1"/>
  <c r="B223" i="25"/>
  <c r="G223" i="25" s="1"/>
  <c r="B224" i="25"/>
  <c r="G224" i="25" s="1"/>
  <c r="B225" i="25"/>
  <c r="G225" i="25" s="1"/>
  <c r="B226" i="25"/>
  <c r="G226" i="25" s="1"/>
  <c r="B227" i="25"/>
  <c r="G227" i="25" s="1"/>
  <c r="B228" i="25"/>
  <c r="G228" i="25" s="1"/>
  <c r="B229" i="25"/>
  <c r="G229" i="25" s="1"/>
  <c r="B230" i="25"/>
  <c r="G230" i="25" s="1"/>
  <c r="B231" i="25"/>
  <c r="G231" i="25" s="1"/>
  <c r="B232" i="25"/>
  <c r="G232" i="25" s="1"/>
  <c r="B233" i="25"/>
  <c r="G233" i="25" s="1"/>
  <c r="B234" i="25"/>
  <c r="G234" i="25" s="1"/>
  <c r="B235" i="25"/>
  <c r="G235" i="25" s="1"/>
  <c r="B236" i="25"/>
  <c r="G236" i="25" s="1"/>
  <c r="B237" i="25"/>
  <c r="G237" i="25" s="1"/>
  <c r="B238" i="25"/>
  <c r="G238" i="25" s="1"/>
  <c r="B239" i="25"/>
  <c r="G239" i="25" s="1"/>
  <c r="B240" i="25"/>
  <c r="G240" i="25" s="1"/>
  <c r="B241" i="25"/>
  <c r="G241" i="25" s="1"/>
  <c r="B242" i="25"/>
  <c r="G242" i="25" s="1"/>
  <c r="B243" i="25"/>
  <c r="G243" i="25" s="1"/>
  <c r="B244" i="25"/>
  <c r="G244" i="25" s="1"/>
  <c r="B245" i="25"/>
  <c r="G245" i="25" s="1"/>
  <c r="B246" i="25"/>
  <c r="G246" i="25" s="1"/>
  <c r="B247" i="25"/>
  <c r="G247" i="25" s="1"/>
  <c r="B248" i="25"/>
  <c r="G248" i="25" s="1"/>
  <c r="B249" i="25"/>
  <c r="G249" i="25" s="1"/>
  <c r="B250" i="25"/>
  <c r="G250" i="25" s="1"/>
  <c r="B251" i="25"/>
  <c r="G251" i="25" s="1"/>
  <c r="B252" i="25"/>
  <c r="G252" i="25" s="1"/>
  <c r="B253" i="25"/>
  <c r="G253" i="25" s="1"/>
  <c r="K253" i="25" s="1"/>
  <c r="B254" i="25"/>
  <c r="G254" i="25" s="1"/>
  <c r="B255" i="25"/>
  <c r="G255" i="25" s="1"/>
  <c r="B256" i="25"/>
  <c r="G256" i="25" s="1"/>
  <c r="B257" i="25"/>
  <c r="G257" i="25" s="1"/>
  <c r="B258" i="25"/>
  <c r="G258" i="25" s="1"/>
  <c r="B259" i="25"/>
  <c r="G259" i="25" s="1"/>
  <c r="B260" i="25"/>
  <c r="G260" i="25" s="1"/>
  <c r="B261" i="25"/>
  <c r="G261" i="25" s="1"/>
  <c r="B262" i="25"/>
  <c r="G262" i="25" s="1"/>
  <c r="B263" i="25"/>
  <c r="G263" i="25" s="1"/>
  <c r="B264" i="25"/>
  <c r="G264" i="25" s="1"/>
  <c r="B265" i="25"/>
  <c r="G265" i="25" s="1"/>
  <c r="B266" i="25"/>
  <c r="G266" i="25" s="1"/>
  <c r="B267" i="25"/>
  <c r="G267" i="25" s="1"/>
  <c r="B268" i="25"/>
  <c r="G268" i="25" s="1"/>
  <c r="B269" i="25"/>
  <c r="G269" i="25" s="1"/>
  <c r="B270" i="25"/>
  <c r="G270" i="25" s="1"/>
  <c r="B271" i="25"/>
  <c r="G271" i="25" s="1"/>
  <c r="B272" i="25"/>
  <c r="G272" i="25" s="1"/>
  <c r="B273" i="25"/>
  <c r="G273" i="25" s="1"/>
  <c r="B274" i="25"/>
  <c r="G274" i="25" s="1"/>
  <c r="B275" i="25"/>
  <c r="G275" i="25" s="1"/>
  <c r="B276" i="25"/>
  <c r="G276" i="25" s="1"/>
  <c r="B277" i="25"/>
  <c r="G277" i="25" s="1"/>
  <c r="B278" i="25"/>
  <c r="G278" i="25" s="1"/>
  <c r="B279" i="25"/>
  <c r="G279" i="25" s="1"/>
  <c r="B280" i="25"/>
  <c r="G280" i="25" s="1"/>
  <c r="B281" i="25"/>
  <c r="G281" i="25" s="1"/>
  <c r="B282" i="25"/>
  <c r="G282" i="25" s="1"/>
  <c r="B283" i="25"/>
  <c r="G283" i="25" s="1"/>
  <c r="B284" i="25"/>
  <c r="G284" i="25" s="1"/>
  <c r="B285" i="25"/>
  <c r="G285" i="25" s="1"/>
  <c r="B286" i="25"/>
  <c r="G286" i="25" s="1"/>
  <c r="B287" i="25"/>
  <c r="G287" i="25" s="1"/>
  <c r="B288" i="25"/>
  <c r="G288" i="25" s="1"/>
  <c r="B289" i="25"/>
  <c r="G289" i="25" s="1"/>
  <c r="B290" i="25"/>
  <c r="G290" i="25" s="1"/>
  <c r="B291" i="25"/>
  <c r="G291" i="25" s="1"/>
  <c r="B292" i="25"/>
  <c r="G292" i="25" s="1"/>
  <c r="B293" i="25"/>
  <c r="G293" i="25" s="1"/>
  <c r="B294" i="25"/>
  <c r="G294" i="25" s="1"/>
  <c r="B295" i="25"/>
  <c r="G295" i="25" s="1"/>
  <c r="B296" i="25"/>
  <c r="G296" i="25" s="1"/>
  <c r="B297" i="25"/>
  <c r="G297" i="25" s="1"/>
  <c r="B298" i="25"/>
  <c r="G298" i="25" s="1"/>
  <c r="B299" i="25"/>
  <c r="G299" i="25" s="1"/>
  <c r="B300" i="25"/>
  <c r="G300" i="25" s="1"/>
  <c r="B301" i="25"/>
  <c r="G301" i="25" s="1"/>
  <c r="B302" i="25"/>
  <c r="G302" i="25" s="1"/>
  <c r="B303" i="25"/>
  <c r="G303" i="25" s="1"/>
  <c r="B304" i="25"/>
  <c r="G304" i="25" s="1"/>
  <c r="B305" i="25"/>
  <c r="G305" i="25" s="1"/>
  <c r="B306" i="25"/>
  <c r="G306" i="25" s="1"/>
  <c r="B307" i="25"/>
  <c r="G307" i="25" s="1"/>
  <c r="B308" i="25"/>
  <c r="G308" i="25" s="1"/>
  <c r="B309" i="25"/>
  <c r="G309" i="25" s="1"/>
  <c r="B310" i="25"/>
  <c r="G310" i="25" s="1"/>
  <c r="B311" i="25"/>
  <c r="G311" i="25" s="1"/>
  <c r="B312" i="25"/>
  <c r="G312" i="25" s="1"/>
  <c r="B313" i="25"/>
  <c r="G313" i="25" s="1"/>
  <c r="B314" i="25"/>
  <c r="G314" i="25" s="1"/>
  <c r="B315" i="25"/>
  <c r="G315" i="25" s="1"/>
  <c r="B316" i="25"/>
  <c r="G316" i="25" s="1"/>
  <c r="B317" i="25"/>
  <c r="G317" i="25" s="1"/>
  <c r="B318" i="25"/>
  <c r="G318" i="25" s="1"/>
  <c r="B319" i="25"/>
  <c r="G319" i="25" s="1"/>
  <c r="B320" i="25"/>
  <c r="G320" i="25" s="1"/>
  <c r="B321" i="25"/>
  <c r="G321" i="25" s="1"/>
  <c r="B322" i="25"/>
  <c r="G322" i="25" s="1"/>
  <c r="B323" i="25"/>
  <c r="G323" i="25" s="1"/>
  <c r="B324" i="25"/>
  <c r="G324" i="25" s="1"/>
  <c r="B325" i="25"/>
  <c r="G325" i="25" s="1"/>
  <c r="B326" i="25"/>
  <c r="G326" i="25" s="1"/>
  <c r="B327" i="25"/>
  <c r="G327" i="25" s="1"/>
  <c r="B328" i="25"/>
  <c r="G328" i="25" s="1"/>
  <c r="B329" i="25"/>
  <c r="G329" i="25" s="1"/>
  <c r="B330" i="25"/>
  <c r="G330" i="25" s="1"/>
  <c r="B331" i="25"/>
  <c r="G331" i="25" s="1"/>
  <c r="B332" i="25"/>
  <c r="G332" i="25" s="1"/>
  <c r="B333" i="25"/>
  <c r="G333" i="25" s="1"/>
  <c r="B334" i="25"/>
  <c r="G334" i="25" s="1"/>
  <c r="B335" i="25"/>
  <c r="G335" i="25" s="1"/>
  <c r="B336" i="25"/>
  <c r="G336" i="25" s="1"/>
  <c r="B337" i="25"/>
  <c r="G337" i="25" s="1"/>
  <c r="B338" i="25"/>
  <c r="G338" i="25" s="1"/>
  <c r="B339" i="25"/>
  <c r="G339" i="25" s="1"/>
  <c r="B340" i="25"/>
  <c r="G340" i="25" s="1"/>
  <c r="B341" i="25"/>
  <c r="G341" i="25" s="1"/>
  <c r="B342" i="25"/>
  <c r="G342" i="25" s="1"/>
  <c r="B343" i="25"/>
  <c r="G343" i="25" s="1"/>
  <c r="B344" i="25"/>
  <c r="G344" i="25" s="1"/>
  <c r="B345" i="25"/>
  <c r="G345" i="25" s="1"/>
  <c r="B346" i="25"/>
  <c r="G346" i="25" s="1"/>
  <c r="B347" i="25"/>
  <c r="G347" i="25" s="1"/>
  <c r="B348" i="25"/>
  <c r="G348" i="25" s="1"/>
  <c r="B349" i="25"/>
  <c r="G349" i="25" s="1"/>
  <c r="B350" i="25"/>
  <c r="G350" i="25" s="1"/>
  <c r="B351" i="25"/>
  <c r="G351" i="25" s="1"/>
  <c r="B352" i="25"/>
  <c r="G352" i="25" s="1"/>
  <c r="B353" i="25"/>
  <c r="G353" i="25" s="1"/>
  <c r="B354" i="25"/>
  <c r="G354" i="25" s="1"/>
  <c r="B355" i="25"/>
  <c r="G355" i="25" s="1"/>
  <c r="B356" i="25"/>
  <c r="G356" i="25" s="1"/>
  <c r="B357" i="25"/>
  <c r="G357" i="25" s="1"/>
  <c r="B358" i="25"/>
  <c r="G358" i="25" s="1"/>
  <c r="B359" i="25"/>
  <c r="G359" i="25" s="1"/>
  <c r="B360" i="25"/>
  <c r="G360" i="25" s="1"/>
  <c r="B361" i="25"/>
  <c r="G361" i="25" s="1"/>
  <c r="B362" i="25"/>
  <c r="G362" i="25" s="1"/>
  <c r="B363" i="25"/>
  <c r="G363" i="25" s="1"/>
  <c r="B364" i="25"/>
  <c r="G364" i="25" s="1"/>
  <c r="B365" i="25"/>
  <c r="G365" i="25" s="1"/>
  <c r="K365" i="25" s="1"/>
  <c r="B366" i="25"/>
  <c r="G366" i="25" s="1"/>
  <c r="B367" i="25"/>
  <c r="G367" i="25" s="1"/>
  <c r="B368" i="25"/>
  <c r="G368" i="25" s="1"/>
  <c r="B369" i="25"/>
  <c r="G369" i="25" s="1"/>
  <c r="B370" i="25"/>
  <c r="G370" i="25" s="1"/>
  <c r="B371" i="25"/>
  <c r="G371" i="25" s="1"/>
  <c r="B372" i="25"/>
  <c r="G372" i="25" s="1"/>
  <c r="B373" i="25"/>
  <c r="G373" i="25" s="1"/>
  <c r="B374" i="25"/>
  <c r="G374" i="25" s="1"/>
  <c r="B375" i="25"/>
  <c r="G375" i="25" s="1"/>
  <c r="B376" i="25"/>
  <c r="G376" i="25" s="1"/>
  <c r="B377" i="25"/>
  <c r="G377" i="25" s="1"/>
  <c r="B378" i="25"/>
  <c r="G378" i="25" s="1"/>
  <c r="B379" i="25"/>
  <c r="G379" i="25" s="1"/>
  <c r="B380" i="25"/>
  <c r="G380" i="25" s="1"/>
  <c r="B381" i="25"/>
  <c r="G381" i="25" s="1"/>
  <c r="B382" i="25"/>
  <c r="G382" i="25" s="1"/>
  <c r="B383" i="25"/>
  <c r="G383" i="25" s="1"/>
  <c r="B384" i="25"/>
  <c r="G384" i="25" s="1"/>
  <c r="B385" i="25"/>
  <c r="G385" i="25" s="1"/>
  <c r="B386" i="25"/>
  <c r="G386" i="25" s="1"/>
  <c r="B387" i="25"/>
  <c r="G387" i="25" s="1"/>
  <c r="B388" i="25"/>
  <c r="G388" i="25" s="1"/>
  <c r="B389" i="25"/>
  <c r="G389" i="25" s="1"/>
  <c r="B390" i="25"/>
  <c r="G390" i="25" s="1"/>
  <c r="B391" i="25"/>
  <c r="G391" i="25" s="1"/>
  <c r="B392" i="25"/>
  <c r="G392" i="25" s="1"/>
  <c r="B393" i="25"/>
  <c r="G393" i="25" s="1"/>
  <c r="B394" i="25"/>
  <c r="G394" i="25" s="1"/>
  <c r="B395" i="25"/>
  <c r="G395" i="25" s="1"/>
  <c r="B396" i="25"/>
  <c r="G396" i="25" s="1"/>
  <c r="B397" i="25"/>
  <c r="G397" i="25" s="1"/>
  <c r="B398" i="25"/>
  <c r="G398" i="25" s="1"/>
  <c r="B399" i="25"/>
  <c r="G399" i="25" s="1"/>
  <c r="B400" i="25"/>
  <c r="G400" i="25" s="1"/>
  <c r="B401" i="25"/>
  <c r="G401" i="25" s="1"/>
  <c r="B402" i="25"/>
  <c r="G402" i="25" s="1"/>
  <c r="B403" i="25"/>
  <c r="G403" i="25" s="1"/>
  <c r="B404" i="25"/>
  <c r="G404" i="25" s="1"/>
  <c r="B405" i="25"/>
  <c r="G405" i="25" s="1"/>
  <c r="B406" i="25"/>
  <c r="G406" i="25" s="1"/>
  <c r="B407" i="25"/>
  <c r="G407" i="25" s="1"/>
  <c r="B408" i="25"/>
  <c r="G408" i="25" s="1"/>
  <c r="B409" i="25"/>
  <c r="G409" i="25" s="1"/>
  <c r="B410" i="25"/>
  <c r="G410" i="25" s="1"/>
  <c r="B411" i="25"/>
  <c r="G411" i="25" s="1"/>
  <c r="B412" i="25"/>
  <c r="G412" i="25" s="1"/>
  <c r="B413" i="25"/>
  <c r="G413" i="25" s="1"/>
  <c r="B414" i="25"/>
  <c r="G414" i="25" s="1"/>
  <c r="B415" i="25"/>
  <c r="G415" i="25" s="1"/>
  <c r="B416" i="25"/>
  <c r="G416" i="25" s="1"/>
  <c r="B417" i="25"/>
  <c r="G417" i="25" s="1"/>
  <c r="B418" i="25"/>
  <c r="G418" i="25" s="1"/>
  <c r="B419" i="25"/>
  <c r="G419" i="25" s="1"/>
  <c r="B420" i="25"/>
  <c r="G420" i="25" s="1"/>
  <c r="B421" i="25"/>
  <c r="G421" i="25" s="1"/>
  <c r="B422" i="25"/>
  <c r="G422" i="25" s="1"/>
  <c r="B423" i="25"/>
  <c r="G423" i="25" s="1"/>
  <c r="B424" i="25"/>
  <c r="G424" i="25" s="1"/>
  <c r="B425" i="25"/>
  <c r="G425" i="25" s="1"/>
  <c r="B426" i="25"/>
  <c r="G426" i="25" s="1"/>
  <c r="B427" i="25"/>
  <c r="G427" i="25" s="1"/>
  <c r="B428" i="25"/>
  <c r="G428" i="25" s="1"/>
  <c r="B429" i="25"/>
  <c r="G429" i="25" s="1"/>
  <c r="B430" i="25"/>
  <c r="G430" i="25" s="1"/>
  <c r="B431" i="25"/>
  <c r="G431" i="25" s="1"/>
  <c r="B432" i="25"/>
  <c r="G432" i="25" s="1"/>
  <c r="B433" i="25"/>
  <c r="G433" i="25" s="1"/>
  <c r="B434" i="25"/>
  <c r="G434" i="25" s="1"/>
  <c r="B435" i="25"/>
  <c r="G435" i="25" s="1"/>
  <c r="B436" i="25"/>
  <c r="G436" i="25" s="1"/>
  <c r="B437" i="25"/>
  <c r="G437" i="25" s="1"/>
  <c r="B438" i="25"/>
  <c r="G438" i="25" s="1"/>
  <c r="B439" i="25"/>
  <c r="G439" i="25" s="1"/>
  <c r="B440" i="25"/>
  <c r="G440" i="25" s="1"/>
  <c r="B441" i="25"/>
  <c r="G441" i="25" s="1"/>
  <c r="B442" i="25"/>
  <c r="G442" i="25" s="1"/>
  <c r="B443" i="25"/>
  <c r="G443" i="25" s="1"/>
  <c r="B444" i="25"/>
  <c r="G444" i="25" s="1"/>
  <c r="B445" i="25"/>
  <c r="G445" i="25" s="1"/>
  <c r="B446" i="25"/>
  <c r="G446" i="25" s="1"/>
  <c r="B447" i="25"/>
  <c r="G447" i="25" s="1"/>
  <c r="B448" i="25"/>
  <c r="G448" i="25" s="1"/>
  <c r="B449" i="25"/>
  <c r="G449" i="25" s="1"/>
  <c r="B450" i="25"/>
  <c r="G450" i="25" s="1"/>
  <c r="B451" i="25"/>
  <c r="G451" i="25" s="1"/>
  <c r="B452" i="25"/>
  <c r="G452" i="25" s="1"/>
  <c r="B453" i="25"/>
  <c r="G453" i="25" s="1"/>
  <c r="B454" i="25"/>
  <c r="G454" i="25" s="1"/>
  <c r="B455" i="25"/>
  <c r="G455" i="25" s="1"/>
  <c r="B456" i="25"/>
  <c r="G456" i="25" s="1"/>
  <c r="B457" i="25"/>
  <c r="G457" i="25" s="1"/>
  <c r="B458" i="25"/>
  <c r="G458" i="25" s="1"/>
  <c r="B459" i="25"/>
  <c r="G459" i="25" s="1"/>
  <c r="B460" i="25"/>
  <c r="G460" i="25" s="1"/>
  <c r="B461" i="25"/>
  <c r="G461" i="25" s="1"/>
  <c r="B462" i="25"/>
  <c r="G462" i="25" s="1"/>
  <c r="B463" i="25"/>
  <c r="G463" i="25" s="1"/>
  <c r="B464" i="25"/>
  <c r="G464" i="25" s="1"/>
  <c r="B465" i="25"/>
  <c r="G465" i="25" s="1"/>
  <c r="B466" i="25"/>
  <c r="G466" i="25" s="1"/>
  <c r="B467" i="25"/>
  <c r="G467" i="25" s="1"/>
  <c r="B468" i="25"/>
  <c r="G468" i="25" s="1"/>
  <c r="B469" i="25"/>
  <c r="G469" i="25" s="1"/>
  <c r="B470" i="25"/>
  <c r="G470" i="25" s="1"/>
  <c r="B471" i="25"/>
  <c r="G471" i="25" s="1"/>
  <c r="B472" i="25"/>
  <c r="G472" i="25" s="1"/>
  <c r="B473" i="25"/>
  <c r="G473" i="25" s="1"/>
  <c r="B474" i="25"/>
  <c r="G474" i="25" s="1"/>
  <c r="B475" i="25"/>
  <c r="G475" i="25" s="1"/>
  <c r="B476" i="25"/>
  <c r="G476" i="25" s="1"/>
  <c r="B477" i="25"/>
  <c r="G477" i="25" s="1"/>
  <c r="B478" i="25"/>
  <c r="G478" i="25" s="1"/>
  <c r="B479" i="25"/>
  <c r="G479" i="25" s="1"/>
  <c r="B480" i="25"/>
  <c r="G480" i="25" s="1"/>
  <c r="B481" i="25"/>
  <c r="G481" i="25" s="1"/>
  <c r="B482" i="25"/>
  <c r="G482" i="25" s="1"/>
  <c r="B483" i="25"/>
  <c r="G483" i="25" s="1"/>
  <c r="B484" i="25"/>
  <c r="G484" i="25" s="1"/>
  <c r="B485" i="25"/>
  <c r="G485" i="25" s="1"/>
  <c r="B486" i="25"/>
  <c r="G486" i="25" s="1"/>
  <c r="B487" i="25"/>
  <c r="G487" i="25" s="1"/>
  <c r="B488" i="25"/>
  <c r="G488" i="25" s="1"/>
  <c r="B489" i="25"/>
  <c r="G489" i="25" s="1"/>
  <c r="B490" i="25"/>
  <c r="G490" i="25" s="1"/>
  <c r="B491" i="25"/>
  <c r="G491" i="25" s="1"/>
  <c r="B492" i="25"/>
  <c r="G492" i="25" s="1"/>
  <c r="B493" i="25"/>
  <c r="G493" i="25" s="1"/>
  <c r="B494" i="25"/>
  <c r="G494" i="25" s="1"/>
  <c r="B495" i="25"/>
  <c r="G495" i="25" s="1"/>
  <c r="B496" i="25"/>
  <c r="G496" i="25" s="1"/>
  <c r="B497" i="25"/>
  <c r="G497" i="25" s="1"/>
  <c r="B498" i="25"/>
  <c r="G498" i="25" s="1"/>
  <c r="B499" i="25"/>
  <c r="G499" i="25" s="1"/>
  <c r="B500" i="25"/>
  <c r="G500" i="25" s="1"/>
  <c r="B501" i="25"/>
  <c r="G501" i="25" s="1"/>
  <c r="B502" i="25"/>
  <c r="G502" i="25" s="1"/>
  <c r="B503" i="25"/>
  <c r="G503" i="25" s="1"/>
  <c r="B504" i="25"/>
  <c r="G504" i="25" s="1"/>
  <c r="B505" i="25"/>
  <c r="G505" i="25" s="1"/>
  <c r="B506" i="25"/>
  <c r="G506" i="25" s="1"/>
  <c r="B507" i="25"/>
  <c r="G507" i="25" s="1"/>
  <c r="B508" i="25"/>
  <c r="G508" i="25" s="1"/>
  <c r="B509" i="25"/>
  <c r="G509" i="25" s="1"/>
  <c r="B510" i="25"/>
  <c r="G510" i="25" s="1"/>
  <c r="B511" i="25"/>
  <c r="G511" i="25" s="1"/>
  <c r="B512" i="25"/>
  <c r="G512" i="25" s="1"/>
  <c r="B513" i="25"/>
  <c r="G513" i="25" s="1"/>
  <c r="B514" i="25"/>
  <c r="G514" i="25" s="1"/>
  <c r="B515" i="25"/>
  <c r="G515" i="25" s="1"/>
  <c r="B516" i="25"/>
  <c r="G516" i="25" s="1"/>
  <c r="B517" i="25"/>
  <c r="G517" i="25" s="1"/>
  <c r="B518" i="25"/>
  <c r="G518" i="25" s="1"/>
  <c r="B519" i="25"/>
  <c r="G519" i="25" s="1"/>
  <c r="B520" i="25"/>
  <c r="G520" i="25" s="1"/>
  <c r="B521" i="25"/>
  <c r="G521" i="25" s="1"/>
  <c r="B522" i="25"/>
  <c r="G522" i="25" s="1"/>
  <c r="B523" i="25"/>
  <c r="G523" i="25" s="1"/>
  <c r="B524" i="25"/>
  <c r="G524" i="25" s="1"/>
  <c r="B525" i="25"/>
  <c r="G525" i="25" s="1"/>
  <c r="B526" i="25"/>
  <c r="G526" i="25" s="1"/>
  <c r="B527" i="25"/>
  <c r="G527" i="25" s="1"/>
  <c r="B528" i="25"/>
  <c r="G528" i="25" s="1"/>
  <c r="B529" i="25"/>
  <c r="G529" i="25" s="1"/>
  <c r="B530" i="25"/>
  <c r="G530" i="25" s="1"/>
  <c r="B531" i="25"/>
  <c r="G531" i="25" s="1"/>
  <c r="K531" i="25" s="1"/>
  <c r="B532" i="25"/>
  <c r="G532" i="25" s="1"/>
  <c r="B533" i="25"/>
  <c r="G533" i="25" s="1"/>
  <c r="B534" i="25"/>
  <c r="G534" i="25" s="1"/>
  <c r="B535" i="25"/>
  <c r="G535" i="25" s="1"/>
  <c r="B536" i="25"/>
  <c r="G536" i="25" s="1"/>
  <c r="B537" i="25"/>
  <c r="G537" i="25" s="1"/>
  <c r="B538" i="25"/>
  <c r="G538" i="25" s="1"/>
  <c r="B539" i="25"/>
  <c r="G539" i="25" s="1"/>
  <c r="B540" i="25"/>
  <c r="G540" i="25" s="1"/>
  <c r="B541" i="25"/>
  <c r="G541" i="25" s="1"/>
  <c r="B542" i="25"/>
  <c r="G542" i="25" s="1"/>
  <c r="B543" i="25"/>
  <c r="G543" i="25" s="1"/>
  <c r="B544" i="25"/>
  <c r="G544" i="25" s="1"/>
  <c r="B545" i="25"/>
  <c r="G545" i="25" s="1"/>
  <c r="B546" i="25"/>
  <c r="G546" i="25" s="1"/>
  <c r="B547" i="25"/>
  <c r="G547" i="25" s="1"/>
  <c r="B548" i="25"/>
  <c r="G548" i="25" s="1"/>
  <c r="B549" i="25"/>
  <c r="G549" i="25" s="1"/>
  <c r="B550" i="25"/>
  <c r="G550" i="25" s="1"/>
  <c r="B551" i="25"/>
  <c r="G551" i="25" s="1"/>
  <c r="B552" i="25"/>
  <c r="G552" i="25" s="1"/>
  <c r="B553" i="25"/>
  <c r="G553" i="25" s="1"/>
  <c r="B554" i="25"/>
  <c r="G554" i="25" s="1"/>
  <c r="B555" i="25"/>
  <c r="G555" i="25" s="1"/>
  <c r="B556" i="25"/>
  <c r="G556" i="25" s="1"/>
  <c r="B557" i="25"/>
  <c r="G557" i="25" s="1"/>
  <c r="B558" i="25"/>
  <c r="G558" i="25" s="1"/>
  <c r="B559" i="25"/>
  <c r="G559" i="25" s="1"/>
  <c r="B560" i="25"/>
  <c r="G560" i="25" s="1"/>
  <c r="B561" i="25"/>
  <c r="G561" i="25" s="1"/>
  <c r="B562" i="25"/>
  <c r="G562" i="25" s="1"/>
  <c r="B563" i="25"/>
  <c r="G563" i="25" s="1"/>
  <c r="B564" i="25"/>
  <c r="G564" i="25" s="1"/>
  <c r="B565" i="25"/>
  <c r="G565" i="25" s="1"/>
  <c r="B566" i="25"/>
  <c r="G566" i="25" s="1"/>
  <c r="B567" i="25"/>
  <c r="G567" i="25" s="1"/>
  <c r="B568" i="25"/>
  <c r="G568" i="25" s="1"/>
  <c r="B569" i="25"/>
  <c r="G569" i="25" s="1"/>
  <c r="B570" i="25"/>
  <c r="G570" i="25" s="1"/>
  <c r="B571" i="25"/>
  <c r="G571" i="25" s="1"/>
  <c r="B572" i="25"/>
  <c r="G572" i="25" s="1"/>
  <c r="B573" i="25"/>
  <c r="G573" i="25" s="1"/>
  <c r="B574" i="25"/>
  <c r="G574" i="25" s="1"/>
  <c r="B575" i="25"/>
  <c r="G575" i="25" s="1"/>
  <c r="B576" i="25"/>
  <c r="G576" i="25" s="1"/>
  <c r="B577" i="25"/>
  <c r="G577" i="25" s="1"/>
  <c r="B578" i="25"/>
  <c r="G578" i="25" s="1"/>
  <c r="B579" i="25"/>
  <c r="G579" i="25" s="1"/>
  <c r="B580" i="25"/>
  <c r="G580" i="25" s="1"/>
  <c r="B581" i="25"/>
  <c r="G581" i="25" s="1"/>
  <c r="B582" i="25"/>
  <c r="G582" i="25" s="1"/>
  <c r="B583" i="25"/>
  <c r="G583" i="25" s="1"/>
  <c r="B584" i="25"/>
  <c r="G584" i="25" s="1"/>
  <c r="B585" i="25"/>
  <c r="G585" i="25" s="1"/>
  <c r="B586" i="25"/>
  <c r="G586" i="25" s="1"/>
  <c r="B587" i="25"/>
  <c r="G587" i="25" s="1"/>
  <c r="B588" i="25"/>
  <c r="G588" i="25" s="1"/>
  <c r="B589" i="25"/>
  <c r="G589" i="25" s="1"/>
  <c r="B590" i="25"/>
  <c r="G590" i="25" s="1"/>
  <c r="B591" i="25"/>
  <c r="G591" i="25" s="1"/>
  <c r="B592" i="25"/>
  <c r="G592" i="25" s="1"/>
  <c r="B593" i="25"/>
  <c r="G593" i="25" s="1"/>
  <c r="B594" i="25"/>
  <c r="G594" i="25" s="1"/>
  <c r="B595" i="25"/>
  <c r="G595" i="25" s="1"/>
  <c r="B596" i="25"/>
  <c r="G596" i="25" s="1"/>
  <c r="B597" i="25"/>
  <c r="G597" i="25" s="1"/>
  <c r="B598" i="25"/>
  <c r="G598" i="25" s="1"/>
  <c r="B599" i="25"/>
  <c r="G599" i="25" s="1"/>
  <c r="B600" i="25"/>
  <c r="G600" i="25" s="1"/>
  <c r="B601" i="25"/>
  <c r="G601" i="25" s="1"/>
  <c r="B602" i="25"/>
  <c r="G602" i="25" s="1"/>
  <c r="B603" i="25"/>
  <c r="G603" i="25" s="1"/>
  <c r="B604" i="25"/>
  <c r="G604" i="25" s="1"/>
  <c r="B605" i="25"/>
  <c r="G605" i="25" s="1"/>
  <c r="B606" i="25"/>
  <c r="G606" i="25" s="1"/>
  <c r="B607" i="25"/>
  <c r="G607" i="25" s="1"/>
  <c r="B608" i="25"/>
  <c r="G608" i="25" s="1"/>
  <c r="B609" i="25"/>
  <c r="G609" i="25" s="1"/>
  <c r="B610" i="25"/>
  <c r="G610" i="25" s="1"/>
  <c r="B611" i="25"/>
  <c r="G611" i="25" s="1"/>
  <c r="B612" i="25"/>
  <c r="G612" i="25" s="1"/>
  <c r="B613" i="25"/>
  <c r="G613" i="25" s="1"/>
  <c r="B614" i="25"/>
  <c r="G614" i="25" s="1"/>
  <c r="B615" i="25"/>
  <c r="G615" i="25" s="1"/>
  <c r="B616" i="25"/>
  <c r="G616" i="25" s="1"/>
  <c r="B617" i="25"/>
  <c r="G617" i="25" s="1"/>
  <c r="B618" i="25"/>
  <c r="G618" i="25" s="1"/>
  <c r="B619" i="25"/>
  <c r="G619" i="25" s="1"/>
  <c r="B620" i="25"/>
  <c r="G620" i="25" s="1"/>
  <c r="B621" i="25"/>
  <c r="G621" i="25" s="1"/>
  <c r="B622" i="25"/>
  <c r="G622" i="25" s="1"/>
  <c r="B623" i="25"/>
  <c r="G623" i="25" s="1"/>
  <c r="B624" i="25"/>
  <c r="G624" i="25" s="1"/>
  <c r="B625" i="25"/>
  <c r="G625" i="25" s="1"/>
  <c r="B626" i="25"/>
  <c r="G626" i="25" s="1"/>
  <c r="B627" i="25"/>
  <c r="G627" i="25" s="1"/>
  <c r="B628" i="25"/>
  <c r="G628" i="25" s="1"/>
  <c r="B629" i="25"/>
  <c r="G629" i="25" s="1"/>
  <c r="B630" i="25"/>
  <c r="G630" i="25" s="1"/>
  <c r="B631" i="25"/>
  <c r="G631" i="25" s="1"/>
  <c r="B632" i="25"/>
  <c r="G632" i="25" s="1"/>
  <c r="B633" i="25"/>
  <c r="G633" i="25" s="1"/>
  <c r="B634" i="25"/>
  <c r="G634" i="25" s="1"/>
  <c r="B635" i="25"/>
  <c r="G635" i="25" s="1"/>
  <c r="B636" i="25"/>
  <c r="G636" i="25" s="1"/>
  <c r="B637" i="25"/>
  <c r="G637" i="25" s="1"/>
  <c r="B638" i="25"/>
  <c r="G638" i="25" s="1"/>
  <c r="E7" i="25"/>
  <c r="H7" i="25" s="1"/>
  <c r="D7" i="25"/>
  <c r="F7" i="25" s="1"/>
  <c r="C7" i="25"/>
  <c r="B7" i="25"/>
  <c r="G7" i="25" s="1"/>
  <c r="A45" i="25"/>
  <c r="A46" i="25"/>
  <c r="A47" i="25"/>
  <c r="A48" i="25"/>
  <c r="A49" i="25"/>
  <c r="A50" i="25"/>
  <c r="A51" i="25"/>
  <c r="A52" i="25"/>
  <c r="A53" i="25"/>
  <c r="A54" i="25"/>
  <c r="A55" i="25"/>
  <c r="A56" i="25"/>
  <c r="A57" i="25"/>
  <c r="A58" i="25"/>
  <c r="A59" i="25"/>
  <c r="A60" i="25"/>
  <c r="A61" i="25"/>
  <c r="A62" i="25"/>
  <c r="A63" i="25"/>
  <c r="A64" i="25"/>
  <c r="A65" i="25"/>
  <c r="A66" i="25"/>
  <c r="A67" i="25"/>
  <c r="A68" i="25"/>
  <c r="A69" i="25"/>
  <c r="A70" i="25"/>
  <c r="A71" i="25"/>
  <c r="A72" i="25"/>
  <c r="A73" i="25"/>
  <c r="A74" i="25"/>
  <c r="A75" i="25"/>
  <c r="A76" i="25"/>
  <c r="A77" i="25"/>
  <c r="A78" i="25"/>
  <c r="A79" i="25"/>
  <c r="A80" i="25"/>
  <c r="A81" i="25"/>
  <c r="A82" i="25"/>
  <c r="A83" i="25"/>
  <c r="A84" i="25"/>
  <c r="A85" i="25"/>
  <c r="A86" i="25"/>
  <c r="A87" i="25"/>
  <c r="A88" i="25"/>
  <c r="A89" i="25"/>
  <c r="A90" i="25"/>
  <c r="A91" i="25"/>
  <c r="A92" i="25"/>
  <c r="A93" i="25"/>
  <c r="A94" i="25"/>
  <c r="A95" i="25"/>
  <c r="A96" i="25"/>
  <c r="A97" i="25"/>
  <c r="A98" i="25"/>
  <c r="A99" i="25"/>
  <c r="A100" i="25"/>
  <c r="A101" i="25"/>
  <c r="A102" i="25"/>
  <c r="A103" i="25"/>
  <c r="A104" i="25"/>
  <c r="A105" i="25"/>
  <c r="A106" i="25"/>
  <c r="A107" i="25"/>
  <c r="A108" i="25"/>
  <c r="A109" i="25"/>
  <c r="A110" i="25"/>
  <c r="A111" i="25"/>
  <c r="A112" i="25"/>
  <c r="A113" i="25"/>
  <c r="A114" i="25"/>
  <c r="A115" i="25"/>
  <c r="A116" i="25"/>
  <c r="A117" i="25"/>
  <c r="A118" i="25"/>
  <c r="A119" i="25"/>
  <c r="A120" i="25"/>
  <c r="A121" i="25"/>
  <c r="A122" i="25"/>
  <c r="A123" i="25"/>
  <c r="A124" i="25"/>
  <c r="A125" i="25"/>
  <c r="A126" i="25"/>
  <c r="A127" i="25"/>
  <c r="A128" i="25"/>
  <c r="A129" i="25"/>
  <c r="A130" i="25"/>
  <c r="A131" i="25"/>
  <c r="A132" i="25"/>
  <c r="A133" i="25"/>
  <c r="A134" i="25"/>
  <c r="A135" i="25"/>
  <c r="A136" i="25"/>
  <c r="A137" i="25"/>
  <c r="A138" i="25"/>
  <c r="A139" i="25"/>
  <c r="A140" i="25"/>
  <c r="A141" i="25"/>
  <c r="A142" i="25"/>
  <c r="A143" i="25"/>
  <c r="A144" i="25"/>
  <c r="A145" i="25"/>
  <c r="A146" i="25"/>
  <c r="A147" i="25"/>
  <c r="A148" i="25"/>
  <c r="A149" i="25"/>
  <c r="A150" i="25"/>
  <c r="A151" i="25"/>
  <c r="A152" i="25"/>
  <c r="A153" i="25"/>
  <c r="A154" i="25"/>
  <c r="A155" i="25"/>
  <c r="A156" i="25"/>
  <c r="A157" i="25"/>
  <c r="A158" i="25"/>
  <c r="A159" i="25"/>
  <c r="A160" i="25"/>
  <c r="A161" i="25"/>
  <c r="A162" i="25"/>
  <c r="A163" i="25"/>
  <c r="A164" i="25"/>
  <c r="A165" i="25"/>
  <c r="A166" i="25"/>
  <c r="A167" i="25"/>
  <c r="A168" i="25"/>
  <c r="A169" i="25"/>
  <c r="A170" i="25"/>
  <c r="A171" i="25"/>
  <c r="A172" i="25"/>
  <c r="A173" i="25"/>
  <c r="A174" i="25"/>
  <c r="A175" i="25"/>
  <c r="A176" i="25"/>
  <c r="A177" i="25"/>
  <c r="A178" i="25"/>
  <c r="A179" i="25"/>
  <c r="A180" i="25"/>
  <c r="A181" i="25"/>
  <c r="A182" i="25"/>
  <c r="A183" i="25"/>
  <c r="A184" i="25"/>
  <c r="A185" i="25"/>
  <c r="A186" i="25"/>
  <c r="A187" i="25"/>
  <c r="A188" i="25"/>
  <c r="A189" i="25"/>
  <c r="A190" i="25"/>
  <c r="A191" i="25"/>
  <c r="A192" i="25"/>
  <c r="A193" i="25"/>
  <c r="A194" i="25"/>
  <c r="A195" i="25"/>
  <c r="A196" i="25"/>
  <c r="A197" i="25"/>
  <c r="A198" i="25"/>
  <c r="A199" i="25"/>
  <c r="A200" i="25"/>
  <c r="A201" i="25"/>
  <c r="A202" i="25"/>
  <c r="A203" i="25"/>
  <c r="A204" i="25"/>
  <c r="A205" i="25"/>
  <c r="A206" i="25"/>
  <c r="A207" i="25"/>
  <c r="A208" i="25"/>
  <c r="A209" i="25"/>
  <c r="A210" i="25"/>
  <c r="A211" i="25"/>
  <c r="A212" i="25"/>
  <c r="A213" i="25"/>
  <c r="A214" i="25"/>
  <c r="A215" i="25"/>
  <c r="A216" i="25"/>
  <c r="A217" i="25"/>
  <c r="A218" i="25"/>
  <c r="A219" i="25"/>
  <c r="A220" i="25"/>
  <c r="A221" i="25"/>
  <c r="A222" i="25"/>
  <c r="A223" i="25"/>
  <c r="A224" i="25"/>
  <c r="A225" i="25"/>
  <c r="A226" i="25"/>
  <c r="A227" i="25"/>
  <c r="A228" i="25"/>
  <c r="A229" i="25"/>
  <c r="A230" i="25"/>
  <c r="A231" i="25"/>
  <c r="A232" i="25"/>
  <c r="A233" i="25"/>
  <c r="A234" i="25"/>
  <c r="A235" i="25"/>
  <c r="A236" i="25"/>
  <c r="A237" i="25"/>
  <c r="A238" i="25"/>
  <c r="A239" i="25"/>
  <c r="A240" i="25"/>
  <c r="A241" i="25"/>
  <c r="A242" i="25"/>
  <c r="A243" i="25"/>
  <c r="A244" i="25"/>
  <c r="A245" i="25"/>
  <c r="A246" i="25"/>
  <c r="A247" i="25"/>
  <c r="A248" i="25"/>
  <c r="A249" i="25"/>
  <c r="A250" i="25"/>
  <c r="A251" i="25"/>
  <c r="A252" i="25"/>
  <c r="A253" i="25"/>
  <c r="A254" i="25"/>
  <c r="A255" i="25"/>
  <c r="A256" i="25"/>
  <c r="A257" i="25"/>
  <c r="A258" i="25"/>
  <c r="A259" i="25"/>
  <c r="A260" i="25"/>
  <c r="A261" i="25"/>
  <c r="A262" i="25"/>
  <c r="A263" i="25"/>
  <c r="A264" i="25"/>
  <c r="A265" i="25"/>
  <c r="A266" i="25"/>
  <c r="A267" i="25"/>
  <c r="A268" i="25"/>
  <c r="A269" i="25"/>
  <c r="A270" i="25"/>
  <c r="A271" i="25"/>
  <c r="A272" i="25"/>
  <c r="A273" i="25"/>
  <c r="A274" i="25"/>
  <c r="A275" i="25"/>
  <c r="A276" i="25"/>
  <c r="A277" i="25"/>
  <c r="A278" i="25"/>
  <c r="A279" i="25"/>
  <c r="A280" i="25"/>
  <c r="A281" i="25"/>
  <c r="A282" i="25"/>
  <c r="A283" i="25"/>
  <c r="A284" i="25"/>
  <c r="A285" i="25"/>
  <c r="A286" i="25"/>
  <c r="A287" i="25"/>
  <c r="A288" i="25"/>
  <c r="A289" i="25"/>
  <c r="A290" i="25"/>
  <c r="A291" i="25"/>
  <c r="A292" i="25"/>
  <c r="A293" i="25"/>
  <c r="A294" i="25"/>
  <c r="A295" i="25"/>
  <c r="A296" i="25"/>
  <c r="A297" i="25"/>
  <c r="A298" i="25"/>
  <c r="A299" i="25"/>
  <c r="A300" i="25"/>
  <c r="A301" i="25"/>
  <c r="A302" i="25"/>
  <c r="A303" i="25"/>
  <c r="A304" i="25"/>
  <c r="A305" i="25"/>
  <c r="A306" i="25"/>
  <c r="A307" i="25"/>
  <c r="A308" i="25"/>
  <c r="A309" i="25"/>
  <c r="A310" i="25"/>
  <c r="A311" i="25"/>
  <c r="A312" i="25"/>
  <c r="A313" i="25"/>
  <c r="A314" i="25"/>
  <c r="A315" i="25"/>
  <c r="A316" i="25"/>
  <c r="A317" i="25"/>
  <c r="A318" i="25"/>
  <c r="A319" i="25"/>
  <c r="A320" i="25"/>
  <c r="A321" i="25"/>
  <c r="A322" i="25"/>
  <c r="A323" i="25"/>
  <c r="A324" i="25"/>
  <c r="A325" i="25"/>
  <c r="A326" i="25"/>
  <c r="A327" i="25"/>
  <c r="A328" i="25"/>
  <c r="A329" i="25"/>
  <c r="A330" i="25"/>
  <c r="A331" i="25"/>
  <c r="A332" i="25"/>
  <c r="A333" i="25"/>
  <c r="A334" i="25"/>
  <c r="A335" i="25"/>
  <c r="A336" i="25"/>
  <c r="A337" i="25"/>
  <c r="A338" i="25"/>
  <c r="A339" i="25"/>
  <c r="A340" i="25"/>
  <c r="A341" i="25"/>
  <c r="A342" i="25"/>
  <c r="A343" i="25"/>
  <c r="A344" i="25"/>
  <c r="A345" i="25"/>
  <c r="A346" i="25"/>
  <c r="A347" i="25"/>
  <c r="A348" i="25"/>
  <c r="A349" i="25"/>
  <c r="A350" i="25"/>
  <c r="A351" i="25"/>
  <c r="A352" i="25"/>
  <c r="A353" i="25"/>
  <c r="A354" i="25"/>
  <c r="A355" i="25"/>
  <c r="A356" i="25"/>
  <c r="A357" i="25"/>
  <c r="A358" i="25"/>
  <c r="A359" i="25"/>
  <c r="A360" i="25"/>
  <c r="A361" i="25"/>
  <c r="A362" i="25"/>
  <c r="A363" i="25"/>
  <c r="A364" i="25"/>
  <c r="A365" i="25"/>
  <c r="A366" i="25"/>
  <c r="A367" i="25"/>
  <c r="A368" i="25"/>
  <c r="A369" i="25"/>
  <c r="A370" i="25"/>
  <c r="A371" i="25"/>
  <c r="A372" i="25"/>
  <c r="A373" i="25"/>
  <c r="A374" i="25"/>
  <c r="A375" i="25"/>
  <c r="A376" i="25"/>
  <c r="A377" i="25"/>
  <c r="A378" i="25"/>
  <c r="A379" i="25"/>
  <c r="A380" i="25"/>
  <c r="A381" i="25"/>
  <c r="A382" i="25"/>
  <c r="A383" i="25"/>
  <c r="A384" i="25"/>
  <c r="A385" i="25"/>
  <c r="A386" i="25"/>
  <c r="A387" i="25"/>
  <c r="A388" i="25"/>
  <c r="A389" i="25"/>
  <c r="A390" i="25"/>
  <c r="A391" i="25"/>
  <c r="A392" i="25"/>
  <c r="A393" i="25"/>
  <c r="A394" i="25"/>
  <c r="A395" i="25"/>
  <c r="A396" i="25"/>
  <c r="A397" i="25"/>
  <c r="A398" i="25"/>
  <c r="A399" i="25"/>
  <c r="A400" i="25"/>
  <c r="A401" i="25"/>
  <c r="A402" i="25"/>
  <c r="A403" i="25"/>
  <c r="A404" i="25"/>
  <c r="A405" i="25"/>
  <c r="A406" i="25"/>
  <c r="A407" i="25"/>
  <c r="A408" i="25"/>
  <c r="A409" i="25"/>
  <c r="A410" i="25"/>
  <c r="A411" i="25"/>
  <c r="A412" i="25"/>
  <c r="A413" i="25"/>
  <c r="A414" i="25"/>
  <c r="A415" i="25"/>
  <c r="A416" i="25"/>
  <c r="A417" i="25"/>
  <c r="A418" i="25"/>
  <c r="A419" i="25"/>
  <c r="A420" i="25"/>
  <c r="A421" i="25"/>
  <c r="A422" i="25"/>
  <c r="A423" i="25"/>
  <c r="A424" i="25"/>
  <c r="A425" i="25"/>
  <c r="A426" i="25"/>
  <c r="A427" i="25"/>
  <c r="A428" i="25"/>
  <c r="A429" i="25"/>
  <c r="A430" i="25"/>
  <c r="A431" i="25"/>
  <c r="A432" i="25"/>
  <c r="A433" i="25"/>
  <c r="A434" i="25"/>
  <c r="A435" i="25"/>
  <c r="A436" i="25"/>
  <c r="A437" i="25"/>
  <c r="A438" i="25"/>
  <c r="A439" i="25"/>
  <c r="A440" i="25"/>
  <c r="A441" i="25"/>
  <c r="A442" i="25"/>
  <c r="A443" i="25"/>
  <c r="A444" i="25"/>
  <c r="A445" i="25"/>
  <c r="A446" i="25"/>
  <c r="A447" i="25"/>
  <c r="A448" i="25"/>
  <c r="A449" i="25"/>
  <c r="A450" i="25"/>
  <c r="A451" i="25"/>
  <c r="A452" i="25"/>
  <c r="A453" i="25"/>
  <c r="A454" i="25"/>
  <c r="A455" i="25"/>
  <c r="A456" i="25"/>
  <c r="A457" i="25"/>
  <c r="A458" i="25"/>
  <c r="A459" i="25"/>
  <c r="A460" i="25"/>
  <c r="A461" i="25"/>
  <c r="A462" i="25"/>
  <c r="A463" i="25"/>
  <c r="A464" i="25"/>
  <c r="A465" i="25"/>
  <c r="A466" i="25"/>
  <c r="A467" i="25"/>
  <c r="A468" i="25"/>
  <c r="A469" i="25"/>
  <c r="A470" i="25"/>
  <c r="A471" i="25"/>
  <c r="A472" i="25"/>
  <c r="A473" i="25"/>
  <c r="A474" i="25"/>
  <c r="A475" i="25"/>
  <c r="A476" i="25"/>
  <c r="A477" i="25"/>
  <c r="A478" i="25"/>
  <c r="A479" i="25"/>
  <c r="A480" i="25"/>
  <c r="A481" i="25"/>
  <c r="A482" i="25"/>
  <c r="A483" i="25"/>
  <c r="A484" i="25"/>
  <c r="A485" i="25"/>
  <c r="A486" i="25"/>
  <c r="A487" i="25"/>
  <c r="A488" i="25"/>
  <c r="A489" i="25"/>
  <c r="A490" i="25"/>
  <c r="A491" i="25"/>
  <c r="A492" i="25"/>
  <c r="A493" i="25"/>
  <c r="A494" i="25"/>
  <c r="A495" i="25"/>
  <c r="A496" i="25"/>
  <c r="A497" i="25"/>
  <c r="A498" i="25"/>
  <c r="A499" i="25"/>
  <c r="A500" i="25"/>
  <c r="A501" i="25"/>
  <c r="A502" i="25"/>
  <c r="A503" i="25"/>
  <c r="A504" i="25"/>
  <c r="A505" i="25"/>
  <c r="A506" i="25"/>
  <c r="A507" i="25"/>
  <c r="A508" i="25"/>
  <c r="A509" i="25"/>
  <c r="A510" i="25"/>
  <c r="A511" i="25"/>
  <c r="A512" i="25"/>
  <c r="A513" i="25"/>
  <c r="A514" i="25"/>
  <c r="A515" i="25"/>
  <c r="A516" i="25"/>
  <c r="A517" i="25"/>
  <c r="A518" i="25"/>
  <c r="A519" i="25"/>
  <c r="A520" i="25"/>
  <c r="A521" i="25"/>
  <c r="A522" i="25"/>
  <c r="A523" i="25"/>
  <c r="A524" i="25"/>
  <c r="A525" i="25"/>
  <c r="A526" i="25"/>
  <c r="A527" i="25"/>
  <c r="A528" i="25"/>
  <c r="A529" i="25"/>
  <c r="A530" i="25"/>
  <c r="A531" i="25"/>
  <c r="A532" i="25"/>
  <c r="A533" i="25"/>
  <c r="A534" i="25"/>
  <c r="A535" i="25"/>
  <c r="A536" i="25"/>
  <c r="A537" i="25"/>
  <c r="A538" i="25"/>
  <c r="A539" i="25"/>
  <c r="A540" i="25"/>
  <c r="A541" i="25"/>
  <c r="A542" i="25"/>
  <c r="A543" i="25"/>
  <c r="A544" i="25"/>
  <c r="A545" i="25"/>
  <c r="A546" i="25"/>
  <c r="A547" i="25"/>
  <c r="A548" i="25"/>
  <c r="A549" i="25"/>
  <c r="A550" i="25"/>
  <c r="A551" i="25"/>
  <c r="A552" i="25"/>
  <c r="A553" i="25"/>
  <c r="A554" i="25"/>
  <c r="A555" i="25"/>
  <c r="A556" i="25"/>
  <c r="A557" i="25"/>
  <c r="A558" i="25"/>
  <c r="A559" i="25"/>
  <c r="A560" i="25"/>
  <c r="A561" i="25"/>
  <c r="A562" i="25"/>
  <c r="A563" i="25"/>
  <c r="A564" i="25"/>
  <c r="A565" i="25"/>
  <c r="A566" i="25"/>
  <c r="A567" i="25"/>
  <c r="A568" i="25"/>
  <c r="A569" i="25"/>
  <c r="A570" i="25"/>
  <c r="A571" i="25"/>
  <c r="A572" i="25"/>
  <c r="A573" i="25"/>
  <c r="A574" i="25"/>
  <c r="A575" i="25"/>
  <c r="A576" i="25"/>
  <c r="A577" i="25"/>
  <c r="A578" i="25"/>
  <c r="A579" i="25"/>
  <c r="A580" i="25"/>
  <c r="A581" i="25"/>
  <c r="A582" i="25"/>
  <c r="A583" i="25"/>
  <c r="A584" i="25"/>
  <c r="A585" i="25"/>
  <c r="A586" i="25"/>
  <c r="A587" i="25"/>
  <c r="A588" i="25"/>
  <c r="A589" i="25"/>
  <c r="A590" i="25"/>
  <c r="A591" i="25"/>
  <c r="A592" i="25"/>
  <c r="A593" i="25"/>
  <c r="A594" i="25"/>
  <c r="A595" i="25"/>
  <c r="A596" i="25"/>
  <c r="A597" i="25"/>
  <c r="A598" i="25"/>
  <c r="A599" i="25"/>
  <c r="A600" i="25"/>
  <c r="A601" i="25"/>
  <c r="A602" i="25"/>
  <c r="A603" i="25"/>
  <c r="A604" i="25"/>
  <c r="A605" i="25"/>
  <c r="A606" i="25"/>
  <c r="A607" i="25"/>
  <c r="A608" i="25"/>
  <c r="A609" i="25"/>
  <c r="A610" i="25"/>
  <c r="A611" i="25"/>
  <c r="A612" i="25"/>
  <c r="A613" i="25"/>
  <c r="A614" i="25"/>
  <c r="A615" i="25"/>
  <c r="A616" i="25"/>
  <c r="A617" i="25"/>
  <c r="A618" i="25"/>
  <c r="A619" i="25"/>
  <c r="A620" i="25"/>
  <c r="A621" i="25"/>
  <c r="A622" i="25"/>
  <c r="A623" i="25"/>
  <c r="A624" i="25"/>
  <c r="A625" i="25"/>
  <c r="A626" i="25"/>
  <c r="A627" i="25"/>
  <c r="A628" i="25"/>
  <c r="A629" i="25"/>
  <c r="A630" i="25"/>
  <c r="A631" i="25"/>
  <c r="A632" i="25"/>
  <c r="A633" i="25"/>
  <c r="A634" i="25"/>
  <c r="A635" i="25"/>
  <c r="A636" i="25"/>
  <c r="A637" i="25"/>
  <c r="A638" i="25"/>
  <c r="A29" i="25"/>
  <c r="A30" i="25"/>
  <c r="A31" i="25"/>
  <c r="A32" i="25"/>
  <c r="A33" i="25"/>
  <c r="A34" i="25"/>
  <c r="A35" i="25"/>
  <c r="A36" i="25"/>
  <c r="A37" i="25"/>
  <c r="A38" i="25"/>
  <c r="A39" i="25"/>
  <c r="A40" i="25"/>
  <c r="A41" i="25"/>
  <c r="A42" i="25"/>
  <c r="A43" i="25"/>
  <c r="A44" i="25"/>
  <c r="A8" i="25"/>
  <c r="A9" i="25"/>
  <c r="A10" i="25"/>
  <c r="A11" i="25"/>
  <c r="A12" i="25"/>
  <c r="A13" i="25"/>
  <c r="A14" i="25"/>
  <c r="A15" i="25"/>
  <c r="A16" i="25"/>
  <c r="A17" i="25"/>
  <c r="A18" i="25"/>
  <c r="A19" i="25"/>
  <c r="A20" i="25"/>
  <c r="A21" i="25"/>
  <c r="A22" i="25"/>
  <c r="A23" i="25"/>
  <c r="A24" i="25"/>
  <c r="A25" i="25"/>
  <c r="A26" i="25"/>
  <c r="A27" i="25"/>
  <c r="A28" i="25"/>
  <c r="A7" i="25"/>
  <c r="C5" i="23"/>
  <c r="C6" i="23"/>
  <c r="C7" i="23"/>
  <c r="C8" i="23"/>
  <c r="C9" i="23"/>
  <c r="C10" i="23"/>
  <c r="C11"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4" i="23"/>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2" i="1"/>
  <c r="G3" i="20"/>
  <c r="G4" i="20"/>
  <c r="G5" i="20"/>
  <c r="G6" i="20"/>
  <c r="G7" i="20"/>
  <c r="G8" i="20"/>
  <c r="G9" i="20"/>
  <c r="G10" i="20"/>
  <c r="G11" i="20"/>
  <c r="G12" i="20"/>
  <c r="G13" i="20"/>
  <c r="G14" i="20"/>
  <c r="G15" i="20"/>
  <c r="G16" i="20"/>
  <c r="G17" i="20"/>
  <c r="G2" i="20"/>
  <c r="F3" i="20"/>
  <c r="F4" i="20"/>
  <c r="F5" i="20"/>
  <c r="F6" i="20"/>
  <c r="F7" i="20"/>
  <c r="F8" i="20"/>
  <c r="F9" i="20"/>
  <c r="F10" i="20"/>
  <c r="F11" i="20"/>
  <c r="F12" i="20"/>
  <c r="F13" i="20"/>
  <c r="F14" i="20"/>
  <c r="F15" i="20"/>
  <c r="F16" i="20"/>
  <c r="F17" i="20"/>
  <c r="F2" i="20"/>
  <c r="E3" i="20"/>
  <c r="E4" i="20"/>
  <c r="E5" i="20"/>
  <c r="E6" i="20"/>
  <c r="E7" i="20"/>
  <c r="E8" i="20"/>
  <c r="E9" i="20"/>
  <c r="E10" i="20"/>
  <c r="E11" i="20"/>
  <c r="E12" i="20"/>
  <c r="E13" i="20"/>
  <c r="E14" i="20"/>
  <c r="E15" i="20"/>
  <c r="E16" i="20"/>
  <c r="E17" i="20"/>
  <c r="E2" i="20"/>
  <c r="D638" i="18"/>
  <c r="E638" i="18" s="1"/>
  <c r="F638" i="18" s="1"/>
  <c r="D637" i="18"/>
  <c r="D636" i="18"/>
  <c r="D635" i="18"/>
  <c r="D634" i="18"/>
  <c r="D633" i="18"/>
  <c r="D632" i="18"/>
  <c r="D631" i="18"/>
  <c r="E630" i="18"/>
  <c r="F630" i="18" s="1"/>
  <c r="D630" i="18"/>
  <c r="D629" i="18"/>
  <c r="D628" i="18"/>
  <c r="D627" i="18"/>
  <c r="D626" i="18"/>
  <c r="D625" i="18"/>
  <c r="D624" i="18"/>
  <c r="D623" i="18"/>
  <c r="E622" i="18"/>
  <c r="F622" i="18" s="1"/>
  <c r="D622" i="18"/>
  <c r="D621" i="18"/>
  <c r="D620" i="18"/>
  <c r="D619" i="18"/>
  <c r="D618" i="18"/>
  <c r="D617" i="18"/>
  <c r="D616" i="18"/>
  <c r="D615" i="18"/>
  <c r="E614" i="18"/>
  <c r="F614" i="18" s="1"/>
  <c r="D614" i="18"/>
  <c r="D613" i="18"/>
  <c r="D612" i="18"/>
  <c r="D611" i="18"/>
  <c r="D610" i="18"/>
  <c r="D609" i="18"/>
  <c r="D608" i="18"/>
  <c r="D607" i="18"/>
  <c r="E606" i="18"/>
  <c r="F606" i="18" s="1"/>
  <c r="D606" i="18"/>
  <c r="D605" i="18"/>
  <c r="D604" i="18"/>
  <c r="D603" i="18"/>
  <c r="D602" i="18"/>
  <c r="D601" i="18"/>
  <c r="D600" i="18"/>
  <c r="D599" i="18"/>
  <c r="E598" i="18"/>
  <c r="F598" i="18" s="1"/>
  <c r="D598" i="18"/>
  <c r="D597" i="18"/>
  <c r="D596" i="18"/>
  <c r="D595" i="18"/>
  <c r="D594" i="18"/>
  <c r="D593" i="18"/>
  <c r="D592" i="18"/>
  <c r="D591" i="18"/>
  <c r="E590" i="18"/>
  <c r="F590" i="18" s="1"/>
  <c r="D590" i="18"/>
  <c r="D589" i="18"/>
  <c r="D588" i="18"/>
  <c r="D587" i="18"/>
  <c r="D586" i="18"/>
  <c r="D585" i="18"/>
  <c r="D584" i="18"/>
  <c r="D583" i="18"/>
  <c r="E582" i="18"/>
  <c r="F582" i="18" s="1"/>
  <c r="D582" i="18"/>
  <c r="D581" i="18"/>
  <c r="D580" i="18"/>
  <c r="D579" i="18"/>
  <c r="D578" i="18"/>
  <c r="D577" i="18"/>
  <c r="D576" i="18"/>
  <c r="D575" i="18"/>
  <c r="E574" i="18"/>
  <c r="F574" i="18" s="1"/>
  <c r="D574" i="18"/>
  <c r="D573" i="18"/>
  <c r="D572" i="18"/>
  <c r="D571" i="18"/>
  <c r="D570" i="18"/>
  <c r="D569" i="18"/>
  <c r="D568" i="18"/>
  <c r="D567" i="18"/>
  <c r="E566" i="18"/>
  <c r="F566" i="18" s="1"/>
  <c r="D566" i="18"/>
  <c r="D565" i="18"/>
  <c r="D564" i="18"/>
  <c r="D563" i="18"/>
  <c r="D562" i="18"/>
  <c r="D561" i="18"/>
  <c r="D560" i="18"/>
  <c r="D559" i="18"/>
  <c r="E558" i="18"/>
  <c r="F558" i="18" s="1"/>
  <c r="D558" i="18"/>
  <c r="D557" i="18"/>
  <c r="D556" i="18"/>
  <c r="D555" i="18"/>
  <c r="D554" i="18"/>
  <c r="D553" i="18"/>
  <c r="D552" i="18"/>
  <c r="D551" i="18"/>
  <c r="E550" i="18"/>
  <c r="F550" i="18" s="1"/>
  <c r="D550" i="18"/>
  <c r="D549" i="18"/>
  <c r="D548" i="18"/>
  <c r="D547" i="18"/>
  <c r="D546" i="18"/>
  <c r="D545" i="18"/>
  <c r="D544" i="18"/>
  <c r="D543" i="18"/>
  <c r="E542" i="18"/>
  <c r="F542" i="18" s="1"/>
  <c r="D542" i="18"/>
  <c r="D541" i="18"/>
  <c r="E540" i="18"/>
  <c r="F540" i="18" s="1"/>
  <c r="D540" i="18"/>
  <c r="D539" i="18"/>
  <c r="D538" i="18"/>
  <c r="D537" i="18"/>
  <c r="D536" i="18"/>
  <c r="F535" i="18"/>
  <c r="E535" i="18"/>
  <c r="D535" i="18"/>
  <c r="D534" i="18"/>
  <c r="E534" i="18" s="1"/>
  <c r="F534" i="18" s="1"/>
  <c r="D533" i="18"/>
  <c r="D532" i="18"/>
  <c r="D531" i="18"/>
  <c r="D530" i="18"/>
  <c r="D529" i="18"/>
  <c r="D528" i="18"/>
  <c r="D527" i="18"/>
  <c r="D526" i="18"/>
  <c r="D525" i="18"/>
  <c r="D524" i="18"/>
  <c r="D523" i="18"/>
  <c r="D522" i="18"/>
  <c r="D521" i="18"/>
  <c r="D520" i="18"/>
  <c r="D519" i="18"/>
  <c r="D518" i="18"/>
  <c r="D517" i="18"/>
  <c r="D516" i="18"/>
  <c r="D515" i="18"/>
  <c r="D514" i="18"/>
  <c r="D513" i="18"/>
  <c r="D512" i="18"/>
  <c r="D511" i="18"/>
  <c r="D510" i="18"/>
  <c r="D509" i="18"/>
  <c r="D508" i="18"/>
  <c r="D507" i="18"/>
  <c r="D506" i="18"/>
  <c r="D505" i="18"/>
  <c r="D504" i="18"/>
  <c r="D503" i="18"/>
  <c r="D502" i="18"/>
  <c r="D501" i="18"/>
  <c r="D500" i="18"/>
  <c r="D499" i="18"/>
  <c r="D498" i="18"/>
  <c r="D497" i="18"/>
  <c r="D496" i="18"/>
  <c r="D495" i="18"/>
  <c r="D494" i="18"/>
  <c r="D493" i="18"/>
  <c r="D492" i="18"/>
  <c r="D491" i="18"/>
  <c r="D490" i="18"/>
  <c r="D489" i="18"/>
  <c r="D488" i="18"/>
  <c r="D487" i="18"/>
  <c r="D486" i="18"/>
  <c r="D485" i="18"/>
  <c r="D484" i="18"/>
  <c r="D483" i="18"/>
  <c r="D482" i="18"/>
  <c r="D481" i="18"/>
  <c r="D480" i="18"/>
  <c r="D479" i="18"/>
  <c r="D478" i="18"/>
  <c r="D477" i="18"/>
  <c r="D476" i="18"/>
  <c r="D475" i="18"/>
  <c r="D474" i="18"/>
  <c r="D473" i="18"/>
  <c r="D472" i="18"/>
  <c r="D471" i="18"/>
  <c r="D470" i="18"/>
  <c r="D469" i="18"/>
  <c r="D468" i="18"/>
  <c r="D467" i="18"/>
  <c r="D466" i="18"/>
  <c r="D465" i="18"/>
  <c r="D464" i="18"/>
  <c r="D463" i="18"/>
  <c r="D462" i="18"/>
  <c r="D461" i="18"/>
  <c r="D460" i="18"/>
  <c r="D459" i="18"/>
  <c r="D458" i="18"/>
  <c r="D457" i="18"/>
  <c r="D456" i="18"/>
  <c r="D455" i="18"/>
  <c r="E499" i="18" s="1"/>
  <c r="F499" i="18" s="1"/>
  <c r="D454" i="18"/>
  <c r="D453" i="18"/>
  <c r="D452" i="18"/>
  <c r="D451" i="18"/>
  <c r="D450" i="18"/>
  <c r="D449" i="18"/>
  <c r="E448" i="18"/>
  <c r="F448" i="18" s="1"/>
  <c r="D448" i="18"/>
  <c r="D447" i="18"/>
  <c r="E494" i="18" s="1"/>
  <c r="F494" i="18" s="1"/>
  <c r="E446" i="18"/>
  <c r="F446" i="18" s="1"/>
  <c r="D446" i="18"/>
  <c r="D445" i="18"/>
  <c r="E445" i="18" s="1"/>
  <c r="F445" i="18" s="1"/>
  <c r="D444" i="18"/>
  <c r="D443" i="18"/>
  <c r="D442" i="18"/>
  <c r="D441" i="18"/>
  <c r="D440" i="18"/>
  <c r="D439" i="18"/>
  <c r="D438" i="18"/>
  <c r="D437" i="18"/>
  <c r="D436" i="18"/>
  <c r="D435" i="18"/>
  <c r="D434" i="18"/>
  <c r="D433" i="18"/>
  <c r="D432" i="18"/>
  <c r="D431" i="18"/>
  <c r="D430" i="18"/>
  <c r="D429" i="18"/>
  <c r="D428" i="18"/>
  <c r="D427" i="18"/>
  <c r="D426" i="18"/>
  <c r="D425" i="18"/>
  <c r="D424" i="18"/>
  <c r="D423" i="18"/>
  <c r="D422" i="18"/>
  <c r="D421" i="18"/>
  <c r="D420" i="18"/>
  <c r="D419" i="18"/>
  <c r="D418" i="18"/>
  <c r="D417" i="18"/>
  <c r="D416" i="18"/>
  <c r="D415" i="18"/>
  <c r="D414" i="18"/>
  <c r="D413" i="18"/>
  <c r="D412" i="18"/>
  <c r="D411" i="18"/>
  <c r="D410" i="18"/>
  <c r="D409" i="18"/>
  <c r="D408" i="18"/>
  <c r="D407" i="18"/>
  <c r="D406" i="18"/>
  <c r="D405" i="18"/>
  <c r="D404" i="18"/>
  <c r="D403" i="18"/>
  <c r="D402" i="18"/>
  <c r="D401" i="18"/>
  <c r="D400" i="18"/>
  <c r="D399" i="18"/>
  <c r="D398" i="18"/>
  <c r="D397" i="18"/>
  <c r="D396" i="18"/>
  <c r="D395" i="18"/>
  <c r="D394" i="18"/>
  <c r="D393" i="18"/>
  <c r="D392" i="18"/>
  <c r="D391" i="18"/>
  <c r="E432" i="18" s="1"/>
  <c r="F432" i="18" s="1"/>
  <c r="D390" i="18"/>
  <c r="D389" i="18"/>
  <c r="D388" i="18"/>
  <c r="D387" i="18"/>
  <c r="D386" i="18"/>
  <c r="D385" i="18"/>
  <c r="E384" i="18"/>
  <c r="F384" i="18" s="1"/>
  <c r="D384" i="18"/>
  <c r="D383" i="18"/>
  <c r="D382" i="18"/>
  <c r="D381" i="18"/>
  <c r="D380" i="18"/>
  <c r="D379" i="18"/>
  <c r="D378" i="18"/>
  <c r="D377" i="18"/>
  <c r="D376" i="18"/>
  <c r="D375" i="18"/>
  <c r="D374" i="18"/>
  <c r="D373" i="18"/>
  <c r="D372" i="18"/>
  <c r="D371" i="18"/>
  <c r="D370" i="18"/>
  <c r="D369" i="18"/>
  <c r="D368" i="18"/>
  <c r="D367" i="18"/>
  <c r="D366" i="18"/>
  <c r="D365" i="18"/>
  <c r="D364" i="18"/>
  <c r="D363" i="18"/>
  <c r="D362" i="18"/>
  <c r="D361" i="18"/>
  <c r="D360" i="18"/>
  <c r="D359" i="18"/>
  <c r="E358" i="18"/>
  <c r="F358" i="18" s="1"/>
  <c r="D358" i="18"/>
  <c r="D357" i="18"/>
  <c r="D356" i="18"/>
  <c r="D355" i="18"/>
  <c r="D354" i="18"/>
  <c r="D353" i="18"/>
  <c r="D352" i="18"/>
  <c r="D351" i="18"/>
  <c r="D350" i="18"/>
  <c r="D349" i="18"/>
  <c r="D348" i="18"/>
  <c r="D347" i="18"/>
  <c r="D346" i="18"/>
  <c r="D345" i="18"/>
  <c r="D344" i="18"/>
  <c r="D343" i="18"/>
  <c r="D342" i="18"/>
  <c r="D341" i="18"/>
  <c r="D340" i="18"/>
  <c r="D339" i="18"/>
  <c r="D338" i="18"/>
  <c r="D337" i="18"/>
  <c r="D336" i="18"/>
  <c r="D335" i="18"/>
  <c r="D334" i="18"/>
  <c r="D333" i="18"/>
  <c r="D332" i="18"/>
  <c r="D331" i="18"/>
  <c r="D330" i="18"/>
  <c r="D329" i="18"/>
  <c r="E328" i="18"/>
  <c r="F328" i="18" s="1"/>
  <c r="D328" i="18"/>
  <c r="D327" i="18"/>
  <c r="D326" i="18"/>
  <c r="E325" i="18"/>
  <c r="F325" i="18" s="1"/>
  <c r="D325" i="18"/>
  <c r="D324" i="18"/>
  <c r="D323" i="18"/>
  <c r="D322" i="18"/>
  <c r="D321" i="18"/>
  <c r="E320" i="18"/>
  <c r="F320" i="18" s="1"/>
  <c r="D320" i="18"/>
  <c r="D319" i="18"/>
  <c r="D318" i="18"/>
  <c r="E317" i="18"/>
  <c r="F317" i="18" s="1"/>
  <c r="D317" i="18"/>
  <c r="D316" i="18"/>
  <c r="D315" i="18"/>
  <c r="D314" i="18"/>
  <c r="D313" i="18"/>
  <c r="E312" i="18"/>
  <c r="F312" i="18" s="1"/>
  <c r="D312" i="18"/>
  <c r="D311" i="18"/>
  <c r="D310" i="18"/>
  <c r="E309" i="18"/>
  <c r="F309" i="18" s="1"/>
  <c r="D309" i="18"/>
  <c r="D308" i="18"/>
  <c r="D307" i="18"/>
  <c r="D306" i="18"/>
  <c r="D305" i="18"/>
  <c r="E304" i="18"/>
  <c r="F304" i="18" s="1"/>
  <c r="D304" i="18"/>
  <c r="D303" i="18"/>
  <c r="D302" i="18"/>
  <c r="E301" i="18"/>
  <c r="F301" i="18" s="1"/>
  <c r="D301" i="18"/>
  <c r="D300" i="18"/>
  <c r="D299" i="18"/>
  <c r="D298" i="18"/>
  <c r="D297" i="18"/>
  <c r="E296" i="18"/>
  <c r="F296" i="18" s="1"/>
  <c r="D296" i="18"/>
  <c r="D295" i="18"/>
  <c r="D294" i="18"/>
  <c r="E293" i="18"/>
  <c r="F293" i="18" s="1"/>
  <c r="D293" i="18"/>
  <c r="D292" i="18"/>
  <c r="D291" i="18"/>
  <c r="D290" i="18"/>
  <c r="D289" i="18"/>
  <c r="E288" i="18"/>
  <c r="F288" i="18" s="1"/>
  <c r="D288" i="18"/>
  <c r="D287" i="18"/>
  <c r="D286" i="18"/>
  <c r="E285" i="18"/>
  <c r="F285" i="18" s="1"/>
  <c r="D285" i="18"/>
  <c r="D284" i="18"/>
  <c r="D283" i="18"/>
  <c r="D282" i="18"/>
  <c r="D281" i="18"/>
  <c r="E280" i="18"/>
  <c r="F280" i="18" s="1"/>
  <c r="D280" i="18"/>
  <c r="D279" i="18"/>
  <c r="D278" i="18"/>
  <c r="E277" i="18"/>
  <c r="F277" i="18" s="1"/>
  <c r="D277" i="18"/>
  <c r="D276" i="18"/>
  <c r="D275" i="18"/>
  <c r="D274" i="18"/>
  <c r="D273" i="18"/>
  <c r="E272" i="18"/>
  <c r="F272" i="18" s="1"/>
  <c r="D272" i="18"/>
  <c r="D271" i="18"/>
  <c r="D270" i="18"/>
  <c r="E269" i="18"/>
  <c r="F269" i="18" s="1"/>
  <c r="D269" i="18"/>
  <c r="D268" i="18"/>
  <c r="D267" i="18"/>
  <c r="D266" i="18"/>
  <c r="D265" i="18"/>
  <c r="E266" i="18" s="1"/>
  <c r="F266" i="18" s="1"/>
  <c r="E264" i="18"/>
  <c r="F264" i="18" s="1"/>
  <c r="D264" i="18"/>
  <c r="E329" i="18" s="1"/>
  <c r="F329" i="18" s="1"/>
  <c r="D263" i="18"/>
  <c r="E263" i="18" s="1"/>
  <c r="F263" i="18" s="1"/>
  <c r="D262" i="18"/>
  <c r="D261" i="18"/>
  <c r="D260" i="18"/>
  <c r="D259" i="18"/>
  <c r="D258" i="18"/>
  <c r="D257" i="18"/>
  <c r="D256" i="18"/>
  <c r="D255" i="18"/>
  <c r="D254" i="18"/>
  <c r="D253" i="18"/>
  <c r="D252" i="18"/>
  <c r="D251" i="18"/>
  <c r="D250" i="18"/>
  <c r="D249" i="18"/>
  <c r="D248" i="18"/>
  <c r="D247" i="18"/>
  <c r="D246" i="18"/>
  <c r="D245" i="18"/>
  <c r="D244" i="18"/>
  <c r="D243" i="18"/>
  <c r="D242" i="18"/>
  <c r="D241" i="18"/>
  <c r="D240" i="18"/>
  <c r="D239" i="18"/>
  <c r="D238" i="18"/>
  <c r="D237" i="18"/>
  <c r="D236" i="18"/>
  <c r="D235" i="18"/>
  <c r="D234" i="18"/>
  <c r="D233" i="18"/>
  <c r="D232" i="18"/>
  <c r="D231" i="18"/>
  <c r="D230" i="18"/>
  <c r="D229" i="18"/>
  <c r="D228" i="18"/>
  <c r="D227" i="18"/>
  <c r="D226" i="18"/>
  <c r="D225" i="18"/>
  <c r="D224" i="18"/>
  <c r="D223" i="18"/>
  <c r="D222" i="18"/>
  <c r="D221" i="18"/>
  <c r="D220" i="18"/>
  <c r="D219" i="18"/>
  <c r="D218" i="18"/>
  <c r="D217" i="18"/>
  <c r="D216" i="18"/>
  <c r="D215" i="18"/>
  <c r="D214" i="18"/>
  <c r="D213" i="18"/>
  <c r="D212" i="18"/>
  <c r="D211" i="18"/>
  <c r="D210" i="18"/>
  <c r="D209" i="18"/>
  <c r="D208" i="18"/>
  <c r="D207" i="18"/>
  <c r="D206" i="18"/>
  <c r="D205" i="18"/>
  <c r="D204" i="18"/>
  <c r="D203" i="18"/>
  <c r="D202" i="18"/>
  <c r="D201" i="18"/>
  <c r="D200" i="18"/>
  <c r="D199" i="18"/>
  <c r="D198" i="18"/>
  <c r="D197" i="18"/>
  <c r="D196" i="18"/>
  <c r="D195" i="18"/>
  <c r="D194" i="18"/>
  <c r="D193" i="18"/>
  <c r="D192" i="18"/>
  <c r="D191" i="18"/>
  <c r="D190" i="18"/>
  <c r="D189" i="18"/>
  <c r="D188" i="18"/>
  <c r="D187" i="18"/>
  <c r="D186" i="18"/>
  <c r="D185" i="18"/>
  <c r="D184" i="18"/>
  <c r="E241" i="18" s="1"/>
  <c r="F241" i="18" s="1"/>
  <c r="D183" i="18"/>
  <c r="E246" i="18" s="1"/>
  <c r="F246" i="18" s="1"/>
  <c r="F182" i="18"/>
  <c r="E182" i="18"/>
  <c r="D182" i="18"/>
  <c r="E258" i="18" s="1"/>
  <c r="F258" i="18" s="1"/>
  <c r="E181" i="18"/>
  <c r="F181" i="18" s="1"/>
  <c r="D181" i="18"/>
  <c r="D180" i="18"/>
  <c r="D179" i="18"/>
  <c r="D178" i="18"/>
  <c r="D177" i="18"/>
  <c r="D176" i="18"/>
  <c r="D175" i="18"/>
  <c r="D174" i="18"/>
  <c r="D173" i="18"/>
  <c r="D172" i="18"/>
  <c r="D171" i="18"/>
  <c r="D170" i="18"/>
  <c r="D169" i="18"/>
  <c r="D168" i="18"/>
  <c r="D167" i="18"/>
  <c r="D166" i="18"/>
  <c r="D165" i="18"/>
  <c r="D164" i="18"/>
  <c r="D163" i="18"/>
  <c r="D162" i="18"/>
  <c r="D161" i="18"/>
  <c r="D160" i="18"/>
  <c r="D159" i="18"/>
  <c r="D158" i="18"/>
  <c r="D157" i="18"/>
  <c r="D156" i="18"/>
  <c r="D155" i="18"/>
  <c r="D154" i="18"/>
  <c r="D153" i="18"/>
  <c r="D152" i="18"/>
  <c r="D151" i="18"/>
  <c r="D150" i="18"/>
  <c r="D149" i="18"/>
  <c r="D148" i="18"/>
  <c r="D147" i="18"/>
  <c r="D146" i="18"/>
  <c r="D145" i="18"/>
  <c r="D144" i="18"/>
  <c r="D143" i="18"/>
  <c r="D142" i="18"/>
  <c r="D141" i="18"/>
  <c r="D140" i="18"/>
  <c r="D139" i="18"/>
  <c r="D138" i="18"/>
  <c r="D137" i="18"/>
  <c r="D136" i="18"/>
  <c r="D135" i="18"/>
  <c r="D134" i="18"/>
  <c r="D133" i="18"/>
  <c r="D132" i="18"/>
  <c r="D131" i="18"/>
  <c r="D130" i="18"/>
  <c r="D129" i="18"/>
  <c r="D128" i="18"/>
  <c r="D127" i="18"/>
  <c r="D126" i="18"/>
  <c r="D125" i="18"/>
  <c r="D124" i="18"/>
  <c r="D123" i="18"/>
  <c r="D122" i="18"/>
  <c r="D121" i="18"/>
  <c r="D120" i="18"/>
  <c r="D119" i="18"/>
  <c r="D118" i="18"/>
  <c r="D117" i="18"/>
  <c r="D116" i="18"/>
  <c r="D115" i="18"/>
  <c r="D114" i="18"/>
  <c r="D113" i="18"/>
  <c r="D112" i="18"/>
  <c r="D111" i="18"/>
  <c r="D110" i="18"/>
  <c r="D109" i="18"/>
  <c r="D108" i="18"/>
  <c r="D107" i="18"/>
  <c r="D106" i="18"/>
  <c r="D105" i="18"/>
  <c r="D104" i="18"/>
  <c r="D103" i="18"/>
  <c r="D102" i="18"/>
  <c r="D101" i="18"/>
  <c r="D100" i="18"/>
  <c r="D99" i="18"/>
  <c r="D98" i="18"/>
  <c r="D97" i="18"/>
  <c r="D96" i="18"/>
  <c r="D95" i="18"/>
  <c r="D94" i="18"/>
  <c r="D93" i="18"/>
  <c r="D92" i="18"/>
  <c r="D91" i="18"/>
  <c r="E172" i="18" s="1"/>
  <c r="F172" i="18" s="1"/>
  <c r="E90" i="18"/>
  <c r="F90" i="18" s="1"/>
  <c r="D90" i="18"/>
  <c r="D89" i="18"/>
  <c r="D88" i="18"/>
  <c r="D87" i="18"/>
  <c r="D86" i="18"/>
  <c r="D85" i="18"/>
  <c r="D84" i="18"/>
  <c r="D83" i="18"/>
  <c r="D82" i="18"/>
  <c r="D81" i="18"/>
  <c r="D80" i="18"/>
  <c r="D79" i="18"/>
  <c r="D78" i="18"/>
  <c r="D77" i="18"/>
  <c r="D76" i="18"/>
  <c r="D75" i="18"/>
  <c r="D74" i="18"/>
  <c r="D73" i="18"/>
  <c r="D72" i="18"/>
  <c r="D71" i="18"/>
  <c r="D70" i="18"/>
  <c r="D69" i="18"/>
  <c r="D68" i="18"/>
  <c r="D67" i="18"/>
  <c r="D66" i="18"/>
  <c r="D65" i="18"/>
  <c r="D64" i="18"/>
  <c r="D63" i="18"/>
  <c r="D62" i="18"/>
  <c r="D61" i="18"/>
  <c r="D60" i="18"/>
  <c r="D59" i="18"/>
  <c r="D58" i="18"/>
  <c r="D57" i="18"/>
  <c r="D56" i="18"/>
  <c r="D55" i="18"/>
  <c r="D54" i="18"/>
  <c r="D53" i="18"/>
  <c r="D52" i="18"/>
  <c r="D51" i="18"/>
  <c r="D50" i="18"/>
  <c r="D49" i="18"/>
  <c r="D48" i="18"/>
  <c r="D47" i="18"/>
  <c r="D46" i="18"/>
  <c r="D45" i="18"/>
  <c r="D44" i="18"/>
  <c r="D43" i="18"/>
  <c r="D42" i="18"/>
  <c r="D41" i="18"/>
  <c r="D40" i="18"/>
  <c r="D39" i="18"/>
  <c r="D38" i="18"/>
  <c r="D37" i="18"/>
  <c r="D36" i="18"/>
  <c r="D35" i="18"/>
  <c r="D34" i="18"/>
  <c r="D33" i="18"/>
  <c r="D32" i="18"/>
  <c r="D31" i="18"/>
  <c r="D30" i="18"/>
  <c r="D29" i="18"/>
  <c r="D28" i="18"/>
  <c r="D27" i="18"/>
  <c r="D26" i="18"/>
  <c r="D25" i="18"/>
  <c r="D24" i="18"/>
  <c r="D23" i="18"/>
  <c r="D22" i="18"/>
  <c r="D21" i="18"/>
  <c r="D20" i="18"/>
  <c r="D19" i="18"/>
  <c r="D18" i="18"/>
  <c r="D17" i="18"/>
  <c r="D16" i="18"/>
  <c r="D15" i="18"/>
  <c r="D14" i="18"/>
  <c r="D13" i="18"/>
  <c r="D12" i="18"/>
  <c r="D11" i="18"/>
  <c r="D10" i="18"/>
  <c r="D9" i="18"/>
  <c r="D8" i="18"/>
  <c r="D7" i="18"/>
  <c r="D6" i="18"/>
  <c r="D5" i="18"/>
  <c r="D4" i="18"/>
  <c r="E86" i="18" s="1"/>
  <c r="F86" i="18" s="1"/>
  <c r="D3" i="18"/>
  <c r="E85" i="18" s="1"/>
  <c r="F85" i="18" s="1"/>
  <c r="D2" i="18"/>
  <c r="AH2" i="1"/>
  <c r="AI2" i="1" s="1"/>
  <c r="AE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C2" i="1"/>
  <c r="AF13" i="1" s="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H3" i="1"/>
  <c r="AI3" i="1" s="1"/>
  <c r="AH24" i="1"/>
  <c r="AI24" i="1" s="1"/>
  <c r="AH25" i="1"/>
  <c r="AI25" i="1" s="1"/>
  <c r="AH26" i="1"/>
  <c r="AI26" i="1" s="1"/>
  <c r="AH27" i="1"/>
  <c r="AI27" i="1" s="1"/>
  <c r="AH28" i="1"/>
  <c r="AI28" i="1" s="1"/>
  <c r="AH29" i="1"/>
  <c r="AI29" i="1" s="1"/>
  <c r="AH30" i="1"/>
  <c r="AI30" i="1" s="1"/>
  <c r="AH31" i="1"/>
  <c r="AI31" i="1" s="1"/>
  <c r="AH32" i="1"/>
  <c r="AI32" i="1" s="1"/>
  <c r="AH33" i="1"/>
  <c r="AI33" i="1" s="1"/>
  <c r="AH34" i="1"/>
  <c r="AI34" i="1" s="1"/>
  <c r="AH35" i="1"/>
  <c r="AI35" i="1" s="1"/>
  <c r="AH36" i="1"/>
  <c r="AI36" i="1" s="1"/>
  <c r="AH37" i="1"/>
  <c r="AI37" i="1" s="1"/>
  <c r="AH38" i="1"/>
  <c r="AI38" i="1" s="1"/>
  <c r="AH39" i="1"/>
  <c r="AI39" i="1" s="1"/>
  <c r="AH40" i="1"/>
  <c r="AI40" i="1" s="1"/>
  <c r="AH41" i="1"/>
  <c r="AI41" i="1" s="1"/>
  <c r="AH42" i="1"/>
  <c r="AI42" i="1" s="1"/>
  <c r="AH43" i="1"/>
  <c r="AI43" i="1" s="1"/>
  <c r="AH44" i="1"/>
  <c r="AI44" i="1" s="1"/>
  <c r="AH45" i="1"/>
  <c r="AI45" i="1" s="1"/>
  <c r="AH46" i="1"/>
  <c r="AI46" i="1" s="1"/>
  <c r="AH47" i="1"/>
  <c r="AI47" i="1" s="1"/>
  <c r="AH48" i="1"/>
  <c r="AI48" i="1" s="1"/>
  <c r="AH49" i="1"/>
  <c r="AI49" i="1" s="1"/>
  <c r="AH50" i="1"/>
  <c r="AI50" i="1" s="1"/>
  <c r="AH51" i="1"/>
  <c r="AI51" i="1" s="1"/>
  <c r="AH52" i="1"/>
  <c r="AI52" i="1" s="1"/>
  <c r="AH53" i="1"/>
  <c r="AI53" i="1" s="1"/>
  <c r="AH54" i="1"/>
  <c r="AI54" i="1" s="1"/>
  <c r="AH55" i="1"/>
  <c r="AI55" i="1" s="1"/>
  <c r="AH56" i="1"/>
  <c r="AI56" i="1" s="1"/>
  <c r="AH57" i="1"/>
  <c r="AI57" i="1" s="1"/>
  <c r="AH58" i="1"/>
  <c r="AI58" i="1" s="1"/>
  <c r="AH59" i="1"/>
  <c r="AI59" i="1" s="1"/>
  <c r="AH60" i="1"/>
  <c r="AI60" i="1" s="1"/>
  <c r="AH61" i="1"/>
  <c r="AI61" i="1" s="1"/>
  <c r="AH62" i="1"/>
  <c r="AI62" i="1" s="1"/>
  <c r="AH63" i="1"/>
  <c r="AI63" i="1" s="1"/>
  <c r="AH64" i="1"/>
  <c r="AI64" i="1" s="1"/>
  <c r="AH65" i="1"/>
  <c r="AI65" i="1" s="1"/>
  <c r="AH66" i="1"/>
  <c r="AI66" i="1" s="1"/>
  <c r="AH67" i="1"/>
  <c r="AI67" i="1" s="1"/>
  <c r="AH68" i="1"/>
  <c r="AI68" i="1" s="1"/>
  <c r="AH69" i="1"/>
  <c r="AI69" i="1" s="1"/>
  <c r="AH70" i="1"/>
  <c r="AI70" i="1" s="1"/>
  <c r="AH71" i="1"/>
  <c r="AI71" i="1" s="1"/>
  <c r="AH72" i="1"/>
  <c r="AI72" i="1" s="1"/>
  <c r="AH73" i="1"/>
  <c r="AI73" i="1" s="1"/>
  <c r="AH74" i="1"/>
  <c r="AI74" i="1" s="1"/>
  <c r="AH75" i="1"/>
  <c r="AI75" i="1" s="1"/>
  <c r="AH76" i="1"/>
  <c r="AI76" i="1" s="1"/>
  <c r="AH77" i="1"/>
  <c r="AI77" i="1" s="1"/>
  <c r="AH78" i="1"/>
  <c r="AI78" i="1" s="1"/>
  <c r="AH79" i="1"/>
  <c r="AI79" i="1" s="1"/>
  <c r="AH80" i="1"/>
  <c r="AI80" i="1" s="1"/>
  <c r="AH81" i="1"/>
  <c r="AI81" i="1" s="1"/>
  <c r="AH82" i="1"/>
  <c r="AI82" i="1" s="1"/>
  <c r="AH83" i="1"/>
  <c r="AI83" i="1" s="1"/>
  <c r="AH84" i="1"/>
  <c r="AI84" i="1" s="1"/>
  <c r="AH85" i="1"/>
  <c r="AI85" i="1" s="1"/>
  <c r="AH86" i="1"/>
  <c r="AI86" i="1" s="1"/>
  <c r="AH87" i="1"/>
  <c r="AI87" i="1" s="1"/>
  <c r="AH88" i="1"/>
  <c r="AI88" i="1" s="1"/>
  <c r="AH89" i="1"/>
  <c r="AI89" i="1" s="1"/>
  <c r="AH90" i="1"/>
  <c r="AI90" i="1" s="1"/>
  <c r="AH91" i="1"/>
  <c r="AI91" i="1" s="1"/>
  <c r="AH92" i="1"/>
  <c r="AI92" i="1" s="1"/>
  <c r="AH93" i="1"/>
  <c r="AI93" i="1" s="1"/>
  <c r="AH94" i="1"/>
  <c r="AI94" i="1" s="1"/>
  <c r="AH95" i="1"/>
  <c r="AI95" i="1" s="1"/>
  <c r="AH96" i="1"/>
  <c r="AI96" i="1" s="1"/>
  <c r="AH97" i="1"/>
  <c r="AI97" i="1" s="1"/>
  <c r="AH98" i="1"/>
  <c r="AI98" i="1" s="1"/>
  <c r="AH99" i="1"/>
  <c r="AI99" i="1" s="1"/>
  <c r="AH100" i="1"/>
  <c r="AI100" i="1" s="1"/>
  <c r="AH101" i="1"/>
  <c r="AI101" i="1" s="1"/>
  <c r="AH102" i="1"/>
  <c r="AI102" i="1" s="1"/>
  <c r="AH103" i="1"/>
  <c r="AI103" i="1" s="1"/>
  <c r="AH104" i="1"/>
  <c r="AI104" i="1" s="1"/>
  <c r="AH105" i="1"/>
  <c r="AI105" i="1" s="1"/>
  <c r="AH106" i="1"/>
  <c r="AI106" i="1" s="1"/>
  <c r="AH107" i="1"/>
  <c r="AI107" i="1" s="1"/>
  <c r="AH108" i="1"/>
  <c r="AI108" i="1" s="1"/>
  <c r="AH109" i="1"/>
  <c r="AI109" i="1" s="1"/>
  <c r="AH110" i="1"/>
  <c r="AI110" i="1" s="1"/>
  <c r="AH111" i="1"/>
  <c r="AI111" i="1" s="1"/>
  <c r="AH112" i="1"/>
  <c r="AI112" i="1" s="1"/>
  <c r="AH113" i="1"/>
  <c r="AI113" i="1" s="1"/>
  <c r="AH114" i="1"/>
  <c r="AI114" i="1" s="1"/>
  <c r="AH115" i="1"/>
  <c r="AI115" i="1" s="1"/>
  <c r="AH116" i="1"/>
  <c r="AI116" i="1" s="1"/>
  <c r="AH117" i="1"/>
  <c r="AI117" i="1" s="1"/>
  <c r="AH118" i="1"/>
  <c r="AI118" i="1" s="1"/>
  <c r="AH119" i="1"/>
  <c r="AI119" i="1" s="1"/>
  <c r="AH120" i="1"/>
  <c r="AI120" i="1" s="1"/>
  <c r="AH121" i="1"/>
  <c r="AI121" i="1" s="1"/>
  <c r="AH122" i="1"/>
  <c r="AI122" i="1" s="1"/>
  <c r="AH123" i="1"/>
  <c r="AI123" i="1" s="1"/>
  <c r="AH124" i="1"/>
  <c r="AI124" i="1" s="1"/>
  <c r="AH125" i="1"/>
  <c r="AI125" i="1" s="1"/>
  <c r="AH126" i="1"/>
  <c r="AI126" i="1" s="1"/>
  <c r="AH127" i="1"/>
  <c r="AI127" i="1" s="1"/>
  <c r="AH128" i="1"/>
  <c r="AI128" i="1" s="1"/>
  <c r="AH129" i="1"/>
  <c r="AI129" i="1" s="1"/>
  <c r="AH130" i="1"/>
  <c r="AI130" i="1" s="1"/>
  <c r="AH12" i="1"/>
  <c r="AI12" i="1" s="1"/>
  <c r="AH13" i="1"/>
  <c r="AI13" i="1" s="1"/>
  <c r="AH14" i="1"/>
  <c r="AI14" i="1" s="1"/>
  <c r="AH15" i="1"/>
  <c r="AI15" i="1" s="1"/>
  <c r="AH16" i="1"/>
  <c r="AI16" i="1" s="1"/>
  <c r="AH17" i="1"/>
  <c r="AI17" i="1" s="1"/>
  <c r="AH18" i="1"/>
  <c r="AI18" i="1" s="1"/>
  <c r="AH19" i="1"/>
  <c r="AI19" i="1" s="1"/>
  <c r="AH20" i="1"/>
  <c r="AI20" i="1" s="1"/>
  <c r="AH21" i="1"/>
  <c r="AI21" i="1" s="1"/>
  <c r="AH22" i="1"/>
  <c r="AI22" i="1" s="1"/>
  <c r="AH23" i="1"/>
  <c r="AI23" i="1" s="1"/>
  <c r="AH4" i="1"/>
  <c r="AI4" i="1" s="1"/>
  <c r="AH5" i="1"/>
  <c r="AI5" i="1" s="1"/>
  <c r="AH6" i="1"/>
  <c r="AI6" i="1" s="1"/>
  <c r="AH7" i="1"/>
  <c r="AI7" i="1" s="1"/>
  <c r="AH8" i="1"/>
  <c r="AI8" i="1" s="1"/>
  <c r="AH9" i="1"/>
  <c r="AI9" i="1" s="1"/>
  <c r="AH10" i="1"/>
  <c r="AI10" i="1" s="1"/>
  <c r="AH11" i="1"/>
  <c r="AI11" i="1" s="1"/>
  <c r="AH161" i="1"/>
  <c r="AI161" i="1" s="1"/>
  <c r="AH162" i="1"/>
  <c r="AI162" i="1" s="1"/>
  <c r="AH163" i="1"/>
  <c r="AI163" i="1" s="1"/>
  <c r="AH164" i="1"/>
  <c r="AI164" i="1" s="1"/>
  <c r="AH165" i="1"/>
  <c r="AI165" i="1" s="1"/>
  <c r="AH166" i="1"/>
  <c r="AI166" i="1" s="1"/>
  <c r="AH167" i="1"/>
  <c r="AI167" i="1" s="1"/>
  <c r="AH168" i="1"/>
  <c r="AI168" i="1" s="1"/>
  <c r="AH169" i="1"/>
  <c r="AI169" i="1" s="1"/>
  <c r="AH170" i="1"/>
  <c r="AI170" i="1" s="1"/>
  <c r="AH171" i="1"/>
  <c r="AI171" i="1" s="1"/>
  <c r="AH172" i="1"/>
  <c r="AI172" i="1" s="1"/>
  <c r="AH173" i="1"/>
  <c r="AI173" i="1" s="1"/>
  <c r="AH174" i="1"/>
  <c r="AI174" i="1" s="1"/>
  <c r="AH175" i="1"/>
  <c r="AI175" i="1" s="1"/>
  <c r="AH176" i="1"/>
  <c r="AI176" i="1" s="1"/>
  <c r="AH177" i="1"/>
  <c r="AI177" i="1" s="1"/>
  <c r="AH178" i="1"/>
  <c r="AI178" i="1" s="1"/>
  <c r="AH179" i="1"/>
  <c r="AI179" i="1" s="1"/>
  <c r="AH180" i="1"/>
  <c r="AI180" i="1" s="1"/>
  <c r="AH181" i="1"/>
  <c r="AI181" i="1" s="1"/>
  <c r="AH182" i="1"/>
  <c r="AI182" i="1" s="1"/>
  <c r="AH183" i="1"/>
  <c r="AI183" i="1" s="1"/>
  <c r="AH184" i="1"/>
  <c r="AI184" i="1" s="1"/>
  <c r="AH185" i="1"/>
  <c r="AI185" i="1" s="1"/>
  <c r="AH186" i="1"/>
  <c r="AI186" i="1" s="1"/>
  <c r="AH187" i="1"/>
  <c r="AI187" i="1" s="1"/>
  <c r="AH188" i="1"/>
  <c r="AI188" i="1" s="1"/>
  <c r="AH189" i="1"/>
  <c r="AI189" i="1" s="1"/>
  <c r="AH190" i="1"/>
  <c r="AI190" i="1" s="1"/>
  <c r="AH191" i="1"/>
  <c r="AI191" i="1" s="1"/>
  <c r="AH192" i="1"/>
  <c r="AI192" i="1" s="1"/>
  <c r="AH193" i="1"/>
  <c r="AI193" i="1" s="1"/>
  <c r="AH194" i="1"/>
  <c r="AI194" i="1" s="1"/>
  <c r="AH195" i="1"/>
  <c r="AI195" i="1" s="1"/>
  <c r="AH196" i="1"/>
  <c r="AI196" i="1" s="1"/>
  <c r="AH197" i="1"/>
  <c r="AI197" i="1" s="1"/>
  <c r="AH198" i="1"/>
  <c r="AI198" i="1" s="1"/>
  <c r="AH199" i="1"/>
  <c r="AI199" i="1" s="1"/>
  <c r="AH200" i="1"/>
  <c r="AI200" i="1" s="1"/>
  <c r="AH201" i="1"/>
  <c r="AI201" i="1" s="1"/>
  <c r="AH202" i="1"/>
  <c r="AI202" i="1" s="1"/>
  <c r="AH203" i="1"/>
  <c r="AI203" i="1" s="1"/>
  <c r="AH204" i="1"/>
  <c r="AI204" i="1" s="1"/>
  <c r="AH205" i="1"/>
  <c r="AI205" i="1" s="1"/>
  <c r="AH206" i="1"/>
  <c r="AI206" i="1" s="1"/>
  <c r="AH207" i="1"/>
  <c r="AI207" i="1" s="1"/>
  <c r="AH208" i="1"/>
  <c r="AI208" i="1" s="1"/>
  <c r="AH209" i="1"/>
  <c r="AI209" i="1" s="1"/>
  <c r="AH210" i="1"/>
  <c r="AI210" i="1" s="1"/>
  <c r="AH211" i="1"/>
  <c r="AI211" i="1" s="1"/>
  <c r="AH212" i="1"/>
  <c r="AI212" i="1" s="1"/>
  <c r="AH213" i="1"/>
  <c r="AI213" i="1" s="1"/>
  <c r="AH214" i="1"/>
  <c r="AI214" i="1" s="1"/>
  <c r="AH215" i="1"/>
  <c r="AI215" i="1" s="1"/>
  <c r="AH216" i="1"/>
  <c r="AI216" i="1" s="1"/>
  <c r="AH217" i="1"/>
  <c r="AI217" i="1" s="1"/>
  <c r="AH218" i="1"/>
  <c r="AI218" i="1" s="1"/>
  <c r="AH219" i="1"/>
  <c r="AI219" i="1" s="1"/>
  <c r="AH220" i="1"/>
  <c r="AI220" i="1" s="1"/>
  <c r="AH221" i="1"/>
  <c r="AI221" i="1" s="1"/>
  <c r="AH222" i="1"/>
  <c r="AI222" i="1" s="1"/>
  <c r="AH223" i="1"/>
  <c r="AI223" i="1" s="1"/>
  <c r="AH224" i="1"/>
  <c r="AI224" i="1" s="1"/>
  <c r="AH225" i="1"/>
  <c r="AI225" i="1" s="1"/>
  <c r="AH226" i="1"/>
  <c r="AI226" i="1" s="1"/>
  <c r="AH227" i="1"/>
  <c r="AI227" i="1" s="1"/>
  <c r="AH228" i="1"/>
  <c r="AI228" i="1" s="1"/>
  <c r="AH229" i="1"/>
  <c r="AI229" i="1" s="1"/>
  <c r="AH230" i="1"/>
  <c r="AI230" i="1" s="1"/>
  <c r="AH231" i="1"/>
  <c r="AI231" i="1" s="1"/>
  <c r="AH232" i="1"/>
  <c r="AI232" i="1" s="1"/>
  <c r="AH233" i="1"/>
  <c r="AI233" i="1" s="1"/>
  <c r="AH234" i="1"/>
  <c r="AI234" i="1" s="1"/>
  <c r="AH235" i="1"/>
  <c r="AI235" i="1" s="1"/>
  <c r="AH236" i="1"/>
  <c r="AI236" i="1" s="1"/>
  <c r="AH237" i="1"/>
  <c r="AI237" i="1" s="1"/>
  <c r="AH238" i="1"/>
  <c r="AI238" i="1" s="1"/>
  <c r="AH239" i="1"/>
  <c r="AI239" i="1" s="1"/>
  <c r="AH240" i="1"/>
  <c r="AI240" i="1" s="1"/>
  <c r="AH241" i="1"/>
  <c r="AI241" i="1" s="1"/>
  <c r="AH242" i="1"/>
  <c r="AI242" i="1" s="1"/>
  <c r="AH243" i="1"/>
  <c r="AI243" i="1" s="1"/>
  <c r="AH244" i="1"/>
  <c r="AI244" i="1" s="1"/>
  <c r="AH245" i="1"/>
  <c r="AI245" i="1" s="1"/>
  <c r="AH246" i="1"/>
  <c r="AI246" i="1" s="1"/>
  <c r="AH247" i="1"/>
  <c r="AI247" i="1" s="1"/>
  <c r="AH248" i="1"/>
  <c r="AI248" i="1" s="1"/>
  <c r="AH249" i="1"/>
  <c r="AI249" i="1" s="1"/>
  <c r="AH250" i="1"/>
  <c r="AI250" i="1" s="1"/>
  <c r="AH251" i="1"/>
  <c r="AI251" i="1" s="1"/>
  <c r="AH252" i="1"/>
  <c r="AI252" i="1" s="1"/>
  <c r="AH253" i="1"/>
  <c r="AI253" i="1" s="1"/>
  <c r="AH254" i="1"/>
  <c r="AI254" i="1" s="1"/>
  <c r="AH255" i="1"/>
  <c r="AI255" i="1" s="1"/>
  <c r="AH256" i="1"/>
  <c r="AI256" i="1" s="1"/>
  <c r="AH257" i="1"/>
  <c r="AI257" i="1" s="1"/>
  <c r="AH258" i="1"/>
  <c r="AI258" i="1" s="1"/>
  <c r="AH259" i="1"/>
  <c r="AI259" i="1" s="1"/>
  <c r="AH260" i="1"/>
  <c r="AI260" i="1" s="1"/>
  <c r="AH261" i="1"/>
  <c r="AI261" i="1" s="1"/>
  <c r="AH262" i="1"/>
  <c r="AI262" i="1" s="1"/>
  <c r="AH263" i="1"/>
  <c r="AI263" i="1" s="1"/>
  <c r="AH264" i="1"/>
  <c r="AI264" i="1" s="1"/>
  <c r="AH265" i="1"/>
  <c r="AI265" i="1" s="1"/>
  <c r="AH266" i="1"/>
  <c r="AI266" i="1" s="1"/>
  <c r="AH267" i="1"/>
  <c r="AI267" i="1" s="1"/>
  <c r="AH268" i="1"/>
  <c r="AI268" i="1" s="1"/>
  <c r="AH269" i="1"/>
  <c r="AI269" i="1" s="1"/>
  <c r="AH270" i="1"/>
  <c r="AI270" i="1" s="1"/>
  <c r="AH271" i="1"/>
  <c r="AI271" i="1" s="1"/>
  <c r="AH272" i="1"/>
  <c r="AI272" i="1" s="1"/>
  <c r="AH273" i="1"/>
  <c r="AI273" i="1" s="1"/>
  <c r="AH274" i="1"/>
  <c r="AI274" i="1" s="1"/>
  <c r="AH275" i="1"/>
  <c r="AI275" i="1" s="1"/>
  <c r="AH276" i="1"/>
  <c r="AI276" i="1" s="1"/>
  <c r="AH277" i="1"/>
  <c r="AI277" i="1" s="1"/>
  <c r="AH278" i="1"/>
  <c r="AI278" i="1" s="1"/>
  <c r="AH279" i="1"/>
  <c r="AI279" i="1" s="1"/>
  <c r="AH280" i="1"/>
  <c r="AI280" i="1" s="1"/>
  <c r="AH281" i="1"/>
  <c r="AI281" i="1" s="1"/>
  <c r="AH282" i="1"/>
  <c r="AI282" i="1" s="1"/>
  <c r="AH283" i="1"/>
  <c r="AI283" i="1" s="1"/>
  <c r="AH284" i="1"/>
  <c r="AI284" i="1" s="1"/>
  <c r="AH285" i="1"/>
  <c r="AI285" i="1" s="1"/>
  <c r="AH286" i="1"/>
  <c r="AI286" i="1" s="1"/>
  <c r="AH287" i="1"/>
  <c r="AI287" i="1" s="1"/>
  <c r="AH288" i="1"/>
  <c r="AI288" i="1" s="1"/>
  <c r="AH289" i="1"/>
  <c r="AI289" i="1" s="1"/>
  <c r="AH290" i="1"/>
  <c r="AI290" i="1" s="1"/>
  <c r="AH291" i="1"/>
  <c r="AI291" i="1" s="1"/>
  <c r="AH292" i="1"/>
  <c r="AI292" i="1" s="1"/>
  <c r="AH293" i="1"/>
  <c r="AI293" i="1" s="1"/>
  <c r="AH294" i="1"/>
  <c r="AI294" i="1" s="1"/>
  <c r="AH295" i="1"/>
  <c r="AI295" i="1" s="1"/>
  <c r="AH296" i="1"/>
  <c r="AI296" i="1" s="1"/>
  <c r="AH297" i="1"/>
  <c r="AI297" i="1" s="1"/>
  <c r="AH298" i="1"/>
  <c r="AI298" i="1" s="1"/>
  <c r="AH299" i="1"/>
  <c r="AI299" i="1" s="1"/>
  <c r="AH300" i="1"/>
  <c r="AI300" i="1" s="1"/>
  <c r="AH301" i="1"/>
  <c r="AI301" i="1" s="1"/>
  <c r="AH302" i="1"/>
  <c r="AI302" i="1" s="1"/>
  <c r="AH303" i="1"/>
  <c r="AI303" i="1" s="1"/>
  <c r="AH304" i="1"/>
  <c r="AI304" i="1" s="1"/>
  <c r="AH305" i="1"/>
  <c r="AI305" i="1" s="1"/>
  <c r="AH306" i="1"/>
  <c r="AI306" i="1" s="1"/>
  <c r="AH307" i="1"/>
  <c r="AI307" i="1" s="1"/>
  <c r="AH308" i="1"/>
  <c r="AI308" i="1" s="1"/>
  <c r="AH309" i="1"/>
  <c r="AI309" i="1" s="1"/>
  <c r="AH310" i="1"/>
  <c r="AI310" i="1" s="1"/>
  <c r="AH311" i="1"/>
  <c r="AI311" i="1" s="1"/>
  <c r="AH312" i="1"/>
  <c r="AI312" i="1" s="1"/>
  <c r="AH313" i="1"/>
  <c r="AI313" i="1" s="1"/>
  <c r="AH314" i="1"/>
  <c r="AI314" i="1" s="1"/>
  <c r="AH315" i="1"/>
  <c r="AI315" i="1" s="1"/>
  <c r="AH316" i="1"/>
  <c r="AI316" i="1" s="1"/>
  <c r="AH317" i="1"/>
  <c r="AI317" i="1" s="1"/>
  <c r="AH318" i="1"/>
  <c r="AI318" i="1" s="1"/>
  <c r="AH319" i="1"/>
  <c r="AI319" i="1" s="1"/>
  <c r="AH320" i="1"/>
  <c r="AI320" i="1" s="1"/>
  <c r="AH321" i="1"/>
  <c r="AI321" i="1" s="1"/>
  <c r="AH322" i="1"/>
  <c r="AI322" i="1" s="1"/>
  <c r="AH323" i="1"/>
  <c r="AI323" i="1" s="1"/>
  <c r="AH324" i="1"/>
  <c r="AI324" i="1" s="1"/>
  <c r="AH325" i="1"/>
  <c r="AI325" i="1" s="1"/>
  <c r="AH326" i="1"/>
  <c r="AI326" i="1" s="1"/>
  <c r="AH327" i="1"/>
  <c r="AI327" i="1" s="1"/>
  <c r="AH328" i="1"/>
  <c r="AI328" i="1" s="1"/>
  <c r="AH329" i="1"/>
  <c r="AI329" i="1" s="1"/>
  <c r="AH330" i="1"/>
  <c r="AI330" i="1" s="1"/>
  <c r="AH331" i="1"/>
  <c r="AI331" i="1" s="1"/>
  <c r="AH332" i="1"/>
  <c r="AI332" i="1" s="1"/>
  <c r="AH333" i="1"/>
  <c r="AI333" i="1" s="1"/>
  <c r="AH334" i="1"/>
  <c r="AI334" i="1" s="1"/>
  <c r="AH335" i="1"/>
  <c r="AI335" i="1" s="1"/>
  <c r="AH336" i="1"/>
  <c r="AI336" i="1" s="1"/>
  <c r="AH337" i="1"/>
  <c r="AI337" i="1" s="1"/>
  <c r="AH338" i="1"/>
  <c r="AI338" i="1" s="1"/>
  <c r="AH339" i="1"/>
  <c r="AI339" i="1" s="1"/>
  <c r="AH340" i="1"/>
  <c r="AI340" i="1" s="1"/>
  <c r="AH341" i="1"/>
  <c r="AI341" i="1" s="1"/>
  <c r="AH342" i="1"/>
  <c r="AI342" i="1" s="1"/>
  <c r="AH343" i="1"/>
  <c r="AI343" i="1" s="1"/>
  <c r="AH344" i="1"/>
  <c r="AI344" i="1" s="1"/>
  <c r="AH345" i="1"/>
  <c r="AI345" i="1" s="1"/>
  <c r="AH346" i="1"/>
  <c r="AI346" i="1" s="1"/>
  <c r="AH347" i="1"/>
  <c r="AI347" i="1" s="1"/>
  <c r="AH348" i="1"/>
  <c r="AI348" i="1" s="1"/>
  <c r="AH349" i="1"/>
  <c r="AI349" i="1" s="1"/>
  <c r="AH350" i="1"/>
  <c r="AI350" i="1" s="1"/>
  <c r="AH351" i="1"/>
  <c r="AI351" i="1" s="1"/>
  <c r="AH352" i="1"/>
  <c r="AI352" i="1" s="1"/>
  <c r="AH353" i="1"/>
  <c r="AI353" i="1" s="1"/>
  <c r="AH354" i="1"/>
  <c r="AI354" i="1" s="1"/>
  <c r="AH355" i="1"/>
  <c r="AI355" i="1" s="1"/>
  <c r="AH356" i="1"/>
  <c r="AI356" i="1" s="1"/>
  <c r="AH357" i="1"/>
  <c r="AI357" i="1" s="1"/>
  <c r="AH358" i="1"/>
  <c r="AI358" i="1" s="1"/>
  <c r="AH359" i="1"/>
  <c r="AI359" i="1" s="1"/>
  <c r="AH360" i="1"/>
  <c r="AI360" i="1" s="1"/>
  <c r="AH361" i="1"/>
  <c r="AI361" i="1" s="1"/>
  <c r="AH362" i="1"/>
  <c r="AI362" i="1" s="1"/>
  <c r="AH363" i="1"/>
  <c r="AI363" i="1" s="1"/>
  <c r="AH364" i="1"/>
  <c r="AI364" i="1" s="1"/>
  <c r="AH365" i="1"/>
  <c r="AI365" i="1" s="1"/>
  <c r="AH366" i="1"/>
  <c r="AI366" i="1" s="1"/>
  <c r="AH367" i="1"/>
  <c r="AI367" i="1" s="1"/>
  <c r="AH368" i="1"/>
  <c r="AI368" i="1" s="1"/>
  <c r="AH369" i="1"/>
  <c r="AI369" i="1" s="1"/>
  <c r="AH370" i="1"/>
  <c r="AI370" i="1" s="1"/>
  <c r="AH371" i="1"/>
  <c r="AI371" i="1" s="1"/>
  <c r="AH372" i="1"/>
  <c r="AI372" i="1" s="1"/>
  <c r="AH373" i="1"/>
  <c r="AI373" i="1" s="1"/>
  <c r="AH374" i="1"/>
  <c r="AI374" i="1" s="1"/>
  <c r="AH375" i="1"/>
  <c r="AI375" i="1" s="1"/>
  <c r="AH376" i="1"/>
  <c r="AI376" i="1" s="1"/>
  <c r="AH377" i="1"/>
  <c r="AI377" i="1" s="1"/>
  <c r="AH378" i="1"/>
  <c r="AI378" i="1" s="1"/>
  <c r="AH379" i="1"/>
  <c r="AI379" i="1" s="1"/>
  <c r="AH380" i="1"/>
  <c r="AI380" i="1" s="1"/>
  <c r="AH381" i="1"/>
  <c r="AI381" i="1" s="1"/>
  <c r="AH382" i="1"/>
  <c r="AI382" i="1" s="1"/>
  <c r="AH383" i="1"/>
  <c r="AI383" i="1" s="1"/>
  <c r="AH384" i="1"/>
  <c r="AI384" i="1" s="1"/>
  <c r="AH385" i="1"/>
  <c r="AI385" i="1" s="1"/>
  <c r="AH386" i="1"/>
  <c r="AI386" i="1" s="1"/>
  <c r="AH387" i="1"/>
  <c r="AI387" i="1" s="1"/>
  <c r="AH388" i="1"/>
  <c r="AI388" i="1" s="1"/>
  <c r="AH389" i="1"/>
  <c r="AI389" i="1" s="1"/>
  <c r="AH390" i="1"/>
  <c r="AI390" i="1" s="1"/>
  <c r="AH391" i="1"/>
  <c r="AI391" i="1" s="1"/>
  <c r="AH392" i="1"/>
  <c r="AI392" i="1" s="1"/>
  <c r="AH393" i="1"/>
  <c r="AI393" i="1" s="1"/>
  <c r="AH394" i="1"/>
  <c r="AI394" i="1" s="1"/>
  <c r="AH395" i="1"/>
  <c r="AI395" i="1" s="1"/>
  <c r="AH396" i="1"/>
  <c r="AI396" i="1" s="1"/>
  <c r="AH397" i="1"/>
  <c r="AI397" i="1" s="1"/>
  <c r="AH398" i="1"/>
  <c r="AI398" i="1" s="1"/>
  <c r="AH399" i="1"/>
  <c r="AI399" i="1" s="1"/>
  <c r="AH400" i="1"/>
  <c r="AI400" i="1" s="1"/>
  <c r="AH401" i="1"/>
  <c r="AI401" i="1" s="1"/>
  <c r="AH402" i="1"/>
  <c r="AI402" i="1" s="1"/>
  <c r="AH403" i="1"/>
  <c r="AI403" i="1" s="1"/>
  <c r="AH404" i="1"/>
  <c r="AI404" i="1" s="1"/>
  <c r="AH405" i="1"/>
  <c r="AI405" i="1" s="1"/>
  <c r="AH406" i="1"/>
  <c r="AI406" i="1" s="1"/>
  <c r="AH407" i="1"/>
  <c r="AI407" i="1" s="1"/>
  <c r="AH408" i="1"/>
  <c r="AI408" i="1" s="1"/>
  <c r="AH409" i="1"/>
  <c r="AI409" i="1" s="1"/>
  <c r="AH410" i="1"/>
  <c r="AI410" i="1" s="1"/>
  <c r="AH411" i="1"/>
  <c r="AI411" i="1" s="1"/>
  <c r="AH412" i="1"/>
  <c r="AI412" i="1" s="1"/>
  <c r="AH413" i="1"/>
  <c r="AI413" i="1" s="1"/>
  <c r="AH414" i="1"/>
  <c r="AI414" i="1" s="1"/>
  <c r="AH415" i="1"/>
  <c r="AI415" i="1" s="1"/>
  <c r="AH416" i="1"/>
  <c r="AI416" i="1" s="1"/>
  <c r="AH417" i="1"/>
  <c r="AI417" i="1" s="1"/>
  <c r="AH418" i="1"/>
  <c r="AI418" i="1" s="1"/>
  <c r="AH419" i="1"/>
  <c r="AI419" i="1" s="1"/>
  <c r="AH420" i="1"/>
  <c r="AI420" i="1" s="1"/>
  <c r="AH421" i="1"/>
  <c r="AI421" i="1" s="1"/>
  <c r="AH422" i="1"/>
  <c r="AI422" i="1" s="1"/>
  <c r="AH423" i="1"/>
  <c r="AI423" i="1" s="1"/>
  <c r="AH424" i="1"/>
  <c r="AI424" i="1" s="1"/>
  <c r="AH425" i="1"/>
  <c r="AI425" i="1" s="1"/>
  <c r="AH426" i="1"/>
  <c r="AI426" i="1" s="1"/>
  <c r="AH427" i="1"/>
  <c r="AI427" i="1" s="1"/>
  <c r="AH428" i="1"/>
  <c r="AI428" i="1" s="1"/>
  <c r="AH429" i="1"/>
  <c r="AI429" i="1" s="1"/>
  <c r="AH430" i="1"/>
  <c r="AI430" i="1" s="1"/>
  <c r="AH431" i="1"/>
  <c r="AI431" i="1" s="1"/>
  <c r="AH432" i="1"/>
  <c r="AI432" i="1" s="1"/>
  <c r="AH433" i="1"/>
  <c r="AI433" i="1" s="1"/>
  <c r="AH434" i="1"/>
  <c r="AI434" i="1" s="1"/>
  <c r="AH435" i="1"/>
  <c r="AI435" i="1" s="1"/>
  <c r="AH436" i="1"/>
  <c r="AI436" i="1" s="1"/>
  <c r="AH437" i="1"/>
  <c r="AI437" i="1" s="1"/>
  <c r="AH438" i="1"/>
  <c r="AI438" i="1" s="1"/>
  <c r="AH439" i="1"/>
  <c r="AI439" i="1" s="1"/>
  <c r="AH440" i="1"/>
  <c r="AI440" i="1" s="1"/>
  <c r="AH441" i="1"/>
  <c r="AI441" i="1" s="1"/>
  <c r="AH442" i="1"/>
  <c r="AI442" i="1" s="1"/>
  <c r="AH443" i="1"/>
  <c r="AI443" i="1" s="1"/>
  <c r="AH444" i="1"/>
  <c r="AI444" i="1" s="1"/>
  <c r="AH445" i="1"/>
  <c r="AI445" i="1" s="1"/>
  <c r="AH446" i="1"/>
  <c r="AI446" i="1" s="1"/>
  <c r="AH447" i="1"/>
  <c r="AI447" i="1" s="1"/>
  <c r="AH448" i="1"/>
  <c r="AI448" i="1" s="1"/>
  <c r="AH449" i="1"/>
  <c r="AI449" i="1" s="1"/>
  <c r="AH450" i="1"/>
  <c r="AI450" i="1" s="1"/>
  <c r="AH451" i="1"/>
  <c r="AI451" i="1" s="1"/>
  <c r="AH452" i="1"/>
  <c r="AI452" i="1" s="1"/>
  <c r="AH453" i="1"/>
  <c r="AI453" i="1" s="1"/>
  <c r="AH454" i="1"/>
  <c r="AI454" i="1" s="1"/>
  <c r="AH455" i="1"/>
  <c r="AI455" i="1" s="1"/>
  <c r="AH456" i="1"/>
  <c r="AI456" i="1" s="1"/>
  <c r="AH457" i="1"/>
  <c r="AI457" i="1" s="1"/>
  <c r="AH458" i="1"/>
  <c r="AI458" i="1" s="1"/>
  <c r="AH459" i="1"/>
  <c r="AI459" i="1" s="1"/>
  <c r="AH460" i="1"/>
  <c r="AI460" i="1" s="1"/>
  <c r="AH461" i="1"/>
  <c r="AI461" i="1" s="1"/>
  <c r="AH462" i="1"/>
  <c r="AI462" i="1" s="1"/>
  <c r="AH463" i="1"/>
  <c r="AI463" i="1" s="1"/>
  <c r="AH464" i="1"/>
  <c r="AI464" i="1" s="1"/>
  <c r="AH465" i="1"/>
  <c r="AI465" i="1" s="1"/>
  <c r="AH466" i="1"/>
  <c r="AI466" i="1" s="1"/>
  <c r="AH467" i="1"/>
  <c r="AI467" i="1" s="1"/>
  <c r="AH468" i="1"/>
  <c r="AI468" i="1" s="1"/>
  <c r="AH469" i="1"/>
  <c r="AI469" i="1" s="1"/>
  <c r="AH470" i="1"/>
  <c r="AI470" i="1" s="1"/>
  <c r="AH471" i="1"/>
  <c r="AI471" i="1" s="1"/>
  <c r="AH472" i="1"/>
  <c r="AI472" i="1" s="1"/>
  <c r="AH473" i="1"/>
  <c r="AI473" i="1" s="1"/>
  <c r="AH474" i="1"/>
  <c r="AI474" i="1" s="1"/>
  <c r="AH475" i="1"/>
  <c r="AI475" i="1" s="1"/>
  <c r="AH476" i="1"/>
  <c r="AI476" i="1" s="1"/>
  <c r="AH477" i="1"/>
  <c r="AI477" i="1" s="1"/>
  <c r="AH478" i="1"/>
  <c r="AI478" i="1" s="1"/>
  <c r="AH479" i="1"/>
  <c r="AI479" i="1" s="1"/>
  <c r="AH480" i="1"/>
  <c r="AI480" i="1" s="1"/>
  <c r="AH481" i="1"/>
  <c r="AI481" i="1" s="1"/>
  <c r="AH482" i="1"/>
  <c r="AI482" i="1" s="1"/>
  <c r="AH483" i="1"/>
  <c r="AI483" i="1" s="1"/>
  <c r="AH484" i="1"/>
  <c r="AI484" i="1" s="1"/>
  <c r="AH485" i="1"/>
  <c r="AI485" i="1" s="1"/>
  <c r="AH486" i="1"/>
  <c r="AI486" i="1" s="1"/>
  <c r="AH487" i="1"/>
  <c r="AI487" i="1" s="1"/>
  <c r="AH488" i="1"/>
  <c r="AI488" i="1" s="1"/>
  <c r="AH489" i="1"/>
  <c r="AI489" i="1" s="1"/>
  <c r="AH490" i="1"/>
  <c r="AI490" i="1" s="1"/>
  <c r="AH491" i="1"/>
  <c r="AI491" i="1" s="1"/>
  <c r="AH492" i="1"/>
  <c r="AI492" i="1" s="1"/>
  <c r="AH493" i="1"/>
  <c r="AI493" i="1" s="1"/>
  <c r="AH494" i="1"/>
  <c r="AI494" i="1" s="1"/>
  <c r="AH495" i="1"/>
  <c r="AI495" i="1" s="1"/>
  <c r="AH496" i="1"/>
  <c r="AI496" i="1" s="1"/>
  <c r="AH497" i="1"/>
  <c r="AI497" i="1" s="1"/>
  <c r="AH498" i="1"/>
  <c r="AI498" i="1" s="1"/>
  <c r="AH499" i="1"/>
  <c r="AI499" i="1" s="1"/>
  <c r="AH500" i="1"/>
  <c r="AI500" i="1" s="1"/>
  <c r="AH501" i="1"/>
  <c r="AI501" i="1" s="1"/>
  <c r="AH502" i="1"/>
  <c r="AI502" i="1" s="1"/>
  <c r="AH503" i="1"/>
  <c r="AI503" i="1" s="1"/>
  <c r="AH504" i="1"/>
  <c r="AI504" i="1" s="1"/>
  <c r="AH505" i="1"/>
  <c r="AI505" i="1" s="1"/>
  <c r="AH506" i="1"/>
  <c r="AI506" i="1" s="1"/>
  <c r="AH507" i="1"/>
  <c r="AI507" i="1" s="1"/>
  <c r="AH508" i="1"/>
  <c r="AI508" i="1" s="1"/>
  <c r="AH509" i="1"/>
  <c r="AI509" i="1" s="1"/>
  <c r="AH510" i="1"/>
  <c r="AI510" i="1" s="1"/>
  <c r="AH511" i="1"/>
  <c r="AI511" i="1" s="1"/>
  <c r="AH512" i="1"/>
  <c r="AI512" i="1" s="1"/>
  <c r="AH513" i="1"/>
  <c r="AI513" i="1" s="1"/>
  <c r="AH514" i="1"/>
  <c r="AI514" i="1" s="1"/>
  <c r="AH515" i="1"/>
  <c r="AI515" i="1" s="1"/>
  <c r="AH516" i="1"/>
  <c r="AI516" i="1" s="1"/>
  <c r="AH517" i="1"/>
  <c r="AI517" i="1" s="1"/>
  <c r="AH518" i="1"/>
  <c r="AI518" i="1" s="1"/>
  <c r="AH519" i="1"/>
  <c r="AI519" i="1" s="1"/>
  <c r="AH520" i="1"/>
  <c r="AI520" i="1" s="1"/>
  <c r="AH521" i="1"/>
  <c r="AI521" i="1" s="1"/>
  <c r="AH522" i="1"/>
  <c r="AI522" i="1" s="1"/>
  <c r="AH523" i="1"/>
  <c r="AI523" i="1" s="1"/>
  <c r="AH524" i="1"/>
  <c r="AI524" i="1" s="1"/>
  <c r="AH525" i="1"/>
  <c r="AI525" i="1" s="1"/>
  <c r="AH526" i="1"/>
  <c r="AI526" i="1" s="1"/>
  <c r="AH527" i="1"/>
  <c r="AI527" i="1" s="1"/>
  <c r="AH528" i="1"/>
  <c r="AI528" i="1" s="1"/>
  <c r="AH529" i="1"/>
  <c r="AI529" i="1" s="1"/>
  <c r="AH530" i="1"/>
  <c r="AI530" i="1" s="1"/>
  <c r="AH531" i="1"/>
  <c r="AI531" i="1" s="1"/>
  <c r="AH532" i="1"/>
  <c r="AI532" i="1" s="1"/>
  <c r="AH533" i="1"/>
  <c r="AI533" i="1" s="1"/>
  <c r="AH534" i="1"/>
  <c r="AI534" i="1" s="1"/>
  <c r="AH535" i="1"/>
  <c r="AI535" i="1" s="1"/>
  <c r="AH536" i="1"/>
  <c r="AI536" i="1" s="1"/>
  <c r="AH537" i="1"/>
  <c r="AI537" i="1" s="1"/>
  <c r="AH538" i="1"/>
  <c r="AI538" i="1" s="1"/>
  <c r="AH539" i="1"/>
  <c r="AI539" i="1" s="1"/>
  <c r="AH540" i="1"/>
  <c r="AI540" i="1" s="1"/>
  <c r="AH541" i="1"/>
  <c r="AI541" i="1" s="1"/>
  <c r="AH542" i="1"/>
  <c r="AI542" i="1" s="1"/>
  <c r="AH543" i="1"/>
  <c r="AI543" i="1" s="1"/>
  <c r="AH544" i="1"/>
  <c r="AI544" i="1" s="1"/>
  <c r="AH545" i="1"/>
  <c r="AI545" i="1" s="1"/>
  <c r="AH546" i="1"/>
  <c r="AI546" i="1" s="1"/>
  <c r="AH547" i="1"/>
  <c r="AI547" i="1" s="1"/>
  <c r="AH548" i="1"/>
  <c r="AI548" i="1" s="1"/>
  <c r="AH549" i="1"/>
  <c r="AI549" i="1" s="1"/>
  <c r="AH550" i="1"/>
  <c r="AI550" i="1" s="1"/>
  <c r="AH551" i="1"/>
  <c r="AI551" i="1" s="1"/>
  <c r="AH552" i="1"/>
  <c r="AI552" i="1" s="1"/>
  <c r="AH553" i="1"/>
  <c r="AI553" i="1" s="1"/>
  <c r="AH554" i="1"/>
  <c r="AI554" i="1" s="1"/>
  <c r="AH555" i="1"/>
  <c r="AI555" i="1" s="1"/>
  <c r="AH556" i="1"/>
  <c r="AI556" i="1" s="1"/>
  <c r="AH557" i="1"/>
  <c r="AI557" i="1" s="1"/>
  <c r="AH558" i="1"/>
  <c r="AI558" i="1" s="1"/>
  <c r="AH559" i="1"/>
  <c r="AI559" i="1" s="1"/>
  <c r="AH560" i="1"/>
  <c r="AI560" i="1" s="1"/>
  <c r="AH561" i="1"/>
  <c r="AI561" i="1" s="1"/>
  <c r="AH562" i="1"/>
  <c r="AI562" i="1" s="1"/>
  <c r="AH563" i="1"/>
  <c r="AI563" i="1" s="1"/>
  <c r="AH564" i="1"/>
  <c r="AI564" i="1" s="1"/>
  <c r="AH565" i="1"/>
  <c r="AI565" i="1" s="1"/>
  <c r="AH566" i="1"/>
  <c r="AI566" i="1" s="1"/>
  <c r="AH567" i="1"/>
  <c r="AI567" i="1" s="1"/>
  <c r="AH568" i="1"/>
  <c r="AI568" i="1" s="1"/>
  <c r="AH569" i="1"/>
  <c r="AI569" i="1" s="1"/>
  <c r="AH570" i="1"/>
  <c r="AI570" i="1" s="1"/>
  <c r="AH571" i="1"/>
  <c r="AI571" i="1" s="1"/>
  <c r="AH572" i="1"/>
  <c r="AI572" i="1" s="1"/>
  <c r="AH573" i="1"/>
  <c r="AI573" i="1" s="1"/>
  <c r="AH574" i="1"/>
  <c r="AI574" i="1" s="1"/>
  <c r="AH575" i="1"/>
  <c r="AI575" i="1" s="1"/>
  <c r="AH576" i="1"/>
  <c r="AI576" i="1" s="1"/>
  <c r="AH577" i="1"/>
  <c r="AI577" i="1" s="1"/>
  <c r="AH578" i="1"/>
  <c r="AI578" i="1" s="1"/>
  <c r="AH579" i="1"/>
  <c r="AI579" i="1" s="1"/>
  <c r="AH580" i="1"/>
  <c r="AI580" i="1" s="1"/>
  <c r="AH581" i="1"/>
  <c r="AI581" i="1" s="1"/>
  <c r="AH582" i="1"/>
  <c r="AI582" i="1" s="1"/>
  <c r="AH583" i="1"/>
  <c r="AI583" i="1" s="1"/>
  <c r="AH584" i="1"/>
  <c r="AI584" i="1" s="1"/>
  <c r="AH585" i="1"/>
  <c r="AI585" i="1" s="1"/>
  <c r="AH586" i="1"/>
  <c r="AI586" i="1" s="1"/>
  <c r="AH587" i="1"/>
  <c r="AI587" i="1" s="1"/>
  <c r="AH588" i="1"/>
  <c r="AI588" i="1" s="1"/>
  <c r="AH589" i="1"/>
  <c r="AI589" i="1" s="1"/>
  <c r="AH590" i="1"/>
  <c r="AI590" i="1" s="1"/>
  <c r="AH591" i="1"/>
  <c r="AI591" i="1" s="1"/>
  <c r="AH592" i="1"/>
  <c r="AI592" i="1" s="1"/>
  <c r="AH593" i="1"/>
  <c r="AI593" i="1" s="1"/>
  <c r="AH594" i="1"/>
  <c r="AI594" i="1" s="1"/>
  <c r="AH595" i="1"/>
  <c r="AI595" i="1" s="1"/>
  <c r="AH596" i="1"/>
  <c r="AI596" i="1" s="1"/>
  <c r="AH597" i="1"/>
  <c r="AI597" i="1" s="1"/>
  <c r="AH598" i="1"/>
  <c r="AI598" i="1" s="1"/>
  <c r="AH599" i="1"/>
  <c r="AI599" i="1" s="1"/>
  <c r="AH600" i="1"/>
  <c r="AI600" i="1" s="1"/>
  <c r="AH601" i="1"/>
  <c r="AI601" i="1" s="1"/>
  <c r="AH602" i="1"/>
  <c r="AI602" i="1" s="1"/>
  <c r="AH603" i="1"/>
  <c r="AI603" i="1" s="1"/>
  <c r="AH604" i="1"/>
  <c r="AI604" i="1" s="1"/>
  <c r="AH605" i="1"/>
  <c r="AI605" i="1" s="1"/>
  <c r="AH606" i="1"/>
  <c r="AI606" i="1" s="1"/>
  <c r="AH607" i="1"/>
  <c r="AI607" i="1" s="1"/>
  <c r="AH608" i="1"/>
  <c r="AI608" i="1" s="1"/>
  <c r="AH609" i="1"/>
  <c r="AI609" i="1" s="1"/>
  <c r="AH610" i="1"/>
  <c r="AI610" i="1" s="1"/>
  <c r="AH611" i="1"/>
  <c r="AI611" i="1" s="1"/>
  <c r="AH612" i="1"/>
  <c r="AI612" i="1" s="1"/>
  <c r="AH613" i="1"/>
  <c r="AI613" i="1" s="1"/>
  <c r="AH614" i="1"/>
  <c r="AI614" i="1" s="1"/>
  <c r="AH615" i="1"/>
  <c r="AI615" i="1" s="1"/>
  <c r="AH616" i="1"/>
  <c r="AI616" i="1" s="1"/>
  <c r="AH617" i="1"/>
  <c r="AI617" i="1" s="1"/>
  <c r="AH618" i="1"/>
  <c r="AI618" i="1" s="1"/>
  <c r="AH619" i="1"/>
  <c r="AI619" i="1" s="1"/>
  <c r="AH620" i="1"/>
  <c r="AI620" i="1" s="1"/>
  <c r="AH621" i="1"/>
  <c r="AI621" i="1" s="1"/>
  <c r="AH622" i="1"/>
  <c r="AI622" i="1" s="1"/>
  <c r="AH623" i="1"/>
  <c r="AI623" i="1" s="1"/>
  <c r="AH624" i="1"/>
  <c r="AI624" i="1" s="1"/>
  <c r="AH625" i="1"/>
  <c r="AI625" i="1" s="1"/>
  <c r="AH626" i="1"/>
  <c r="AI626" i="1" s="1"/>
  <c r="AH627" i="1"/>
  <c r="AI627" i="1" s="1"/>
  <c r="AH628" i="1"/>
  <c r="AI628" i="1" s="1"/>
  <c r="AH629" i="1"/>
  <c r="AI629" i="1" s="1"/>
  <c r="AH630" i="1"/>
  <c r="AI630" i="1" s="1"/>
  <c r="AH631" i="1"/>
  <c r="AI631" i="1" s="1"/>
  <c r="AH632" i="1"/>
  <c r="AI632" i="1" s="1"/>
  <c r="AH633" i="1"/>
  <c r="AI633" i="1" s="1"/>
  <c r="AH147" i="1"/>
  <c r="AI147" i="1" s="1"/>
  <c r="AH148" i="1"/>
  <c r="AI148" i="1" s="1"/>
  <c r="AH149" i="1"/>
  <c r="AI149" i="1" s="1"/>
  <c r="AH150" i="1"/>
  <c r="AI150" i="1" s="1"/>
  <c r="AH151" i="1"/>
  <c r="AI151" i="1" s="1"/>
  <c r="AH152" i="1"/>
  <c r="AI152" i="1" s="1"/>
  <c r="AH153" i="1"/>
  <c r="AI153" i="1" s="1"/>
  <c r="AH154" i="1"/>
  <c r="AI154" i="1" s="1"/>
  <c r="AH155" i="1"/>
  <c r="AI155" i="1" s="1"/>
  <c r="AH156" i="1"/>
  <c r="AI156" i="1" s="1"/>
  <c r="AH157" i="1"/>
  <c r="AI157" i="1" s="1"/>
  <c r="AH158" i="1"/>
  <c r="AI158" i="1" s="1"/>
  <c r="AH159" i="1"/>
  <c r="AI159" i="1" s="1"/>
  <c r="AH160" i="1"/>
  <c r="AI160" i="1" s="1"/>
  <c r="AH131" i="1"/>
  <c r="AI131" i="1" s="1"/>
  <c r="AH132" i="1"/>
  <c r="AI132" i="1" s="1"/>
  <c r="AH133" i="1"/>
  <c r="AI133" i="1" s="1"/>
  <c r="AH134" i="1"/>
  <c r="AI134" i="1" s="1"/>
  <c r="AH135" i="1"/>
  <c r="AI135" i="1" s="1"/>
  <c r="AH136" i="1"/>
  <c r="AI136" i="1" s="1"/>
  <c r="AH137" i="1"/>
  <c r="AI137" i="1" s="1"/>
  <c r="AH138" i="1"/>
  <c r="AI138" i="1" s="1"/>
  <c r="AH139" i="1"/>
  <c r="AI139" i="1" s="1"/>
  <c r="AH140" i="1"/>
  <c r="AI140" i="1" s="1"/>
  <c r="AH141" i="1"/>
  <c r="AI141" i="1" s="1"/>
  <c r="AH142" i="1"/>
  <c r="AI142" i="1" s="1"/>
  <c r="AH143" i="1"/>
  <c r="AI143" i="1" s="1"/>
  <c r="AH144" i="1"/>
  <c r="AI144" i="1" s="1"/>
  <c r="AH145" i="1"/>
  <c r="AI145" i="1" s="1"/>
  <c r="AH146" i="1"/>
  <c r="AI146" i="1" s="1"/>
  <c r="P3" i="1" a="1"/>
  <c r="P3" i="1" s="1"/>
  <c r="P4" i="1" a="1"/>
  <c r="P4" i="1" s="1"/>
  <c r="P5" i="1" a="1"/>
  <c r="P5" i="1" s="1"/>
  <c r="P6" i="1" a="1"/>
  <c r="P6" i="1" s="1"/>
  <c r="P7" i="1" a="1"/>
  <c r="P7" i="1" s="1"/>
  <c r="P8" i="1" a="1"/>
  <c r="P8" i="1" s="1"/>
  <c r="P9" i="1" a="1"/>
  <c r="P9" i="1" s="1"/>
  <c r="P10" i="1" a="1"/>
  <c r="P10" i="1" s="1"/>
  <c r="P11" i="1" a="1"/>
  <c r="P11" i="1" s="1"/>
  <c r="P12" i="1" a="1"/>
  <c r="P12" i="1" s="1"/>
  <c r="P13" i="1" a="1"/>
  <c r="P13" i="1" s="1"/>
  <c r="P14" i="1" a="1"/>
  <c r="P14" i="1" s="1"/>
  <c r="P15" i="1" a="1"/>
  <c r="P15" i="1" s="1"/>
  <c r="P16" i="1" a="1"/>
  <c r="P16" i="1" s="1"/>
  <c r="P17" i="1" a="1"/>
  <c r="P17" i="1" s="1"/>
  <c r="P18" i="1" a="1"/>
  <c r="P18" i="1" s="1"/>
  <c r="P19" i="1" a="1"/>
  <c r="P19" i="1" s="1"/>
  <c r="P20" i="1" a="1"/>
  <c r="P20" i="1" s="1"/>
  <c r="P21" i="1" a="1"/>
  <c r="P21" i="1" s="1"/>
  <c r="P22" i="1" a="1"/>
  <c r="P22" i="1" s="1"/>
  <c r="P23" i="1" a="1"/>
  <c r="P23" i="1" s="1"/>
  <c r="P24" i="1" a="1"/>
  <c r="P24" i="1" s="1"/>
  <c r="P25" i="1" a="1"/>
  <c r="P25" i="1" s="1"/>
  <c r="P26" i="1" a="1"/>
  <c r="P26" i="1" s="1"/>
  <c r="P27" i="1" a="1"/>
  <c r="P27" i="1" s="1"/>
  <c r="P28" i="1" a="1"/>
  <c r="P28" i="1" s="1"/>
  <c r="P29" i="1" a="1"/>
  <c r="P29" i="1" s="1"/>
  <c r="P30" i="1" a="1"/>
  <c r="P30" i="1" s="1"/>
  <c r="P31" i="1" a="1"/>
  <c r="P31" i="1" s="1"/>
  <c r="P32" i="1" a="1"/>
  <c r="P32" i="1" s="1"/>
  <c r="P33" i="1" a="1"/>
  <c r="P33" i="1" s="1"/>
  <c r="P34" i="1" a="1"/>
  <c r="P34" i="1" s="1"/>
  <c r="P35" i="1" a="1"/>
  <c r="P35" i="1" s="1"/>
  <c r="P36" i="1" a="1"/>
  <c r="P36" i="1" s="1"/>
  <c r="P37" i="1" a="1"/>
  <c r="P37" i="1" s="1"/>
  <c r="P38" i="1" a="1"/>
  <c r="P38" i="1" s="1"/>
  <c r="P39" i="1" a="1"/>
  <c r="P39" i="1" s="1"/>
  <c r="P40" i="1" a="1"/>
  <c r="P40" i="1" s="1"/>
  <c r="P41" i="1" a="1"/>
  <c r="P41" i="1" s="1"/>
  <c r="P42" i="1" a="1"/>
  <c r="P42" i="1" s="1"/>
  <c r="P43" i="1" a="1"/>
  <c r="P43" i="1" s="1"/>
  <c r="P44" i="1" a="1"/>
  <c r="P44" i="1" s="1"/>
  <c r="P45" i="1" a="1"/>
  <c r="P45" i="1" s="1"/>
  <c r="P46" i="1" a="1"/>
  <c r="P46" i="1" s="1"/>
  <c r="P47" i="1" a="1"/>
  <c r="P47" i="1" s="1"/>
  <c r="P48" i="1" a="1"/>
  <c r="P48" i="1" s="1"/>
  <c r="P49" i="1" a="1"/>
  <c r="P49" i="1" s="1"/>
  <c r="P50" i="1" a="1"/>
  <c r="P50" i="1" s="1"/>
  <c r="P51" i="1" a="1"/>
  <c r="P51" i="1" s="1"/>
  <c r="P52" i="1" a="1"/>
  <c r="P52" i="1" s="1"/>
  <c r="P53" i="1" a="1"/>
  <c r="P53" i="1" s="1"/>
  <c r="P54" i="1" a="1"/>
  <c r="P54" i="1" s="1"/>
  <c r="P55" i="1" a="1"/>
  <c r="P55" i="1" s="1"/>
  <c r="P56" i="1" a="1"/>
  <c r="P56" i="1" s="1"/>
  <c r="P57" i="1" a="1"/>
  <c r="P57" i="1" s="1"/>
  <c r="P58" i="1" a="1"/>
  <c r="P58" i="1" s="1"/>
  <c r="P59" i="1" a="1"/>
  <c r="P59" i="1" s="1"/>
  <c r="P60" i="1" a="1"/>
  <c r="P60" i="1" s="1"/>
  <c r="P61" i="1" a="1"/>
  <c r="P61" i="1" s="1"/>
  <c r="P62" i="1" a="1"/>
  <c r="P62" i="1" s="1"/>
  <c r="P63" i="1" a="1"/>
  <c r="P63" i="1" s="1"/>
  <c r="P64" i="1" a="1"/>
  <c r="P64" i="1" s="1"/>
  <c r="P65" i="1" a="1"/>
  <c r="P65" i="1" s="1"/>
  <c r="P66" i="1" a="1"/>
  <c r="P66" i="1" s="1"/>
  <c r="P67" i="1" a="1"/>
  <c r="P67" i="1" s="1"/>
  <c r="P68" i="1" a="1"/>
  <c r="P68" i="1" s="1"/>
  <c r="P69" i="1" a="1"/>
  <c r="P69" i="1" s="1"/>
  <c r="P70" i="1" a="1"/>
  <c r="P70" i="1" s="1"/>
  <c r="P71" i="1" a="1"/>
  <c r="P71" i="1" s="1"/>
  <c r="P72" i="1" a="1"/>
  <c r="P72" i="1" s="1"/>
  <c r="P73" i="1" a="1"/>
  <c r="P73" i="1" s="1"/>
  <c r="P74" i="1" a="1"/>
  <c r="P74" i="1" s="1"/>
  <c r="P75" i="1" a="1"/>
  <c r="P75" i="1" s="1"/>
  <c r="P76" i="1" a="1"/>
  <c r="P76" i="1" s="1"/>
  <c r="P77" i="1" a="1"/>
  <c r="P77" i="1" s="1"/>
  <c r="P78" i="1" a="1"/>
  <c r="P78" i="1" s="1"/>
  <c r="P79" i="1" a="1"/>
  <c r="P79" i="1" s="1"/>
  <c r="P80" i="1" a="1"/>
  <c r="P80" i="1" s="1"/>
  <c r="P81" i="1" a="1"/>
  <c r="P81" i="1" s="1"/>
  <c r="P82" i="1" a="1"/>
  <c r="P82" i="1" s="1"/>
  <c r="P83" i="1" a="1"/>
  <c r="P83" i="1" s="1"/>
  <c r="P84" i="1" a="1"/>
  <c r="P84" i="1" s="1"/>
  <c r="P85" i="1" a="1"/>
  <c r="P85" i="1" s="1"/>
  <c r="P86" i="1" a="1"/>
  <c r="P86" i="1" s="1"/>
  <c r="P87" i="1" a="1"/>
  <c r="P87" i="1" s="1"/>
  <c r="P88" i="1" a="1"/>
  <c r="P88" i="1" s="1"/>
  <c r="P89" i="1" a="1"/>
  <c r="P89" i="1" s="1"/>
  <c r="P90" i="1" a="1"/>
  <c r="P90" i="1" s="1"/>
  <c r="P91" i="1" a="1"/>
  <c r="P91" i="1" s="1"/>
  <c r="P92" i="1" a="1"/>
  <c r="P92" i="1" s="1"/>
  <c r="P93" i="1" a="1"/>
  <c r="P93" i="1" s="1"/>
  <c r="P94" i="1" a="1"/>
  <c r="P94" i="1" s="1"/>
  <c r="P95" i="1" a="1"/>
  <c r="P95" i="1" s="1"/>
  <c r="P96" i="1" a="1"/>
  <c r="P96" i="1" s="1"/>
  <c r="P97" i="1" a="1"/>
  <c r="P97" i="1" s="1"/>
  <c r="P98" i="1" a="1"/>
  <c r="P98" i="1" s="1"/>
  <c r="P99" i="1" a="1"/>
  <c r="P99" i="1" s="1"/>
  <c r="P100" i="1" a="1"/>
  <c r="P100" i="1" s="1"/>
  <c r="P101" i="1" a="1"/>
  <c r="P101" i="1" s="1"/>
  <c r="P102" i="1" a="1"/>
  <c r="P102" i="1" s="1"/>
  <c r="P103" i="1" a="1"/>
  <c r="P103" i="1" s="1"/>
  <c r="P104" i="1" a="1"/>
  <c r="P104" i="1" s="1"/>
  <c r="P105" i="1" a="1"/>
  <c r="P105" i="1" s="1"/>
  <c r="P106" i="1" a="1"/>
  <c r="P106" i="1" s="1"/>
  <c r="P107" i="1" a="1"/>
  <c r="P107" i="1" s="1"/>
  <c r="P108" i="1" a="1"/>
  <c r="P108" i="1" s="1"/>
  <c r="P109" i="1" a="1"/>
  <c r="P109" i="1" s="1"/>
  <c r="P110" i="1" a="1"/>
  <c r="P110" i="1" s="1"/>
  <c r="P111" i="1" a="1"/>
  <c r="P111" i="1" s="1"/>
  <c r="P112" i="1" a="1"/>
  <c r="P112" i="1" s="1"/>
  <c r="P113" i="1" a="1"/>
  <c r="P113" i="1" s="1"/>
  <c r="P114" i="1" a="1"/>
  <c r="P114" i="1" s="1"/>
  <c r="P115" i="1" a="1"/>
  <c r="P115" i="1" s="1"/>
  <c r="P116" i="1" a="1"/>
  <c r="P116" i="1" s="1"/>
  <c r="P117" i="1" a="1"/>
  <c r="P117" i="1" s="1"/>
  <c r="P118" i="1" a="1"/>
  <c r="P118" i="1" s="1"/>
  <c r="P119" i="1" a="1"/>
  <c r="P119" i="1" s="1"/>
  <c r="P120" i="1" a="1"/>
  <c r="P120" i="1" s="1"/>
  <c r="P121" i="1" a="1"/>
  <c r="P121" i="1" s="1"/>
  <c r="P122" i="1" a="1"/>
  <c r="P122" i="1" s="1"/>
  <c r="P123" i="1" a="1"/>
  <c r="P123" i="1" s="1"/>
  <c r="P124" i="1" a="1"/>
  <c r="P124" i="1" s="1"/>
  <c r="P125" i="1" a="1"/>
  <c r="P125" i="1" s="1"/>
  <c r="P126" i="1" a="1"/>
  <c r="P126" i="1" s="1"/>
  <c r="P127" i="1" a="1"/>
  <c r="P127" i="1" s="1"/>
  <c r="P128" i="1" a="1"/>
  <c r="P128" i="1" s="1"/>
  <c r="P129" i="1" a="1"/>
  <c r="P129" i="1" s="1"/>
  <c r="P130" i="1" a="1"/>
  <c r="P130" i="1" s="1"/>
  <c r="P131" i="1" a="1"/>
  <c r="P131" i="1" s="1"/>
  <c r="P132" i="1" a="1"/>
  <c r="P132" i="1" s="1"/>
  <c r="P133" i="1" a="1"/>
  <c r="P133" i="1" s="1"/>
  <c r="P134" i="1" a="1"/>
  <c r="P134" i="1" s="1"/>
  <c r="P135" i="1" a="1"/>
  <c r="P135" i="1" s="1"/>
  <c r="P136" i="1" a="1"/>
  <c r="P136" i="1" s="1"/>
  <c r="P137" i="1" a="1"/>
  <c r="P137" i="1" s="1"/>
  <c r="P138" i="1" a="1"/>
  <c r="P138" i="1" s="1"/>
  <c r="P139" i="1" a="1"/>
  <c r="P139" i="1" s="1"/>
  <c r="P140" i="1" a="1"/>
  <c r="P140" i="1" s="1"/>
  <c r="P141" i="1" a="1"/>
  <c r="P141" i="1" s="1"/>
  <c r="P142" i="1" a="1"/>
  <c r="P142" i="1" s="1"/>
  <c r="P143" i="1" a="1"/>
  <c r="P143" i="1" s="1"/>
  <c r="P144" i="1" a="1"/>
  <c r="P144" i="1" s="1"/>
  <c r="P145" i="1" a="1"/>
  <c r="P145" i="1" s="1"/>
  <c r="P146" i="1" a="1"/>
  <c r="P146" i="1" s="1"/>
  <c r="P147" i="1" a="1"/>
  <c r="P147" i="1" s="1"/>
  <c r="P148" i="1" a="1"/>
  <c r="P148" i="1" s="1"/>
  <c r="P149" i="1" a="1"/>
  <c r="P149" i="1" s="1"/>
  <c r="P150" i="1" a="1"/>
  <c r="P150" i="1" s="1"/>
  <c r="P151" i="1" a="1"/>
  <c r="P151" i="1" s="1"/>
  <c r="P152" i="1" a="1"/>
  <c r="P152" i="1" s="1"/>
  <c r="P153" i="1" a="1"/>
  <c r="P153" i="1" s="1"/>
  <c r="P154" i="1" a="1"/>
  <c r="P154" i="1" s="1"/>
  <c r="P155" i="1" a="1"/>
  <c r="P155" i="1" s="1"/>
  <c r="P156" i="1" a="1"/>
  <c r="P156" i="1" s="1"/>
  <c r="P157" i="1" a="1"/>
  <c r="P157" i="1" s="1"/>
  <c r="P158" i="1" a="1"/>
  <c r="P158" i="1" s="1"/>
  <c r="P159" i="1" a="1"/>
  <c r="P159" i="1" s="1"/>
  <c r="P160" i="1" a="1"/>
  <c r="P160" i="1" s="1"/>
  <c r="P161" i="1" a="1"/>
  <c r="P161" i="1" s="1"/>
  <c r="P162" i="1" a="1"/>
  <c r="P162" i="1" s="1"/>
  <c r="P163" i="1" a="1"/>
  <c r="P163" i="1" s="1"/>
  <c r="P164" i="1" a="1"/>
  <c r="P164" i="1" s="1"/>
  <c r="P165" i="1" a="1"/>
  <c r="P165" i="1" s="1"/>
  <c r="P166" i="1" a="1"/>
  <c r="P166" i="1" s="1"/>
  <c r="P167" i="1" a="1"/>
  <c r="P167" i="1" s="1"/>
  <c r="P168" i="1" a="1"/>
  <c r="P168" i="1" s="1"/>
  <c r="P169" i="1" a="1"/>
  <c r="P169" i="1" s="1"/>
  <c r="P170" i="1" a="1"/>
  <c r="P170" i="1" s="1"/>
  <c r="P171" i="1" a="1"/>
  <c r="P171" i="1" s="1"/>
  <c r="P172" i="1" a="1"/>
  <c r="P172" i="1" s="1"/>
  <c r="P173" i="1" a="1"/>
  <c r="P173" i="1" s="1"/>
  <c r="P174" i="1" a="1"/>
  <c r="P174" i="1" s="1"/>
  <c r="P175" i="1" a="1"/>
  <c r="P175" i="1" s="1"/>
  <c r="P176" i="1" a="1"/>
  <c r="P176" i="1" s="1"/>
  <c r="P177" i="1" a="1"/>
  <c r="P177" i="1" s="1"/>
  <c r="P178" i="1" a="1"/>
  <c r="P178" i="1" s="1"/>
  <c r="P179" i="1" a="1"/>
  <c r="P179" i="1" s="1"/>
  <c r="P180" i="1" a="1"/>
  <c r="P180" i="1" s="1"/>
  <c r="P181" i="1" a="1"/>
  <c r="P181" i="1" s="1"/>
  <c r="P182" i="1" a="1"/>
  <c r="P182" i="1" s="1"/>
  <c r="P183" i="1" a="1"/>
  <c r="P183" i="1" s="1"/>
  <c r="P184" i="1" a="1"/>
  <c r="P184" i="1" s="1"/>
  <c r="P185" i="1" a="1"/>
  <c r="P185" i="1" s="1"/>
  <c r="P186" i="1" a="1"/>
  <c r="P186" i="1" s="1"/>
  <c r="P187" i="1" a="1"/>
  <c r="P187" i="1" s="1"/>
  <c r="P188" i="1" a="1"/>
  <c r="P188" i="1" s="1"/>
  <c r="P189" i="1" a="1"/>
  <c r="P189" i="1" s="1"/>
  <c r="P190" i="1" a="1"/>
  <c r="P190" i="1" s="1"/>
  <c r="P191" i="1" a="1"/>
  <c r="P191" i="1" s="1"/>
  <c r="P192" i="1" a="1"/>
  <c r="P192" i="1" s="1"/>
  <c r="P193" i="1" a="1"/>
  <c r="P193" i="1" s="1"/>
  <c r="P194" i="1" a="1"/>
  <c r="P194" i="1" s="1"/>
  <c r="P195" i="1" a="1"/>
  <c r="P195" i="1" s="1"/>
  <c r="P196" i="1" a="1"/>
  <c r="P196" i="1" s="1"/>
  <c r="P197" i="1" a="1"/>
  <c r="P197" i="1" s="1"/>
  <c r="P198" i="1" a="1"/>
  <c r="P198" i="1" s="1"/>
  <c r="P199" i="1" a="1"/>
  <c r="P199" i="1" s="1"/>
  <c r="P200" i="1" a="1"/>
  <c r="P200" i="1" s="1"/>
  <c r="P201" i="1" a="1"/>
  <c r="P201" i="1" s="1"/>
  <c r="P202" i="1" a="1"/>
  <c r="P202" i="1" s="1"/>
  <c r="P203" i="1" a="1"/>
  <c r="P203" i="1" s="1"/>
  <c r="P204" i="1" a="1"/>
  <c r="P204" i="1" s="1"/>
  <c r="P205" i="1" a="1"/>
  <c r="P205" i="1" s="1"/>
  <c r="P206" i="1" a="1"/>
  <c r="P206" i="1" s="1"/>
  <c r="P207" i="1" a="1"/>
  <c r="P207" i="1" s="1"/>
  <c r="P208" i="1" a="1"/>
  <c r="P208" i="1" s="1"/>
  <c r="P209" i="1" a="1"/>
  <c r="P209" i="1" s="1"/>
  <c r="P210" i="1" a="1"/>
  <c r="P210" i="1" s="1"/>
  <c r="P211" i="1" a="1"/>
  <c r="P211" i="1" s="1"/>
  <c r="P212" i="1" a="1"/>
  <c r="P212" i="1" s="1"/>
  <c r="P213" i="1" a="1"/>
  <c r="P213" i="1" s="1"/>
  <c r="P214" i="1" a="1"/>
  <c r="P214" i="1" s="1"/>
  <c r="P215" i="1" a="1"/>
  <c r="P215" i="1" s="1"/>
  <c r="P216" i="1" a="1"/>
  <c r="P216" i="1" s="1"/>
  <c r="P217" i="1" a="1"/>
  <c r="P217" i="1" s="1"/>
  <c r="P218" i="1" a="1"/>
  <c r="P218" i="1" s="1"/>
  <c r="P219" i="1" a="1"/>
  <c r="P219" i="1" s="1"/>
  <c r="P220" i="1" a="1"/>
  <c r="P220" i="1" s="1"/>
  <c r="P221" i="1" a="1"/>
  <c r="P221" i="1" s="1"/>
  <c r="P222" i="1" a="1"/>
  <c r="P222" i="1" s="1"/>
  <c r="P223" i="1" a="1"/>
  <c r="P223" i="1" s="1"/>
  <c r="P224" i="1" a="1"/>
  <c r="P224" i="1" s="1"/>
  <c r="P225" i="1" a="1"/>
  <c r="P225" i="1" s="1"/>
  <c r="P226" i="1" a="1"/>
  <c r="P226" i="1" s="1"/>
  <c r="P227" i="1" a="1"/>
  <c r="P227" i="1" s="1"/>
  <c r="P228" i="1" a="1"/>
  <c r="P228" i="1" s="1"/>
  <c r="P229" i="1" a="1"/>
  <c r="P229" i="1" s="1"/>
  <c r="P230" i="1" a="1"/>
  <c r="P230" i="1" s="1"/>
  <c r="P231" i="1" a="1"/>
  <c r="P231" i="1" s="1"/>
  <c r="P232" i="1" a="1"/>
  <c r="P232" i="1" s="1"/>
  <c r="P233" i="1" a="1"/>
  <c r="P233" i="1" s="1"/>
  <c r="P234" i="1" a="1"/>
  <c r="P234" i="1" s="1"/>
  <c r="P235" i="1" a="1"/>
  <c r="P235" i="1" s="1"/>
  <c r="P236" i="1" a="1"/>
  <c r="P236" i="1" s="1"/>
  <c r="P237" i="1" a="1"/>
  <c r="P237" i="1" s="1"/>
  <c r="P238" i="1" a="1"/>
  <c r="P238" i="1" s="1"/>
  <c r="P239" i="1" a="1"/>
  <c r="P239" i="1" s="1"/>
  <c r="P240" i="1" a="1"/>
  <c r="P240" i="1" s="1"/>
  <c r="P241" i="1" a="1"/>
  <c r="P241" i="1" s="1"/>
  <c r="P242" i="1" a="1"/>
  <c r="P242" i="1" s="1"/>
  <c r="P243" i="1" a="1"/>
  <c r="P243" i="1" s="1"/>
  <c r="P244" i="1" a="1"/>
  <c r="P244" i="1" s="1"/>
  <c r="P245" i="1" a="1"/>
  <c r="P245" i="1" s="1"/>
  <c r="P246" i="1" a="1"/>
  <c r="P246" i="1" s="1"/>
  <c r="P247" i="1" a="1"/>
  <c r="P247" i="1" s="1"/>
  <c r="P248" i="1" a="1"/>
  <c r="P248" i="1" s="1"/>
  <c r="P249" i="1" a="1"/>
  <c r="P249" i="1" s="1"/>
  <c r="P250" i="1" a="1"/>
  <c r="P250" i="1" s="1"/>
  <c r="P251" i="1" a="1"/>
  <c r="P251" i="1" s="1"/>
  <c r="P252" i="1" a="1"/>
  <c r="P252" i="1" s="1"/>
  <c r="P253" i="1" a="1"/>
  <c r="P253" i="1" s="1"/>
  <c r="P254" i="1" a="1"/>
  <c r="P254" i="1" s="1"/>
  <c r="P255" i="1" a="1"/>
  <c r="P255" i="1" s="1"/>
  <c r="P256" i="1" a="1"/>
  <c r="P256" i="1" s="1"/>
  <c r="P257" i="1" a="1"/>
  <c r="P257" i="1" s="1"/>
  <c r="P258" i="1" a="1"/>
  <c r="P258" i="1" s="1"/>
  <c r="P259" i="1" a="1"/>
  <c r="P259" i="1" s="1"/>
  <c r="P260" i="1" a="1"/>
  <c r="P260" i="1" s="1"/>
  <c r="P261" i="1" a="1"/>
  <c r="P261" i="1" s="1"/>
  <c r="P262" i="1" a="1"/>
  <c r="P262" i="1" s="1"/>
  <c r="P263" i="1" a="1"/>
  <c r="P263" i="1" s="1"/>
  <c r="P264" i="1" a="1"/>
  <c r="P264" i="1" s="1"/>
  <c r="P265" i="1" a="1"/>
  <c r="P265" i="1" s="1"/>
  <c r="P266" i="1" a="1"/>
  <c r="P266" i="1" s="1"/>
  <c r="P267" i="1" a="1"/>
  <c r="P267" i="1" s="1"/>
  <c r="P268" i="1" a="1"/>
  <c r="P268" i="1" s="1"/>
  <c r="P269" i="1" a="1"/>
  <c r="P269" i="1" s="1"/>
  <c r="P270" i="1" a="1"/>
  <c r="P270" i="1" s="1"/>
  <c r="P271" i="1" a="1"/>
  <c r="P271" i="1" s="1"/>
  <c r="P272" i="1" a="1"/>
  <c r="P272" i="1" s="1"/>
  <c r="P273" i="1" a="1"/>
  <c r="P273" i="1" s="1"/>
  <c r="P274" i="1" a="1"/>
  <c r="P274" i="1" s="1"/>
  <c r="P275" i="1" a="1"/>
  <c r="P275" i="1" s="1"/>
  <c r="P276" i="1" a="1"/>
  <c r="P276" i="1" s="1"/>
  <c r="P277" i="1" a="1"/>
  <c r="P277" i="1" s="1"/>
  <c r="P278" i="1" a="1"/>
  <c r="P278" i="1" s="1"/>
  <c r="P279" i="1" a="1"/>
  <c r="P279" i="1" s="1"/>
  <c r="P280" i="1" a="1"/>
  <c r="P280" i="1" s="1"/>
  <c r="P281" i="1" a="1"/>
  <c r="P281" i="1" s="1"/>
  <c r="P282" i="1" a="1"/>
  <c r="P282" i="1" s="1"/>
  <c r="P283" i="1" a="1"/>
  <c r="P283" i="1" s="1"/>
  <c r="P284" i="1" a="1"/>
  <c r="P284" i="1" s="1"/>
  <c r="P285" i="1" a="1"/>
  <c r="P285" i="1" s="1"/>
  <c r="P286" i="1" a="1"/>
  <c r="P286" i="1" s="1"/>
  <c r="P287" i="1" a="1"/>
  <c r="P287" i="1" s="1"/>
  <c r="P288" i="1" a="1"/>
  <c r="P288" i="1" s="1"/>
  <c r="P289" i="1" a="1"/>
  <c r="P289" i="1" s="1"/>
  <c r="P290" i="1" a="1"/>
  <c r="P290" i="1" s="1"/>
  <c r="P291" i="1" a="1"/>
  <c r="P291" i="1" s="1"/>
  <c r="P292" i="1" a="1"/>
  <c r="P292" i="1" s="1"/>
  <c r="P293" i="1" a="1"/>
  <c r="P293" i="1" s="1"/>
  <c r="P294" i="1" a="1"/>
  <c r="P294" i="1" s="1"/>
  <c r="P295" i="1" a="1"/>
  <c r="P295" i="1" s="1"/>
  <c r="P296" i="1" a="1"/>
  <c r="P296" i="1" s="1"/>
  <c r="P297" i="1" a="1"/>
  <c r="P297" i="1" s="1"/>
  <c r="P298" i="1" a="1"/>
  <c r="P298" i="1" s="1"/>
  <c r="P299" i="1" a="1"/>
  <c r="P299" i="1" s="1"/>
  <c r="P300" i="1" a="1"/>
  <c r="P300" i="1" s="1"/>
  <c r="P301" i="1" a="1"/>
  <c r="P301" i="1" s="1"/>
  <c r="P302" i="1" a="1"/>
  <c r="P302" i="1" s="1"/>
  <c r="P303" i="1" a="1"/>
  <c r="P303" i="1" s="1"/>
  <c r="P304" i="1" a="1"/>
  <c r="P304" i="1" s="1"/>
  <c r="P305" i="1" a="1"/>
  <c r="P305" i="1" s="1"/>
  <c r="P306" i="1" a="1"/>
  <c r="P306" i="1" s="1"/>
  <c r="P307" i="1" a="1"/>
  <c r="P307" i="1" s="1"/>
  <c r="P308" i="1" a="1"/>
  <c r="P308" i="1" s="1"/>
  <c r="P309" i="1" a="1"/>
  <c r="P309" i="1" s="1"/>
  <c r="P310" i="1" a="1"/>
  <c r="P310" i="1" s="1"/>
  <c r="P311" i="1" a="1"/>
  <c r="P311" i="1" s="1"/>
  <c r="P312" i="1" a="1"/>
  <c r="P312" i="1" s="1"/>
  <c r="P313" i="1" a="1"/>
  <c r="P313" i="1" s="1"/>
  <c r="P314" i="1" a="1"/>
  <c r="P314" i="1" s="1"/>
  <c r="P315" i="1" a="1"/>
  <c r="P315" i="1" s="1"/>
  <c r="P316" i="1" a="1"/>
  <c r="P316" i="1" s="1"/>
  <c r="P317" i="1" a="1"/>
  <c r="P317" i="1" s="1"/>
  <c r="P318" i="1" a="1"/>
  <c r="P318" i="1" s="1"/>
  <c r="P319" i="1" a="1"/>
  <c r="P319" i="1" s="1"/>
  <c r="P320" i="1" a="1"/>
  <c r="P320" i="1" s="1"/>
  <c r="P321" i="1" a="1"/>
  <c r="P321" i="1" s="1"/>
  <c r="P322" i="1" a="1"/>
  <c r="P322" i="1" s="1"/>
  <c r="P323" i="1" a="1"/>
  <c r="P323" i="1" s="1"/>
  <c r="P324" i="1" a="1"/>
  <c r="P324" i="1" s="1"/>
  <c r="P325" i="1" a="1"/>
  <c r="P325" i="1" s="1"/>
  <c r="P326" i="1" a="1"/>
  <c r="P326" i="1" s="1"/>
  <c r="P327" i="1" a="1"/>
  <c r="P327" i="1" s="1"/>
  <c r="P328" i="1" a="1"/>
  <c r="P328" i="1" s="1"/>
  <c r="P329" i="1" a="1"/>
  <c r="P329" i="1" s="1"/>
  <c r="P330" i="1" a="1"/>
  <c r="P330" i="1" s="1"/>
  <c r="P331" i="1" a="1"/>
  <c r="P331" i="1" s="1"/>
  <c r="P332" i="1" a="1"/>
  <c r="P332" i="1" s="1"/>
  <c r="P333" i="1" a="1"/>
  <c r="P333" i="1" s="1"/>
  <c r="P334" i="1" a="1"/>
  <c r="P334" i="1" s="1"/>
  <c r="P335" i="1" a="1"/>
  <c r="P335" i="1" s="1"/>
  <c r="P336" i="1" a="1"/>
  <c r="P336" i="1" s="1"/>
  <c r="P337" i="1" a="1"/>
  <c r="P337" i="1" s="1"/>
  <c r="P338" i="1" a="1"/>
  <c r="P338" i="1" s="1"/>
  <c r="P339" i="1" a="1"/>
  <c r="P339" i="1" s="1"/>
  <c r="P340" i="1" a="1"/>
  <c r="P340" i="1" s="1"/>
  <c r="P341" i="1" a="1"/>
  <c r="P341" i="1" s="1"/>
  <c r="P342" i="1" a="1"/>
  <c r="P342" i="1" s="1"/>
  <c r="P343" i="1" a="1"/>
  <c r="P343" i="1" s="1"/>
  <c r="P344" i="1" a="1"/>
  <c r="P344" i="1" s="1"/>
  <c r="P345" i="1" a="1"/>
  <c r="P345" i="1" s="1"/>
  <c r="P346" i="1" a="1"/>
  <c r="P346" i="1" s="1"/>
  <c r="P347" i="1" a="1"/>
  <c r="P347" i="1" s="1"/>
  <c r="P348" i="1" a="1"/>
  <c r="P348" i="1" s="1"/>
  <c r="P349" i="1" a="1"/>
  <c r="P349" i="1" s="1"/>
  <c r="P350" i="1" a="1"/>
  <c r="P350" i="1" s="1"/>
  <c r="P351" i="1" a="1"/>
  <c r="P351" i="1" s="1"/>
  <c r="P352" i="1" a="1"/>
  <c r="P352" i="1" s="1"/>
  <c r="P353" i="1" a="1"/>
  <c r="P353" i="1" s="1"/>
  <c r="P354" i="1" a="1"/>
  <c r="P354" i="1" s="1"/>
  <c r="P355" i="1" a="1"/>
  <c r="P355" i="1" s="1"/>
  <c r="P356" i="1" a="1"/>
  <c r="P356" i="1" s="1"/>
  <c r="P357" i="1" a="1"/>
  <c r="P357" i="1" s="1"/>
  <c r="P358" i="1" a="1"/>
  <c r="P358" i="1" s="1"/>
  <c r="P359" i="1" a="1"/>
  <c r="P359" i="1" s="1"/>
  <c r="P360" i="1" a="1"/>
  <c r="P360" i="1" s="1"/>
  <c r="P361" i="1" a="1"/>
  <c r="P361" i="1" s="1"/>
  <c r="P362" i="1" a="1"/>
  <c r="P362" i="1" s="1"/>
  <c r="P363" i="1" a="1"/>
  <c r="P363" i="1" s="1"/>
  <c r="P364" i="1" a="1"/>
  <c r="P364" i="1" s="1"/>
  <c r="P365" i="1" a="1"/>
  <c r="P365" i="1" s="1"/>
  <c r="P366" i="1" a="1"/>
  <c r="P366" i="1" s="1"/>
  <c r="P367" i="1" a="1"/>
  <c r="P367" i="1" s="1"/>
  <c r="P368" i="1" a="1"/>
  <c r="P368" i="1" s="1"/>
  <c r="P369" i="1" a="1"/>
  <c r="P369" i="1" s="1"/>
  <c r="P370" i="1" a="1"/>
  <c r="P370" i="1" s="1"/>
  <c r="P371" i="1" a="1"/>
  <c r="P371" i="1" s="1"/>
  <c r="P372" i="1" a="1"/>
  <c r="P372" i="1" s="1"/>
  <c r="P373" i="1" a="1"/>
  <c r="P373" i="1" s="1"/>
  <c r="P374" i="1" a="1"/>
  <c r="P374" i="1" s="1"/>
  <c r="P375" i="1" a="1"/>
  <c r="P375" i="1" s="1"/>
  <c r="P376" i="1" a="1"/>
  <c r="P376" i="1" s="1"/>
  <c r="P377" i="1" a="1"/>
  <c r="P377" i="1" s="1"/>
  <c r="P378" i="1" a="1"/>
  <c r="P378" i="1" s="1"/>
  <c r="P379" i="1" a="1"/>
  <c r="P379" i="1" s="1"/>
  <c r="P380" i="1" a="1"/>
  <c r="P380" i="1" s="1"/>
  <c r="P381" i="1" a="1"/>
  <c r="P381" i="1" s="1"/>
  <c r="P382" i="1" a="1"/>
  <c r="P382" i="1" s="1"/>
  <c r="P383" i="1" a="1"/>
  <c r="P383" i="1" s="1"/>
  <c r="P384" i="1" a="1"/>
  <c r="P384" i="1" s="1"/>
  <c r="P385" i="1" a="1"/>
  <c r="P385" i="1" s="1"/>
  <c r="P386" i="1" a="1"/>
  <c r="P386" i="1" s="1"/>
  <c r="P387" i="1" a="1"/>
  <c r="P387" i="1" s="1"/>
  <c r="P388" i="1" a="1"/>
  <c r="P388" i="1" s="1"/>
  <c r="P389" i="1" a="1"/>
  <c r="P389" i="1" s="1"/>
  <c r="P390" i="1" a="1"/>
  <c r="P390" i="1" s="1"/>
  <c r="P391" i="1" a="1"/>
  <c r="P391" i="1" s="1"/>
  <c r="P392" i="1" a="1"/>
  <c r="P392" i="1" s="1"/>
  <c r="P393" i="1" a="1"/>
  <c r="P393" i="1" s="1"/>
  <c r="P394" i="1" a="1"/>
  <c r="P394" i="1" s="1"/>
  <c r="P395" i="1" a="1"/>
  <c r="P395" i="1" s="1"/>
  <c r="P396" i="1" a="1"/>
  <c r="P396" i="1" s="1"/>
  <c r="P397" i="1" a="1"/>
  <c r="P397" i="1" s="1"/>
  <c r="P398" i="1" a="1"/>
  <c r="P398" i="1" s="1"/>
  <c r="P399" i="1" a="1"/>
  <c r="P399" i="1" s="1"/>
  <c r="P400" i="1" a="1"/>
  <c r="P400" i="1" s="1"/>
  <c r="P401" i="1" a="1"/>
  <c r="P401" i="1" s="1"/>
  <c r="P402" i="1" a="1"/>
  <c r="P402" i="1" s="1"/>
  <c r="P403" i="1" a="1"/>
  <c r="P403" i="1" s="1"/>
  <c r="P404" i="1" a="1"/>
  <c r="P404" i="1" s="1"/>
  <c r="P405" i="1" a="1"/>
  <c r="P405" i="1" s="1"/>
  <c r="P406" i="1" a="1"/>
  <c r="P406" i="1" s="1"/>
  <c r="P407" i="1" a="1"/>
  <c r="P407" i="1" s="1"/>
  <c r="P408" i="1" a="1"/>
  <c r="P408" i="1" s="1"/>
  <c r="P409" i="1" a="1"/>
  <c r="P409" i="1" s="1"/>
  <c r="P410" i="1" a="1"/>
  <c r="P410" i="1" s="1"/>
  <c r="P411" i="1" a="1"/>
  <c r="P411" i="1" s="1"/>
  <c r="P412" i="1" a="1"/>
  <c r="P412" i="1" s="1"/>
  <c r="P413" i="1" a="1"/>
  <c r="P413" i="1" s="1"/>
  <c r="P414" i="1" a="1"/>
  <c r="P414" i="1" s="1"/>
  <c r="P415" i="1" a="1"/>
  <c r="P415" i="1" s="1"/>
  <c r="P416" i="1" a="1"/>
  <c r="P416" i="1" s="1"/>
  <c r="P417" i="1" a="1"/>
  <c r="P417" i="1" s="1"/>
  <c r="P418" i="1" a="1"/>
  <c r="P418" i="1" s="1"/>
  <c r="P419" i="1" a="1"/>
  <c r="P419" i="1" s="1"/>
  <c r="P420" i="1" a="1"/>
  <c r="P420" i="1" s="1"/>
  <c r="P421" i="1" a="1"/>
  <c r="P421" i="1" s="1"/>
  <c r="P422" i="1" a="1"/>
  <c r="P422" i="1" s="1"/>
  <c r="P423" i="1" a="1"/>
  <c r="P423" i="1" s="1"/>
  <c r="P424" i="1" a="1"/>
  <c r="P424" i="1" s="1"/>
  <c r="P425" i="1" a="1"/>
  <c r="P425" i="1" s="1"/>
  <c r="P426" i="1" a="1"/>
  <c r="P426" i="1" s="1"/>
  <c r="P427" i="1" a="1"/>
  <c r="P427" i="1" s="1"/>
  <c r="P428" i="1" a="1"/>
  <c r="P428" i="1" s="1"/>
  <c r="P429" i="1" a="1"/>
  <c r="P429" i="1" s="1"/>
  <c r="P430" i="1" a="1"/>
  <c r="P430" i="1" s="1"/>
  <c r="P431" i="1" a="1"/>
  <c r="P431" i="1" s="1"/>
  <c r="P432" i="1" a="1"/>
  <c r="P432" i="1" s="1"/>
  <c r="P433" i="1" a="1"/>
  <c r="P433" i="1" s="1"/>
  <c r="P434" i="1" a="1"/>
  <c r="P434" i="1" s="1"/>
  <c r="P435" i="1" a="1"/>
  <c r="P435" i="1" s="1"/>
  <c r="P436" i="1" a="1"/>
  <c r="P436" i="1" s="1"/>
  <c r="P437" i="1" a="1"/>
  <c r="P437" i="1" s="1"/>
  <c r="P438" i="1" a="1"/>
  <c r="P438" i="1" s="1"/>
  <c r="P439" i="1" a="1"/>
  <c r="P439" i="1" s="1"/>
  <c r="P440" i="1" a="1"/>
  <c r="P440" i="1" s="1"/>
  <c r="P441" i="1" a="1"/>
  <c r="P441" i="1" s="1"/>
  <c r="P442" i="1" a="1"/>
  <c r="P442" i="1" s="1"/>
  <c r="P443" i="1" a="1"/>
  <c r="P443" i="1" s="1"/>
  <c r="P444" i="1" a="1"/>
  <c r="P444" i="1" s="1"/>
  <c r="P445" i="1" a="1"/>
  <c r="P445" i="1" s="1"/>
  <c r="P446" i="1" a="1"/>
  <c r="P446" i="1" s="1"/>
  <c r="P447" i="1" a="1"/>
  <c r="P447" i="1" s="1"/>
  <c r="P448" i="1" a="1"/>
  <c r="P448" i="1" s="1"/>
  <c r="P449" i="1" a="1"/>
  <c r="P449" i="1" s="1"/>
  <c r="P450" i="1" a="1"/>
  <c r="P450" i="1" s="1"/>
  <c r="P451" i="1" a="1"/>
  <c r="P451" i="1" s="1"/>
  <c r="P452" i="1" a="1"/>
  <c r="P452" i="1" s="1"/>
  <c r="P453" i="1" a="1"/>
  <c r="P453" i="1" s="1"/>
  <c r="P454" i="1" a="1"/>
  <c r="P454" i="1" s="1"/>
  <c r="P455" i="1" a="1"/>
  <c r="P455" i="1" s="1"/>
  <c r="P456" i="1" a="1"/>
  <c r="P456" i="1" s="1"/>
  <c r="P457" i="1" a="1"/>
  <c r="P457" i="1" s="1"/>
  <c r="P458" i="1" a="1"/>
  <c r="P458" i="1" s="1"/>
  <c r="P459" i="1" a="1"/>
  <c r="P459" i="1" s="1"/>
  <c r="P460" i="1" a="1"/>
  <c r="P460" i="1" s="1"/>
  <c r="P461" i="1" a="1"/>
  <c r="P461" i="1" s="1"/>
  <c r="P462" i="1" a="1"/>
  <c r="P462" i="1" s="1"/>
  <c r="P463" i="1" a="1"/>
  <c r="P463" i="1" s="1"/>
  <c r="P464" i="1" a="1"/>
  <c r="P464" i="1" s="1"/>
  <c r="P465" i="1" a="1"/>
  <c r="P465" i="1" s="1"/>
  <c r="P466" i="1" a="1"/>
  <c r="P466" i="1" s="1"/>
  <c r="P467" i="1" a="1"/>
  <c r="P467" i="1" s="1"/>
  <c r="P468" i="1" a="1"/>
  <c r="P468" i="1" s="1"/>
  <c r="P469" i="1" a="1"/>
  <c r="P469" i="1" s="1"/>
  <c r="P470" i="1" a="1"/>
  <c r="P470" i="1" s="1"/>
  <c r="P471" i="1" a="1"/>
  <c r="P471" i="1" s="1"/>
  <c r="P472" i="1" a="1"/>
  <c r="P472" i="1" s="1"/>
  <c r="P473" i="1" a="1"/>
  <c r="P473" i="1" s="1"/>
  <c r="P474" i="1" a="1"/>
  <c r="P474" i="1" s="1"/>
  <c r="P475" i="1" a="1"/>
  <c r="P475" i="1" s="1"/>
  <c r="P476" i="1" a="1"/>
  <c r="P476" i="1" s="1"/>
  <c r="P477" i="1" a="1"/>
  <c r="P477" i="1" s="1"/>
  <c r="P478" i="1" a="1"/>
  <c r="P478" i="1" s="1"/>
  <c r="P479" i="1" a="1"/>
  <c r="P479" i="1" s="1"/>
  <c r="P480" i="1" a="1"/>
  <c r="P480" i="1" s="1"/>
  <c r="P481" i="1" a="1"/>
  <c r="P481" i="1" s="1"/>
  <c r="P482" i="1" a="1"/>
  <c r="P482" i="1" s="1"/>
  <c r="P483" i="1" a="1"/>
  <c r="P483" i="1" s="1"/>
  <c r="P484" i="1" a="1"/>
  <c r="P484" i="1" s="1"/>
  <c r="P485" i="1" a="1"/>
  <c r="P485" i="1" s="1"/>
  <c r="P486" i="1" a="1"/>
  <c r="P486" i="1" s="1"/>
  <c r="P487" i="1" a="1"/>
  <c r="P487" i="1" s="1"/>
  <c r="P488" i="1" a="1"/>
  <c r="P488" i="1" s="1"/>
  <c r="P489" i="1" a="1"/>
  <c r="P489" i="1" s="1"/>
  <c r="P490" i="1" a="1"/>
  <c r="P490" i="1" s="1"/>
  <c r="P491" i="1" a="1"/>
  <c r="P491" i="1" s="1"/>
  <c r="P492" i="1" a="1"/>
  <c r="P492" i="1" s="1"/>
  <c r="P493" i="1" a="1"/>
  <c r="P493" i="1" s="1"/>
  <c r="P494" i="1" a="1"/>
  <c r="P494" i="1" s="1"/>
  <c r="P495" i="1" a="1"/>
  <c r="P495" i="1" s="1"/>
  <c r="P496" i="1" a="1"/>
  <c r="P496" i="1" s="1"/>
  <c r="P497" i="1" a="1"/>
  <c r="P497" i="1" s="1"/>
  <c r="P498" i="1" a="1"/>
  <c r="P498" i="1" s="1"/>
  <c r="P499" i="1" a="1"/>
  <c r="P499" i="1" s="1"/>
  <c r="P500" i="1" a="1"/>
  <c r="P500" i="1" s="1"/>
  <c r="P501" i="1" a="1"/>
  <c r="P501" i="1" s="1"/>
  <c r="P502" i="1" a="1"/>
  <c r="P502" i="1" s="1"/>
  <c r="P503" i="1" a="1"/>
  <c r="P503" i="1" s="1"/>
  <c r="P504" i="1" a="1"/>
  <c r="P504" i="1" s="1"/>
  <c r="P505" i="1" a="1"/>
  <c r="P505" i="1" s="1"/>
  <c r="P506" i="1" a="1"/>
  <c r="P506" i="1" s="1"/>
  <c r="P507" i="1" a="1"/>
  <c r="P507" i="1" s="1"/>
  <c r="P508" i="1" a="1"/>
  <c r="P508" i="1" s="1"/>
  <c r="P509" i="1" a="1"/>
  <c r="P509" i="1" s="1"/>
  <c r="P510" i="1" a="1"/>
  <c r="P510" i="1" s="1"/>
  <c r="P511" i="1" a="1"/>
  <c r="P511" i="1" s="1"/>
  <c r="P512" i="1" a="1"/>
  <c r="P512" i="1" s="1"/>
  <c r="P513" i="1" a="1"/>
  <c r="P513" i="1" s="1"/>
  <c r="P514" i="1" a="1"/>
  <c r="P514" i="1" s="1"/>
  <c r="P515" i="1" a="1"/>
  <c r="P515" i="1" s="1"/>
  <c r="P516" i="1" a="1"/>
  <c r="P516" i="1" s="1"/>
  <c r="P517" i="1" a="1"/>
  <c r="P517" i="1" s="1"/>
  <c r="P518" i="1" a="1"/>
  <c r="P518" i="1" s="1"/>
  <c r="P519" i="1" a="1"/>
  <c r="P519" i="1" s="1"/>
  <c r="P520" i="1" a="1"/>
  <c r="P520" i="1" s="1"/>
  <c r="P521" i="1" a="1"/>
  <c r="P521" i="1" s="1"/>
  <c r="P522" i="1" a="1"/>
  <c r="P522" i="1" s="1"/>
  <c r="P523" i="1" a="1"/>
  <c r="P523" i="1" s="1"/>
  <c r="P524" i="1" a="1"/>
  <c r="P524" i="1" s="1"/>
  <c r="P525" i="1" a="1"/>
  <c r="P525" i="1" s="1"/>
  <c r="P526" i="1" a="1"/>
  <c r="P526" i="1" s="1"/>
  <c r="P527" i="1" a="1"/>
  <c r="P527" i="1" s="1"/>
  <c r="P528" i="1" a="1"/>
  <c r="P528" i="1" s="1"/>
  <c r="P529" i="1" a="1"/>
  <c r="P529" i="1" s="1"/>
  <c r="P530" i="1" a="1"/>
  <c r="P530" i="1" s="1"/>
  <c r="P531" i="1" a="1"/>
  <c r="P531" i="1" s="1"/>
  <c r="P532" i="1" a="1"/>
  <c r="P532" i="1" s="1"/>
  <c r="P533" i="1" a="1"/>
  <c r="P533" i="1" s="1"/>
  <c r="P534" i="1" a="1"/>
  <c r="P534" i="1" s="1"/>
  <c r="P535" i="1" a="1"/>
  <c r="P535" i="1" s="1"/>
  <c r="P536" i="1" a="1"/>
  <c r="P536" i="1" s="1"/>
  <c r="P537" i="1" a="1"/>
  <c r="P537" i="1" s="1"/>
  <c r="P538" i="1" a="1"/>
  <c r="P538" i="1" s="1"/>
  <c r="P539" i="1" a="1"/>
  <c r="P539" i="1" s="1"/>
  <c r="P540" i="1" a="1"/>
  <c r="P540" i="1" s="1"/>
  <c r="P541" i="1" a="1"/>
  <c r="P541" i="1" s="1"/>
  <c r="P542" i="1" a="1"/>
  <c r="P542" i="1" s="1"/>
  <c r="P543" i="1" a="1"/>
  <c r="P543" i="1" s="1"/>
  <c r="P544" i="1" a="1"/>
  <c r="P544" i="1" s="1"/>
  <c r="P545" i="1" a="1"/>
  <c r="P545" i="1" s="1"/>
  <c r="P546" i="1" a="1"/>
  <c r="P546" i="1" s="1"/>
  <c r="P547" i="1" a="1"/>
  <c r="P547" i="1" s="1"/>
  <c r="P548" i="1" a="1"/>
  <c r="P548" i="1" s="1"/>
  <c r="P549" i="1" a="1"/>
  <c r="P549" i="1" s="1"/>
  <c r="P550" i="1" a="1"/>
  <c r="P550" i="1" s="1"/>
  <c r="P551" i="1" a="1"/>
  <c r="P551" i="1" s="1"/>
  <c r="P552" i="1" a="1"/>
  <c r="P552" i="1" s="1"/>
  <c r="P553" i="1" a="1"/>
  <c r="P553" i="1" s="1"/>
  <c r="P554" i="1" a="1"/>
  <c r="P554" i="1" s="1"/>
  <c r="P555" i="1" a="1"/>
  <c r="P555" i="1" s="1"/>
  <c r="P556" i="1" a="1"/>
  <c r="P556" i="1" s="1"/>
  <c r="P557" i="1" a="1"/>
  <c r="P557" i="1" s="1"/>
  <c r="P558" i="1" a="1"/>
  <c r="P558" i="1" s="1"/>
  <c r="P559" i="1" a="1"/>
  <c r="P559" i="1" s="1"/>
  <c r="P560" i="1" a="1"/>
  <c r="P560" i="1" s="1"/>
  <c r="P561" i="1" a="1"/>
  <c r="P561" i="1" s="1"/>
  <c r="P562" i="1" a="1"/>
  <c r="P562" i="1" s="1"/>
  <c r="P563" i="1" a="1"/>
  <c r="P563" i="1" s="1"/>
  <c r="P564" i="1" a="1"/>
  <c r="P564" i="1" s="1"/>
  <c r="P565" i="1" a="1"/>
  <c r="P565" i="1" s="1"/>
  <c r="P566" i="1" a="1"/>
  <c r="P566" i="1" s="1"/>
  <c r="P567" i="1" a="1"/>
  <c r="P567" i="1" s="1"/>
  <c r="P568" i="1" a="1"/>
  <c r="P568" i="1" s="1"/>
  <c r="P569" i="1" a="1"/>
  <c r="P569" i="1" s="1"/>
  <c r="P570" i="1" a="1"/>
  <c r="P570" i="1" s="1"/>
  <c r="P571" i="1" a="1"/>
  <c r="P571" i="1" s="1"/>
  <c r="P572" i="1" a="1"/>
  <c r="P572" i="1" s="1"/>
  <c r="P573" i="1" a="1"/>
  <c r="P573" i="1" s="1"/>
  <c r="P574" i="1" a="1"/>
  <c r="P574" i="1" s="1"/>
  <c r="P575" i="1" a="1"/>
  <c r="P575" i="1" s="1"/>
  <c r="P576" i="1" a="1"/>
  <c r="P576" i="1" s="1"/>
  <c r="P577" i="1" a="1"/>
  <c r="P577" i="1" s="1"/>
  <c r="P578" i="1" a="1"/>
  <c r="P578" i="1" s="1"/>
  <c r="P579" i="1" a="1"/>
  <c r="P579" i="1" s="1"/>
  <c r="P580" i="1" a="1"/>
  <c r="P580" i="1" s="1"/>
  <c r="P581" i="1" a="1"/>
  <c r="P581" i="1" s="1"/>
  <c r="P582" i="1" a="1"/>
  <c r="P582" i="1" s="1"/>
  <c r="P583" i="1" a="1"/>
  <c r="P583" i="1" s="1"/>
  <c r="P584" i="1" a="1"/>
  <c r="P584" i="1" s="1"/>
  <c r="P585" i="1" a="1"/>
  <c r="P585" i="1" s="1"/>
  <c r="P586" i="1" a="1"/>
  <c r="P586" i="1" s="1"/>
  <c r="P587" i="1" a="1"/>
  <c r="P587" i="1" s="1"/>
  <c r="P588" i="1" a="1"/>
  <c r="P588" i="1" s="1"/>
  <c r="P589" i="1" a="1"/>
  <c r="P589" i="1" s="1"/>
  <c r="P590" i="1" a="1"/>
  <c r="P590" i="1" s="1"/>
  <c r="P591" i="1" a="1"/>
  <c r="P591" i="1" s="1"/>
  <c r="P592" i="1" a="1"/>
  <c r="P592" i="1" s="1"/>
  <c r="P593" i="1" a="1"/>
  <c r="P593" i="1" s="1"/>
  <c r="P594" i="1" a="1"/>
  <c r="P594" i="1" s="1"/>
  <c r="P595" i="1" a="1"/>
  <c r="P595" i="1" s="1"/>
  <c r="P596" i="1" a="1"/>
  <c r="P596" i="1" s="1"/>
  <c r="P597" i="1" a="1"/>
  <c r="P597" i="1" s="1"/>
  <c r="P598" i="1" a="1"/>
  <c r="P598" i="1" s="1"/>
  <c r="P599" i="1" a="1"/>
  <c r="P599" i="1" s="1"/>
  <c r="P600" i="1" a="1"/>
  <c r="P600" i="1" s="1"/>
  <c r="P601" i="1" a="1"/>
  <c r="P601" i="1" s="1"/>
  <c r="P602" i="1" a="1"/>
  <c r="P602" i="1" s="1"/>
  <c r="P603" i="1" a="1"/>
  <c r="P603" i="1" s="1"/>
  <c r="P604" i="1" a="1"/>
  <c r="P604" i="1" s="1"/>
  <c r="P605" i="1" a="1"/>
  <c r="P605" i="1" s="1"/>
  <c r="P606" i="1" a="1"/>
  <c r="P606" i="1" s="1"/>
  <c r="P607" i="1" a="1"/>
  <c r="P607" i="1" s="1"/>
  <c r="P608" i="1" a="1"/>
  <c r="P608" i="1" s="1"/>
  <c r="P609" i="1" a="1"/>
  <c r="P609" i="1" s="1"/>
  <c r="P610" i="1" a="1"/>
  <c r="P610" i="1" s="1"/>
  <c r="P611" i="1" a="1"/>
  <c r="P611" i="1" s="1"/>
  <c r="P612" i="1" a="1"/>
  <c r="P612" i="1" s="1"/>
  <c r="P613" i="1" a="1"/>
  <c r="P613" i="1" s="1"/>
  <c r="P614" i="1" a="1"/>
  <c r="P614" i="1" s="1"/>
  <c r="P615" i="1" a="1"/>
  <c r="P615" i="1" s="1"/>
  <c r="P616" i="1" a="1"/>
  <c r="P616" i="1" s="1"/>
  <c r="P617" i="1" a="1"/>
  <c r="P617" i="1" s="1"/>
  <c r="P618" i="1" a="1"/>
  <c r="P618" i="1" s="1"/>
  <c r="P619" i="1" a="1"/>
  <c r="P619" i="1" s="1"/>
  <c r="P620" i="1" a="1"/>
  <c r="P620" i="1" s="1"/>
  <c r="P621" i="1" a="1"/>
  <c r="P621" i="1" s="1"/>
  <c r="P622" i="1" a="1"/>
  <c r="P622" i="1" s="1"/>
  <c r="P623" i="1" a="1"/>
  <c r="P623" i="1" s="1"/>
  <c r="P624" i="1" a="1"/>
  <c r="P624" i="1" s="1"/>
  <c r="P625" i="1" a="1"/>
  <c r="P625" i="1" s="1"/>
  <c r="P626" i="1" a="1"/>
  <c r="P626" i="1" s="1"/>
  <c r="P627" i="1" a="1"/>
  <c r="P627" i="1" s="1"/>
  <c r="P628" i="1" a="1"/>
  <c r="P628" i="1" s="1"/>
  <c r="P629" i="1" a="1"/>
  <c r="P629" i="1" s="1"/>
  <c r="P630" i="1" a="1"/>
  <c r="P630" i="1" s="1"/>
  <c r="P631" i="1" a="1"/>
  <c r="P631" i="1" s="1"/>
  <c r="P632" i="1" a="1"/>
  <c r="P632" i="1" s="1"/>
  <c r="P633" i="1" a="1"/>
  <c r="P633" i="1" s="1"/>
  <c r="P2" i="1" a="1"/>
  <c r="P2" i="1" s="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2" i="1"/>
  <c r="Z3" i="1"/>
  <c r="Z4" i="1"/>
  <c r="Z5" i="1"/>
  <c r="Z6" i="1"/>
  <c r="AB6" i="1" s="1"/>
  <c r="Z7" i="1"/>
  <c r="AB7" i="1" s="1"/>
  <c r="Z8" i="1"/>
  <c r="Z9" i="1"/>
  <c r="Z10" i="1"/>
  <c r="Z11" i="1"/>
  <c r="Z12" i="1"/>
  <c r="Z13" i="1"/>
  <c r="Z14" i="1"/>
  <c r="Z15" i="1"/>
  <c r="Z16" i="1"/>
  <c r="Z17" i="1"/>
  <c r="Z18" i="1"/>
  <c r="Z19" i="1"/>
  <c r="Z20" i="1"/>
  <c r="Z21" i="1"/>
  <c r="Z22" i="1"/>
  <c r="Z23" i="1"/>
  <c r="Z24" i="1"/>
  <c r="Z25" i="1"/>
  <c r="Z26" i="1"/>
  <c r="Z27" i="1"/>
  <c r="Z28" i="1"/>
  <c r="Z29" i="1"/>
  <c r="AB29" i="1" s="1"/>
  <c r="Z30" i="1"/>
  <c r="Z31" i="1"/>
  <c r="Z32" i="1"/>
  <c r="Z33" i="1"/>
  <c r="Z34" i="1"/>
  <c r="Z35" i="1"/>
  <c r="Z36" i="1"/>
  <c r="Z37" i="1"/>
  <c r="Z38" i="1"/>
  <c r="Z39" i="1"/>
  <c r="Z40" i="1"/>
  <c r="Z41" i="1"/>
  <c r="Z42" i="1"/>
  <c r="AB42" i="1" s="1"/>
  <c r="Z43" i="1"/>
  <c r="Z44" i="1"/>
  <c r="Z45" i="1"/>
  <c r="Z46" i="1"/>
  <c r="AB46" i="1" s="1"/>
  <c r="Z47" i="1"/>
  <c r="Z48" i="1"/>
  <c r="Z49" i="1"/>
  <c r="AB49" i="1" s="1"/>
  <c r="Z50" i="1"/>
  <c r="AB50" i="1" s="1"/>
  <c r="Z51" i="1"/>
  <c r="Z52" i="1"/>
  <c r="Z53" i="1"/>
  <c r="Z54" i="1"/>
  <c r="Z55" i="1"/>
  <c r="Z56" i="1"/>
  <c r="Z57" i="1"/>
  <c r="AB57" i="1" s="1"/>
  <c r="Z58" i="1"/>
  <c r="Z59" i="1"/>
  <c r="Z60" i="1"/>
  <c r="Z61" i="1"/>
  <c r="AB61" i="1" s="1"/>
  <c r="Z62" i="1"/>
  <c r="AB62" i="1" s="1"/>
  <c r="Z63" i="1"/>
  <c r="Z64" i="1"/>
  <c r="Z65" i="1"/>
  <c r="Z66" i="1"/>
  <c r="Z67" i="1"/>
  <c r="Z68" i="1"/>
  <c r="Z69" i="1"/>
  <c r="Z70" i="1"/>
  <c r="Z71" i="1"/>
  <c r="Z72" i="1"/>
  <c r="Z73" i="1"/>
  <c r="AB73" i="1" s="1"/>
  <c r="Z74" i="1"/>
  <c r="AB74" i="1" s="1"/>
  <c r="Z75" i="1"/>
  <c r="Z76" i="1"/>
  <c r="Z77" i="1"/>
  <c r="Z78" i="1"/>
  <c r="AB78" i="1" s="1"/>
  <c r="AG78" i="1" s="1"/>
  <c r="Z79" i="1"/>
  <c r="Z80" i="1"/>
  <c r="Z81" i="1"/>
  <c r="Z82" i="1"/>
  <c r="AB82" i="1" s="1"/>
  <c r="Z83" i="1"/>
  <c r="AB83" i="1" s="1"/>
  <c r="Z84" i="1"/>
  <c r="Z85" i="1"/>
  <c r="Z86" i="1"/>
  <c r="Z87" i="1"/>
  <c r="Z88" i="1"/>
  <c r="Z89" i="1"/>
  <c r="AB89" i="1" s="1"/>
  <c r="Z90" i="1"/>
  <c r="Z91" i="1"/>
  <c r="Z92" i="1"/>
  <c r="Z93" i="1"/>
  <c r="AB93" i="1" s="1"/>
  <c r="Z94" i="1"/>
  <c r="AB94" i="1" s="1"/>
  <c r="Z95" i="1"/>
  <c r="Z96" i="1"/>
  <c r="Z97" i="1"/>
  <c r="Z98" i="1"/>
  <c r="Z99" i="1"/>
  <c r="Z100" i="1"/>
  <c r="Z101" i="1"/>
  <c r="Z102" i="1"/>
  <c r="Z103" i="1"/>
  <c r="Z104" i="1"/>
  <c r="Z105" i="1"/>
  <c r="AB105" i="1" s="1"/>
  <c r="Z106" i="1"/>
  <c r="AB106" i="1" s="1"/>
  <c r="Z107" i="1"/>
  <c r="Z108" i="1"/>
  <c r="Z109" i="1"/>
  <c r="Z110" i="1"/>
  <c r="Z111" i="1"/>
  <c r="Z112" i="1"/>
  <c r="Z113" i="1"/>
  <c r="Z114" i="1"/>
  <c r="AB114" i="1" s="1"/>
  <c r="Z115" i="1"/>
  <c r="AB115" i="1" s="1"/>
  <c r="Z116" i="1"/>
  <c r="Z117" i="1"/>
  <c r="Z118" i="1"/>
  <c r="Z119" i="1"/>
  <c r="Z120" i="1"/>
  <c r="Z121" i="1"/>
  <c r="AB121" i="1" s="1"/>
  <c r="Z122" i="1"/>
  <c r="Z123" i="1"/>
  <c r="Z124" i="1"/>
  <c r="Z125" i="1"/>
  <c r="AB125" i="1" s="1"/>
  <c r="Z126" i="1"/>
  <c r="AB126" i="1" s="1"/>
  <c r="Z127" i="1"/>
  <c r="Z128" i="1"/>
  <c r="Z129" i="1"/>
  <c r="Z130" i="1"/>
  <c r="AB130" i="1" s="1"/>
  <c r="AG130" i="1" s="1"/>
  <c r="Z131" i="1"/>
  <c r="Z132" i="1"/>
  <c r="Z133" i="1"/>
  <c r="Z134" i="1"/>
  <c r="Z135" i="1"/>
  <c r="AB135" i="1" s="1"/>
  <c r="AG135" i="1" s="1"/>
  <c r="Z136" i="1"/>
  <c r="Z137" i="1"/>
  <c r="AB137" i="1" s="1"/>
  <c r="Z138" i="1"/>
  <c r="Z139" i="1"/>
  <c r="Z140" i="1"/>
  <c r="Z141" i="1"/>
  <c r="Z142" i="1"/>
  <c r="Z143" i="1"/>
  <c r="Z144" i="1"/>
  <c r="Z145" i="1"/>
  <c r="Z146" i="1"/>
  <c r="AB146" i="1" s="1"/>
  <c r="Z147" i="1"/>
  <c r="AB147" i="1" s="1"/>
  <c r="Z148" i="1"/>
  <c r="Z149" i="1"/>
  <c r="Z150" i="1"/>
  <c r="Z151" i="1"/>
  <c r="Z152" i="1"/>
  <c r="Z153" i="1"/>
  <c r="AB153" i="1" s="1"/>
  <c r="Z154" i="1"/>
  <c r="Z155" i="1"/>
  <c r="Z156" i="1"/>
  <c r="Z157" i="1"/>
  <c r="AB157" i="1" s="1"/>
  <c r="Z158" i="1"/>
  <c r="AB158" i="1" s="1"/>
  <c r="Z159" i="1"/>
  <c r="AB159" i="1" s="1"/>
  <c r="Z160" i="1"/>
  <c r="Z161" i="1"/>
  <c r="Z162" i="1"/>
  <c r="AB162" i="1" s="1"/>
  <c r="Z163" i="1"/>
  <c r="Z164" i="1"/>
  <c r="Z165" i="1"/>
  <c r="Z166" i="1"/>
  <c r="Z167" i="1"/>
  <c r="Z168" i="1"/>
  <c r="Z169" i="1"/>
  <c r="AB169" i="1" s="1"/>
  <c r="Z170" i="1"/>
  <c r="Z171" i="1"/>
  <c r="Z172" i="1"/>
  <c r="Z173" i="1"/>
  <c r="Z174" i="1"/>
  <c r="Z175" i="1"/>
  <c r="Z176" i="1"/>
  <c r="Z177" i="1"/>
  <c r="Z178" i="1"/>
  <c r="AB178" i="1" s="1"/>
  <c r="Z179" i="1"/>
  <c r="AB179" i="1" s="1"/>
  <c r="Z180" i="1"/>
  <c r="Z181" i="1"/>
  <c r="Z182" i="1"/>
  <c r="Z183" i="1"/>
  <c r="Z184" i="1"/>
  <c r="Z185" i="1"/>
  <c r="AB185" i="1" s="1"/>
  <c r="Z186" i="1"/>
  <c r="Z187" i="1"/>
  <c r="Z188" i="1"/>
  <c r="Z189" i="1"/>
  <c r="AB189" i="1" s="1"/>
  <c r="Z190" i="1"/>
  <c r="AB190" i="1" s="1"/>
  <c r="AG190" i="1" s="1"/>
  <c r="Z191" i="1"/>
  <c r="AB191" i="1" s="1"/>
  <c r="Z192" i="1"/>
  <c r="Z193" i="1"/>
  <c r="Z194" i="1"/>
  <c r="Z195" i="1"/>
  <c r="Z196" i="1"/>
  <c r="Z197" i="1"/>
  <c r="Z198" i="1"/>
  <c r="Z199" i="1"/>
  <c r="Z200" i="1"/>
  <c r="Z201" i="1"/>
  <c r="AB201" i="1" s="1"/>
  <c r="Z202" i="1"/>
  <c r="Z203" i="1"/>
  <c r="Z204" i="1"/>
  <c r="Z205" i="1"/>
  <c r="Z206" i="1"/>
  <c r="Z207" i="1"/>
  <c r="Z208" i="1"/>
  <c r="Z209" i="1"/>
  <c r="Z210" i="1"/>
  <c r="AB210" i="1" s="1"/>
  <c r="Z211" i="1"/>
  <c r="AB211" i="1" s="1"/>
  <c r="Z212" i="1"/>
  <c r="Z213" i="1"/>
  <c r="Z214" i="1"/>
  <c r="Z215" i="1"/>
  <c r="Z216" i="1"/>
  <c r="Z217" i="1"/>
  <c r="AB217" i="1" s="1"/>
  <c r="Z218" i="1"/>
  <c r="Z219" i="1"/>
  <c r="Z220" i="1"/>
  <c r="Z221" i="1"/>
  <c r="AB221" i="1" s="1"/>
  <c r="Z222" i="1"/>
  <c r="Z223" i="1"/>
  <c r="Z224" i="1"/>
  <c r="Z225" i="1"/>
  <c r="Z226" i="1"/>
  <c r="Z227" i="1"/>
  <c r="Z228" i="1"/>
  <c r="Z229" i="1"/>
  <c r="Z230" i="1"/>
  <c r="Z231" i="1"/>
  <c r="Z232" i="1"/>
  <c r="Z233" i="1"/>
  <c r="AB233" i="1" s="1"/>
  <c r="Z234" i="1"/>
  <c r="Z235" i="1"/>
  <c r="Z236" i="1"/>
  <c r="Z237" i="1"/>
  <c r="Z238" i="1"/>
  <c r="AB238" i="1" s="1"/>
  <c r="AG238" i="1" s="1"/>
  <c r="Z239" i="1"/>
  <c r="AB239" i="1" s="1"/>
  <c r="Z240" i="1"/>
  <c r="Z241" i="1"/>
  <c r="Z242" i="1"/>
  <c r="AB242" i="1" s="1"/>
  <c r="Z243" i="1"/>
  <c r="AB243" i="1" s="1"/>
  <c r="Z244" i="1"/>
  <c r="Z245" i="1"/>
  <c r="Z246" i="1"/>
  <c r="Z247" i="1"/>
  <c r="Z248" i="1"/>
  <c r="Z249" i="1"/>
  <c r="AB249" i="1" s="1"/>
  <c r="Z250" i="1"/>
  <c r="Z251" i="1"/>
  <c r="Z252" i="1"/>
  <c r="Z253" i="1"/>
  <c r="AB253" i="1" s="1"/>
  <c r="Z254" i="1"/>
  <c r="AB254" i="1" s="1"/>
  <c r="Z255" i="1"/>
  <c r="Z256" i="1"/>
  <c r="AB256" i="1" s="1"/>
  <c r="Z257" i="1"/>
  <c r="Z258" i="1"/>
  <c r="Z259" i="1"/>
  <c r="Z260" i="1"/>
  <c r="Z261" i="1"/>
  <c r="Z262" i="1"/>
  <c r="Z263" i="1"/>
  <c r="Z264" i="1"/>
  <c r="Z265" i="1"/>
  <c r="AB265" i="1" s="1"/>
  <c r="Z266" i="1"/>
  <c r="Z267" i="1"/>
  <c r="Z268" i="1"/>
  <c r="Z269" i="1"/>
  <c r="Z270" i="1"/>
  <c r="Z271" i="1"/>
  <c r="Z272" i="1"/>
  <c r="Z273" i="1"/>
  <c r="Z274" i="1"/>
  <c r="AB274" i="1" s="1"/>
  <c r="Z275" i="1"/>
  <c r="Z276" i="1"/>
  <c r="Z277" i="1"/>
  <c r="Z278" i="1"/>
  <c r="AB278" i="1" s="1"/>
  <c r="AG278" i="1" s="1"/>
  <c r="Z279" i="1"/>
  <c r="Z280" i="1"/>
  <c r="Z281" i="1"/>
  <c r="Z282" i="1"/>
  <c r="AB282" i="1" s="1"/>
  <c r="Z283" i="1"/>
  <c r="AB283" i="1" s="1"/>
  <c r="Z284" i="1"/>
  <c r="Z285" i="1"/>
  <c r="Z286" i="1"/>
  <c r="Z287" i="1"/>
  <c r="Z288" i="1"/>
  <c r="Z289" i="1"/>
  <c r="Z290" i="1"/>
  <c r="AB290" i="1" s="1"/>
  <c r="Z291" i="1"/>
  <c r="AB291" i="1" s="1"/>
  <c r="Z292" i="1"/>
  <c r="Z293" i="1"/>
  <c r="Z294" i="1"/>
  <c r="Z295" i="1"/>
  <c r="Z296" i="1"/>
  <c r="AB296" i="1" s="1"/>
  <c r="Z297" i="1"/>
  <c r="Z298" i="1"/>
  <c r="AB298" i="1" s="1"/>
  <c r="Z299" i="1"/>
  <c r="AB299" i="1" s="1"/>
  <c r="Z300" i="1"/>
  <c r="Z301" i="1"/>
  <c r="Z302" i="1"/>
  <c r="Z303" i="1"/>
  <c r="Z304" i="1"/>
  <c r="Z305" i="1"/>
  <c r="Z306" i="1"/>
  <c r="AB306" i="1" s="1"/>
  <c r="Z307" i="1"/>
  <c r="AB307" i="1" s="1"/>
  <c r="Z308" i="1"/>
  <c r="Z309" i="1"/>
  <c r="Z310" i="1"/>
  <c r="Z311" i="1"/>
  <c r="Z312" i="1"/>
  <c r="Z313" i="1"/>
  <c r="Z314" i="1"/>
  <c r="AB314" i="1" s="1"/>
  <c r="AG314" i="1" s="1"/>
  <c r="Z315" i="1"/>
  <c r="Z316" i="1"/>
  <c r="Z317" i="1"/>
  <c r="Z318" i="1"/>
  <c r="Z319" i="1"/>
  <c r="Z320" i="1"/>
  <c r="Z321" i="1"/>
  <c r="Z322" i="1"/>
  <c r="AB322" i="1" s="1"/>
  <c r="Z323" i="1"/>
  <c r="AB323" i="1" s="1"/>
  <c r="Z324" i="1"/>
  <c r="Z325" i="1"/>
  <c r="Z326" i="1"/>
  <c r="Z327" i="1"/>
  <c r="Z328" i="1"/>
  <c r="Z329" i="1"/>
  <c r="Z330" i="1"/>
  <c r="AB330" i="1" s="1"/>
  <c r="Z331" i="1"/>
  <c r="Z332" i="1"/>
  <c r="Z333" i="1"/>
  <c r="Z334" i="1"/>
  <c r="Z335" i="1"/>
  <c r="Z336" i="1"/>
  <c r="Z337" i="1"/>
  <c r="Z338" i="1"/>
  <c r="AB338" i="1" s="1"/>
  <c r="Z339" i="1"/>
  <c r="AB339" i="1" s="1"/>
  <c r="Z340" i="1"/>
  <c r="Z341" i="1"/>
  <c r="Z342" i="1"/>
  <c r="Z343" i="1"/>
  <c r="Z344" i="1"/>
  <c r="Z345" i="1"/>
  <c r="Z346" i="1"/>
  <c r="AB346" i="1" s="1"/>
  <c r="Z347" i="1"/>
  <c r="AB347" i="1" s="1"/>
  <c r="Z348" i="1"/>
  <c r="Z349" i="1"/>
  <c r="AB349" i="1" s="1"/>
  <c r="Z350" i="1"/>
  <c r="AB350" i="1" s="1"/>
  <c r="AG350" i="1" s="1"/>
  <c r="Z351" i="1"/>
  <c r="Z352" i="1"/>
  <c r="Z353" i="1"/>
  <c r="Z354" i="1"/>
  <c r="AB354" i="1" s="1"/>
  <c r="Z355" i="1"/>
  <c r="AB355" i="1" s="1"/>
  <c r="Z356" i="1"/>
  <c r="Z357" i="1"/>
  <c r="Z358" i="1"/>
  <c r="Z359" i="1"/>
  <c r="Z360" i="1"/>
  <c r="Z361" i="1"/>
  <c r="Z362" i="1"/>
  <c r="AB362" i="1" s="1"/>
  <c r="Z363" i="1"/>
  <c r="AB363" i="1" s="1"/>
  <c r="Z364" i="1"/>
  <c r="Z365" i="1"/>
  <c r="AB365" i="1" s="1"/>
  <c r="Z366" i="1"/>
  <c r="Z367" i="1"/>
  <c r="Z368" i="1"/>
  <c r="Z369" i="1"/>
  <c r="Z370" i="1"/>
  <c r="AB370" i="1" s="1"/>
  <c r="Z371" i="1"/>
  <c r="AB371" i="1" s="1"/>
  <c r="Z372" i="1"/>
  <c r="Z373" i="1"/>
  <c r="Z374" i="1"/>
  <c r="Z375" i="1"/>
  <c r="Z376" i="1"/>
  <c r="Z377" i="1"/>
  <c r="AB377" i="1" s="1"/>
  <c r="Z378" i="1"/>
  <c r="AB378" i="1" s="1"/>
  <c r="Z379" i="1"/>
  <c r="AB379" i="1" s="1"/>
  <c r="Z380" i="1"/>
  <c r="Z381" i="1"/>
  <c r="Z382" i="1"/>
  <c r="Z383" i="1"/>
  <c r="Z384" i="1"/>
  <c r="Z385" i="1"/>
  <c r="Z386" i="1"/>
  <c r="AB386" i="1" s="1"/>
  <c r="Z387" i="1"/>
  <c r="AB387" i="1" s="1"/>
  <c r="Z388" i="1"/>
  <c r="Z389" i="1"/>
  <c r="Z390" i="1"/>
  <c r="Z391" i="1"/>
  <c r="Z392" i="1"/>
  <c r="Z393" i="1"/>
  <c r="AB393" i="1" s="1"/>
  <c r="Z394" i="1"/>
  <c r="AB394" i="1" s="1"/>
  <c r="Z395" i="1"/>
  <c r="AB395" i="1" s="1"/>
  <c r="Z396" i="1"/>
  <c r="Z397" i="1"/>
  <c r="Z398" i="1"/>
  <c r="Z399" i="1"/>
  <c r="Z400" i="1"/>
  <c r="Z401" i="1"/>
  <c r="Z402" i="1"/>
  <c r="AB402" i="1" s="1"/>
  <c r="Z403" i="1"/>
  <c r="AB403" i="1" s="1"/>
  <c r="Z404" i="1"/>
  <c r="Z405" i="1"/>
  <c r="Z406" i="1"/>
  <c r="AB406" i="1" s="1"/>
  <c r="AG406" i="1" s="1"/>
  <c r="Z407" i="1"/>
  <c r="Z408" i="1"/>
  <c r="Z409" i="1"/>
  <c r="Z410" i="1"/>
  <c r="AB410" i="1" s="1"/>
  <c r="Z411" i="1"/>
  <c r="AB411" i="1" s="1"/>
  <c r="Z412" i="1"/>
  <c r="Z413" i="1"/>
  <c r="Z414" i="1"/>
  <c r="Z415" i="1"/>
  <c r="Z416" i="1"/>
  <c r="Z417" i="1"/>
  <c r="Z418" i="1"/>
  <c r="AB418" i="1" s="1"/>
  <c r="Z419" i="1"/>
  <c r="AB419" i="1" s="1"/>
  <c r="Z420" i="1"/>
  <c r="Z421" i="1"/>
  <c r="Z422" i="1"/>
  <c r="AB422" i="1" s="1"/>
  <c r="Z423" i="1"/>
  <c r="Z424" i="1"/>
  <c r="Z425" i="1"/>
  <c r="Z426" i="1"/>
  <c r="AB426" i="1" s="1"/>
  <c r="Z427" i="1"/>
  <c r="AB427" i="1" s="1"/>
  <c r="Z428" i="1"/>
  <c r="Z429" i="1"/>
  <c r="Z430" i="1"/>
  <c r="Z431" i="1"/>
  <c r="Z432" i="1"/>
  <c r="Z433" i="1"/>
  <c r="Z434" i="1"/>
  <c r="AB434" i="1" s="1"/>
  <c r="AG434" i="1" s="1"/>
  <c r="Z435" i="1"/>
  <c r="AB435" i="1" s="1"/>
  <c r="Z436" i="1"/>
  <c r="Z437" i="1"/>
  <c r="Z438" i="1"/>
  <c r="Z439" i="1"/>
  <c r="Z440" i="1"/>
  <c r="Z441" i="1"/>
  <c r="Z442" i="1"/>
  <c r="AB442" i="1" s="1"/>
  <c r="Z443" i="1"/>
  <c r="AB443" i="1" s="1"/>
  <c r="Z444" i="1"/>
  <c r="Z445" i="1"/>
  <c r="Z446" i="1"/>
  <c r="Z447" i="1"/>
  <c r="Z448" i="1"/>
  <c r="Z449" i="1"/>
  <c r="AB449" i="1" s="1"/>
  <c r="Z450" i="1"/>
  <c r="AB450" i="1" s="1"/>
  <c r="Z451" i="1"/>
  <c r="AB451" i="1" s="1"/>
  <c r="Z452" i="1"/>
  <c r="Z453" i="1"/>
  <c r="Z454" i="1"/>
  <c r="Z455" i="1"/>
  <c r="Z456" i="1"/>
  <c r="Z457" i="1"/>
  <c r="Z458" i="1"/>
  <c r="AB458" i="1" s="1"/>
  <c r="Z459" i="1"/>
  <c r="AB459" i="1" s="1"/>
  <c r="Z460" i="1"/>
  <c r="Z461" i="1"/>
  <c r="Z462" i="1"/>
  <c r="AB462" i="1" s="1"/>
  <c r="AG462" i="1" s="1"/>
  <c r="Z463" i="1"/>
  <c r="Z464" i="1"/>
  <c r="Z465" i="1"/>
  <c r="AB465" i="1" s="1"/>
  <c r="Z466" i="1"/>
  <c r="AB466" i="1" s="1"/>
  <c r="Z467" i="1"/>
  <c r="AB467" i="1" s="1"/>
  <c r="Z468" i="1"/>
  <c r="Z469" i="1"/>
  <c r="Z470" i="1"/>
  <c r="Z471" i="1"/>
  <c r="Z472" i="1"/>
  <c r="Z473" i="1"/>
  <c r="Z474" i="1"/>
  <c r="AB474" i="1" s="1"/>
  <c r="Z475" i="1"/>
  <c r="AB475" i="1" s="1"/>
  <c r="Z476" i="1"/>
  <c r="Z477" i="1"/>
  <c r="AB477" i="1" s="1"/>
  <c r="Z478" i="1"/>
  <c r="AB478" i="1" s="1"/>
  <c r="Z479" i="1"/>
  <c r="Z480" i="1"/>
  <c r="Z481" i="1"/>
  <c r="Z482" i="1"/>
  <c r="AB482" i="1" s="1"/>
  <c r="Z483" i="1"/>
  <c r="AB483" i="1" s="1"/>
  <c r="Z484" i="1"/>
  <c r="Z485" i="1"/>
  <c r="Z486" i="1"/>
  <c r="Z487" i="1"/>
  <c r="Z488" i="1"/>
  <c r="Z489" i="1"/>
  <c r="AB489" i="1" s="1"/>
  <c r="Z490" i="1"/>
  <c r="AB490" i="1" s="1"/>
  <c r="Z491" i="1"/>
  <c r="AB491" i="1" s="1"/>
  <c r="Z492" i="1"/>
  <c r="Z493" i="1"/>
  <c r="Z494" i="1"/>
  <c r="Z495" i="1"/>
  <c r="Z496" i="1"/>
  <c r="Z497" i="1"/>
  <c r="Z498" i="1"/>
  <c r="AB498" i="1" s="1"/>
  <c r="Z499" i="1"/>
  <c r="Z500" i="1"/>
  <c r="Z501" i="1"/>
  <c r="AB501" i="1" s="1"/>
  <c r="Z502" i="1"/>
  <c r="Z503" i="1"/>
  <c r="Z504" i="1"/>
  <c r="Z505" i="1"/>
  <c r="Z506" i="1"/>
  <c r="AB506" i="1" s="1"/>
  <c r="Z507" i="1"/>
  <c r="AB507" i="1" s="1"/>
  <c r="Z508" i="1"/>
  <c r="Z509" i="1"/>
  <c r="Z510" i="1"/>
  <c r="AB510" i="1" s="1"/>
  <c r="AG510" i="1" s="1"/>
  <c r="Z511" i="1"/>
  <c r="AB511" i="1" s="1"/>
  <c r="Z512" i="1"/>
  <c r="Z513" i="1"/>
  <c r="Z514" i="1"/>
  <c r="AB514" i="1" s="1"/>
  <c r="Z515" i="1"/>
  <c r="AB515" i="1" s="1"/>
  <c r="Z516" i="1"/>
  <c r="Z517" i="1"/>
  <c r="Z518" i="1"/>
  <c r="Z519" i="1"/>
  <c r="Z520" i="1"/>
  <c r="Z521" i="1"/>
  <c r="AB521" i="1" s="1"/>
  <c r="Z522" i="1"/>
  <c r="Z523" i="1"/>
  <c r="AB523" i="1" s="1"/>
  <c r="Z524" i="1"/>
  <c r="Z525" i="1"/>
  <c r="Z526" i="1"/>
  <c r="Z527" i="1"/>
  <c r="Z528" i="1"/>
  <c r="Z529" i="1"/>
  <c r="Z530" i="1"/>
  <c r="AB530" i="1" s="1"/>
  <c r="Z531" i="1"/>
  <c r="Z532" i="1"/>
  <c r="Z533" i="1"/>
  <c r="AB533" i="1" s="1"/>
  <c r="Z534" i="1"/>
  <c r="Z535" i="1"/>
  <c r="Z536" i="1"/>
  <c r="Z537" i="1"/>
  <c r="Z538" i="1"/>
  <c r="AB538" i="1" s="1"/>
  <c r="Z539" i="1"/>
  <c r="AB539" i="1" s="1"/>
  <c r="Z540" i="1"/>
  <c r="Z541" i="1"/>
  <c r="Z542" i="1"/>
  <c r="Z543" i="1"/>
  <c r="Z544" i="1"/>
  <c r="Z545" i="1"/>
  <c r="Z546" i="1"/>
  <c r="AB546" i="1" s="1"/>
  <c r="Z547" i="1"/>
  <c r="AB547" i="1" s="1"/>
  <c r="Z548" i="1"/>
  <c r="Z549" i="1"/>
  <c r="Z550" i="1"/>
  <c r="Z551" i="1"/>
  <c r="Z552" i="1"/>
  <c r="Z553" i="1"/>
  <c r="AB553" i="1" s="1"/>
  <c r="Z554" i="1"/>
  <c r="AB554" i="1" s="1"/>
  <c r="Z555" i="1"/>
  <c r="AB555" i="1" s="1"/>
  <c r="Z556" i="1"/>
  <c r="Z557" i="1"/>
  <c r="Z558" i="1"/>
  <c r="Z559" i="1"/>
  <c r="Z560" i="1"/>
  <c r="Z561" i="1"/>
  <c r="Z562" i="1"/>
  <c r="AB562" i="1" s="1"/>
  <c r="Z563" i="1"/>
  <c r="Z564" i="1"/>
  <c r="Z565" i="1"/>
  <c r="AB565" i="1" s="1"/>
  <c r="Z566" i="1"/>
  <c r="Z567" i="1"/>
  <c r="Z568" i="1"/>
  <c r="Z569" i="1"/>
  <c r="Z570" i="1"/>
  <c r="AB570" i="1" s="1"/>
  <c r="Z571" i="1"/>
  <c r="AB571" i="1" s="1"/>
  <c r="Z572" i="1"/>
  <c r="Z573" i="1"/>
  <c r="Z574" i="1"/>
  <c r="AB574" i="1" s="1"/>
  <c r="AG574" i="1" s="1"/>
  <c r="Z575" i="1"/>
  <c r="AB575" i="1" s="1"/>
  <c r="Z576" i="1"/>
  <c r="Z577" i="1"/>
  <c r="Z578" i="1"/>
  <c r="AB578" i="1" s="1"/>
  <c r="Z579" i="1"/>
  <c r="AB579" i="1" s="1"/>
  <c r="Z580" i="1"/>
  <c r="Z581" i="1"/>
  <c r="Z582" i="1"/>
  <c r="Z583" i="1"/>
  <c r="Z584" i="1"/>
  <c r="Z585" i="1"/>
  <c r="AB585" i="1" s="1"/>
  <c r="Z586" i="1"/>
  <c r="Z587" i="1"/>
  <c r="AB587" i="1" s="1"/>
  <c r="Z588" i="1"/>
  <c r="Z589" i="1"/>
  <c r="Z590" i="1"/>
  <c r="Z591" i="1"/>
  <c r="Z592" i="1"/>
  <c r="Z593" i="1"/>
  <c r="Z594" i="1"/>
  <c r="AB594" i="1" s="1"/>
  <c r="Z595" i="1"/>
  <c r="Z596" i="1"/>
  <c r="Z597" i="1"/>
  <c r="AB597" i="1" s="1"/>
  <c r="Z598" i="1"/>
  <c r="Z599" i="1"/>
  <c r="Z600" i="1"/>
  <c r="Z601" i="1"/>
  <c r="Z602" i="1"/>
  <c r="AB602" i="1" s="1"/>
  <c r="Z603" i="1"/>
  <c r="AB603" i="1" s="1"/>
  <c r="Z604" i="1"/>
  <c r="Z605" i="1"/>
  <c r="Z606" i="1"/>
  <c r="Z607" i="1"/>
  <c r="Z608" i="1"/>
  <c r="Z609" i="1"/>
  <c r="Z610" i="1"/>
  <c r="AB610" i="1" s="1"/>
  <c r="Z611" i="1"/>
  <c r="AB611" i="1" s="1"/>
  <c r="Z612" i="1"/>
  <c r="Z613" i="1"/>
  <c r="Z614" i="1"/>
  <c r="Z615" i="1"/>
  <c r="Z616" i="1"/>
  <c r="Z617" i="1"/>
  <c r="AB617" i="1" s="1"/>
  <c r="Z618" i="1"/>
  <c r="Z619" i="1"/>
  <c r="AB619" i="1" s="1"/>
  <c r="Z620" i="1"/>
  <c r="Z621" i="1"/>
  <c r="Z622" i="1"/>
  <c r="Z623" i="1"/>
  <c r="Z624" i="1"/>
  <c r="Z625" i="1"/>
  <c r="AB625" i="1" s="1"/>
  <c r="Z626" i="1"/>
  <c r="Z627" i="1"/>
  <c r="Z628" i="1"/>
  <c r="Z629" i="1"/>
  <c r="Z630" i="1"/>
  <c r="AB630" i="1" s="1"/>
  <c r="Z631" i="1"/>
  <c r="Z632" i="1"/>
  <c r="Z633" i="1"/>
  <c r="AB633" i="1" s="1"/>
  <c r="Z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F30" i="1" s="1"/>
  <c r="G30" i="1" s="1"/>
  <c r="H31" i="1"/>
  <c r="F31" i="1" s="1"/>
  <c r="G31" i="1" s="1"/>
  <c r="H32" i="1"/>
  <c r="F32" i="1" s="1"/>
  <c r="G32" i="1" s="1"/>
  <c r="H33" i="1"/>
  <c r="F33" i="1" s="1"/>
  <c r="G33" i="1" s="1"/>
  <c r="H34" i="1"/>
  <c r="F34" i="1" s="1"/>
  <c r="G34" i="1" s="1"/>
  <c r="H35" i="1"/>
  <c r="F35" i="1" s="1"/>
  <c r="G35" i="1" s="1"/>
  <c r="H36" i="1"/>
  <c r="F36" i="1" s="1"/>
  <c r="G36" i="1" s="1"/>
  <c r="H37" i="1"/>
  <c r="F37" i="1" s="1"/>
  <c r="G37" i="1" s="1"/>
  <c r="H38" i="1"/>
  <c r="F38" i="1" s="1"/>
  <c r="G38" i="1" s="1"/>
  <c r="H39" i="1"/>
  <c r="F39" i="1" s="1"/>
  <c r="G39" i="1" s="1"/>
  <c r="H40" i="1"/>
  <c r="F40" i="1" s="1"/>
  <c r="G40" i="1" s="1"/>
  <c r="H41" i="1"/>
  <c r="F41" i="1" s="1"/>
  <c r="G41" i="1" s="1"/>
  <c r="H42" i="1"/>
  <c r="F42" i="1" s="1"/>
  <c r="G42" i="1" s="1"/>
  <c r="H43" i="1"/>
  <c r="F43" i="1" s="1"/>
  <c r="G43" i="1" s="1"/>
  <c r="H44" i="1"/>
  <c r="F44" i="1" s="1"/>
  <c r="G44" i="1" s="1"/>
  <c r="H45" i="1"/>
  <c r="F45" i="1" s="1"/>
  <c r="G45" i="1" s="1"/>
  <c r="H46" i="1"/>
  <c r="F46" i="1" s="1"/>
  <c r="G46" i="1" s="1"/>
  <c r="H47" i="1"/>
  <c r="F47" i="1" s="1"/>
  <c r="G47" i="1" s="1"/>
  <c r="H48" i="1"/>
  <c r="F48" i="1" s="1"/>
  <c r="G48" i="1" s="1"/>
  <c r="H49" i="1"/>
  <c r="F49" i="1" s="1"/>
  <c r="G49" i="1" s="1"/>
  <c r="H50" i="1"/>
  <c r="F50" i="1" s="1"/>
  <c r="G50" i="1" s="1"/>
  <c r="H51" i="1"/>
  <c r="F51" i="1" s="1"/>
  <c r="G51" i="1" s="1"/>
  <c r="H52" i="1"/>
  <c r="F52" i="1" s="1"/>
  <c r="G52" i="1" s="1"/>
  <c r="H53" i="1"/>
  <c r="F53" i="1" s="1"/>
  <c r="G53" i="1" s="1"/>
  <c r="H54" i="1"/>
  <c r="F54" i="1" s="1"/>
  <c r="G54" i="1" s="1"/>
  <c r="H55" i="1"/>
  <c r="F55" i="1" s="1"/>
  <c r="G55" i="1" s="1"/>
  <c r="H56" i="1"/>
  <c r="F56" i="1" s="1"/>
  <c r="G56" i="1" s="1"/>
  <c r="H57" i="1"/>
  <c r="F57" i="1" s="1"/>
  <c r="G57" i="1" s="1"/>
  <c r="H58" i="1"/>
  <c r="F58" i="1" s="1"/>
  <c r="G58" i="1" s="1"/>
  <c r="H59" i="1"/>
  <c r="F59" i="1" s="1"/>
  <c r="G59" i="1" s="1"/>
  <c r="H60" i="1"/>
  <c r="F60" i="1" s="1"/>
  <c r="G60" i="1" s="1"/>
  <c r="H61" i="1"/>
  <c r="F61" i="1" s="1"/>
  <c r="G61" i="1" s="1"/>
  <c r="H62" i="1"/>
  <c r="F62" i="1" s="1"/>
  <c r="G62" i="1" s="1"/>
  <c r="H63" i="1"/>
  <c r="F63" i="1" s="1"/>
  <c r="G63" i="1" s="1"/>
  <c r="H64" i="1"/>
  <c r="F64" i="1" s="1"/>
  <c r="G64" i="1" s="1"/>
  <c r="H65" i="1"/>
  <c r="F65" i="1" s="1"/>
  <c r="G65" i="1" s="1"/>
  <c r="H66" i="1"/>
  <c r="F66" i="1" s="1"/>
  <c r="G66" i="1" s="1"/>
  <c r="H67" i="1"/>
  <c r="F67" i="1" s="1"/>
  <c r="G67" i="1" s="1"/>
  <c r="H68" i="1"/>
  <c r="F68" i="1" s="1"/>
  <c r="G68" i="1" s="1"/>
  <c r="H69" i="1"/>
  <c r="F69" i="1" s="1"/>
  <c r="G69" i="1" s="1"/>
  <c r="H70" i="1"/>
  <c r="F70" i="1" s="1"/>
  <c r="G70" i="1" s="1"/>
  <c r="H71" i="1"/>
  <c r="F71" i="1" s="1"/>
  <c r="G71" i="1" s="1"/>
  <c r="H72" i="1"/>
  <c r="F72" i="1" s="1"/>
  <c r="G72" i="1" s="1"/>
  <c r="H73" i="1"/>
  <c r="F73" i="1" s="1"/>
  <c r="G73" i="1" s="1"/>
  <c r="H74" i="1"/>
  <c r="F74" i="1" s="1"/>
  <c r="G74" i="1" s="1"/>
  <c r="H75" i="1"/>
  <c r="F75" i="1" s="1"/>
  <c r="G75" i="1" s="1"/>
  <c r="H76" i="1"/>
  <c r="F76" i="1" s="1"/>
  <c r="G76" i="1" s="1"/>
  <c r="H77" i="1"/>
  <c r="F77" i="1" s="1"/>
  <c r="G77" i="1" s="1"/>
  <c r="H78" i="1"/>
  <c r="F78" i="1" s="1"/>
  <c r="G78" i="1" s="1"/>
  <c r="H79" i="1"/>
  <c r="F79" i="1" s="1"/>
  <c r="G79" i="1" s="1"/>
  <c r="H80" i="1"/>
  <c r="F80" i="1" s="1"/>
  <c r="G80" i="1" s="1"/>
  <c r="H81" i="1"/>
  <c r="F81" i="1" s="1"/>
  <c r="G81" i="1" s="1"/>
  <c r="H82" i="1"/>
  <c r="F82" i="1" s="1"/>
  <c r="G82" i="1" s="1"/>
  <c r="H83" i="1"/>
  <c r="F83" i="1" s="1"/>
  <c r="G83" i="1" s="1"/>
  <c r="H84" i="1"/>
  <c r="F84" i="1" s="1"/>
  <c r="G84" i="1" s="1"/>
  <c r="H85" i="1"/>
  <c r="F85" i="1" s="1"/>
  <c r="G85" i="1" s="1"/>
  <c r="H86" i="1"/>
  <c r="F86" i="1" s="1"/>
  <c r="G86" i="1" s="1"/>
  <c r="H87" i="1"/>
  <c r="F87" i="1" s="1"/>
  <c r="G87" i="1" s="1"/>
  <c r="H88" i="1"/>
  <c r="F88" i="1" s="1"/>
  <c r="G88" i="1" s="1"/>
  <c r="H89" i="1"/>
  <c r="F89" i="1" s="1"/>
  <c r="G89" i="1" s="1"/>
  <c r="H90" i="1"/>
  <c r="F90" i="1" s="1"/>
  <c r="G90" i="1" s="1"/>
  <c r="H91" i="1"/>
  <c r="F91" i="1" s="1"/>
  <c r="G91" i="1" s="1"/>
  <c r="H92" i="1"/>
  <c r="F92" i="1" s="1"/>
  <c r="G92" i="1" s="1"/>
  <c r="H93" i="1"/>
  <c r="F93" i="1" s="1"/>
  <c r="G93" i="1" s="1"/>
  <c r="H94" i="1"/>
  <c r="F94" i="1" s="1"/>
  <c r="G94" i="1" s="1"/>
  <c r="H95" i="1"/>
  <c r="F95" i="1" s="1"/>
  <c r="G95" i="1" s="1"/>
  <c r="H96" i="1"/>
  <c r="F96" i="1" s="1"/>
  <c r="G96" i="1" s="1"/>
  <c r="H97" i="1"/>
  <c r="F97" i="1" s="1"/>
  <c r="G97" i="1" s="1"/>
  <c r="H98" i="1"/>
  <c r="F98" i="1" s="1"/>
  <c r="G98" i="1" s="1"/>
  <c r="H99" i="1"/>
  <c r="F99" i="1" s="1"/>
  <c r="G99" i="1" s="1"/>
  <c r="H100" i="1"/>
  <c r="F100" i="1" s="1"/>
  <c r="G100" i="1" s="1"/>
  <c r="H101" i="1"/>
  <c r="F101" i="1" s="1"/>
  <c r="G101" i="1" s="1"/>
  <c r="H102" i="1"/>
  <c r="F102" i="1" s="1"/>
  <c r="G102" i="1" s="1"/>
  <c r="H103" i="1"/>
  <c r="F103" i="1" s="1"/>
  <c r="G103" i="1" s="1"/>
  <c r="H104" i="1"/>
  <c r="F104" i="1" s="1"/>
  <c r="G104" i="1" s="1"/>
  <c r="H105" i="1"/>
  <c r="F105" i="1" s="1"/>
  <c r="G105" i="1" s="1"/>
  <c r="H106" i="1"/>
  <c r="F106" i="1" s="1"/>
  <c r="G106" i="1" s="1"/>
  <c r="H107" i="1"/>
  <c r="F107" i="1" s="1"/>
  <c r="G107" i="1" s="1"/>
  <c r="H108" i="1"/>
  <c r="F108" i="1" s="1"/>
  <c r="G108" i="1" s="1"/>
  <c r="H109" i="1"/>
  <c r="F109" i="1" s="1"/>
  <c r="G109" i="1" s="1"/>
  <c r="H110" i="1"/>
  <c r="F110" i="1" s="1"/>
  <c r="G110" i="1" s="1"/>
  <c r="H111" i="1"/>
  <c r="F111" i="1" s="1"/>
  <c r="G111" i="1" s="1"/>
  <c r="H112" i="1"/>
  <c r="F112" i="1" s="1"/>
  <c r="G112" i="1" s="1"/>
  <c r="H113" i="1"/>
  <c r="F113" i="1" s="1"/>
  <c r="G113" i="1" s="1"/>
  <c r="H114" i="1"/>
  <c r="F114" i="1" s="1"/>
  <c r="G114" i="1" s="1"/>
  <c r="H115" i="1"/>
  <c r="F115" i="1" s="1"/>
  <c r="G115" i="1" s="1"/>
  <c r="H116" i="1"/>
  <c r="F116" i="1" s="1"/>
  <c r="G116" i="1" s="1"/>
  <c r="H117" i="1"/>
  <c r="F117" i="1" s="1"/>
  <c r="G117" i="1" s="1"/>
  <c r="H118" i="1"/>
  <c r="F118" i="1" s="1"/>
  <c r="G118" i="1" s="1"/>
  <c r="H119" i="1"/>
  <c r="F119" i="1" s="1"/>
  <c r="G119" i="1" s="1"/>
  <c r="H120" i="1"/>
  <c r="F120" i="1" s="1"/>
  <c r="G120" i="1" s="1"/>
  <c r="H121" i="1"/>
  <c r="F121" i="1" s="1"/>
  <c r="G121" i="1" s="1"/>
  <c r="H122" i="1"/>
  <c r="F122" i="1" s="1"/>
  <c r="G122" i="1" s="1"/>
  <c r="H123" i="1"/>
  <c r="F123" i="1" s="1"/>
  <c r="G123" i="1" s="1"/>
  <c r="H124" i="1"/>
  <c r="F124" i="1" s="1"/>
  <c r="G124" i="1" s="1"/>
  <c r="H125" i="1"/>
  <c r="F125" i="1" s="1"/>
  <c r="G125" i="1" s="1"/>
  <c r="H126" i="1"/>
  <c r="F126" i="1" s="1"/>
  <c r="G126" i="1" s="1"/>
  <c r="H127" i="1"/>
  <c r="F127" i="1" s="1"/>
  <c r="G127" i="1" s="1"/>
  <c r="H128" i="1"/>
  <c r="F128" i="1" s="1"/>
  <c r="G128" i="1" s="1"/>
  <c r="H129" i="1"/>
  <c r="F129" i="1" s="1"/>
  <c r="G129" i="1" s="1"/>
  <c r="H130" i="1"/>
  <c r="F130" i="1" s="1"/>
  <c r="G130" i="1" s="1"/>
  <c r="H131" i="1"/>
  <c r="F131" i="1" s="1"/>
  <c r="G131" i="1" s="1"/>
  <c r="H132" i="1"/>
  <c r="F132" i="1" s="1"/>
  <c r="G132" i="1" s="1"/>
  <c r="H133" i="1"/>
  <c r="F133" i="1" s="1"/>
  <c r="G133" i="1" s="1"/>
  <c r="H134" i="1"/>
  <c r="F134" i="1" s="1"/>
  <c r="G134" i="1" s="1"/>
  <c r="H135" i="1"/>
  <c r="F135" i="1" s="1"/>
  <c r="G135" i="1" s="1"/>
  <c r="H136" i="1"/>
  <c r="F136" i="1" s="1"/>
  <c r="G136" i="1" s="1"/>
  <c r="H137" i="1"/>
  <c r="F137" i="1" s="1"/>
  <c r="G137" i="1" s="1"/>
  <c r="H138" i="1"/>
  <c r="F138" i="1" s="1"/>
  <c r="G138" i="1" s="1"/>
  <c r="H139" i="1"/>
  <c r="F139" i="1" s="1"/>
  <c r="G139" i="1" s="1"/>
  <c r="H140" i="1"/>
  <c r="F140" i="1" s="1"/>
  <c r="G140" i="1" s="1"/>
  <c r="H141" i="1"/>
  <c r="F141" i="1" s="1"/>
  <c r="G141" i="1" s="1"/>
  <c r="H142" i="1"/>
  <c r="F142" i="1" s="1"/>
  <c r="G142" i="1" s="1"/>
  <c r="H143" i="1"/>
  <c r="F143" i="1" s="1"/>
  <c r="G143" i="1" s="1"/>
  <c r="H144" i="1"/>
  <c r="F144" i="1" s="1"/>
  <c r="G144" i="1" s="1"/>
  <c r="H145" i="1"/>
  <c r="F145" i="1" s="1"/>
  <c r="G145" i="1" s="1"/>
  <c r="H146" i="1"/>
  <c r="F146" i="1" s="1"/>
  <c r="G146" i="1" s="1"/>
  <c r="H147" i="1"/>
  <c r="F147" i="1" s="1"/>
  <c r="G147" i="1" s="1"/>
  <c r="H148" i="1"/>
  <c r="F148" i="1" s="1"/>
  <c r="G148" i="1" s="1"/>
  <c r="H149" i="1"/>
  <c r="F149" i="1" s="1"/>
  <c r="G149" i="1" s="1"/>
  <c r="H150" i="1"/>
  <c r="F150" i="1" s="1"/>
  <c r="G150" i="1" s="1"/>
  <c r="H151" i="1"/>
  <c r="F151" i="1" s="1"/>
  <c r="G151" i="1" s="1"/>
  <c r="H152" i="1"/>
  <c r="F152" i="1" s="1"/>
  <c r="G152" i="1" s="1"/>
  <c r="H153" i="1"/>
  <c r="F153" i="1" s="1"/>
  <c r="G153" i="1" s="1"/>
  <c r="H154" i="1"/>
  <c r="F154" i="1" s="1"/>
  <c r="G154" i="1" s="1"/>
  <c r="H155" i="1"/>
  <c r="F155" i="1" s="1"/>
  <c r="G155" i="1" s="1"/>
  <c r="H156" i="1"/>
  <c r="F156" i="1" s="1"/>
  <c r="G156" i="1" s="1"/>
  <c r="H157" i="1"/>
  <c r="F157" i="1" s="1"/>
  <c r="G157" i="1" s="1"/>
  <c r="H158" i="1"/>
  <c r="F158" i="1" s="1"/>
  <c r="G158" i="1" s="1"/>
  <c r="H159" i="1"/>
  <c r="F159" i="1" s="1"/>
  <c r="G159" i="1" s="1"/>
  <c r="H160" i="1"/>
  <c r="F160" i="1" s="1"/>
  <c r="G160" i="1" s="1"/>
  <c r="H161" i="1"/>
  <c r="F161" i="1" s="1"/>
  <c r="G161" i="1" s="1"/>
  <c r="H162" i="1"/>
  <c r="F162" i="1" s="1"/>
  <c r="G162" i="1" s="1"/>
  <c r="H163" i="1"/>
  <c r="F163" i="1" s="1"/>
  <c r="G163" i="1" s="1"/>
  <c r="H164" i="1"/>
  <c r="F164" i="1" s="1"/>
  <c r="G164" i="1" s="1"/>
  <c r="H165" i="1"/>
  <c r="F165" i="1" s="1"/>
  <c r="G165" i="1" s="1"/>
  <c r="H166" i="1"/>
  <c r="F166" i="1" s="1"/>
  <c r="G166" i="1" s="1"/>
  <c r="H167" i="1"/>
  <c r="F167" i="1" s="1"/>
  <c r="G167" i="1" s="1"/>
  <c r="H168" i="1"/>
  <c r="F168" i="1" s="1"/>
  <c r="G168" i="1" s="1"/>
  <c r="H169" i="1"/>
  <c r="F169" i="1" s="1"/>
  <c r="G169" i="1" s="1"/>
  <c r="H170" i="1"/>
  <c r="F170" i="1" s="1"/>
  <c r="G170" i="1" s="1"/>
  <c r="H171" i="1"/>
  <c r="F171" i="1" s="1"/>
  <c r="G171" i="1" s="1"/>
  <c r="H172" i="1"/>
  <c r="F172" i="1" s="1"/>
  <c r="G172" i="1" s="1"/>
  <c r="H173" i="1"/>
  <c r="F173" i="1" s="1"/>
  <c r="G173" i="1" s="1"/>
  <c r="H174" i="1"/>
  <c r="F174" i="1" s="1"/>
  <c r="G174" i="1" s="1"/>
  <c r="H175" i="1"/>
  <c r="F175" i="1" s="1"/>
  <c r="G175" i="1" s="1"/>
  <c r="H176" i="1"/>
  <c r="F176" i="1" s="1"/>
  <c r="G176" i="1" s="1"/>
  <c r="H177" i="1"/>
  <c r="F177" i="1" s="1"/>
  <c r="G177" i="1" s="1"/>
  <c r="H178" i="1"/>
  <c r="F178" i="1" s="1"/>
  <c r="G178" i="1" s="1"/>
  <c r="H179" i="1"/>
  <c r="F179" i="1" s="1"/>
  <c r="G179" i="1" s="1"/>
  <c r="H180" i="1"/>
  <c r="F180" i="1" s="1"/>
  <c r="G180" i="1" s="1"/>
  <c r="H181" i="1"/>
  <c r="F181" i="1" s="1"/>
  <c r="G181" i="1" s="1"/>
  <c r="H182" i="1"/>
  <c r="F182" i="1" s="1"/>
  <c r="G182" i="1" s="1"/>
  <c r="H183" i="1"/>
  <c r="F183" i="1" s="1"/>
  <c r="G183" i="1" s="1"/>
  <c r="H184" i="1"/>
  <c r="F184" i="1" s="1"/>
  <c r="G184" i="1" s="1"/>
  <c r="H185" i="1"/>
  <c r="F185" i="1" s="1"/>
  <c r="G185" i="1" s="1"/>
  <c r="H186" i="1"/>
  <c r="F186" i="1" s="1"/>
  <c r="G186" i="1" s="1"/>
  <c r="H187" i="1"/>
  <c r="F187" i="1" s="1"/>
  <c r="G187" i="1" s="1"/>
  <c r="H188" i="1"/>
  <c r="F188" i="1" s="1"/>
  <c r="G188" i="1" s="1"/>
  <c r="H189" i="1"/>
  <c r="F189" i="1" s="1"/>
  <c r="G189" i="1" s="1"/>
  <c r="H190" i="1"/>
  <c r="F190" i="1" s="1"/>
  <c r="G190" i="1" s="1"/>
  <c r="H191" i="1"/>
  <c r="F191" i="1" s="1"/>
  <c r="G191" i="1" s="1"/>
  <c r="H192" i="1"/>
  <c r="F192" i="1" s="1"/>
  <c r="G192" i="1" s="1"/>
  <c r="H193" i="1"/>
  <c r="F193" i="1" s="1"/>
  <c r="G193" i="1" s="1"/>
  <c r="H194" i="1"/>
  <c r="F194" i="1" s="1"/>
  <c r="G194" i="1" s="1"/>
  <c r="H195" i="1"/>
  <c r="F195" i="1" s="1"/>
  <c r="G195" i="1" s="1"/>
  <c r="H196" i="1"/>
  <c r="F196" i="1" s="1"/>
  <c r="G196" i="1" s="1"/>
  <c r="H197" i="1"/>
  <c r="F197" i="1" s="1"/>
  <c r="G197" i="1" s="1"/>
  <c r="H198" i="1"/>
  <c r="F198" i="1" s="1"/>
  <c r="G198" i="1" s="1"/>
  <c r="H199" i="1"/>
  <c r="F199" i="1" s="1"/>
  <c r="G199" i="1" s="1"/>
  <c r="H200" i="1"/>
  <c r="F200" i="1" s="1"/>
  <c r="G200" i="1" s="1"/>
  <c r="H201" i="1"/>
  <c r="F201" i="1" s="1"/>
  <c r="G201" i="1" s="1"/>
  <c r="H202" i="1"/>
  <c r="F202" i="1" s="1"/>
  <c r="G202" i="1" s="1"/>
  <c r="H203" i="1"/>
  <c r="F203" i="1" s="1"/>
  <c r="G203" i="1" s="1"/>
  <c r="H204" i="1"/>
  <c r="F204" i="1" s="1"/>
  <c r="G204" i="1" s="1"/>
  <c r="H205" i="1"/>
  <c r="F205" i="1" s="1"/>
  <c r="G205" i="1" s="1"/>
  <c r="H206" i="1"/>
  <c r="F206" i="1" s="1"/>
  <c r="G206" i="1" s="1"/>
  <c r="H207" i="1"/>
  <c r="F207" i="1" s="1"/>
  <c r="G207" i="1" s="1"/>
  <c r="H208" i="1"/>
  <c r="F208" i="1" s="1"/>
  <c r="G208" i="1" s="1"/>
  <c r="H209" i="1"/>
  <c r="F209" i="1" s="1"/>
  <c r="G209" i="1" s="1"/>
  <c r="H210" i="1"/>
  <c r="F210" i="1" s="1"/>
  <c r="G210" i="1" s="1"/>
  <c r="H211" i="1"/>
  <c r="F211" i="1" s="1"/>
  <c r="G211" i="1" s="1"/>
  <c r="H212" i="1"/>
  <c r="F212" i="1" s="1"/>
  <c r="G212" i="1" s="1"/>
  <c r="H213" i="1"/>
  <c r="F213" i="1" s="1"/>
  <c r="G213" i="1" s="1"/>
  <c r="H214" i="1"/>
  <c r="F214" i="1" s="1"/>
  <c r="G214" i="1" s="1"/>
  <c r="H215" i="1"/>
  <c r="F215" i="1" s="1"/>
  <c r="G215" i="1" s="1"/>
  <c r="H216" i="1"/>
  <c r="F216" i="1" s="1"/>
  <c r="G216" i="1" s="1"/>
  <c r="H217" i="1"/>
  <c r="F217" i="1" s="1"/>
  <c r="G217" i="1" s="1"/>
  <c r="H218" i="1"/>
  <c r="F218" i="1" s="1"/>
  <c r="G218" i="1" s="1"/>
  <c r="H219" i="1"/>
  <c r="F219" i="1" s="1"/>
  <c r="G219" i="1" s="1"/>
  <c r="H220" i="1"/>
  <c r="F220" i="1" s="1"/>
  <c r="G220" i="1" s="1"/>
  <c r="H221" i="1"/>
  <c r="F221" i="1" s="1"/>
  <c r="G221" i="1" s="1"/>
  <c r="H222" i="1"/>
  <c r="F222" i="1" s="1"/>
  <c r="G222" i="1" s="1"/>
  <c r="H223" i="1"/>
  <c r="F223" i="1" s="1"/>
  <c r="G223" i="1" s="1"/>
  <c r="H224" i="1"/>
  <c r="F224" i="1" s="1"/>
  <c r="G224" i="1" s="1"/>
  <c r="H225" i="1"/>
  <c r="F225" i="1" s="1"/>
  <c r="G225" i="1" s="1"/>
  <c r="H226" i="1"/>
  <c r="F226" i="1" s="1"/>
  <c r="G226" i="1" s="1"/>
  <c r="H227" i="1"/>
  <c r="H228" i="1"/>
  <c r="F228" i="1" s="1"/>
  <c r="G228" i="1" s="1"/>
  <c r="H229" i="1"/>
  <c r="F229" i="1" s="1"/>
  <c r="G229" i="1" s="1"/>
  <c r="H230" i="1"/>
  <c r="F230" i="1" s="1"/>
  <c r="G230" i="1" s="1"/>
  <c r="H231" i="1"/>
  <c r="F231" i="1" s="1"/>
  <c r="G231" i="1" s="1"/>
  <c r="H232" i="1"/>
  <c r="F232" i="1" s="1"/>
  <c r="G232" i="1" s="1"/>
  <c r="H233" i="1"/>
  <c r="F233" i="1" s="1"/>
  <c r="G233" i="1" s="1"/>
  <c r="H234" i="1"/>
  <c r="F234" i="1" s="1"/>
  <c r="G234" i="1" s="1"/>
  <c r="H235" i="1"/>
  <c r="F235" i="1" s="1"/>
  <c r="G235" i="1" s="1"/>
  <c r="H236" i="1"/>
  <c r="F236" i="1" s="1"/>
  <c r="G236" i="1" s="1"/>
  <c r="H237" i="1"/>
  <c r="F237" i="1" s="1"/>
  <c r="G237" i="1" s="1"/>
  <c r="H238" i="1"/>
  <c r="F238" i="1" s="1"/>
  <c r="G238" i="1" s="1"/>
  <c r="H239" i="1"/>
  <c r="F239" i="1" s="1"/>
  <c r="G239" i="1" s="1"/>
  <c r="H240" i="1"/>
  <c r="F240" i="1" s="1"/>
  <c r="G240" i="1" s="1"/>
  <c r="H241" i="1"/>
  <c r="F241" i="1" s="1"/>
  <c r="G241" i="1" s="1"/>
  <c r="H242" i="1"/>
  <c r="F242" i="1" s="1"/>
  <c r="G242" i="1" s="1"/>
  <c r="H243" i="1"/>
  <c r="F243" i="1" s="1"/>
  <c r="G243" i="1" s="1"/>
  <c r="H244" i="1"/>
  <c r="F244" i="1" s="1"/>
  <c r="G244" i="1" s="1"/>
  <c r="H245" i="1"/>
  <c r="F245" i="1" s="1"/>
  <c r="G245" i="1" s="1"/>
  <c r="H246" i="1"/>
  <c r="F246" i="1" s="1"/>
  <c r="G246" i="1" s="1"/>
  <c r="H247" i="1"/>
  <c r="F247" i="1" s="1"/>
  <c r="G247" i="1" s="1"/>
  <c r="H248" i="1"/>
  <c r="F248" i="1" s="1"/>
  <c r="G248" i="1" s="1"/>
  <c r="H249" i="1"/>
  <c r="F249" i="1" s="1"/>
  <c r="G249" i="1" s="1"/>
  <c r="H250" i="1"/>
  <c r="F250" i="1" s="1"/>
  <c r="G250" i="1" s="1"/>
  <c r="H251" i="1"/>
  <c r="F251" i="1" s="1"/>
  <c r="G251" i="1" s="1"/>
  <c r="H252" i="1"/>
  <c r="F252" i="1" s="1"/>
  <c r="G252" i="1" s="1"/>
  <c r="H253" i="1"/>
  <c r="F253" i="1" s="1"/>
  <c r="G253" i="1" s="1"/>
  <c r="H254" i="1"/>
  <c r="F254" i="1" s="1"/>
  <c r="G254" i="1" s="1"/>
  <c r="H255" i="1"/>
  <c r="F255" i="1" s="1"/>
  <c r="G255" i="1" s="1"/>
  <c r="H256" i="1"/>
  <c r="F256" i="1" s="1"/>
  <c r="G256" i="1" s="1"/>
  <c r="H257" i="1"/>
  <c r="F257" i="1" s="1"/>
  <c r="G257" i="1" s="1"/>
  <c r="H258" i="1"/>
  <c r="F258" i="1" s="1"/>
  <c r="G258" i="1" s="1"/>
  <c r="H259" i="1"/>
  <c r="F259" i="1" s="1"/>
  <c r="G259" i="1" s="1"/>
  <c r="H260" i="1"/>
  <c r="F260" i="1" s="1"/>
  <c r="G260" i="1" s="1"/>
  <c r="H261" i="1"/>
  <c r="F261" i="1" s="1"/>
  <c r="G261" i="1" s="1"/>
  <c r="H262" i="1"/>
  <c r="F262" i="1" s="1"/>
  <c r="G262" i="1" s="1"/>
  <c r="H263" i="1"/>
  <c r="F263" i="1" s="1"/>
  <c r="G263" i="1" s="1"/>
  <c r="H264" i="1"/>
  <c r="F264" i="1" s="1"/>
  <c r="G264" i="1" s="1"/>
  <c r="H265" i="1"/>
  <c r="F265" i="1" s="1"/>
  <c r="G265" i="1" s="1"/>
  <c r="H266" i="1"/>
  <c r="F266" i="1" s="1"/>
  <c r="G266" i="1" s="1"/>
  <c r="H267" i="1"/>
  <c r="F267" i="1" s="1"/>
  <c r="G267" i="1" s="1"/>
  <c r="H268" i="1"/>
  <c r="F268" i="1" s="1"/>
  <c r="G268" i="1" s="1"/>
  <c r="H269" i="1"/>
  <c r="F269" i="1" s="1"/>
  <c r="G269" i="1" s="1"/>
  <c r="H270" i="1"/>
  <c r="F270" i="1" s="1"/>
  <c r="G270" i="1" s="1"/>
  <c r="H271" i="1"/>
  <c r="F271" i="1" s="1"/>
  <c r="G271" i="1" s="1"/>
  <c r="H272" i="1"/>
  <c r="F272" i="1" s="1"/>
  <c r="G272" i="1" s="1"/>
  <c r="H273" i="1"/>
  <c r="F273" i="1" s="1"/>
  <c r="G273" i="1" s="1"/>
  <c r="H274" i="1"/>
  <c r="F274" i="1" s="1"/>
  <c r="G274" i="1" s="1"/>
  <c r="H275" i="1"/>
  <c r="F275" i="1" s="1"/>
  <c r="G275" i="1" s="1"/>
  <c r="H276" i="1"/>
  <c r="F276" i="1" s="1"/>
  <c r="G276" i="1" s="1"/>
  <c r="H277" i="1"/>
  <c r="F277" i="1" s="1"/>
  <c r="G277" i="1" s="1"/>
  <c r="H278" i="1"/>
  <c r="F278" i="1" s="1"/>
  <c r="G278" i="1" s="1"/>
  <c r="H279" i="1"/>
  <c r="F279" i="1" s="1"/>
  <c r="G279" i="1" s="1"/>
  <c r="H280" i="1"/>
  <c r="F280" i="1" s="1"/>
  <c r="G280" i="1" s="1"/>
  <c r="H281" i="1"/>
  <c r="F281" i="1" s="1"/>
  <c r="G281" i="1" s="1"/>
  <c r="H282" i="1"/>
  <c r="F282" i="1" s="1"/>
  <c r="G282" i="1" s="1"/>
  <c r="H283" i="1"/>
  <c r="F283" i="1" s="1"/>
  <c r="G283" i="1" s="1"/>
  <c r="H284" i="1"/>
  <c r="F284" i="1" s="1"/>
  <c r="G284" i="1" s="1"/>
  <c r="H285" i="1"/>
  <c r="F285" i="1" s="1"/>
  <c r="G285" i="1" s="1"/>
  <c r="H286" i="1"/>
  <c r="F286" i="1" s="1"/>
  <c r="G286" i="1" s="1"/>
  <c r="H287" i="1"/>
  <c r="F287" i="1" s="1"/>
  <c r="G287" i="1" s="1"/>
  <c r="H288" i="1"/>
  <c r="F288" i="1" s="1"/>
  <c r="G288" i="1" s="1"/>
  <c r="H289" i="1"/>
  <c r="F289" i="1" s="1"/>
  <c r="G289" i="1" s="1"/>
  <c r="H290" i="1"/>
  <c r="F290" i="1" s="1"/>
  <c r="G290" i="1" s="1"/>
  <c r="H291" i="1"/>
  <c r="F291" i="1" s="1"/>
  <c r="G291" i="1" s="1"/>
  <c r="H292" i="1"/>
  <c r="F292" i="1" s="1"/>
  <c r="G292" i="1" s="1"/>
  <c r="H293" i="1"/>
  <c r="F293" i="1" s="1"/>
  <c r="G293" i="1" s="1"/>
  <c r="H294" i="1"/>
  <c r="F294" i="1" s="1"/>
  <c r="G294" i="1" s="1"/>
  <c r="H295" i="1"/>
  <c r="F295" i="1" s="1"/>
  <c r="G295" i="1" s="1"/>
  <c r="H296" i="1"/>
  <c r="F296" i="1" s="1"/>
  <c r="G296" i="1" s="1"/>
  <c r="H297" i="1"/>
  <c r="F297" i="1" s="1"/>
  <c r="G297" i="1" s="1"/>
  <c r="H298" i="1"/>
  <c r="F298" i="1" s="1"/>
  <c r="G298" i="1" s="1"/>
  <c r="H299" i="1"/>
  <c r="F299" i="1" s="1"/>
  <c r="G299" i="1" s="1"/>
  <c r="H300" i="1"/>
  <c r="F300" i="1" s="1"/>
  <c r="G300" i="1" s="1"/>
  <c r="H301" i="1"/>
  <c r="F301" i="1" s="1"/>
  <c r="G301" i="1" s="1"/>
  <c r="H302" i="1"/>
  <c r="F302" i="1" s="1"/>
  <c r="G302" i="1" s="1"/>
  <c r="H303" i="1"/>
  <c r="F303" i="1" s="1"/>
  <c r="G303" i="1" s="1"/>
  <c r="H304" i="1"/>
  <c r="F304" i="1" s="1"/>
  <c r="G304" i="1" s="1"/>
  <c r="H305" i="1"/>
  <c r="F305" i="1" s="1"/>
  <c r="G305" i="1" s="1"/>
  <c r="H306" i="1"/>
  <c r="F306" i="1" s="1"/>
  <c r="G306" i="1" s="1"/>
  <c r="H307" i="1"/>
  <c r="F307" i="1" s="1"/>
  <c r="G307" i="1" s="1"/>
  <c r="H308" i="1"/>
  <c r="F308" i="1" s="1"/>
  <c r="G308" i="1" s="1"/>
  <c r="H309" i="1"/>
  <c r="F309" i="1" s="1"/>
  <c r="G309" i="1" s="1"/>
  <c r="H310" i="1"/>
  <c r="F310" i="1" s="1"/>
  <c r="G310" i="1" s="1"/>
  <c r="H311" i="1"/>
  <c r="F311" i="1" s="1"/>
  <c r="G311" i="1" s="1"/>
  <c r="H312" i="1"/>
  <c r="F312" i="1" s="1"/>
  <c r="G312" i="1" s="1"/>
  <c r="H313" i="1"/>
  <c r="F313" i="1" s="1"/>
  <c r="G313" i="1" s="1"/>
  <c r="H314" i="1"/>
  <c r="F314" i="1" s="1"/>
  <c r="G314" i="1" s="1"/>
  <c r="H315" i="1"/>
  <c r="F315" i="1" s="1"/>
  <c r="G315" i="1" s="1"/>
  <c r="H316" i="1"/>
  <c r="F316" i="1" s="1"/>
  <c r="G316" i="1" s="1"/>
  <c r="H317" i="1"/>
  <c r="F317" i="1" s="1"/>
  <c r="G317" i="1" s="1"/>
  <c r="H318" i="1"/>
  <c r="F318" i="1" s="1"/>
  <c r="G318" i="1" s="1"/>
  <c r="H319" i="1"/>
  <c r="F319" i="1" s="1"/>
  <c r="G319" i="1" s="1"/>
  <c r="H320" i="1"/>
  <c r="F320" i="1" s="1"/>
  <c r="G320" i="1" s="1"/>
  <c r="H321" i="1"/>
  <c r="F321" i="1" s="1"/>
  <c r="G321" i="1" s="1"/>
  <c r="H322" i="1"/>
  <c r="F322" i="1" s="1"/>
  <c r="G322" i="1" s="1"/>
  <c r="H323" i="1"/>
  <c r="F323" i="1" s="1"/>
  <c r="G323" i="1" s="1"/>
  <c r="H324" i="1"/>
  <c r="F324" i="1" s="1"/>
  <c r="G324" i="1" s="1"/>
  <c r="H325" i="1"/>
  <c r="F325" i="1" s="1"/>
  <c r="G325" i="1" s="1"/>
  <c r="H326" i="1"/>
  <c r="F326" i="1" s="1"/>
  <c r="G326" i="1" s="1"/>
  <c r="H327" i="1"/>
  <c r="F327" i="1" s="1"/>
  <c r="G327" i="1" s="1"/>
  <c r="H328" i="1"/>
  <c r="F328" i="1" s="1"/>
  <c r="G328" i="1" s="1"/>
  <c r="H329" i="1"/>
  <c r="F329" i="1" s="1"/>
  <c r="G329" i="1" s="1"/>
  <c r="H330" i="1"/>
  <c r="F330" i="1" s="1"/>
  <c r="G330" i="1" s="1"/>
  <c r="H331" i="1"/>
  <c r="F331" i="1" s="1"/>
  <c r="G331" i="1" s="1"/>
  <c r="H332" i="1"/>
  <c r="F332" i="1" s="1"/>
  <c r="G332" i="1" s="1"/>
  <c r="H333" i="1"/>
  <c r="F333" i="1" s="1"/>
  <c r="G333" i="1" s="1"/>
  <c r="H334" i="1"/>
  <c r="F334" i="1" s="1"/>
  <c r="G334" i="1" s="1"/>
  <c r="H335" i="1"/>
  <c r="F335" i="1" s="1"/>
  <c r="G335" i="1" s="1"/>
  <c r="H336" i="1"/>
  <c r="F336" i="1" s="1"/>
  <c r="G336" i="1" s="1"/>
  <c r="H337" i="1"/>
  <c r="F337" i="1" s="1"/>
  <c r="G337" i="1" s="1"/>
  <c r="H338" i="1"/>
  <c r="F338" i="1" s="1"/>
  <c r="G338" i="1" s="1"/>
  <c r="H339" i="1"/>
  <c r="F339" i="1" s="1"/>
  <c r="G339" i="1" s="1"/>
  <c r="H340" i="1"/>
  <c r="F340" i="1" s="1"/>
  <c r="G340" i="1" s="1"/>
  <c r="H341" i="1"/>
  <c r="F341" i="1" s="1"/>
  <c r="G341" i="1" s="1"/>
  <c r="H342" i="1"/>
  <c r="F342" i="1" s="1"/>
  <c r="G342" i="1" s="1"/>
  <c r="H343" i="1"/>
  <c r="F343" i="1" s="1"/>
  <c r="G343" i="1" s="1"/>
  <c r="H344" i="1"/>
  <c r="F344" i="1" s="1"/>
  <c r="G344" i="1" s="1"/>
  <c r="H345" i="1"/>
  <c r="F345" i="1" s="1"/>
  <c r="G345" i="1" s="1"/>
  <c r="H346" i="1"/>
  <c r="F346" i="1" s="1"/>
  <c r="G346" i="1" s="1"/>
  <c r="H347" i="1"/>
  <c r="F347" i="1" s="1"/>
  <c r="G347" i="1" s="1"/>
  <c r="H348" i="1"/>
  <c r="F348" i="1" s="1"/>
  <c r="G348" i="1" s="1"/>
  <c r="H349" i="1"/>
  <c r="F349" i="1" s="1"/>
  <c r="G349" i="1" s="1"/>
  <c r="H350" i="1"/>
  <c r="F350" i="1" s="1"/>
  <c r="G350" i="1" s="1"/>
  <c r="H351" i="1"/>
  <c r="F351" i="1" s="1"/>
  <c r="G351" i="1" s="1"/>
  <c r="H352" i="1"/>
  <c r="F352" i="1" s="1"/>
  <c r="G352" i="1" s="1"/>
  <c r="H353" i="1"/>
  <c r="F353" i="1" s="1"/>
  <c r="G353" i="1" s="1"/>
  <c r="H354" i="1"/>
  <c r="F354" i="1" s="1"/>
  <c r="G354" i="1" s="1"/>
  <c r="H355" i="1"/>
  <c r="F355" i="1" s="1"/>
  <c r="G355" i="1" s="1"/>
  <c r="H356" i="1"/>
  <c r="F356" i="1" s="1"/>
  <c r="G356" i="1" s="1"/>
  <c r="H357" i="1"/>
  <c r="F357" i="1" s="1"/>
  <c r="G357" i="1" s="1"/>
  <c r="H358" i="1"/>
  <c r="F358" i="1" s="1"/>
  <c r="G358" i="1" s="1"/>
  <c r="H359" i="1"/>
  <c r="F359" i="1" s="1"/>
  <c r="G359" i="1" s="1"/>
  <c r="H360" i="1"/>
  <c r="F360" i="1" s="1"/>
  <c r="G360" i="1" s="1"/>
  <c r="H361" i="1"/>
  <c r="F361" i="1" s="1"/>
  <c r="G361" i="1" s="1"/>
  <c r="H362" i="1"/>
  <c r="F362" i="1" s="1"/>
  <c r="G362" i="1" s="1"/>
  <c r="H363" i="1"/>
  <c r="F363" i="1" s="1"/>
  <c r="G363" i="1" s="1"/>
  <c r="H364" i="1"/>
  <c r="F364" i="1" s="1"/>
  <c r="G364" i="1" s="1"/>
  <c r="H365" i="1"/>
  <c r="F365" i="1" s="1"/>
  <c r="G365" i="1" s="1"/>
  <c r="H366" i="1"/>
  <c r="F366" i="1" s="1"/>
  <c r="G366" i="1" s="1"/>
  <c r="H367" i="1"/>
  <c r="F367" i="1" s="1"/>
  <c r="G367" i="1" s="1"/>
  <c r="H368" i="1"/>
  <c r="F368" i="1" s="1"/>
  <c r="G368" i="1" s="1"/>
  <c r="H369" i="1"/>
  <c r="F369" i="1" s="1"/>
  <c r="G369" i="1" s="1"/>
  <c r="H370" i="1"/>
  <c r="F370" i="1" s="1"/>
  <c r="G370" i="1" s="1"/>
  <c r="H371" i="1"/>
  <c r="F371" i="1" s="1"/>
  <c r="G371" i="1" s="1"/>
  <c r="H372" i="1"/>
  <c r="F372" i="1" s="1"/>
  <c r="G372" i="1" s="1"/>
  <c r="H373" i="1"/>
  <c r="F373" i="1" s="1"/>
  <c r="G373" i="1" s="1"/>
  <c r="H374" i="1"/>
  <c r="F374" i="1" s="1"/>
  <c r="G374" i="1" s="1"/>
  <c r="H375" i="1"/>
  <c r="F375" i="1" s="1"/>
  <c r="G375" i="1" s="1"/>
  <c r="H376" i="1"/>
  <c r="F376" i="1" s="1"/>
  <c r="G376" i="1" s="1"/>
  <c r="H377" i="1"/>
  <c r="F377" i="1" s="1"/>
  <c r="G377" i="1" s="1"/>
  <c r="H378" i="1"/>
  <c r="F378" i="1" s="1"/>
  <c r="G378" i="1" s="1"/>
  <c r="H379" i="1"/>
  <c r="F379" i="1" s="1"/>
  <c r="G379" i="1" s="1"/>
  <c r="H380" i="1"/>
  <c r="F380" i="1" s="1"/>
  <c r="G380" i="1" s="1"/>
  <c r="H381" i="1"/>
  <c r="F381" i="1" s="1"/>
  <c r="G381" i="1" s="1"/>
  <c r="H382" i="1"/>
  <c r="F382" i="1" s="1"/>
  <c r="G382" i="1" s="1"/>
  <c r="H383" i="1"/>
  <c r="F383" i="1" s="1"/>
  <c r="G383" i="1" s="1"/>
  <c r="H384" i="1"/>
  <c r="F384" i="1" s="1"/>
  <c r="G384" i="1" s="1"/>
  <c r="H385" i="1"/>
  <c r="F385" i="1" s="1"/>
  <c r="G385" i="1" s="1"/>
  <c r="H386" i="1"/>
  <c r="F386" i="1" s="1"/>
  <c r="G386" i="1" s="1"/>
  <c r="H387" i="1"/>
  <c r="F387" i="1" s="1"/>
  <c r="G387" i="1" s="1"/>
  <c r="H388" i="1"/>
  <c r="F388" i="1" s="1"/>
  <c r="G388" i="1" s="1"/>
  <c r="H389" i="1"/>
  <c r="F389" i="1" s="1"/>
  <c r="G389" i="1" s="1"/>
  <c r="H390" i="1"/>
  <c r="F390" i="1" s="1"/>
  <c r="G390" i="1" s="1"/>
  <c r="H391" i="1"/>
  <c r="F391" i="1" s="1"/>
  <c r="G391" i="1" s="1"/>
  <c r="H392" i="1"/>
  <c r="F392" i="1" s="1"/>
  <c r="G392" i="1" s="1"/>
  <c r="H393" i="1"/>
  <c r="F393" i="1" s="1"/>
  <c r="G393" i="1" s="1"/>
  <c r="H394" i="1"/>
  <c r="F394" i="1" s="1"/>
  <c r="G394" i="1" s="1"/>
  <c r="H395" i="1"/>
  <c r="F395" i="1" s="1"/>
  <c r="G395" i="1" s="1"/>
  <c r="H396" i="1"/>
  <c r="F396" i="1" s="1"/>
  <c r="G396" i="1" s="1"/>
  <c r="H397" i="1"/>
  <c r="F397" i="1" s="1"/>
  <c r="G397" i="1" s="1"/>
  <c r="H398" i="1"/>
  <c r="F398" i="1" s="1"/>
  <c r="G398" i="1" s="1"/>
  <c r="H399" i="1"/>
  <c r="F399" i="1" s="1"/>
  <c r="G399" i="1" s="1"/>
  <c r="H400" i="1"/>
  <c r="F400" i="1" s="1"/>
  <c r="G400" i="1" s="1"/>
  <c r="H401" i="1"/>
  <c r="F401" i="1" s="1"/>
  <c r="G401" i="1" s="1"/>
  <c r="H402" i="1"/>
  <c r="F402" i="1" s="1"/>
  <c r="G402" i="1" s="1"/>
  <c r="H403" i="1"/>
  <c r="F403" i="1" s="1"/>
  <c r="G403" i="1" s="1"/>
  <c r="H404" i="1"/>
  <c r="F404" i="1" s="1"/>
  <c r="G404" i="1" s="1"/>
  <c r="H405" i="1"/>
  <c r="F405" i="1" s="1"/>
  <c r="G405" i="1" s="1"/>
  <c r="H406" i="1"/>
  <c r="F406" i="1" s="1"/>
  <c r="G406" i="1" s="1"/>
  <c r="H407" i="1"/>
  <c r="F407" i="1" s="1"/>
  <c r="G407" i="1" s="1"/>
  <c r="H408" i="1"/>
  <c r="F408" i="1" s="1"/>
  <c r="G408" i="1" s="1"/>
  <c r="H409" i="1"/>
  <c r="F409" i="1" s="1"/>
  <c r="G409" i="1" s="1"/>
  <c r="H410" i="1"/>
  <c r="F410" i="1" s="1"/>
  <c r="G410" i="1" s="1"/>
  <c r="H411" i="1"/>
  <c r="F411" i="1" s="1"/>
  <c r="G411" i="1" s="1"/>
  <c r="H412" i="1"/>
  <c r="F412" i="1" s="1"/>
  <c r="G412" i="1" s="1"/>
  <c r="H413" i="1"/>
  <c r="F413" i="1" s="1"/>
  <c r="G413" i="1" s="1"/>
  <c r="H414" i="1"/>
  <c r="F414" i="1" s="1"/>
  <c r="G414" i="1" s="1"/>
  <c r="H415" i="1"/>
  <c r="F415" i="1" s="1"/>
  <c r="G415" i="1" s="1"/>
  <c r="H416" i="1"/>
  <c r="F416" i="1" s="1"/>
  <c r="G416" i="1" s="1"/>
  <c r="H417" i="1"/>
  <c r="F417" i="1" s="1"/>
  <c r="G417" i="1" s="1"/>
  <c r="H418" i="1"/>
  <c r="F418" i="1" s="1"/>
  <c r="G418" i="1" s="1"/>
  <c r="H419" i="1"/>
  <c r="F419" i="1" s="1"/>
  <c r="G419" i="1" s="1"/>
  <c r="H420" i="1"/>
  <c r="F420" i="1" s="1"/>
  <c r="G420" i="1" s="1"/>
  <c r="H421" i="1"/>
  <c r="F421" i="1" s="1"/>
  <c r="G421" i="1" s="1"/>
  <c r="H422" i="1"/>
  <c r="F422" i="1" s="1"/>
  <c r="G422" i="1" s="1"/>
  <c r="H423" i="1"/>
  <c r="F423" i="1" s="1"/>
  <c r="G423" i="1" s="1"/>
  <c r="H424" i="1"/>
  <c r="F424" i="1" s="1"/>
  <c r="G424" i="1" s="1"/>
  <c r="H425" i="1"/>
  <c r="F425" i="1" s="1"/>
  <c r="G425" i="1" s="1"/>
  <c r="H426" i="1"/>
  <c r="F426" i="1" s="1"/>
  <c r="G426" i="1" s="1"/>
  <c r="H427" i="1"/>
  <c r="F427" i="1" s="1"/>
  <c r="G427" i="1" s="1"/>
  <c r="H428" i="1"/>
  <c r="F428" i="1" s="1"/>
  <c r="G428" i="1" s="1"/>
  <c r="H429" i="1"/>
  <c r="F429" i="1" s="1"/>
  <c r="G429" i="1" s="1"/>
  <c r="H430" i="1"/>
  <c r="F430" i="1" s="1"/>
  <c r="G430" i="1" s="1"/>
  <c r="H431" i="1"/>
  <c r="F431" i="1" s="1"/>
  <c r="G431" i="1" s="1"/>
  <c r="H432" i="1"/>
  <c r="F432" i="1" s="1"/>
  <c r="G432" i="1" s="1"/>
  <c r="H433" i="1"/>
  <c r="F433" i="1" s="1"/>
  <c r="G433" i="1" s="1"/>
  <c r="H434" i="1"/>
  <c r="F434" i="1" s="1"/>
  <c r="G434" i="1" s="1"/>
  <c r="H435" i="1"/>
  <c r="F435" i="1" s="1"/>
  <c r="G435" i="1" s="1"/>
  <c r="H436" i="1"/>
  <c r="F436" i="1" s="1"/>
  <c r="G436" i="1" s="1"/>
  <c r="H437" i="1"/>
  <c r="F437" i="1" s="1"/>
  <c r="G437" i="1" s="1"/>
  <c r="H438" i="1"/>
  <c r="F438" i="1" s="1"/>
  <c r="G438" i="1" s="1"/>
  <c r="H439" i="1"/>
  <c r="F439" i="1" s="1"/>
  <c r="G439" i="1" s="1"/>
  <c r="H440" i="1"/>
  <c r="F440" i="1" s="1"/>
  <c r="G440" i="1" s="1"/>
  <c r="H441" i="1"/>
  <c r="F441" i="1" s="1"/>
  <c r="G441" i="1" s="1"/>
  <c r="H442" i="1"/>
  <c r="F442" i="1" s="1"/>
  <c r="G442" i="1" s="1"/>
  <c r="H443" i="1"/>
  <c r="F443" i="1" s="1"/>
  <c r="G443" i="1" s="1"/>
  <c r="H444" i="1"/>
  <c r="F444" i="1" s="1"/>
  <c r="G444" i="1" s="1"/>
  <c r="H445" i="1"/>
  <c r="F445" i="1" s="1"/>
  <c r="G445" i="1" s="1"/>
  <c r="H446" i="1"/>
  <c r="F446" i="1" s="1"/>
  <c r="G446" i="1" s="1"/>
  <c r="H447" i="1"/>
  <c r="F447" i="1" s="1"/>
  <c r="G447" i="1" s="1"/>
  <c r="H448" i="1"/>
  <c r="F448" i="1" s="1"/>
  <c r="G448" i="1" s="1"/>
  <c r="H449" i="1"/>
  <c r="F449" i="1" s="1"/>
  <c r="G449" i="1" s="1"/>
  <c r="H450" i="1"/>
  <c r="F450" i="1" s="1"/>
  <c r="G450" i="1" s="1"/>
  <c r="H451" i="1"/>
  <c r="F451" i="1" s="1"/>
  <c r="G451" i="1" s="1"/>
  <c r="H452" i="1"/>
  <c r="F452" i="1" s="1"/>
  <c r="G452" i="1" s="1"/>
  <c r="H453" i="1"/>
  <c r="F453" i="1" s="1"/>
  <c r="G453" i="1" s="1"/>
  <c r="H454" i="1"/>
  <c r="F454" i="1" s="1"/>
  <c r="G454" i="1" s="1"/>
  <c r="H455" i="1"/>
  <c r="F455" i="1" s="1"/>
  <c r="G455" i="1" s="1"/>
  <c r="H456" i="1"/>
  <c r="F456" i="1" s="1"/>
  <c r="G456" i="1" s="1"/>
  <c r="H457" i="1"/>
  <c r="F457" i="1" s="1"/>
  <c r="G457" i="1" s="1"/>
  <c r="H458" i="1"/>
  <c r="F458" i="1" s="1"/>
  <c r="G458" i="1" s="1"/>
  <c r="H459" i="1"/>
  <c r="F459" i="1" s="1"/>
  <c r="G459" i="1" s="1"/>
  <c r="H460" i="1"/>
  <c r="F460" i="1" s="1"/>
  <c r="G460" i="1" s="1"/>
  <c r="H461" i="1"/>
  <c r="F461" i="1" s="1"/>
  <c r="G461" i="1" s="1"/>
  <c r="H462" i="1"/>
  <c r="F462" i="1" s="1"/>
  <c r="G462" i="1" s="1"/>
  <c r="H463" i="1"/>
  <c r="F463" i="1" s="1"/>
  <c r="G463" i="1" s="1"/>
  <c r="H464" i="1"/>
  <c r="F464" i="1" s="1"/>
  <c r="G464" i="1" s="1"/>
  <c r="H465" i="1"/>
  <c r="F465" i="1" s="1"/>
  <c r="G465" i="1" s="1"/>
  <c r="H466" i="1"/>
  <c r="F466" i="1" s="1"/>
  <c r="G466" i="1" s="1"/>
  <c r="H467" i="1"/>
  <c r="F467" i="1" s="1"/>
  <c r="G467" i="1" s="1"/>
  <c r="H468" i="1"/>
  <c r="F468" i="1" s="1"/>
  <c r="G468" i="1" s="1"/>
  <c r="H469" i="1"/>
  <c r="F469" i="1" s="1"/>
  <c r="G469" i="1" s="1"/>
  <c r="H470" i="1"/>
  <c r="F470" i="1" s="1"/>
  <c r="G470" i="1" s="1"/>
  <c r="H471" i="1"/>
  <c r="F471" i="1" s="1"/>
  <c r="G471" i="1" s="1"/>
  <c r="H472" i="1"/>
  <c r="F472" i="1" s="1"/>
  <c r="G472" i="1" s="1"/>
  <c r="H473" i="1"/>
  <c r="F473" i="1" s="1"/>
  <c r="G473" i="1" s="1"/>
  <c r="H474" i="1"/>
  <c r="F474" i="1" s="1"/>
  <c r="G474" i="1" s="1"/>
  <c r="H475" i="1"/>
  <c r="F475" i="1" s="1"/>
  <c r="G475" i="1" s="1"/>
  <c r="H476" i="1"/>
  <c r="F476" i="1" s="1"/>
  <c r="G476" i="1" s="1"/>
  <c r="H477" i="1"/>
  <c r="F477" i="1" s="1"/>
  <c r="G477" i="1" s="1"/>
  <c r="H478" i="1"/>
  <c r="F478" i="1" s="1"/>
  <c r="G478" i="1" s="1"/>
  <c r="H479" i="1"/>
  <c r="F479" i="1" s="1"/>
  <c r="G479" i="1" s="1"/>
  <c r="H480" i="1"/>
  <c r="F480" i="1" s="1"/>
  <c r="G480" i="1" s="1"/>
  <c r="H481" i="1"/>
  <c r="F481" i="1" s="1"/>
  <c r="G481" i="1" s="1"/>
  <c r="H482" i="1"/>
  <c r="F482" i="1" s="1"/>
  <c r="G482" i="1" s="1"/>
  <c r="H483" i="1"/>
  <c r="F483" i="1" s="1"/>
  <c r="G483" i="1" s="1"/>
  <c r="H484" i="1"/>
  <c r="F484" i="1" s="1"/>
  <c r="G484" i="1" s="1"/>
  <c r="H485" i="1"/>
  <c r="F485" i="1" s="1"/>
  <c r="G485" i="1" s="1"/>
  <c r="H486" i="1"/>
  <c r="F486" i="1" s="1"/>
  <c r="G486" i="1" s="1"/>
  <c r="H487" i="1"/>
  <c r="F487" i="1" s="1"/>
  <c r="G487" i="1" s="1"/>
  <c r="H488" i="1"/>
  <c r="F488" i="1" s="1"/>
  <c r="G488" i="1" s="1"/>
  <c r="H489" i="1"/>
  <c r="F489" i="1" s="1"/>
  <c r="G489" i="1" s="1"/>
  <c r="H490" i="1"/>
  <c r="F490" i="1" s="1"/>
  <c r="G490" i="1" s="1"/>
  <c r="H491" i="1"/>
  <c r="F491" i="1" s="1"/>
  <c r="G491" i="1" s="1"/>
  <c r="H492" i="1"/>
  <c r="F492" i="1" s="1"/>
  <c r="G492" i="1" s="1"/>
  <c r="H493" i="1"/>
  <c r="F493" i="1" s="1"/>
  <c r="G493" i="1" s="1"/>
  <c r="H494" i="1"/>
  <c r="F494" i="1" s="1"/>
  <c r="G494" i="1" s="1"/>
  <c r="H495" i="1"/>
  <c r="F495" i="1" s="1"/>
  <c r="G495" i="1" s="1"/>
  <c r="H496" i="1"/>
  <c r="F496" i="1" s="1"/>
  <c r="G496" i="1" s="1"/>
  <c r="H497" i="1"/>
  <c r="F497" i="1" s="1"/>
  <c r="G497" i="1" s="1"/>
  <c r="H498" i="1"/>
  <c r="F498" i="1" s="1"/>
  <c r="G498" i="1" s="1"/>
  <c r="H499" i="1"/>
  <c r="F499" i="1" s="1"/>
  <c r="G499" i="1" s="1"/>
  <c r="H500" i="1"/>
  <c r="F500" i="1" s="1"/>
  <c r="G500" i="1" s="1"/>
  <c r="H501" i="1"/>
  <c r="F501" i="1" s="1"/>
  <c r="G501" i="1" s="1"/>
  <c r="H502" i="1"/>
  <c r="F502" i="1" s="1"/>
  <c r="G502" i="1" s="1"/>
  <c r="H503" i="1"/>
  <c r="F503" i="1" s="1"/>
  <c r="G503" i="1" s="1"/>
  <c r="H504" i="1"/>
  <c r="F504" i="1" s="1"/>
  <c r="G504" i="1" s="1"/>
  <c r="H505" i="1"/>
  <c r="F505" i="1" s="1"/>
  <c r="G505" i="1" s="1"/>
  <c r="H506" i="1"/>
  <c r="F506" i="1" s="1"/>
  <c r="G506" i="1" s="1"/>
  <c r="H507" i="1"/>
  <c r="F507" i="1" s="1"/>
  <c r="G507" i="1" s="1"/>
  <c r="H508" i="1"/>
  <c r="F508" i="1" s="1"/>
  <c r="G508" i="1" s="1"/>
  <c r="H509" i="1"/>
  <c r="F509" i="1" s="1"/>
  <c r="G509" i="1" s="1"/>
  <c r="H510" i="1"/>
  <c r="F510" i="1" s="1"/>
  <c r="G510" i="1" s="1"/>
  <c r="H511" i="1"/>
  <c r="F511" i="1" s="1"/>
  <c r="G511" i="1" s="1"/>
  <c r="H512" i="1"/>
  <c r="F512" i="1" s="1"/>
  <c r="G512" i="1" s="1"/>
  <c r="H513" i="1"/>
  <c r="F513" i="1" s="1"/>
  <c r="G513" i="1" s="1"/>
  <c r="H514" i="1"/>
  <c r="F514" i="1" s="1"/>
  <c r="G514" i="1" s="1"/>
  <c r="H515" i="1"/>
  <c r="F515" i="1" s="1"/>
  <c r="G515" i="1" s="1"/>
  <c r="H516" i="1"/>
  <c r="F516" i="1" s="1"/>
  <c r="G516" i="1" s="1"/>
  <c r="H517" i="1"/>
  <c r="F517" i="1" s="1"/>
  <c r="G517" i="1" s="1"/>
  <c r="H518" i="1"/>
  <c r="F518" i="1" s="1"/>
  <c r="G518" i="1" s="1"/>
  <c r="H519" i="1"/>
  <c r="F519" i="1" s="1"/>
  <c r="G519" i="1" s="1"/>
  <c r="H520" i="1"/>
  <c r="F520" i="1" s="1"/>
  <c r="G520" i="1" s="1"/>
  <c r="H521" i="1"/>
  <c r="F521" i="1" s="1"/>
  <c r="G521" i="1" s="1"/>
  <c r="H522" i="1"/>
  <c r="F522" i="1" s="1"/>
  <c r="G522" i="1" s="1"/>
  <c r="H523" i="1"/>
  <c r="F523" i="1" s="1"/>
  <c r="G523" i="1" s="1"/>
  <c r="H524" i="1"/>
  <c r="F524" i="1" s="1"/>
  <c r="G524" i="1" s="1"/>
  <c r="H525" i="1"/>
  <c r="F525" i="1" s="1"/>
  <c r="G525" i="1" s="1"/>
  <c r="H526" i="1"/>
  <c r="F526" i="1" s="1"/>
  <c r="G526" i="1" s="1"/>
  <c r="H527" i="1"/>
  <c r="F527" i="1" s="1"/>
  <c r="G527" i="1" s="1"/>
  <c r="H528" i="1"/>
  <c r="F528" i="1" s="1"/>
  <c r="G528" i="1" s="1"/>
  <c r="H529" i="1"/>
  <c r="F529" i="1" s="1"/>
  <c r="G529" i="1" s="1"/>
  <c r="H530" i="1"/>
  <c r="F530" i="1" s="1"/>
  <c r="G530" i="1" s="1"/>
  <c r="H531" i="1"/>
  <c r="F531" i="1" s="1"/>
  <c r="G531" i="1" s="1"/>
  <c r="H532" i="1"/>
  <c r="F532" i="1" s="1"/>
  <c r="G532" i="1" s="1"/>
  <c r="H533" i="1"/>
  <c r="F533" i="1" s="1"/>
  <c r="G533" i="1" s="1"/>
  <c r="H534" i="1"/>
  <c r="F534" i="1" s="1"/>
  <c r="G534" i="1" s="1"/>
  <c r="H535" i="1"/>
  <c r="F535" i="1" s="1"/>
  <c r="G535" i="1" s="1"/>
  <c r="H536" i="1"/>
  <c r="F536" i="1" s="1"/>
  <c r="G536" i="1" s="1"/>
  <c r="H537" i="1"/>
  <c r="F537" i="1" s="1"/>
  <c r="G537" i="1" s="1"/>
  <c r="H538" i="1"/>
  <c r="F538" i="1" s="1"/>
  <c r="G538" i="1" s="1"/>
  <c r="H539" i="1"/>
  <c r="F539" i="1" s="1"/>
  <c r="G539" i="1" s="1"/>
  <c r="H540" i="1"/>
  <c r="F540" i="1" s="1"/>
  <c r="G540" i="1" s="1"/>
  <c r="H541" i="1"/>
  <c r="F541" i="1" s="1"/>
  <c r="G541" i="1" s="1"/>
  <c r="H542" i="1"/>
  <c r="F542" i="1" s="1"/>
  <c r="G542" i="1" s="1"/>
  <c r="H543" i="1"/>
  <c r="F543" i="1" s="1"/>
  <c r="G543" i="1" s="1"/>
  <c r="H544" i="1"/>
  <c r="F544" i="1" s="1"/>
  <c r="G544" i="1" s="1"/>
  <c r="H545" i="1"/>
  <c r="F545" i="1" s="1"/>
  <c r="G545" i="1" s="1"/>
  <c r="H546" i="1"/>
  <c r="F546" i="1" s="1"/>
  <c r="G546" i="1" s="1"/>
  <c r="H547" i="1"/>
  <c r="F547" i="1" s="1"/>
  <c r="G547" i="1" s="1"/>
  <c r="H548" i="1"/>
  <c r="F548" i="1" s="1"/>
  <c r="G548" i="1" s="1"/>
  <c r="H549" i="1"/>
  <c r="F549" i="1" s="1"/>
  <c r="G549" i="1" s="1"/>
  <c r="H550" i="1"/>
  <c r="F550" i="1" s="1"/>
  <c r="G550" i="1" s="1"/>
  <c r="H551" i="1"/>
  <c r="F551" i="1" s="1"/>
  <c r="G551" i="1" s="1"/>
  <c r="H552" i="1"/>
  <c r="F552" i="1" s="1"/>
  <c r="G552" i="1" s="1"/>
  <c r="H553" i="1"/>
  <c r="F553" i="1" s="1"/>
  <c r="G553" i="1" s="1"/>
  <c r="H554" i="1"/>
  <c r="F554" i="1" s="1"/>
  <c r="G554" i="1" s="1"/>
  <c r="H555" i="1"/>
  <c r="F555" i="1" s="1"/>
  <c r="G555" i="1" s="1"/>
  <c r="H556" i="1"/>
  <c r="F556" i="1" s="1"/>
  <c r="G556" i="1" s="1"/>
  <c r="H557" i="1"/>
  <c r="F557" i="1" s="1"/>
  <c r="G557" i="1" s="1"/>
  <c r="H558" i="1"/>
  <c r="F558" i="1" s="1"/>
  <c r="G558" i="1" s="1"/>
  <c r="H559" i="1"/>
  <c r="F559" i="1" s="1"/>
  <c r="G559" i="1" s="1"/>
  <c r="H560" i="1"/>
  <c r="F560" i="1" s="1"/>
  <c r="G560" i="1" s="1"/>
  <c r="H561" i="1"/>
  <c r="F561" i="1" s="1"/>
  <c r="G561" i="1" s="1"/>
  <c r="H562" i="1"/>
  <c r="F562" i="1" s="1"/>
  <c r="G562" i="1" s="1"/>
  <c r="H563" i="1"/>
  <c r="F563" i="1" s="1"/>
  <c r="G563" i="1" s="1"/>
  <c r="H564" i="1"/>
  <c r="F564" i="1" s="1"/>
  <c r="G564" i="1" s="1"/>
  <c r="H565" i="1"/>
  <c r="F565" i="1" s="1"/>
  <c r="G565" i="1" s="1"/>
  <c r="H566" i="1"/>
  <c r="F566" i="1" s="1"/>
  <c r="G566" i="1" s="1"/>
  <c r="H567" i="1"/>
  <c r="F567" i="1" s="1"/>
  <c r="G567" i="1" s="1"/>
  <c r="H568" i="1"/>
  <c r="F568" i="1" s="1"/>
  <c r="G568" i="1" s="1"/>
  <c r="H569" i="1"/>
  <c r="F569" i="1" s="1"/>
  <c r="G569" i="1" s="1"/>
  <c r="H570" i="1"/>
  <c r="F570" i="1" s="1"/>
  <c r="G570" i="1" s="1"/>
  <c r="H571" i="1"/>
  <c r="F571" i="1" s="1"/>
  <c r="G571" i="1" s="1"/>
  <c r="H572" i="1"/>
  <c r="F572" i="1" s="1"/>
  <c r="G572" i="1" s="1"/>
  <c r="H573" i="1"/>
  <c r="F573" i="1" s="1"/>
  <c r="G573" i="1" s="1"/>
  <c r="H574" i="1"/>
  <c r="F574" i="1" s="1"/>
  <c r="G574" i="1" s="1"/>
  <c r="H575" i="1"/>
  <c r="F575" i="1" s="1"/>
  <c r="G575" i="1" s="1"/>
  <c r="H576" i="1"/>
  <c r="F576" i="1" s="1"/>
  <c r="G576" i="1" s="1"/>
  <c r="H577" i="1"/>
  <c r="F577" i="1" s="1"/>
  <c r="G577" i="1" s="1"/>
  <c r="H578" i="1"/>
  <c r="F578" i="1" s="1"/>
  <c r="G578" i="1" s="1"/>
  <c r="H579" i="1"/>
  <c r="F579" i="1" s="1"/>
  <c r="G579" i="1" s="1"/>
  <c r="H580" i="1"/>
  <c r="F580" i="1" s="1"/>
  <c r="G580" i="1" s="1"/>
  <c r="H581" i="1"/>
  <c r="F581" i="1" s="1"/>
  <c r="G581" i="1" s="1"/>
  <c r="H582" i="1"/>
  <c r="F582" i="1" s="1"/>
  <c r="G582" i="1" s="1"/>
  <c r="H583" i="1"/>
  <c r="F583" i="1" s="1"/>
  <c r="G583" i="1" s="1"/>
  <c r="H584" i="1"/>
  <c r="F584" i="1" s="1"/>
  <c r="G584" i="1" s="1"/>
  <c r="H585" i="1"/>
  <c r="F585" i="1" s="1"/>
  <c r="G585" i="1" s="1"/>
  <c r="H586" i="1"/>
  <c r="F586" i="1" s="1"/>
  <c r="G586" i="1" s="1"/>
  <c r="H587" i="1"/>
  <c r="F587" i="1" s="1"/>
  <c r="G587" i="1" s="1"/>
  <c r="H588" i="1"/>
  <c r="F588" i="1" s="1"/>
  <c r="G588" i="1" s="1"/>
  <c r="H589" i="1"/>
  <c r="F589" i="1" s="1"/>
  <c r="G589" i="1" s="1"/>
  <c r="H590" i="1"/>
  <c r="F590" i="1" s="1"/>
  <c r="G590" i="1" s="1"/>
  <c r="H591" i="1"/>
  <c r="F591" i="1" s="1"/>
  <c r="G591" i="1" s="1"/>
  <c r="H592" i="1"/>
  <c r="F592" i="1" s="1"/>
  <c r="G592" i="1" s="1"/>
  <c r="H593" i="1"/>
  <c r="F593" i="1" s="1"/>
  <c r="G593" i="1" s="1"/>
  <c r="H594" i="1"/>
  <c r="F594" i="1" s="1"/>
  <c r="G594" i="1" s="1"/>
  <c r="H595" i="1"/>
  <c r="F595" i="1" s="1"/>
  <c r="G595" i="1" s="1"/>
  <c r="H596" i="1"/>
  <c r="F596" i="1" s="1"/>
  <c r="G596" i="1" s="1"/>
  <c r="H597" i="1"/>
  <c r="F597" i="1" s="1"/>
  <c r="G597" i="1" s="1"/>
  <c r="H598" i="1"/>
  <c r="F598" i="1" s="1"/>
  <c r="G598" i="1" s="1"/>
  <c r="H599" i="1"/>
  <c r="F599" i="1" s="1"/>
  <c r="G599" i="1" s="1"/>
  <c r="H600" i="1"/>
  <c r="F600" i="1" s="1"/>
  <c r="G600" i="1" s="1"/>
  <c r="H601" i="1"/>
  <c r="F601" i="1" s="1"/>
  <c r="G601" i="1" s="1"/>
  <c r="H602" i="1"/>
  <c r="F602" i="1" s="1"/>
  <c r="G602" i="1" s="1"/>
  <c r="H603" i="1"/>
  <c r="F603" i="1" s="1"/>
  <c r="G603" i="1" s="1"/>
  <c r="H604" i="1"/>
  <c r="F604" i="1" s="1"/>
  <c r="G604" i="1" s="1"/>
  <c r="H605" i="1"/>
  <c r="F605" i="1" s="1"/>
  <c r="G605" i="1" s="1"/>
  <c r="H606" i="1"/>
  <c r="F606" i="1" s="1"/>
  <c r="G606" i="1" s="1"/>
  <c r="H607" i="1"/>
  <c r="F607" i="1" s="1"/>
  <c r="G607" i="1" s="1"/>
  <c r="H608" i="1"/>
  <c r="F608" i="1" s="1"/>
  <c r="G608" i="1" s="1"/>
  <c r="H609" i="1"/>
  <c r="F609" i="1" s="1"/>
  <c r="G609" i="1" s="1"/>
  <c r="H610" i="1"/>
  <c r="F610" i="1" s="1"/>
  <c r="G610" i="1" s="1"/>
  <c r="H611" i="1"/>
  <c r="F611" i="1" s="1"/>
  <c r="G611" i="1" s="1"/>
  <c r="H612" i="1"/>
  <c r="F612" i="1" s="1"/>
  <c r="G612" i="1" s="1"/>
  <c r="H613" i="1"/>
  <c r="F613" i="1" s="1"/>
  <c r="G613" i="1" s="1"/>
  <c r="H614" i="1"/>
  <c r="F614" i="1" s="1"/>
  <c r="G614" i="1" s="1"/>
  <c r="H615" i="1"/>
  <c r="F615" i="1" s="1"/>
  <c r="G615" i="1" s="1"/>
  <c r="H616" i="1"/>
  <c r="F616" i="1" s="1"/>
  <c r="G616" i="1" s="1"/>
  <c r="H617" i="1"/>
  <c r="F617" i="1" s="1"/>
  <c r="G617" i="1" s="1"/>
  <c r="H618" i="1"/>
  <c r="F618" i="1" s="1"/>
  <c r="G618" i="1" s="1"/>
  <c r="H619" i="1"/>
  <c r="F619" i="1" s="1"/>
  <c r="G619" i="1" s="1"/>
  <c r="H620" i="1"/>
  <c r="F620" i="1" s="1"/>
  <c r="G620" i="1" s="1"/>
  <c r="H621" i="1"/>
  <c r="F621" i="1" s="1"/>
  <c r="G621" i="1" s="1"/>
  <c r="H622" i="1"/>
  <c r="F622" i="1" s="1"/>
  <c r="G622" i="1" s="1"/>
  <c r="H623" i="1"/>
  <c r="F623" i="1" s="1"/>
  <c r="G623" i="1" s="1"/>
  <c r="H624" i="1"/>
  <c r="F624" i="1" s="1"/>
  <c r="G624" i="1" s="1"/>
  <c r="H625" i="1"/>
  <c r="F625" i="1" s="1"/>
  <c r="G625" i="1" s="1"/>
  <c r="H626" i="1"/>
  <c r="F626" i="1" s="1"/>
  <c r="G626" i="1" s="1"/>
  <c r="H627" i="1"/>
  <c r="F627" i="1" s="1"/>
  <c r="G627" i="1" s="1"/>
  <c r="H628" i="1"/>
  <c r="F628" i="1" s="1"/>
  <c r="G628" i="1" s="1"/>
  <c r="H629" i="1"/>
  <c r="F629" i="1" s="1"/>
  <c r="G629" i="1" s="1"/>
  <c r="H630" i="1"/>
  <c r="F630" i="1" s="1"/>
  <c r="G630" i="1" s="1"/>
  <c r="H631" i="1"/>
  <c r="F631" i="1" s="1"/>
  <c r="G631" i="1" s="1"/>
  <c r="H632" i="1"/>
  <c r="F632" i="1" s="1"/>
  <c r="G632" i="1" s="1"/>
  <c r="H633" i="1"/>
  <c r="F633" i="1" s="1"/>
  <c r="G633" i="1" s="1"/>
  <c r="H2" i="1"/>
  <c r="F2" i="1" s="1"/>
  <c r="G2" i="1" s="1"/>
  <c r="F3" i="1"/>
  <c r="G3" i="1" s="1"/>
  <c r="F4" i="1"/>
  <c r="G4" i="1" s="1"/>
  <c r="F5" i="1"/>
  <c r="G5" i="1" s="1"/>
  <c r="F6" i="1"/>
  <c r="G6" i="1" s="1"/>
  <c r="F7" i="1"/>
  <c r="G7" i="1" s="1"/>
  <c r="F8" i="1"/>
  <c r="G8" i="1" s="1"/>
  <c r="F9" i="1"/>
  <c r="G9" i="1" s="1"/>
  <c r="F10" i="1"/>
  <c r="G10" i="1" s="1"/>
  <c r="F11" i="1"/>
  <c r="G11" i="1" s="1"/>
  <c r="F12" i="1"/>
  <c r="G12" i="1" s="1"/>
  <c r="F13" i="1"/>
  <c r="G13" i="1" s="1"/>
  <c r="F14" i="1"/>
  <c r="G14" i="1" s="1"/>
  <c r="F15" i="1"/>
  <c r="G15" i="1" s="1"/>
  <c r="F16" i="1"/>
  <c r="G16" i="1" s="1"/>
  <c r="F17" i="1"/>
  <c r="G17" i="1" s="1"/>
  <c r="F18" i="1"/>
  <c r="G18" i="1" s="1"/>
  <c r="F19" i="1"/>
  <c r="G19" i="1" s="1"/>
  <c r="F20" i="1"/>
  <c r="G20" i="1" s="1"/>
  <c r="F21" i="1"/>
  <c r="G21" i="1" s="1"/>
  <c r="F22" i="1"/>
  <c r="G22" i="1" s="1"/>
  <c r="F23" i="1"/>
  <c r="G23" i="1" s="1"/>
  <c r="F24" i="1"/>
  <c r="G24" i="1" s="1"/>
  <c r="F25" i="1"/>
  <c r="G25" i="1" s="1"/>
  <c r="F26" i="1"/>
  <c r="G26" i="1" s="1"/>
  <c r="F27" i="1"/>
  <c r="G27" i="1" s="1"/>
  <c r="F28" i="1"/>
  <c r="G28" i="1" s="1"/>
  <c r="F29" i="1"/>
  <c r="G29" i="1" s="1"/>
  <c r="F227" i="1"/>
  <c r="G227" i="1" s="1"/>
  <c r="X2" i="1"/>
  <c r="Y2" i="1" s="1"/>
  <c r="X55" i="1"/>
  <c r="Y55" i="1" s="1"/>
  <c r="X56" i="1"/>
  <c r="Y56" i="1" s="1"/>
  <c r="X57" i="1"/>
  <c r="Y57" i="1" s="1"/>
  <c r="X58" i="1"/>
  <c r="Y58" i="1" s="1"/>
  <c r="X59" i="1"/>
  <c r="Y59" i="1" s="1"/>
  <c r="X60" i="1"/>
  <c r="Y60" i="1" s="1"/>
  <c r="X61" i="1"/>
  <c r="Y61" i="1" s="1"/>
  <c r="X62" i="1"/>
  <c r="Y62" i="1" s="1"/>
  <c r="X63" i="1"/>
  <c r="Y63" i="1" s="1"/>
  <c r="X64" i="1"/>
  <c r="Y64" i="1" s="1"/>
  <c r="X65" i="1"/>
  <c r="Y65" i="1" s="1"/>
  <c r="X66" i="1"/>
  <c r="Y66" i="1" s="1"/>
  <c r="X67" i="1"/>
  <c r="Y67" i="1" s="1"/>
  <c r="X68" i="1"/>
  <c r="Y68" i="1" s="1"/>
  <c r="X69" i="1"/>
  <c r="Y69" i="1" s="1"/>
  <c r="X70" i="1"/>
  <c r="Y70" i="1" s="1"/>
  <c r="X71" i="1"/>
  <c r="Y71" i="1" s="1"/>
  <c r="X72" i="1"/>
  <c r="Y72" i="1" s="1"/>
  <c r="X73" i="1"/>
  <c r="Y73" i="1" s="1"/>
  <c r="X74" i="1"/>
  <c r="Y74" i="1" s="1"/>
  <c r="X75" i="1"/>
  <c r="Y75" i="1" s="1"/>
  <c r="X76" i="1"/>
  <c r="Y76" i="1" s="1"/>
  <c r="X77" i="1"/>
  <c r="Y77" i="1" s="1"/>
  <c r="X78" i="1"/>
  <c r="Y78" i="1" s="1"/>
  <c r="X79" i="1"/>
  <c r="Y79" i="1" s="1"/>
  <c r="X80" i="1"/>
  <c r="Y80" i="1" s="1"/>
  <c r="X81" i="1"/>
  <c r="Y81" i="1" s="1"/>
  <c r="X82" i="1"/>
  <c r="Y82" i="1" s="1"/>
  <c r="X83" i="1"/>
  <c r="Y83" i="1" s="1"/>
  <c r="X84" i="1"/>
  <c r="Y84" i="1" s="1"/>
  <c r="X85" i="1"/>
  <c r="Y85" i="1" s="1"/>
  <c r="X86" i="1"/>
  <c r="Y86" i="1" s="1"/>
  <c r="X87" i="1"/>
  <c r="Y87" i="1" s="1"/>
  <c r="X88" i="1"/>
  <c r="Y88" i="1" s="1"/>
  <c r="X89" i="1"/>
  <c r="Y89" i="1" s="1"/>
  <c r="X90" i="1"/>
  <c r="Y90" i="1" s="1"/>
  <c r="X91" i="1"/>
  <c r="Y91" i="1" s="1"/>
  <c r="X92" i="1"/>
  <c r="Y92" i="1" s="1"/>
  <c r="X93" i="1"/>
  <c r="Y93" i="1" s="1"/>
  <c r="X94" i="1"/>
  <c r="Y94" i="1" s="1"/>
  <c r="X95" i="1"/>
  <c r="Y95" i="1" s="1"/>
  <c r="X96" i="1"/>
  <c r="Y96" i="1" s="1"/>
  <c r="X97" i="1"/>
  <c r="Y97" i="1" s="1"/>
  <c r="X98" i="1"/>
  <c r="Y98" i="1" s="1"/>
  <c r="X99" i="1"/>
  <c r="Y99" i="1" s="1"/>
  <c r="X100" i="1"/>
  <c r="Y100" i="1" s="1"/>
  <c r="X101" i="1"/>
  <c r="Y101" i="1" s="1"/>
  <c r="X102" i="1"/>
  <c r="Y102" i="1" s="1"/>
  <c r="X103" i="1"/>
  <c r="Y103" i="1" s="1"/>
  <c r="X104" i="1"/>
  <c r="Y104" i="1" s="1"/>
  <c r="X105" i="1"/>
  <c r="Y105" i="1" s="1"/>
  <c r="X106" i="1"/>
  <c r="Y106" i="1" s="1"/>
  <c r="X107" i="1"/>
  <c r="Y107" i="1" s="1"/>
  <c r="X108" i="1"/>
  <c r="Y108" i="1" s="1"/>
  <c r="X109" i="1"/>
  <c r="Y109" i="1" s="1"/>
  <c r="X110" i="1"/>
  <c r="Y110" i="1" s="1"/>
  <c r="X111" i="1"/>
  <c r="Y111" i="1" s="1"/>
  <c r="X112" i="1"/>
  <c r="Y112" i="1" s="1"/>
  <c r="X113" i="1"/>
  <c r="Y113" i="1" s="1"/>
  <c r="X114" i="1"/>
  <c r="Y114" i="1" s="1"/>
  <c r="X115" i="1"/>
  <c r="Y115" i="1" s="1"/>
  <c r="X116" i="1"/>
  <c r="Y116" i="1" s="1"/>
  <c r="X117" i="1"/>
  <c r="Y117" i="1" s="1"/>
  <c r="X118" i="1"/>
  <c r="Y118" i="1" s="1"/>
  <c r="X119" i="1"/>
  <c r="Y119" i="1" s="1"/>
  <c r="X120" i="1"/>
  <c r="Y120" i="1" s="1"/>
  <c r="X121" i="1"/>
  <c r="Y121" i="1" s="1"/>
  <c r="X122" i="1"/>
  <c r="Y122" i="1" s="1"/>
  <c r="X123" i="1"/>
  <c r="Y123" i="1" s="1"/>
  <c r="X124" i="1"/>
  <c r="Y124" i="1" s="1"/>
  <c r="X125" i="1"/>
  <c r="Y125" i="1" s="1"/>
  <c r="X126" i="1"/>
  <c r="Y126" i="1" s="1"/>
  <c r="X127" i="1"/>
  <c r="Y127" i="1" s="1"/>
  <c r="X128" i="1"/>
  <c r="Y128" i="1" s="1"/>
  <c r="X129" i="1"/>
  <c r="Y129" i="1" s="1"/>
  <c r="X130" i="1"/>
  <c r="Y130" i="1" s="1"/>
  <c r="X131" i="1"/>
  <c r="Y131" i="1" s="1"/>
  <c r="X132" i="1"/>
  <c r="Y132" i="1" s="1"/>
  <c r="X133" i="1"/>
  <c r="Y133" i="1" s="1"/>
  <c r="X134" i="1"/>
  <c r="Y134" i="1" s="1"/>
  <c r="X135" i="1"/>
  <c r="Y135" i="1" s="1"/>
  <c r="X136" i="1"/>
  <c r="Y136" i="1" s="1"/>
  <c r="X137" i="1"/>
  <c r="Y137" i="1" s="1"/>
  <c r="X138" i="1"/>
  <c r="Y138" i="1" s="1"/>
  <c r="X139" i="1"/>
  <c r="Y139" i="1" s="1"/>
  <c r="X140" i="1"/>
  <c r="Y140" i="1" s="1"/>
  <c r="X141" i="1"/>
  <c r="Y141" i="1" s="1"/>
  <c r="X142" i="1"/>
  <c r="Y142" i="1" s="1"/>
  <c r="X143" i="1"/>
  <c r="Y143" i="1" s="1"/>
  <c r="X144" i="1"/>
  <c r="Y144" i="1" s="1"/>
  <c r="X145" i="1"/>
  <c r="Y145" i="1" s="1"/>
  <c r="X146" i="1"/>
  <c r="Y146" i="1" s="1"/>
  <c r="X147" i="1"/>
  <c r="Y147" i="1" s="1"/>
  <c r="X148" i="1"/>
  <c r="Y148" i="1" s="1"/>
  <c r="X149" i="1"/>
  <c r="Y149" i="1" s="1"/>
  <c r="X150" i="1"/>
  <c r="Y150" i="1" s="1"/>
  <c r="X151" i="1"/>
  <c r="Y151" i="1" s="1"/>
  <c r="X152" i="1"/>
  <c r="Y152" i="1" s="1"/>
  <c r="X153" i="1"/>
  <c r="Y153" i="1" s="1"/>
  <c r="X154" i="1"/>
  <c r="Y154" i="1" s="1"/>
  <c r="X155" i="1"/>
  <c r="Y155" i="1" s="1"/>
  <c r="X156" i="1"/>
  <c r="Y156" i="1" s="1"/>
  <c r="X157" i="1"/>
  <c r="Y157" i="1" s="1"/>
  <c r="X158" i="1"/>
  <c r="Y158" i="1" s="1"/>
  <c r="X159" i="1"/>
  <c r="Y159" i="1" s="1"/>
  <c r="X160" i="1"/>
  <c r="Y160" i="1" s="1"/>
  <c r="X161" i="1"/>
  <c r="Y161" i="1" s="1"/>
  <c r="X162" i="1"/>
  <c r="Y162" i="1" s="1"/>
  <c r="X163" i="1"/>
  <c r="Y163" i="1" s="1"/>
  <c r="X164" i="1"/>
  <c r="Y164" i="1" s="1"/>
  <c r="X165" i="1"/>
  <c r="Y165" i="1" s="1"/>
  <c r="X166" i="1"/>
  <c r="Y166" i="1" s="1"/>
  <c r="X167" i="1"/>
  <c r="Y167" i="1" s="1"/>
  <c r="X168" i="1"/>
  <c r="Y168" i="1" s="1"/>
  <c r="X169" i="1"/>
  <c r="Y169" i="1" s="1"/>
  <c r="X170" i="1"/>
  <c r="Y170" i="1" s="1"/>
  <c r="X171" i="1"/>
  <c r="Y171" i="1" s="1"/>
  <c r="X172" i="1"/>
  <c r="Y172" i="1" s="1"/>
  <c r="X173" i="1"/>
  <c r="Y173" i="1" s="1"/>
  <c r="X174" i="1"/>
  <c r="Y174" i="1" s="1"/>
  <c r="X175" i="1"/>
  <c r="Y175" i="1" s="1"/>
  <c r="X176" i="1"/>
  <c r="Y176" i="1" s="1"/>
  <c r="X177" i="1"/>
  <c r="Y177" i="1" s="1"/>
  <c r="X178" i="1"/>
  <c r="Y178" i="1" s="1"/>
  <c r="X179" i="1"/>
  <c r="Y179" i="1" s="1"/>
  <c r="X180" i="1"/>
  <c r="Y180" i="1" s="1"/>
  <c r="X181" i="1"/>
  <c r="Y181" i="1" s="1"/>
  <c r="X182" i="1"/>
  <c r="Y182" i="1" s="1"/>
  <c r="X183" i="1"/>
  <c r="Y183" i="1" s="1"/>
  <c r="X184" i="1"/>
  <c r="Y184" i="1" s="1"/>
  <c r="X185" i="1"/>
  <c r="Y185" i="1" s="1"/>
  <c r="X186" i="1"/>
  <c r="Y186" i="1" s="1"/>
  <c r="X187" i="1"/>
  <c r="Y187" i="1" s="1"/>
  <c r="X188" i="1"/>
  <c r="Y188" i="1" s="1"/>
  <c r="X189" i="1"/>
  <c r="Y189" i="1" s="1"/>
  <c r="X190" i="1"/>
  <c r="Y190" i="1" s="1"/>
  <c r="X191" i="1"/>
  <c r="Y191" i="1" s="1"/>
  <c r="X192" i="1"/>
  <c r="Y192" i="1" s="1"/>
  <c r="X193" i="1"/>
  <c r="Y193" i="1" s="1"/>
  <c r="X194" i="1"/>
  <c r="Y194" i="1" s="1"/>
  <c r="X195" i="1"/>
  <c r="Y195" i="1" s="1"/>
  <c r="X196" i="1"/>
  <c r="Y196" i="1" s="1"/>
  <c r="X197" i="1"/>
  <c r="Y197" i="1" s="1"/>
  <c r="X198" i="1"/>
  <c r="Y198" i="1" s="1"/>
  <c r="X199" i="1"/>
  <c r="Y199" i="1" s="1"/>
  <c r="X200" i="1"/>
  <c r="Y200" i="1" s="1"/>
  <c r="X201" i="1"/>
  <c r="Y201" i="1" s="1"/>
  <c r="X202" i="1"/>
  <c r="Y202" i="1" s="1"/>
  <c r="X203" i="1"/>
  <c r="Y203" i="1" s="1"/>
  <c r="X204" i="1"/>
  <c r="Y204" i="1" s="1"/>
  <c r="X205" i="1"/>
  <c r="Y205" i="1" s="1"/>
  <c r="X206" i="1"/>
  <c r="Y206" i="1" s="1"/>
  <c r="X207" i="1"/>
  <c r="Y207" i="1" s="1"/>
  <c r="X208" i="1"/>
  <c r="Y208" i="1" s="1"/>
  <c r="X209" i="1"/>
  <c r="Y209" i="1" s="1"/>
  <c r="X210" i="1"/>
  <c r="Y210" i="1" s="1"/>
  <c r="X211" i="1"/>
  <c r="Y211" i="1" s="1"/>
  <c r="X212" i="1"/>
  <c r="Y212" i="1" s="1"/>
  <c r="X213" i="1"/>
  <c r="Y213" i="1" s="1"/>
  <c r="X214" i="1"/>
  <c r="Y214" i="1" s="1"/>
  <c r="X215" i="1"/>
  <c r="Y215" i="1" s="1"/>
  <c r="X216" i="1"/>
  <c r="Y216" i="1" s="1"/>
  <c r="X217" i="1"/>
  <c r="Y217" i="1" s="1"/>
  <c r="X218" i="1"/>
  <c r="Y218" i="1" s="1"/>
  <c r="X219" i="1"/>
  <c r="Y219" i="1" s="1"/>
  <c r="X220" i="1"/>
  <c r="Y220" i="1" s="1"/>
  <c r="X221" i="1"/>
  <c r="Y221" i="1" s="1"/>
  <c r="X222" i="1"/>
  <c r="Y222" i="1" s="1"/>
  <c r="X223" i="1"/>
  <c r="Y223" i="1" s="1"/>
  <c r="X224" i="1"/>
  <c r="Y224" i="1" s="1"/>
  <c r="X225" i="1"/>
  <c r="Y225" i="1" s="1"/>
  <c r="X226" i="1"/>
  <c r="Y226" i="1" s="1"/>
  <c r="X227" i="1"/>
  <c r="Y227" i="1" s="1"/>
  <c r="X228" i="1"/>
  <c r="Y228" i="1" s="1"/>
  <c r="X229" i="1"/>
  <c r="Y229" i="1" s="1"/>
  <c r="X230" i="1"/>
  <c r="Y230" i="1" s="1"/>
  <c r="X231" i="1"/>
  <c r="Y231" i="1" s="1"/>
  <c r="X232" i="1"/>
  <c r="Y232" i="1" s="1"/>
  <c r="X233" i="1"/>
  <c r="Y233" i="1" s="1"/>
  <c r="X234" i="1"/>
  <c r="Y234" i="1" s="1"/>
  <c r="X235" i="1"/>
  <c r="Y235" i="1" s="1"/>
  <c r="X236" i="1"/>
  <c r="Y236" i="1" s="1"/>
  <c r="X237" i="1"/>
  <c r="Y237" i="1" s="1"/>
  <c r="X238" i="1"/>
  <c r="Y238" i="1" s="1"/>
  <c r="X239" i="1"/>
  <c r="Y239" i="1" s="1"/>
  <c r="X240" i="1"/>
  <c r="Y240" i="1" s="1"/>
  <c r="X241" i="1"/>
  <c r="Y241" i="1" s="1"/>
  <c r="X242" i="1"/>
  <c r="Y242" i="1" s="1"/>
  <c r="X243" i="1"/>
  <c r="Y243" i="1" s="1"/>
  <c r="X244" i="1"/>
  <c r="Y244" i="1" s="1"/>
  <c r="X245" i="1"/>
  <c r="Y245" i="1" s="1"/>
  <c r="X246" i="1"/>
  <c r="Y246" i="1" s="1"/>
  <c r="X247" i="1"/>
  <c r="Y247" i="1" s="1"/>
  <c r="X248" i="1"/>
  <c r="Y248" i="1" s="1"/>
  <c r="X249" i="1"/>
  <c r="Y249" i="1" s="1"/>
  <c r="X250" i="1"/>
  <c r="Y250" i="1" s="1"/>
  <c r="X251" i="1"/>
  <c r="Y251" i="1" s="1"/>
  <c r="X252" i="1"/>
  <c r="Y252" i="1" s="1"/>
  <c r="X253" i="1"/>
  <c r="Y253" i="1" s="1"/>
  <c r="X254" i="1"/>
  <c r="Y254" i="1" s="1"/>
  <c r="X255" i="1"/>
  <c r="Y255" i="1" s="1"/>
  <c r="X256" i="1"/>
  <c r="Y256" i="1" s="1"/>
  <c r="X257" i="1"/>
  <c r="Y257" i="1" s="1"/>
  <c r="X258" i="1"/>
  <c r="Y258" i="1" s="1"/>
  <c r="X259" i="1"/>
  <c r="Y259" i="1" s="1"/>
  <c r="X260" i="1"/>
  <c r="Y260" i="1" s="1"/>
  <c r="X261" i="1"/>
  <c r="Y261" i="1" s="1"/>
  <c r="X262" i="1"/>
  <c r="Y262" i="1" s="1"/>
  <c r="X263" i="1"/>
  <c r="Y263" i="1" s="1"/>
  <c r="X264" i="1"/>
  <c r="Y264" i="1" s="1"/>
  <c r="X265" i="1"/>
  <c r="Y265" i="1" s="1"/>
  <c r="X266" i="1"/>
  <c r="Y266" i="1" s="1"/>
  <c r="X267" i="1"/>
  <c r="Y267" i="1" s="1"/>
  <c r="X268" i="1"/>
  <c r="Y268" i="1" s="1"/>
  <c r="X269" i="1"/>
  <c r="Y269" i="1" s="1"/>
  <c r="X270" i="1"/>
  <c r="Y270" i="1" s="1"/>
  <c r="X271" i="1"/>
  <c r="Y271" i="1" s="1"/>
  <c r="X272" i="1"/>
  <c r="Y272" i="1" s="1"/>
  <c r="X273" i="1"/>
  <c r="Y273" i="1" s="1"/>
  <c r="X274" i="1"/>
  <c r="Y274" i="1" s="1"/>
  <c r="X275" i="1"/>
  <c r="Y275" i="1" s="1"/>
  <c r="X276" i="1"/>
  <c r="Y276" i="1" s="1"/>
  <c r="X277" i="1"/>
  <c r="Y277" i="1" s="1"/>
  <c r="X278" i="1"/>
  <c r="Y278" i="1" s="1"/>
  <c r="X279" i="1"/>
  <c r="Y279" i="1" s="1"/>
  <c r="X280" i="1"/>
  <c r="Y280" i="1" s="1"/>
  <c r="X281" i="1"/>
  <c r="Y281" i="1" s="1"/>
  <c r="X282" i="1"/>
  <c r="Y282" i="1" s="1"/>
  <c r="X283" i="1"/>
  <c r="Y283" i="1" s="1"/>
  <c r="X284" i="1"/>
  <c r="Y284" i="1" s="1"/>
  <c r="X285" i="1"/>
  <c r="Y285" i="1" s="1"/>
  <c r="X286" i="1"/>
  <c r="Y286" i="1" s="1"/>
  <c r="X287" i="1"/>
  <c r="Y287" i="1" s="1"/>
  <c r="X288" i="1"/>
  <c r="Y288" i="1" s="1"/>
  <c r="X289" i="1"/>
  <c r="Y289" i="1" s="1"/>
  <c r="X290" i="1"/>
  <c r="Y290" i="1" s="1"/>
  <c r="X291" i="1"/>
  <c r="Y291" i="1" s="1"/>
  <c r="X292" i="1"/>
  <c r="Y292" i="1" s="1"/>
  <c r="X293" i="1"/>
  <c r="Y293" i="1" s="1"/>
  <c r="X294" i="1"/>
  <c r="Y294" i="1" s="1"/>
  <c r="X295" i="1"/>
  <c r="Y295" i="1" s="1"/>
  <c r="X296" i="1"/>
  <c r="Y296" i="1" s="1"/>
  <c r="X297" i="1"/>
  <c r="Y297" i="1" s="1"/>
  <c r="X298" i="1"/>
  <c r="Y298" i="1" s="1"/>
  <c r="X299" i="1"/>
  <c r="Y299" i="1" s="1"/>
  <c r="X300" i="1"/>
  <c r="Y300" i="1" s="1"/>
  <c r="X301" i="1"/>
  <c r="Y301" i="1" s="1"/>
  <c r="X302" i="1"/>
  <c r="Y302" i="1" s="1"/>
  <c r="X303" i="1"/>
  <c r="Y303" i="1" s="1"/>
  <c r="X304" i="1"/>
  <c r="Y304" i="1" s="1"/>
  <c r="X305" i="1"/>
  <c r="Y305" i="1" s="1"/>
  <c r="X306" i="1"/>
  <c r="Y306" i="1" s="1"/>
  <c r="X307" i="1"/>
  <c r="Y307" i="1" s="1"/>
  <c r="X308" i="1"/>
  <c r="Y308" i="1" s="1"/>
  <c r="X309" i="1"/>
  <c r="Y309" i="1" s="1"/>
  <c r="X310" i="1"/>
  <c r="Y310" i="1" s="1"/>
  <c r="X311" i="1"/>
  <c r="Y311" i="1" s="1"/>
  <c r="X312" i="1"/>
  <c r="Y312" i="1" s="1"/>
  <c r="X313" i="1"/>
  <c r="Y313" i="1" s="1"/>
  <c r="X314" i="1"/>
  <c r="Y314" i="1" s="1"/>
  <c r="X315" i="1"/>
  <c r="Y315" i="1" s="1"/>
  <c r="X316" i="1"/>
  <c r="Y316" i="1" s="1"/>
  <c r="X317" i="1"/>
  <c r="Y317" i="1" s="1"/>
  <c r="X318" i="1"/>
  <c r="Y318" i="1" s="1"/>
  <c r="X319" i="1"/>
  <c r="Y319" i="1" s="1"/>
  <c r="X320" i="1"/>
  <c r="Y320" i="1" s="1"/>
  <c r="X321" i="1"/>
  <c r="Y321" i="1" s="1"/>
  <c r="X322" i="1"/>
  <c r="Y322" i="1" s="1"/>
  <c r="X323" i="1"/>
  <c r="Y323" i="1" s="1"/>
  <c r="X324" i="1"/>
  <c r="Y324" i="1" s="1"/>
  <c r="X325" i="1"/>
  <c r="Y325" i="1" s="1"/>
  <c r="X326" i="1"/>
  <c r="Y326" i="1" s="1"/>
  <c r="X327" i="1"/>
  <c r="Y327" i="1" s="1"/>
  <c r="X328" i="1"/>
  <c r="Y328" i="1" s="1"/>
  <c r="X329" i="1"/>
  <c r="Y329" i="1" s="1"/>
  <c r="X330" i="1"/>
  <c r="Y330" i="1" s="1"/>
  <c r="X331" i="1"/>
  <c r="Y331" i="1" s="1"/>
  <c r="X332" i="1"/>
  <c r="Y332" i="1" s="1"/>
  <c r="X333" i="1"/>
  <c r="Y333" i="1" s="1"/>
  <c r="X334" i="1"/>
  <c r="Y334" i="1" s="1"/>
  <c r="X335" i="1"/>
  <c r="Y335" i="1" s="1"/>
  <c r="X336" i="1"/>
  <c r="Y336" i="1" s="1"/>
  <c r="X337" i="1"/>
  <c r="Y337" i="1" s="1"/>
  <c r="X338" i="1"/>
  <c r="Y338" i="1" s="1"/>
  <c r="X339" i="1"/>
  <c r="Y339" i="1" s="1"/>
  <c r="X340" i="1"/>
  <c r="Y340" i="1" s="1"/>
  <c r="X341" i="1"/>
  <c r="Y341" i="1" s="1"/>
  <c r="X342" i="1"/>
  <c r="Y342" i="1" s="1"/>
  <c r="X343" i="1"/>
  <c r="Y343" i="1" s="1"/>
  <c r="X344" i="1"/>
  <c r="Y344" i="1" s="1"/>
  <c r="X345" i="1"/>
  <c r="Y345" i="1" s="1"/>
  <c r="X346" i="1"/>
  <c r="Y346" i="1" s="1"/>
  <c r="X347" i="1"/>
  <c r="Y347" i="1" s="1"/>
  <c r="X348" i="1"/>
  <c r="Y348" i="1" s="1"/>
  <c r="X349" i="1"/>
  <c r="Y349" i="1" s="1"/>
  <c r="X350" i="1"/>
  <c r="Y350" i="1" s="1"/>
  <c r="X351" i="1"/>
  <c r="Y351" i="1" s="1"/>
  <c r="X352" i="1"/>
  <c r="Y352" i="1" s="1"/>
  <c r="X353" i="1"/>
  <c r="Y353" i="1" s="1"/>
  <c r="X354" i="1"/>
  <c r="Y354" i="1" s="1"/>
  <c r="X355" i="1"/>
  <c r="Y355" i="1" s="1"/>
  <c r="X356" i="1"/>
  <c r="Y356" i="1" s="1"/>
  <c r="X357" i="1"/>
  <c r="Y357" i="1" s="1"/>
  <c r="X358" i="1"/>
  <c r="Y358" i="1" s="1"/>
  <c r="X359" i="1"/>
  <c r="Y359" i="1" s="1"/>
  <c r="X360" i="1"/>
  <c r="Y360" i="1" s="1"/>
  <c r="X361" i="1"/>
  <c r="Y361" i="1" s="1"/>
  <c r="X362" i="1"/>
  <c r="Y362" i="1" s="1"/>
  <c r="X363" i="1"/>
  <c r="Y363" i="1" s="1"/>
  <c r="X364" i="1"/>
  <c r="Y364" i="1" s="1"/>
  <c r="X365" i="1"/>
  <c r="Y365" i="1" s="1"/>
  <c r="X366" i="1"/>
  <c r="Y366" i="1" s="1"/>
  <c r="X367" i="1"/>
  <c r="Y367" i="1" s="1"/>
  <c r="X368" i="1"/>
  <c r="Y368" i="1" s="1"/>
  <c r="X369" i="1"/>
  <c r="Y369" i="1" s="1"/>
  <c r="X370" i="1"/>
  <c r="Y370" i="1" s="1"/>
  <c r="X371" i="1"/>
  <c r="Y371" i="1" s="1"/>
  <c r="X372" i="1"/>
  <c r="Y372" i="1" s="1"/>
  <c r="X373" i="1"/>
  <c r="Y373" i="1" s="1"/>
  <c r="X374" i="1"/>
  <c r="Y374" i="1" s="1"/>
  <c r="X375" i="1"/>
  <c r="Y375" i="1" s="1"/>
  <c r="X376" i="1"/>
  <c r="Y376" i="1" s="1"/>
  <c r="X377" i="1"/>
  <c r="Y377" i="1" s="1"/>
  <c r="X378" i="1"/>
  <c r="Y378" i="1" s="1"/>
  <c r="X379" i="1"/>
  <c r="Y379" i="1" s="1"/>
  <c r="X380" i="1"/>
  <c r="Y380" i="1" s="1"/>
  <c r="X381" i="1"/>
  <c r="Y381" i="1" s="1"/>
  <c r="X382" i="1"/>
  <c r="Y382" i="1" s="1"/>
  <c r="X383" i="1"/>
  <c r="Y383" i="1" s="1"/>
  <c r="X384" i="1"/>
  <c r="Y384" i="1" s="1"/>
  <c r="X385" i="1"/>
  <c r="Y385" i="1" s="1"/>
  <c r="X386" i="1"/>
  <c r="Y386" i="1" s="1"/>
  <c r="X387" i="1"/>
  <c r="Y387" i="1" s="1"/>
  <c r="X388" i="1"/>
  <c r="Y388" i="1" s="1"/>
  <c r="X389" i="1"/>
  <c r="Y389" i="1" s="1"/>
  <c r="X390" i="1"/>
  <c r="Y390" i="1" s="1"/>
  <c r="X391" i="1"/>
  <c r="Y391" i="1" s="1"/>
  <c r="X392" i="1"/>
  <c r="Y392" i="1" s="1"/>
  <c r="X393" i="1"/>
  <c r="Y393" i="1" s="1"/>
  <c r="X394" i="1"/>
  <c r="Y394" i="1" s="1"/>
  <c r="X395" i="1"/>
  <c r="Y395" i="1" s="1"/>
  <c r="X396" i="1"/>
  <c r="Y396" i="1" s="1"/>
  <c r="X397" i="1"/>
  <c r="Y397" i="1" s="1"/>
  <c r="X398" i="1"/>
  <c r="Y398" i="1" s="1"/>
  <c r="X399" i="1"/>
  <c r="Y399" i="1" s="1"/>
  <c r="X400" i="1"/>
  <c r="Y400" i="1" s="1"/>
  <c r="X401" i="1"/>
  <c r="Y401" i="1" s="1"/>
  <c r="X402" i="1"/>
  <c r="Y402" i="1" s="1"/>
  <c r="X403" i="1"/>
  <c r="Y403" i="1" s="1"/>
  <c r="X404" i="1"/>
  <c r="Y404" i="1" s="1"/>
  <c r="X405" i="1"/>
  <c r="Y405" i="1" s="1"/>
  <c r="X406" i="1"/>
  <c r="Y406" i="1" s="1"/>
  <c r="X407" i="1"/>
  <c r="Y407" i="1" s="1"/>
  <c r="X408" i="1"/>
  <c r="Y408" i="1" s="1"/>
  <c r="X409" i="1"/>
  <c r="Y409" i="1" s="1"/>
  <c r="X410" i="1"/>
  <c r="Y410" i="1" s="1"/>
  <c r="X411" i="1"/>
  <c r="Y411" i="1" s="1"/>
  <c r="X412" i="1"/>
  <c r="Y412" i="1" s="1"/>
  <c r="X413" i="1"/>
  <c r="Y413" i="1" s="1"/>
  <c r="X414" i="1"/>
  <c r="Y414" i="1" s="1"/>
  <c r="X415" i="1"/>
  <c r="Y415" i="1" s="1"/>
  <c r="X416" i="1"/>
  <c r="Y416" i="1" s="1"/>
  <c r="X417" i="1"/>
  <c r="Y417" i="1" s="1"/>
  <c r="X418" i="1"/>
  <c r="Y418" i="1" s="1"/>
  <c r="X419" i="1"/>
  <c r="Y419" i="1" s="1"/>
  <c r="X420" i="1"/>
  <c r="Y420" i="1" s="1"/>
  <c r="X421" i="1"/>
  <c r="Y421" i="1" s="1"/>
  <c r="X422" i="1"/>
  <c r="Y422" i="1" s="1"/>
  <c r="X423" i="1"/>
  <c r="Y423" i="1" s="1"/>
  <c r="X424" i="1"/>
  <c r="Y424" i="1" s="1"/>
  <c r="X425" i="1"/>
  <c r="Y425" i="1" s="1"/>
  <c r="X426" i="1"/>
  <c r="Y426" i="1" s="1"/>
  <c r="X427" i="1"/>
  <c r="Y427" i="1" s="1"/>
  <c r="X428" i="1"/>
  <c r="Y428" i="1" s="1"/>
  <c r="X429" i="1"/>
  <c r="Y429" i="1" s="1"/>
  <c r="X430" i="1"/>
  <c r="Y430" i="1" s="1"/>
  <c r="X431" i="1"/>
  <c r="Y431" i="1" s="1"/>
  <c r="X432" i="1"/>
  <c r="Y432" i="1" s="1"/>
  <c r="X433" i="1"/>
  <c r="Y433" i="1" s="1"/>
  <c r="X434" i="1"/>
  <c r="Y434" i="1" s="1"/>
  <c r="X435" i="1"/>
  <c r="Y435" i="1" s="1"/>
  <c r="X436" i="1"/>
  <c r="Y436" i="1" s="1"/>
  <c r="X437" i="1"/>
  <c r="Y437" i="1" s="1"/>
  <c r="X438" i="1"/>
  <c r="Y438" i="1" s="1"/>
  <c r="X439" i="1"/>
  <c r="Y439" i="1" s="1"/>
  <c r="X440" i="1"/>
  <c r="Y440" i="1" s="1"/>
  <c r="X441" i="1"/>
  <c r="Y441" i="1" s="1"/>
  <c r="X442" i="1"/>
  <c r="Y442" i="1" s="1"/>
  <c r="X443" i="1"/>
  <c r="Y443" i="1" s="1"/>
  <c r="X444" i="1"/>
  <c r="Y444" i="1" s="1"/>
  <c r="X445" i="1"/>
  <c r="Y445" i="1" s="1"/>
  <c r="X446" i="1"/>
  <c r="Y446" i="1" s="1"/>
  <c r="X447" i="1"/>
  <c r="Y447" i="1" s="1"/>
  <c r="X448" i="1"/>
  <c r="Y448" i="1" s="1"/>
  <c r="X449" i="1"/>
  <c r="Y449" i="1" s="1"/>
  <c r="X450" i="1"/>
  <c r="Y450" i="1" s="1"/>
  <c r="X451" i="1"/>
  <c r="Y451" i="1" s="1"/>
  <c r="X452" i="1"/>
  <c r="Y452" i="1" s="1"/>
  <c r="X453" i="1"/>
  <c r="Y453" i="1" s="1"/>
  <c r="X454" i="1"/>
  <c r="Y454" i="1" s="1"/>
  <c r="X455" i="1"/>
  <c r="Y455" i="1" s="1"/>
  <c r="X456" i="1"/>
  <c r="Y456" i="1" s="1"/>
  <c r="X457" i="1"/>
  <c r="Y457" i="1" s="1"/>
  <c r="X458" i="1"/>
  <c r="Y458" i="1" s="1"/>
  <c r="X459" i="1"/>
  <c r="Y459" i="1" s="1"/>
  <c r="X460" i="1"/>
  <c r="Y460" i="1" s="1"/>
  <c r="X461" i="1"/>
  <c r="Y461" i="1" s="1"/>
  <c r="X462" i="1"/>
  <c r="Y462" i="1" s="1"/>
  <c r="X463" i="1"/>
  <c r="Y463" i="1" s="1"/>
  <c r="X464" i="1"/>
  <c r="Y464" i="1" s="1"/>
  <c r="X465" i="1"/>
  <c r="Y465" i="1" s="1"/>
  <c r="X466" i="1"/>
  <c r="Y466" i="1" s="1"/>
  <c r="X467" i="1"/>
  <c r="Y467" i="1" s="1"/>
  <c r="X468" i="1"/>
  <c r="Y468" i="1" s="1"/>
  <c r="X469" i="1"/>
  <c r="Y469" i="1" s="1"/>
  <c r="X470" i="1"/>
  <c r="Y470" i="1" s="1"/>
  <c r="X471" i="1"/>
  <c r="Y471" i="1" s="1"/>
  <c r="X472" i="1"/>
  <c r="Y472" i="1" s="1"/>
  <c r="X473" i="1"/>
  <c r="Y473" i="1" s="1"/>
  <c r="X474" i="1"/>
  <c r="Y474" i="1" s="1"/>
  <c r="X475" i="1"/>
  <c r="Y475" i="1" s="1"/>
  <c r="X476" i="1"/>
  <c r="Y476" i="1" s="1"/>
  <c r="X477" i="1"/>
  <c r="Y477" i="1" s="1"/>
  <c r="X478" i="1"/>
  <c r="Y478" i="1" s="1"/>
  <c r="X479" i="1"/>
  <c r="Y479" i="1" s="1"/>
  <c r="X480" i="1"/>
  <c r="Y480" i="1" s="1"/>
  <c r="X481" i="1"/>
  <c r="Y481" i="1" s="1"/>
  <c r="X482" i="1"/>
  <c r="Y482" i="1" s="1"/>
  <c r="X483" i="1"/>
  <c r="Y483" i="1" s="1"/>
  <c r="X484" i="1"/>
  <c r="Y484" i="1" s="1"/>
  <c r="X485" i="1"/>
  <c r="Y485" i="1" s="1"/>
  <c r="X486" i="1"/>
  <c r="Y486" i="1" s="1"/>
  <c r="X487" i="1"/>
  <c r="Y487" i="1" s="1"/>
  <c r="X488" i="1"/>
  <c r="Y488" i="1" s="1"/>
  <c r="X489" i="1"/>
  <c r="Y489" i="1" s="1"/>
  <c r="X490" i="1"/>
  <c r="Y490" i="1" s="1"/>
  <c r="X491" i="1"/>
  <c r="Y491" i="1" s="1"/>
  <c r="X492" i="1"/>
  <c r="Y492" i="1" s="1"/>
  <c r="X493" i="1"/>
  <c r="Y493" i="1" s="1"/>
  <c r="X494" i="1"/>
  <c r="Y494" i="1" s="1"/>
  <c r="X495" i="1"/>
  <c r="Y495" i="1" s="1"/>
  <c r="X496" i="1"/>
  <c r="Y496" i="1" s="1"/>
  <c r="X497" i="1"/>
  <c r="Y497" i="1" s="1"/>
  <c r="X498" i="1"/>
  <c r="Y498" i="1" s="1"/>
  <c r="X499" i="1"/>
  <c r="Y499" i="1" s="1"/>
  <c r="X500" i="1"/>
  <c r="Y500" i="1" s="1"/>
  <c r="X501" i="1"/>
  <c r="Y501" i="1" s="1"/>
  <c r="X502" i="1"/>
  <c r="Y502" i="1" s="1"/>
  <c r="X503" i="1"/>
  <c r="Y503" i="1" s="1"/>
  <c r="X504" i="1"/>
  <c r="Y504" i="1" s="1"/>
  <c r="X505" i="1"/>
  <c r="Y505" i="1" s="1"/>
  <c r="X506" i="1"/>
  <c r="Y506" i="1" s="1"/>
  <c r="X507" i="1"/>
  <c r="Y507" i="1" s="1"/>
  <c r="X508" i="1"/>
  <c r="Y508" i="1" s="1"/>
  <c r="X509" i="1"/>
  <c r="Y509" i="1" s="1"/>
  <c r="X510" i="1"/>
  <c r="Y510" i="1" s="1"/>
  <c r="X511" i="1"/>
  <c r="Y511" i="1" s="1"/>
  <c r="X512" i="1"/>
  <c r="Y512" i="1" s="1"/>
  <c r="X513" i="1"/>
  <c r="Y513" i="1" s="1"/>
  <c r="X514" i="1"/>
  <c r="Y514" i="1" s="1"/>
  <c r="X515" i="1"/>
  <c r="Y515" i="1" s="1"/>
  <c r="X516" i="1"/>
  <c r="Y516" i="1" s="1"/>
  <c r="X517" i="1"/>
  <c r="Y517" i="1" s="1"/>
  <c r="X518" i="1"/>
  <c r="Y518" i="1" s="1"/>
  <c r="X519" i="1"/>
  <c r="Y519" i="1" s="1"/>
  <c r="X520" i="1"/>
  <c r="Y520" i="1" s="1"/>
  <c r="X521" i="1"/>
  <c r="Y521" i="1" s="1"/>
  <c r="X522" i="1"/>
  <c r="Y522" i="1" s="1"/>
  <c r="X523" i="1"/>
  <c r="Y523" i="1" s="1"/>
  <c r="X524" i="1"/>
  <c r="Y524" i="1" s="1"/>
  <c r="X525" i="1"/>
  <c r="Y525" i="1" s="1"/>
  <c r="X526" i="1"/>
  <c r="Y526" i="1" s="1"/>
  <c r="X527" i="1"/>
  <c r="Y527" i="1" s="1"/>
  <c r="X528" i="1"/>
  <c r="Y528" i="1" s="1"/>
  <c r="X529" i="1"/>
  <c r="Y529" i="1" s="1"/>
  <c r="X530" i="1"/>
  <c r="Y530" i="1" s="1"/>
  <c r="X531" i="1"/>
  <c r="Y531" i="1" s="1"/>
  <c r="X532" i="1"/>
  <c r="Y532" i="1" s="1"/>
  <c r="X533" i="1"/>
  <c r="Y533" i="1" s="1"/>
  <c r="X534" i="1"/>
  <c r="Y534" i="1" s="1"/>
  <c r="X535" i="1"/>
  <c r="Y535" i="1" s="1"/>
  <c r="X536" i="1"/>
  <c r="Y536" i="1" s="1"/>
  <c r="X537" i="1"/>
  <c r="Y537" i="1" s="1"/>
  <c r="X538" i="1"/>
  <c r="Y538" i="1" s="1"/>
  <c r="X539" i="1"/>
  <c r="Y539" i="1" s="1"/>
  <c r="X540" i="1"/>
  <c r="Y540" i="1" s="1"/>
  <c r="X541" i="1"/>
  <c r="Y541" i="1" s="1"/>
  <c r="X542" i="1"/>
  <c r="Y542" i="1" s="1"/>
  <c r="X543" i="1"/>
  <c r="Y543" i="1" s="1"/>
  <c r="X544" i="1"/>
  <c r="Y544" i="1" s="1"/>
  <c r="X545" i="1"/>
  <c r="Y545" i="1" s="1"/>
  <c r="X546" i="1"/>
  <c r="Y546" i="1" s="1"/>
  <c r="X547" i="1"/>
  <c r="Y547" i="1" s="1"/>
  <c r="X548" i="1"/>
  <c r="Y548" i="1" s="1"/>
  <c r="X549" i="1"/>
  <c r="Y549" i="1" s="1"/>
  <c r="X550" i="1"/>
  <c r="Y550" i="1" s="1"/>
  <c r="X551" i="1"/>
  <c r="Y551" i="1" s="1"/>
  <c r="X552" i="1"/>
  <c r="Y552" i="1" s="1"/>
  <c r="X553" i="1"/>
  <c r="Y553" i="1" s="1"/>
  <c r="X554" i="1"/>
  <c r="Y554" i="1" s="1"/>
  <c r="X555" i="1"/>
  <c r="Y555" i="1" s="1"/>
  <c r="X556" i="1"/>
  <c r="Y556" i="1" s="1"/>
  <c r="X557" i="1"/>
  <c r="Y557" i="1" s="1"/>
  <c r="X558" i="1"/>
  <c r="Y558" i="1" s="1"/>
  <c r="X559" i="1"/>
  <c r="Y559" i="1" s="1"/>
  <c r="X560" i="1"/>
  <c r="Y560" i="1" s="1"/>
  <c r="X561" i="1"/>
  <c r="Y561" i="1" s="1"/>
  <c r="X562" i="1"/>
  <c r="Y562" i="1" s="1"/>
  <c r="X563" i="1"/>
  <c r="Y563" i="1" s="1"/>
  <c r="X564" i="1"/>
  <c r="Y564" i="1" s="1"/>
  <c r="X565" i="1"/>
  <c r="Y565" i="1" s="1"/>
  <c r="X566" i="1"/>
  <c r="Y566" i="1" s="1"/>
  <c r="X567" i="1"/>
  <c r="Y567" i="1" s="1"/>
  <c r="X568" i="1"/>
  <c r="Y568" i="1" s="1"/>
  <c r="X569" i="1"/>
  <c r="Y569" i="1" s="1"/>
  <c r="X570" i="1"/>
  <c r="Y570" i="1" s="1"/>
  <c r="X571" i="1"/>
  <c r="Y571" i="1" s="1"/>
  <c r="X572" i="1"/>
  <c r="Y572" i="1" s="1"/>
  <c r="X573" i="1"/>
  <c r="Y573" i="1" s="1"/>
  <c r="X574" i="1"/>
  <c r="Y574" i="1" s="1"/>
  <c r="X575" i="1"/>
  <c r="Y575" i="1" s="1"/>
  <c r="X576" i="1"/>
  <c r="Y576" i="1" s="1"/>
  <c r="X577" i="1"/>
  <c r="Y577" i="1" s="1"/>
  <c r="X578" i="1"/>
  <c r="Y578" i="1" s="1"/>
  <c r="X579" i="1"/>
  <c r="Y579" i="1" s="1"/>
  <c r="X580" i="1"/>
  <c r="Y580" i="1" s="1"/>
  <c r="X581" i="1"/>
  <c r="Y581" i="1" s="1"/>
  <c r="X582" i="1"/>
  <c r="Y582" i="1" s="1"/>
  <c r="X583" i="1"/>
  <c r="Y583" i="1" s="1"/>
  <c r="X584" i="1"/>
  <c r="Y584" i="1" s="1"/>
  <c r="X585" i="1"/>
  <c r="Y585" i="1" s="1"/>
  <c r="X586" i="1"/>
  <c r="Y586" i="1" s="1"/>
  <c r="X587" i="1"/>
  <c r="Y587" i="1" s="1"/>
  <c r="X588" i="1"/>
  <c r="Y588" i="1" s="1"/>
  <c r="X589" i="1"/>
  <c r="Y589" i="1" s="1"/>
  <c r="X590" i="1"/>
  <c r="Y590" i="1" s="1"/>
  <c r="X591" i="1"/>
  <c r="Y591" i="1" s="1"/>
  <c r="X592" i="1"/>
  <c r="Y592" i="1" s="1"/>
  <c r="X593" i="1"/>
  <c r="Y593" i="1" s="1"/>
  <c r="X594" i="1"/>
  <c r="Y594" i="1" s="1"/>
  <c r="X595" i="1"/>
  <c r="Y595" i="1" s="1"/>
  <c r="X596" i="1"/>
  <c r="Y596" i="1" s="1"/>
  <c r="X597" i="1"/>
  <c r="Y597" i="1" s="1"/>
  <c r="X598" i="1"/>
  <c r="Y598" i="1" s="1"/>
  <c r="X599" i="1"/>
  <c r="Y599" i="1" s="1"/>
  <c r="X600" i="1"/>
  <c r="Y600" i="1" s="1"/>
  <c r="X601" i="1"/>
  <c r="Y601" i="1" s="1"/>
  <c r="X602" i="1"/>
  <c r="Y602" i="1" s="1"/>
  <c r="X603" i="1"/>
  <c r="Y603" i="1" s="1"/>
  <c r="X604" i="1"/>
  <c r="Y604" i="1" s="1"/>
  <c r="X605" i="1"/>
  <c r="Y605" i="1" s="1"/>
  <c r="X606" i="1"/>
  <c r="Y606" i="1" s="1"/>
  <c r="X607" i="1"/>
  <c r="Y607" i="1" s="1"/>
  <c r="X608" i="1"/>
  <c r="Y608" i="1" s="1"/>
  <c r="X609" i="1"/>
  <c r="Y609" i="1" s="1"/>
  <c r="X610" i="1"/>
  <c r="Y610" i="1" s="1"/>
  <c r="X611" i="1"/>
  <c r="Y611" i="1" s="1"/>
  <c r="X612" i="1"/>
  <c r="Y612" i="1" s="1"/>
  <c r="X613" i="1"/>
  <c r="Y613" i="1" s="1"/>
  <c r="X614" i="1"/>
  <c r="Y614" i="1" s="1"/>
  <c r="X615" i="1"/>
  <c r="Y615" i="1" s="1"/>
  <c r="X616" i="1"/>
  <c r="Y616" i="1" s="1"/>
  <c r="X617" i="1"/>
  <c r="Y617" i="1" s="1"/>
  <c r="X618" i="1"/>
  <c r="Y618" i="1" s="1"/>
  <c r="X619" i="1"/>
  <c r="Y619" i="1" s="1"/>
  <c r="X620" i="1"/>
  <c r="Y620" i="1" s="1"/>
  <c r="X621" i="1"/>
  <c r="Y621" i="1" s="1"/>
  <c r="X622" i="1"/>
  <c r="Y622" i="1" s="1"/>
  <c r="X623" i="1"/>
  <c r="Y623" i="1" s="1"/>
  <c r="X624" i="1"/>
  <c r="Y624" i="1" s="1"/>
  <c r="X625" i="1"/>
  <c r="Y625" i="1" s="1"/>
  <c r="X626" i="1"/>
  <c r="Y626" i="1" s="1"/>
  <c r="X627" i="1"/>
  <c r="Y627" i="1" s="1"/>
  <c r="X628" i="1"/>
  <c r="Y628" i="1" s="1"/>
  <c r="X629" i="1"/>
  <c r="Y629" i="1" s="1"/>
  <c r="X630" i="1"/>
  <c r="Y630" i="1" s="1"/>
  <c r="X631" i="1"/>
  <c r="Y631" i="1" s="1"/>
  <c r="X632" i="1"/>
  <c r="Y632" i="1" s="1"/>
  <c r="X633" i="1"/>
  <c r="Y633" i="1" s="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X42" i="1"/>
  <c r="Y42" i="1" s="1"/>
  <c r="X43" i="1"/>
  <c r="Y43" i="1" s="1"/>
  <c r="X44" i="1"/>
  <c r="Y44" i="1" s="1"/>
  <c r="X45" i="1"/>
  <c r="Y45" i="1" s="1"/>
  <c r="X46" i="1"/>
  <c r="Y46" i="1" s="1"/>
  <c r="X47" i="1"/>
  <c r="Y47" i="1" s="1"/>
  <c r="X48" i="1"/>
  <c r="Y48" i="1" s="1"/>
  <c r="X49" i="1"/>
  <c r="Y49" i="1" s="1"/>
  <c r="X50" i="1"/>
  <c r="Y50" i="1" s="1"/>
  <c r="X51" i="1"/>
  <c r="Y51" i="1" s="1"/>
  <c r="X52" i="1"/>
  <c r="Y52" i="1" s="1"/>
  <c r="X53" i="1"/>
  <c r="Y53" i="1" s="1"/>
  <c r="X54" i="1"/>
  <c r="Y54" i="1" s="1"/>
  <c r="X3" i="1"/>
  <c r="Y3" i="1" s="1"/>
  <c r="X4" i="1"/>
  <c r="X5" i="1"/>
  <c r="Y5" i="1" s="1"/>
  <c r="X6" i="1"/>
  <c r="Y6" i="1" s="1"/>
  <c r="X7" i="1"/>
  <c r="Y7" i="1" s="1"/>
  <c r="X8" i="1"/>
  <c r="Y8" i="1" s="1"/>
  <c r="X9" i="1"/>
  <c r="Y9" i="1" s="1"/>
  <c r="X10" i="1"/>
  <c r="Y10" i="1" s="1"/>
  <c r="X11" i="1"/>
  <c r="Y11" i="1" s="1"/>
  <c r="X12" i="1"/>
  <c r="Y12" i="1" s="1"/>
  <c r="X13" i="1"/>
  <c r="Y13" i="1" s="1"/>
  <c r="X14" i="1"/>
  <c r="Y14" i="1" s="1"/>
  <c r="X15" i="1"/>
  <c r="Y15" i="1" s="1"/>
  <c r="X16" i="1"/>
  <c r="Y16" i="1" s="1"/>
  <c r="X17" i="1"/>
  <c r="Y17" i="1" s="1"/>
  <c r="X18" i="1"/>
  <c r="Y18" i="1" s="1"/>
  <c r="X19" i="1"/>
  <c r="Y19" i="1" s="1"/>
  <c r="X20" i="1"/>
  <c r="Y20" i="1" s="1"/>
  <c r="X21" i="1"/>
  <c r="Y21" i="1" s="1"/>
  <c r="X22" i="1"/>
  <c r="Y22" i="1" s="1"/>
  <c r="X23" i="1"/>
  <c r="Y23" i="1" s="1"/>
  <c r="X24" i="1"/>
  <c r="Y24" i="1" s="1"/>
  <c r="X25" i="1"/>
  <c r="Y25" i="1" s="1"/>
  <c r="X26" i="1"/>
  <c r="Y26" i="1" s="1"/>
  <c r="X27" i="1"/>
  <c r="Y27" i="1" s="1"/>
  <c r="X28" i="1"/>
  <c r="Y28" i="1" s="1"/>
  <c r="X29" i="1"/>
  <c r="Y29" i="1" s="1"/>
  <c r="X30" i="1"/>
  <c r="Y30" i="1" s="1"/>
  <c r="X31" i="1"/>
  <c r="Y31" i="1" s="1"/>
  <c r="X32" i="1"/>
  <c r="Y32" i="1" s="1"/>
  <c r="X33" i="1"/>
  <c r="Y33" i="1" s="1"/>
  <c r="X34" i="1"/>
  <c r="Y34" i="1" s="1"/>
  <c r="X35" i="1"/>
  <c r="Y35" i="1" s="1"/>
  <c r="X36" i="1"/>
  <c r="Y36" i="1" s="1"/>
  <c r="X37" i="1"/>
  <c r="Y37" i="1" s="1"/>
  <c r="X38" i="1"/>
  <c r="Y38" i="1" s="1"/>
  <c r="X39" i="1"/>
  <c r="Y39" i="1" s="1"/>
  <c r="X40" i="1"/>
  <c r="Y40" i="1" s="1"/>
  <c r="X41" i="1"/>
  <c r="Y41" i="1" s="1"/>
  <c r="W30" i="1"/>
  <c r="W21" i="1"/>
  <c r="W22" i="1"/>
  <c r="W23" i="1"/>
  <c r="W24" i="1"/>
  <c r="W25" i="1"/>
  <c r="W26" i="1"/>
  <c r="W27" i="1"/>
  <c r="W28" i="1"/>
  <c r="W29" i="1"/>
  <c r="W31" i="1"/>
  <c r="W32" i="1"/>
  <c r="W33" i="1"/>
  <c r="W34" i="1"/>
  <c r="W35" i="1"/>
  <c r="W36" i="1"/>
  <c r="W37" i="1"/>
  <c r="W38" i="1"/>
  <c r="W39" i="1"/>
  <c r="W40" i="1"/>
  <c r="W41" i="1"/>
  <c r="W9" i="1"/>
  <c r="W10" i="1"/>
  <c r="W11" i="1"/>
  <c r="W12" i="1"/>
  <c r="W13" i="1"/>
  <c r="W14" i="1"/>
  <c r="W15" i="1"/>
  <c r="W16" i="1"/>
  <c r="W17" i="1"/>
  <c r="W18" i="1"/>
  <c r="W19" i="1"/>
  <c r="W20" i="1"/>
  <c r="W3" i="1"/>
  <c r="W4" i="1"/>
  <c r="W5" i="1"/>
  <c r="W6" i="1"/>
  <c r="W7" i="1"/>
  <c r="W8" i="1"/>
  <c r="W2" i="1"/>
  <c r="I427" i="25" l="1"/>
  <c r="I403" i="25"/>
  <c r="I375" i="25"/>
  <c r="I347" i="25"/>
  <c r="I319" i="25"/>
  <c r="I255" i="25"/>
  <c r="I179" i="25"/>
  <c r="I123" i="25"/>
  <c r="I103" i="25"/>
  <c r="I83" i="25"/>
  <c r="I47" i="25"/>
  <c r="I27" i="25"/>
  <c r="K7" i="25"/>
  <c r="I609" i="25"/>
  <c r="I545" i="25"/>
  <c r="I481" i="25"/>
  <c r="I465" i="25"/>
  <c r="I433" i="25"/>
  <c r="I417" i="25"/>
  <c r="I369" i="25"/>
  <c r="I289" i="25"/>
  <c r="I273" i="25"/>
  <c r="I209" i="25"/>
  <c r="I65" i="25"/>
  <c r="I624" i="25"/>
  <c r="I516" i="25"/>
  <c r="I488" i="25"/>
  <c r="I332" i="25"/>
  <c r="I196" i="25"/>
  <c r="I140" i="25"/>
  <c r="K616" i="25"/>
  <c r="K416" i="25"/>
  <c r="J297" i="26"/>
  <c r="J324" i="26"/>
  <c r="J365" i="26"/>
  <c r="K470" i="26"/>
  <c r="J586" i="26"/>
  <c r="K592" i="26"/>
  <c r="J362" i="26"/>
  <c r="J606" i="26"/>
  <c r="K42" i="26"/>
  <c r="K581" i="26"/>
  <c r="K604" i="26"/>
  <c r="J62" i="26"/>
  <c r="J298" i="26"/>
  <c r="J503" i="26"/>
  <c r="J524" i="26"/>
  <c r="J583" i="26"/>
  <c r="J32" i="26"/>
  <c r="J535" i="26"/>
  <c r="J642" i="26"/>
  <c r="J44" i="26"/>
  <c r="J56" i="26"/>
  <c r="J253" i="26"/>
  <c r="K259" i="26"/>
  <c r="J259" i="26" s="1"/>
  <c r="J281" i="26"/>
  <c r="J296" i="26"/>
  <c r="J308" i="26"/>
  <c r="J317" i="26"/>
  <c r="K323" i="26"/>
  <c r="J323" i="26" s="1"/>
  <c r="K327" i="26"/>
  <c r="J327" i="26" s="1"/>
  <c r="J339" i="26"/>
  <c r="K343" i="26"/>
  <c r="J343" i="26" s="1"/>
  <c r="J360" i="26"/>
  <c r="J381" i="26"/>
  <c r="J430" i="26"/>
  <c r="J444" i="26"/>
  <c r="J457" i="26"/>
  <c r="J511" i="26"/>
  <c r="J522" i="26"/>
  <c r="J547" i="26"/>
  <c r="J556" i="26"/>
  <c r="J577" i="26"/>
  <c r="J60" i="26"/>
  <c r="J66" i="26"/>
  <c r="J248" i="26"/>
  <c r="J269" i="26"/>
  <c r="J282" i="26"/>
  <c r="J378" i="26"/>
  <c r="J458" i="26"/>
  <c r="J610" i="26"/>
  <c r="J618" i="26"/>
  <c r="J650" i="26"/>
  <c r="J40" i="26"/>
  <c r="K54" i="26"/>
  <c r="J54" i="26" s="1"/>
  <c r="J68" i="26"/>
  <c r="J265" i="26"/>
  <c r="J280" i="26"/>
  <c r="J292" i="26"/>
  <c r="J301" i="26"/>
  <c r="K307" i="26"/>
  <c r="K335" i="26"/>
  <c r="J341" i="26"/>
  <c r="J376" i="26"/>
  <c r="J397" i="26"/>
  <c r="J426" i="26"/>
  <c r="K443" i="26"/>
  <c r="J443" i="26" s="1"/>
  <c r="J453" i="26"/>
  <c r="K471" i="26"/>
  <c r="J471" i="26" s="1"/>
  <c r="J491" i="26"/>
  <c r="J505" i="26"/>
  <c r="J543" i="26"/>
  <c r="J551" i="26"/>
  <c r="J579" i="26"/>
  <c r="K596" i="26"/>
  <c r="J660" i="26"/>
  <c r="J312" i="26"/>
  <c r="J333" i="26"/>
  <c r="J626" i="26"/>
  <c r="K38" i="26"/>
  <c r="J38" i="26" s="1"/>
  <c r="J52" i="26"/>
  <c r="J64" i="26"/>
  <c r="J117" i="26"/>
  <c r="J133" i="26"/>
  <c r="J141" i="26"/>
  <c r="J149" i="26"/>
  <c r="J165" i="26"/>
  <c r="J177" i="26"/>
  <c r="J191" i="26"/>
  <c r="J197" i="26"/>
  <c r="J209" i="26"/>
  <c r="J223" i="26"/>
  <c r="J229" i="26"/>
  <c r="J241" i="26"/>
  <c r="J249" i="26"/>
  <c r="J264" i="26"/>
  <c r="J276" i="26"/>
  <c r="J285" i="26"/>
  <c r="K291" i="26"/>
  <c r="J291" i="26" s="1"/>
  <c r="J313" i="26"/>
  <c r="J329" i="26"/>
  <c r="K331" i="26"/>
  <c r="J335" i="26"/>
  <c r="J349" i="26"/>
  <c r="J392" i="26"/>
  <c r="J449" i="26"/>
  <c r="K486" i="26"/>
  <c r="J519" i="26"/>
  <c r="J531" i="26"/>
  <c r="J571" i="26"/>
  <c r="J576" i="26"/>
  <c r="J597" i="26"/>
  <c r="J662" i="26"/>
  <c r="J36" i="26"/>
  <c r="J48" i="26"/>
  <c r="J42" i="26"/>
  <c r="I43" i="26"/>
  <c r="I45" i="26"/>
  <c r="J58" i="26"/>
  <c r="I59" i="26"/>
  <c r="I61" i="26"/>
  <c r="J81" i="26"/>
  <c r="J89" i="26"/>
  <c r="J101" i="26"/>
  <c r="K179" i="26"/>
  <c r="I179" i="26"/>
  <c r="K211" i="26"/>
  <c r="I211" i="26"/>
  <c r="K243" i="26"/>
  <c r="I243" i="26"/>
  <c r="I31" i="26"/>
  <c r="J31" i="26" s="1"/>
  <c r="C7" i="26" s="1"/>
  <c r="I33" i="26"/>
  <c r="J33" i="26" s="1"/>
  <c r="K35" i="26"/>
  <c r="J35" i="26" s="1"/>
  <c r="K37" i="26"/>
  <c r="J37" i="26" s="1"/>
  <c r="I47" i="26"/>
  <c r="J47" i="26" s="1"/>
  <c r="I49" i="26"/>
  <c r="J49" i="26" s="1"/>
  <c r="I63" i="26"/>
  <c r="J63" i="26" s="1"/>
  <c r="I65" i="26"/>
  <c r="J65" i="26" s="1"/>
  <c r="J75" i="26"/>
  <c r="J83" i="26"/>
  <c r="J91" i="26"/>
  <c r="J96" i="26"/>
  <c r="K98" i="26"/>
  <c r="J98" i="26" s="1"/>
  <c r="J103" i="26"/>
  <c r="J108" i="26"/>
  <c r="J111" i="26"/>
  <c r="J116" i="26"/>
  <c r="J119" i="26"/>
  <c r="J124" i="26"/>
  <c r="J127" i="26"/>
  <c r="J132" i="26"/>
  <c r="J135" i="26"/>
  <c r="J140" i="26"/>
  <c r="J143" i="26"/>
  <c r="J148" i="26"/>
  <c r="J151" i="26"/>
  <c r="J156" i="26"/>
  <c r="J159" i="26"/>
  <c r="J167" i="26"/>
  <c r="J173" i="26"/>
  <c r="J185" i="26"/>
  <c r="K187" i="26"/>
  <c r="I187" i="26"/>
  <c r="J199" i="26"/>
  <c r="J205" i="26"/>
  <c r="J217" i="26"/>
  <c r="K219" i="26"/>
  <c r="I219" i="26"/>
  <c r="J231" i="26"/>
  <c r="J237" i="26"/>
  <c r="J34" i="26"/>
  <c r="I51" i="26"/>
  <c r="J51" i="26" s="1"/>
  <c r="I53" i="26"/>
  <c r="J53" i="26" s="1"/>
  <c r="I67" i="26"/>
  <c r="J67" i="26" s="1"/>
  <c r="I69" i="26"/>
  <c r="J69" i="26" s="1"/>
  <c r="I70" i="26"/>
  <c r="J70" i="26" s="1"/>
  <c r="I71" i="26"/>
  <c r="J71" i="26" s="1"/>
  <c r="K74" i="26"/>
  <c r="I77" i="26"/>
  <c r="J77" i="26" s="1"/>
  <c r="J80" i="26"/>
  <c r="K82" i="26"/>
  <c r="J82" i="26" s="1"/>
  <c r="I85" i="26"/>
  <c r="J85" i="26" s="1"/>
  <c r="J88" i="26"/>
  <c r="K90" i="26"/>
  <c r="J90" i="26" s="1"/>
  <c r="I93" i="26"/>
  <c r="J93" i="26" s="1"/>
  <c r="K95" i="26"/>
  <c r="J100" i="26"/>
  <c r="K102" i="26"/>
  <c r="J102" i="26" s="1"/>
  <c r="J105" i="26"/>
  <c r="K107" i="26"/>
  <c r="K110" i="26"/>
  <c r="J110" i="26" s="1"/>
  <c r="J113" i="26"/>
  <c r="K115" i="26"/>
  <c r="K118" i="26"/>
  <c r="J118" i="26" s="1"/>
  <c r="J121" i="26"/>
  <c r="K123" i="26"/>
  <c r="K126" i="26"/>
  <c r="J126" i="26" s="1"/>
  <c r="J129" i="26"/>
  <c r="K131" i="26"/>
  <c r="K134" i="26"/>
  <c r="J134" i="26" s="1"/>
  <c r="J137" i="26"/>
  <c r="K139" i="26"/>
  <c r="K142" i="26"/>
  <c r="J142" i="26" s="1"/>
  <c r="J145" i="26"/>
  <c r="K147" i="26"/>
  <c r="K150" i="26"/>
  <c r="J150" i="26" s="1"/>
  <c r="J153" i="26"/>
  <c r="K155" i="26"/>
  <c r="K158" i="26"/>
  <c r="J158" i="26" s="1"/>
  <c r="J161" i="26"/>
  <c r="K163" i="26"/>
  <c r="I163" i="26"/>
  <c r="I172" i="26"/>
  <c r="J175" i="26"/>
  <c r="J181" i="26"/>
  <c r="J193" i="26"/>
  <c r="K195" i="26"/>
  <c r="I195" i="26"/>
  <c r="J195" i="26" s="1"/>
  <c r="I204" i="26"/>
  <c r="J207" i="26"/>
  <c r="J213" i="26"/>
  <c r="J225" i="26"/>
  <c r="K227" i="26"/>
  <c r="I227" i="26"/>
  <c r="I236" i="26"/>
  <c r="J239" i="26"/>
  <c r="J245" i="26"/>
  <c r="J421" i="26"/>
  <c r="I39" i="26"/>
  <c r="J39" i="26" s="1"/>
  <c r="I41" i="26"/>
  <c r="J41" i="26" s="1"/>
  <c r="K43" i="26"/>
  <c r="K45" i="26"/>
  <c r="I55" i="26"/>
  <c r="J55" i="26" s="1"/>
  <c r="I57" i="26"/>
  <c r="J57" i="26" s="1"/>
  <c r="K59" i="26"/>
  <c r="K61" i="26"/>
  <c r="K72" i="26"/>
  <c r="J72" i="26" s="1"/>
  <c r="I73" i="26"/>
  <c r="J73" i="26" s="1"/>
  <c r="I74" i="26"/>
  <c r="J78" i="26"/>
  <c r="J79" i="26"/>
  <c r="J86" i="26"/>
  <c r="J87" i="26"/>
  <c r="J94" i="26"/>
  <c r="I95" i="26"/>
  <c r="I97" i="26"/>
  <c r="J97" i="26" s="1"/>
  <c r="K99" i="26"/>
  <c r="J99" i="26" s="1"/>
  <c r="I104" i="26"/>
  <c r="J104" i="26" s="1"/>
  <c r="J106" i="26"/>
  <c r="I107" i="26"/>
  <c r="I112" i="26"/>
  <c r="J112" i="26" s="1"/>
  <c r="J114" i="26"/>
  <c r="I115" i="26"/>
  <c r="J115" i="26" s="1"/>
  <c r="I120" i="26"/>
  <c r="J120" i="26" s="1"/>
  <c r="J122" i="26"/>
  <c r="I123" i="26"/>
  <c r="J123" i="26" s="1"/>
  <c r="I128" i="26"/>
  <c r="J128" i="26" s="1"/>
  <c r="J130" i="26"/>
  <c r="I131" i="26"/>
  <c r="J131" i="26" s="1"/>
  <c r="I136" i="26"/>
  <c r="J136" i="26" s="1"/>
  <c r="J138" i="26"/>
  <c r="I139" i="26"/>
  <c r="I144" i="26"/>
  <c r="J144" i="26" s="1"/>
  <c r="J146" i="26"/>
  <c r="I147" i="26"/>
  <c r="J147" i="26" s="1"/>
  <c r="I152" i="26"/>
  <c r="J152" i="26" s="1"/>
  <c r="J154" i="26"/>
  <c r="I155" i="26"/>
  <c r="J155" i="26" s="1"/>
  <c r="J169" i="26"/>
  <c r="K171" i="26"/>
  <c r="I171" i="26"/>
  <c r="J171" i="26" s="1"/>
  <c r="I180" i="26"/>
  <c r="J183" i="26"/>
  <c r="J189" i="26"/>
  <c r="J201" i="26"/>
  <c r="K203" i="26"/>
  <c r="I203" i="26"/>
  <c r="I212" i="26"/>
  <c r="J215" i="26"/>
  <c r="J221" i="26"/>
  <c r="J233" i="26"/>
  <c r="K235" i="26"/>
  <c r="I235" i="26"/>
  <c r="J235" i="26" s="1"/>
  <c r="I244" i="26"/>
  <c r="J275" i="26"/>
  <c r="J307" i="26"/>
  <c r="J348" i="26"/>
  <c r="J364" i="26"/>
  <c r="J380" i="26"/>
  <c r="J396" i="26"/>
  <c r="J448" i="26"/>
  <c r="J461" i="26"/>
  <c r="K160" i="26"/>
  <c r="J160" i="26" s="1"/>
  <c r="I162" i="26"/>
  <c r="J162" i="26" s="1"/>
  <c r="K168" i="26"/>
  <c r="J168" i="26" s="1"/>
  <c r="I170" i="26"/>
  <c r="J170" i="26" s="1"/>
  <c r="K176" i="26"/>
  <c r="J176" i="26" s="1"/>
  <c r="I178" i="26"/>
  <c r="J178" i="26" s="1"/>
  <c r="K184" i="26"/>
  <c r="J184" i="26" s="1"/>
  <c r="I186" i="26"/>
  <c r="J186" i="26" s="1"/>
  <c r="K192" i="26"/>
  <c r="J192" i="26" s="1"/>
  <c r="I194" i="26"/>
  <c r="J194" i="26" s="1"/>
  <c r="K200" i="26"/>
  <c r="J200" i="26" s="1"/>
  <c r="I202" i="26"/>
  <c r="J202" i="26" s="1"/>
  <c r="K208" i="26"/>
  <c r="J208" i="26" s="1"/>
  <c r="I210" i="26"/>
  <c r="J210" i="26" s="1"/>
  <c r="K216" i="26"/>
  <c r="J216" i="26" s="1"/>
  <c r="I218" i="26"/>
  <c r="J218" i="26" s="1"/>
  <c r="K224" i="26"/>
  <c r="J224" i="26" s="1"/>
  <c r="I226" i="26"/>
  <c r="J226" i="26" s="1"/>
  <c r="K232" i="26"/>
  <c r="J232" i="26" s="1"/>
  <c r="I234" i="26"/>
  <c r="J234" i="26" s="1"/>
  <c r="K240" i="26"/>
  <c r="J240" i="26" s="1"/>
  <c r="I242" i="26"/>
  <c r="J242" i="26" s="1"/>
  <c r="J247" i="26"/>
  <c r="K252" i="26"/>
  <c r="J252" i="26" s="1"/>
  <c r="I254" i="26"/>
  <c r="J254" i="26" s="1"/>
  <c r="K257" i="26"/>
  <c r="J257" i="26" s="1"/>
  <c r="J263" i="26"/>
  <c r="K268" i="26"/>
  <c r="J268" i="26" s="1"/>
  <c r="I270" i="26"/>
  <c r="J270" i="26" s="1"/>
  <c r="K273" i="26"/>
  <c r="J273" i="26" s="1"/>
  <c r="J279" i="26"/>
  <c r="K284" i="26"/>
  <c r="J284" i="26" s="1"/>
  <c r="I286" i="26"/>
  <c r="J286" i="26" s="1"/>
  <c r="K289" i="26"/>
  <c r="J289" i="26" s="1"/>
  <c r="J295" i="26"/>
  <c r="K300" i="26"/>
  <c r="J300" i="26" s="1"/>
  <c r="I302" i="26"/>
  <c r="J302" i="26" s="1"/>
  <c r="K305" i="26"/>
  <c r="J305" i="26" s="1"/>
  <c r="J311" i="26"/>
  <c r="K316" i="26"/>
  <c r="J316" i="26" s="1"/>
  <c r="I318" i="26"/>
  <c r="J318" i="26" s="1"/>
  <c r="K321" i="26"/>
  <c r="J321" i="26" s="1"/>
  <c r="I328" i="26"/>
  <c r="J328" i="26" s="1"/>
  <c r="I337" i="26"/>
  <c r="J337" i="26" s="1"/>
  <c r="J338" i="26"/>
  <c r="I352" i="26"/>
  <c r="I368" i="26"/>
  <c r="J368" i="26" s="1"/>
  <c r="I384" i="26"/>
  <c r="I400" i="26"/>
  <c r="J414" i="26"/>
  <c r="I425" i="26"/>
  <c r="J425" i="26" s="1"/>
  <c r="I440" i="26"/>
  <c r="I251" i="26"/>
  <c r="J251" i="26" s="1"/>
  <c r="K256" i="26"/>
  <c r="J256" i="26" s="1"/>
  <c r="I258" i="26"/>
  <c r="J258" i="26" s="1"/>
  <c r="K261" i="26"/>
  <c r="J261" i="26" s="1"/>
  <c r="I267" i="26"/>
  <c r="J267" i="26" s="1"/>
  <c r="K272" i="26"/>
  <c r="J272" i="26" s="1"/>
  <c r="I274" i="26"/>
  <c r="J274" i="26" s="1"/>
  <c r="K277" i="26"/>
  <c r="J277" i="26" s="1"/>
  <c r="I283" i="26"/>
  <c r="J283" i="26" s="1"/>
  <c r="K288" i="26"/>
  <c r="J288" i="26" s="1"/>
  <c r="I290" i="26"/>
  <c r="J290" i="26" s="1"/>
  <c r="K293" i="26"/>
  <c r="J293" i="26" s="1"/>
  <c r="I299" i="26"/>
  <c r="J299" i="26" s="1"/>
  <c r="K304" i="26"/>
  <c r="J304" i="26" s="1"/>
  <c r="I306" i="26"/>
  <c r="J306" i="26" s="1"/>
  <c r="K309" i="26"/>
  <c r="J309" i="26" s="1"/>
  <c r="I315" i="26"/>
  <c r="J315" i="26" s="1"/>
  <c r="K320" i="26"/>
  <c r="J320" i="26" s="1"/>
  <c r="I322" i="26"/>
  <c r="J322" i="26" s="1"/>
  <c r="K325" i="26"/>
  <c r="J325" i="26" s="1"/>
  <c r="I336" i="26"/>
  <c r="J336" i="26" s="1"/>
  <c r="I350" i="26"/>
  <c r="J350" i="26" s="1"/>
  <c r="I353" i="26"/>
  <c r="J353" i="26" s="1"/>
  <c r="I366" i="26"/>
  <c r="J366" i="26" s="1"/>
  <c r="I369" i="26"/>
  <c r="J369" i="26" s="1"/>
  <c r="I382" i="26"/>
  <c r="J382" i="26" s="1"/>
  <c r="I385" i="26"/>
  <c r="J385" i="26" s="1"/>
  <c r="I398" i="26"/>
  <c r="J398" i="26" s="1"/>
  <c r="I401" i="26"/>
  <c r="J401" i="26" s="1"/>
  <c r="I410" i="26"/>
  <c r="J410" i="26" s="1"/>
  <c r="I411" i="26"/>
  <c r="K413" i="26"/>
  <c r="J420" i="26"/>
  <c r="K424" i="26"/>
  <c r="J424" i="26" s="1"/>
  <c r="I432" i="26"/>
  <c r="K434" i="26"/>
  <c r="J476" i="26"/>
  <c r="K164" i="26"/>
  <c r="J164" i="26" s="1"/>
  <c r="I166" i="26"/>
  <c r="J166" i="26" s="1"/>
  <c r="K172" i="26"/>
  <c r="I174" i="26"/>
  <c r="J174" i="26" s="1"/>
  <c r="K180" i="26"/>
  <c r="I182" i="26"/>
  <c r="J182" i="26" s="1"/>
  <c r="K188" i="26"/>
  <c r="J188" i="26" s="1"/>
  <c r="I190" i="26"/>
  <c r="J190" i="26" s="1"/>
  <c r="K196" i="26"/>
  <c r="J196" i="26" s="1"/>
  <c r="I198" i="26"/>
  <c r="J198" i="26" s="1"/>
  <c r="K204" i="26"/>
  <c r="I206" i="26"/>
  <c r="J206" i="26" s="1"/>
  <c r="K212" i="26"/>
  <c r="I214" i="26"/>
  <c r="J214" i="26" s="1"/>
  <c r="K220" i="26"/>
  <c r="J220" i="26" s="1"/>
  <c r="I222" i="26"/>
  <c r="J222" i="26" s="1"/>
  <c r="K228" i="26"/>
  <c r="J228" i="26" s="1"/>
  <c r="I230" i="26"/>
  <c r="J230" i="26" s="1"/>
  <c r="K236" i="26"/>
  <c r="I238" i="26"/>
  <c r="J238" i="26" s="1"/>
  <c r="K244" i="26"/>
  <c r="I246" i="26"/>
  <c r="J246" i="26" s="1"/>
  <c r="I255" i="26"/>
  <c r="J255" i="26" s="1"/>
  <c r="I271" i="26"/>
  <c r="J271" i="26" s="1"/>
  <c r="I287" i="26"/>
  <c r="J287" i="26" s="1"/>
  <c r="I303" i="26"/>
  <c r="J303" i="26" s="1"/>
  <c r="I319" i="26"/>
  <c r="J319" i="26" s="1"/>
  <c r="K330" i="26"/>
  <c r="J330" i="26" s="1"/>
  <c r="I331" i="26"/>
  <c r="J331" i="26" s="1"/>
  <c r="I355" i="26"/>
  <c r="J355" i="26" s="1"/>
  <c r="K359" i="26"/>
  <c r="J359" i="26" s="1"/>
  <c r="I371" i="26"/>
  <c r="J371" i="26" s="1"/>
  <c r="K375" i="26"/>
  <c r="J375" i="26" s="1"/>
  <c r="I387" i="26"/>
  <c r="J387" i="26" s="1"/>
  <c r="K391" i="26"/>
  <c r="J391" i="26" s="1"/>
  <c r="I403" i="26"/>
  <c r="J403" i="26" s="1"/>
  <c r="K407" i="26"/>
  <c r="J407" i="26" s="1"/>
  <c r="K415" i="26"/>
  <c r="J415" i="26" s="1"/>
  <c r="J452" i="26"/>
  <c r="J515" i="26"/>
  <c r="J546" i="26"/>
  <c r="J555" i="26"/>
  <c r="K332" i="26"/>
  <c r="J332" i="26" s="1"/>
  <c r="I334" i="26"/>
  <c r="J334" i="26" s="1"/>
  <c r="K340" i="26"/>
  <c r="J340" i="26" s="1"/>
  <c r="I342" i="26"/>
  <c r="J342" i="26" s="1"/>
  <c r="J347" i="26"/>
  <c r="K352" i="26"/>
  <c r="I354" i="26"/>
  <c r="J354" i="26" s="1"/>
  <c r="K357" i="26"/>
  <c r="J357" i="26" s="1"/>
  <c r="J363" i="26"/>
  <c r="K368" i="26"/>
  <c r="I370" i="26"/>
  <c r="J370" i="26" s="1"/>
  <c r="K373" i="26"/>
  <c r="J373" i="26" s="1"/>
  <c r="J379" i="26"/>
  <c r="K384" i="26"/>
  <c r="I386" i="26"/>
  <c r="J386" i="26" s="1"/>
  <c r="K389" i="26"/>
  <c r="J389" i="26" s="1"/>
  <c r="J395" i="26"/>
  <c r="K400" i="26"/>
  <c r="I402" i="26"/>
  <c r="J402" i="26" s="1"/>
  <c r="K405" i="26"/>
  <c r="J405" i="26" s="1"/>
  <c r="K412" i="26"/>
  <c r="J412" i="26" s="1"/>
  <c r="I413" i="26"/>
  <c r="K417" i="26"/>
  <c r="J418" i="26"/>
  <c r="J419" i="26"/>
  <c r="K428" i="26"/>
  <c r="J428" i="26" s="1"/>
  <c r="I429" i="26"/>
  <c r="J429" i="26" s="1"/>
  <c r="J497" i="26"/>
  <c r="J530" i="26"/>
  <c r="J539" i="26"/>
  <c r="K345" i="26"/>
  <c r="J345" i="26" s="1"/>
  <c r="I351" i="26"/>
  <c r="J351" i="26" s="1"/>
  <c r="K356" i="26"/>
  <c r="J356" i="26" s="1"/>
  <c r="I358" i="26"/>
  <c r="J358" i="26" s="1"/>
  <c r="K361" i="26"/>
  <c r="J361" i="26" s="1"/>
  <c r="I367" i="26"/>
  <c r="J367" i="26" s="1"/>
  <c r="K372" i="26"/>
  <c r="J372" i="26" s="1"/>
  <c r="I374" i="26"/>
  <c r="J374" i="26" s="1"/>
  <c r="K377" i="26"/>
  <c r="J377" i="26" s="1"/>
  <c r="I383" i="26"/>
  <c r="J383" i="26" s="1"/>
  <c r="K388" i="26"/>
  <c r="J388" i="26" s="1"/>
  <c r="I390" i="26"/>
  <c r="J390" i="26" s="1"/>
  <c r="K393" i="26"/>
  <c r="J393" i="26" s="1"/>
  <c r="I399" i="26"/>
  <c r="J399" i="26" s="1"/>
  <c r="K404" i="26"/>
  <c r="J404" i="26" s="1"/>
  <c r="I406" i="26"/>
  <c r="J406" i="26" s="1"/>
  <c r="K409" i="26"/>
  <c r="J409" i="26" s="1"/>
  <c r="K411" i="26"/>
  <c r="K416" i="26"/>
  <c r="J416" i="26" s="1"/>
  <c r="I417" i="26"/>
  <c r="K421" i="26"/>
  <c r="I422" i="26"/>
  <c r="J422" i="26" s="1"/>
  <c r="I423" i="26"/>
  <c r="J423" i="26" s="1"/>
  <c r="K427" i="26"/>
  <c r="J427" i="26" s="1"/>
  <c r="I436" i="26"/>
  <c r="J456" i="26"/>
  <c r="J460" i="26"/>
  <c r="J477" i="26"/>
  <c r="K493" i="26"/>
  <c r="J493" i="26" s="1"/>
  <c r="J526" i="26"/>
  <c r="K433" i="26"/>
  <c r="J433" i="26" s="1"/>
  <c r="K437" i="26"/>
  <c r="J437" i="26" s="1"/>
  <c r="K441" i="26"/>
  <c r="J441" i="26" s="1"/>
  <c r="J447" i="26"/>
  <c r="J451" i="26"/>
  <c r="J455" i="26"/>
  <c r="J459" i="26"/>
  <c r="I462" i="26"/>
  <c r="J462" i="26" s="1"/>
  <c r="K464" i="26"/>
  <c r="J464" i="26" s="1"/>
  <c r="K465" i="26"/>
  <c r="J465" i="26" s="1"/>
  <c r="J475" i="26"/>
  <c r="I478" i="26"/>
  <c r="J478" i="26" s="1"/>
  <c r="K480" i="26"/>
  <c r="J480" i="26" s="1"/>
  <c r="K481" i="26"/>
  <c r="J481" i="26" s="1"/>
  <c r="I498" i="26"/>
  <c r="J498" i="26" s="1"/>
  <c r="J508" i="26"/>
  <c r="K526" i="26"/>
  <c r="I536" i="26"/>
  <c r="J536" i="26" s="1"/>
  <c r="K542" i="26"/>
  <c r="J542" i="26" s="1"/>
  <c r="I552" i="26"/>
  <c r="J552" i="26" s="1"/>
  <c r="J565" i="26"/>
  <c r="J570" i="26"/>
  <c r="J575" i="26"/>
  <c r="I578" i="26"/>
  <c r="J578" i="26" s="1"/>
  <c r="J601" i="26"/>
  <c r="K432" i="26"/>
  <c r="I434" i="26"/>
  <c r="J434" i="26" s="1"/>
  <c r="K436" i="26"/>
  <c r="I438" i="26"/>
  <c r="J438" i="26" s="1"/>
  <c r="K440" i="26"/>
  <c r="I442" i="26"/>
  <c r="J442" i="26" s="1"/>
  <c r="K445" i="26"/>
  <c r="J445" i="26" s="1"/>
  <c r="I463" i="26"/>
  <c r="J463" i="26" s="1"/>
  <c r="I466" i="26"/>
  <c r="J466" i="26" s="1"/>
  <c r="K468" i="26"/>
  <c r="J468" i="26" s="1"/>
  <c r="K469" i="26"/>
  <c r="J469" i="26" s="1"/>
  <c r="I479" i="26"/>
  <c r="J479" i="26" s="1"/>
  <c r="I482" i="26"/>
  <c r="J482" i="26" s="1"/>
  <c r="K484" i="26"/>
  <c r="J484" i="26" s="1"/>
  <c r="K485" i="26"/>
  <c r="J485" i="26" s="1"/>
  <c r="K492" i="26"/>
  <c r="I499" i="26"/>
  <c r="J499" i="26" s="1"/>
  <c r="I506" i="26"/>
  <c r="J506" i="26" s="1"/>
  <c r="J509" i="26"/>
  <c r="K513" i="26"/>
  <c r="J513" i="26" s="1"/>
  <c r="K514" i="26"/>
  <c r="J514" i="26" s="1"/>
  <c r="I516" i="26"/>
  <c r="J516" i="26" s="1"/>
  <c r="I532" i="26"/>
  <c r="J532" i="26" s="1"/>
  <c r="K538" i="26"/>
  <c r="J538" i="26" s="1"/>
  <c r="I548" i="26"/>
  <c r="J548" i="26" s="1"/>
  <c r="K554" i="26"/>
  <c r="J554" i="26" s="1"/>
  <c r="I561" i="26"/>
  <c r="J561" i="26" s="1"/>
  <c r="J563" i="26"/>
  <c r="I564" i="26"/>
  <c r="J564" i="26" s="1"/>
  <c r="I431" i="26"/>
  <c r="J431" i="26" s="1"/>
  <c r="I435" i="26"/>
  <c r="J435" i="26" s="1"/>
  <c r="I439" i="26"/>
  <c r="J439" i="26" s="1"/>
  <c r="I467" i="26"/>
  <c r="J467" i="26" s="1"/>
  <c r="I470" i="26"/>
  <c r="J470" i="26" s="1"/>
  <c r="K472" i="26"/>
  <c r="J472" i="26" s="1"/>
  <c r="I483" i="26"/>
  <c r="J483" i="26" s="1"/>
  <c r="I486" i="26"/>
  <c r="K489" i="26"/>
  <c r="J489" i="26" s="1"/>
  <c r="K490" i="26"/>
  <c r="J490" i="26" s="1"/>
  <c r="I492" i="26"/>
  <c r="J492" i="26" s="1"/>
  <c r="K500" i="26"/>
  <c r="J500" i="26" s="1"/>
  <c r="K501" i="26"/>
  <c r="J501" i="26" s="1"/>
  <c r="I507" i="26"/>
  <c r="J507" i="26" s="1"/>
  <c r="J517" i="26"/>
  <c r="K521" i="26"/>
  <c r="J521" i="26" s="1"/>
  <c r="J534" i="26"/>
  <c r="J550" i="26"/>
  <c r="I557" i="26"/>
  <c r="J557" i="26" s="1"/>
  <c r="J559" i="26"/>
  <c r="J566" i="26"/>
  <c r="I488" i="26"/>
  <c r="J488" i="26" s="1"/>
  <c r="K494" i="26"/>
  <c r="J494" i="26" s="1"/>
  <c r="I496" i="26"/>
  <c r="J496" i="26" s="1"/>
  <c r="K502" i="26"/>
  <c r="J502" i="26" s="1"/>
  <c r="I504" i="26"/>
  <c r="J504" i="26" s="1"/>
  <c r="K510" i="26"/>
  <c r="J510" i="26" s="1"/>
  <c r="I512" i="26"/>
  <c r="J512" i="26" s="1"/>
  <c r="K518" i="26"/>
  <c r="J518" i="26" s="1"/>
  <c r="I520" i="26"/>
  <c r="J520" i="26" s="1"/>
  <c r="I525" i="26"/>
  <c r="J525" i="26" s="1"/>
  <c r="I529" i="26"/>
  <c r="J529" i="26" s="1"/>
  <c r="I533" i="26"/>
  <c r="J533" i="26" s="1"/>
  <c r="I537" i="26"/>
  <c r="J537" i="26" s="1"/>
  <c r="I541" i="26"/>
  <c r="J541" i="26" s="1"/>
  <c r="I545" i="26"/>
  <c r="J545" i="26" s="1"/>
  <c r="I549" i="26"/>
  <c r="J549" i="26" s="1"/>
  <c r="I553" i="26"/>
  <c r="J553" i="26" s="1"/>
  <c r="K567" i="26"/>
  <c r="J567" i="26" s="1"/>
  <c r="I568" i="26"/>
  <c r="J568" i="26" s="1"/>
  <c r="I569" i="26"/>
  <c r="J569" i="26" s="1"/>
  <c r="I574" i="26"/>
  <c r="J574" i="26" s="1"/>
  <c r="I581" i="26"/>
  <c r="J581" i="26" s="1"/>
  <c r="J585" i="26"/>
  <c r="I558" i="26"/>
  <c r="J558" i="26" s="1"/>
  <c r="I562" i="26"/>
  <c r="J562" i="26" s="1"/>
  <c r="I573" i="26"/>
  <c r="J573" i="26" s="1"/>
  <c r="I580" i="26"/>
  <c r="J580" i="26" s="1"/>
  <c r="J587" i="26"/>
  <c r="I588" i="26"/>
  <c r="J588" i="26" s="1"/>
  <c r="K590" i="26"/>
  <c r="J590" i="26" s="1"/>
  <c r="K591" i="26"/>
  <c r="J591" i="26" s="1"/>
  <c r="J605" i="26"/>
  <c r="K608" i="26"/>
  <c r="J608" i="26" s="1"/>
  <c r="J611" i="26"/>
  <c r="K616" i="26"/>
  <c r="J616" i="26" s="1"/>
  <c r="J619" i="26"/>
  <c r="K624" i="26"/>
  <c r="J624" i="26" s="1"/>
  <c r="J627" i="26"/>
  <c r="K632" i="26"/>
  <c r="J632" i="26" s="1"/>
  <c r="J635" i="26"/>
  <c r="K640" i="26"/>
  <c r="J640" i="26" s="1"/>
  <c r="J643" i="26"/>
  <c r="K648" i="26"/>
  <c r="J648" i="26" s="1"/>
  <c r="J651" i="26"/>
  <c r="K656" i="26"/>
  <c r="J656" i="26" s="1"/>
  <c r="I657" i="26"/>
  <c r="K659" i="26"/>
  <c r="J659" i="26" s="1"/>
  <c r="K661" i="26"/>
  <c r="J661" i="26" s="1"/>
  <c r="K582" i="26"/>
  <c r="J582" i="26" s="1"/>
  <c r="I584" i="26"/>
  <c r="J584" i="26" s="1"/>
  <c r="I589" i="26"/>
  <c r="J589" i="26" s="1"/>
  <c r="I592" i="26"/>
  <c r="J592" i="26" s="1"/>
  <c r="K594" i="26"/>
  <c r="J594" i="26" s="1"/>
  <c r="K595" i="26"/>
  <c r="J595" i="26" s="1"/>
  <c r="K598" i="26"/>
  <c r="J598" i="26" s="1"/>
  <c r="I599" i="26"/>
  <c r="J599" i="26" s="1"/>
  <c r="I600" i="26"/>
  <c r="J600" i="26" s="1"/>
  <c r="K609" i="26"/>
  <c r="J609" i="26" s="1"/>
  <c r="I612" i="26"/>
  <c r="J612" i="26" s="1"/>
  <c r="K617" i="26"/>
  <c r="J617" i="26" s="1"/>
  <c r="I620" i="26"/>
  <c r="J620" i="26" s="1"/>
  <c r="K625" i="26"/>
  <c r="J625" i="26" s="1"/>
  <c r="I628" i="26"/>
  <c r="J628" i="26" s="1"/>
  <c r="K633" i="26"/>
  <c r="J633" i="26" s="1"/>
  <c r="I636" i="26"/>
  <c r="J636" i="26" s="1"/>
  <c r="K641" i="26"/>
  <c r="J641" i="26" s="1"/>
  <c r="I644" i="26"/>
  <c r="J644" i="26" s="1"/>
  <c r="K649" i="26"/>
  <c r="J649" i="26" s="1"/>
  <c r="I652" i="26"/>
  <c r="J652" i="26" s="1"/>
  <c r="K657" i="26"/>
  <c r="I593" i="26"/>
  <c r="J593" i="26" s="1"/>
  <c r="I596" i="26"/>
  <c r="K602" i="26"/>
  <c r="J602" i="26" s="1"/>
  <c r="I604" i="26"/>
  <c r="J604" i="26" s="1"/>
  <c r="I607" i="26"/>
  <c r="J607" i="26" s="1"/>
  <c r="J613" i="26"/>
  <c r="I615" i="26"/>
  <c r="J615" i="26" s="1"/>
  <c r="J621" i="26"/>
  <c r="I623" i="26"/>
  <c r="J623" i="26" s="1"/>
  <c r="J629" i="26"/>
  <c r="I631" i="26"/>
  <c r="J631" i="26" s="1"/>
  <c r="J637" i="26"/>
  <c r="I639" i="26"/>
  <c r="J639" i="26" s="1"/>
  <c r="J645" i="26"/>
  <c r="I647" i="26"/>
  <c r="J647" i="26" s="1"/>
  <c r="J653" i="26"/>
  <c r="I655" i="26"/>
  <c r="J655" i="26" s="1"/>
  <c r="I658" i="26"/>
  <c r="J658" i="26" s="1"/>
  <c r="K631" i="25"/>
  <c r="K603" i="25"/>
  <c r="K595" i="25"/>
  <c r="I575" i="25"/>
  <c r="K567" i="25"/>
  <c r="K539" i="25"/>
  <c r="I531" i="25"/>
  <c r="J531" i="25" s="1"/>
  <c r="K419" i="25"/>
  <c r="K355" i="25"/>
  <c r="K637" i="25"/>
  <c r="K633" i="25"/>
  <c r="K629" i="25"/>
  <c r="K625" i="25"/>
  <c r="K621" i="25"/>
  <c r="K617" i="25"/>
  <c r="K613" i="25"/>
  <c r="K609" i="25"/>
  <c r="K605" i="25"/>
  <c r="K601" i="25"/>
  <c r="K597" i="25"/>
  <c r="K593" i="25"/>
  <c r="K589" i="25"/>
  <c r="K585" i="25"/>
  <c r="K581" i="25"/>
  <c r="K577" i="25"/>
  <c r="K573" i="25"/>
  <c r="K569" i="25"/>
  <c r="K565" i="25"/>
  <c r="K561" i="25"/>
  <c r="K557" i="25"/>
  <c r="K553" i="25"/>
  <c r="K549" i="25"/>
  <c r="K545" i="25"/>
  <c r="K541" i="25"/>
  <c r="K537" i="25"/>
  <c r="K533" i="25"/>
  <c r="K529" i="25"/>
  <c r="K525" i="25"/>
  <c r="K521" i="25"/>
  <c r="K517" i="25"/>
  <c r="K273" i="25"/>
  <c r="I7" i="25"/>
  <c r="J7" i="25" s="1"/>
  <c r="K624" i="25"/>
  <c r="J624" i="25" s="1"/>
  <c r="I616" i="25"/>
  <c r="K588" i="25"/>
  <c r="K580" i="25"/>
  <c r="K560" i="25"/>
  <c r="K552" i="25"/>
  <c r="K524" i="25"/>
  <c r="K516" i="25"/>
  <c r="K511" i="25"/>
  <c r="K503" i="25"/>
  <c r="K475" i="25"/>
  <c r="I467" i="25"/>
  <c r="K455" i="25"/>
  <c r="I447" i="25"/>
  <c r="I439" i="25"/>
  <c r="K431" i="25"/>
  <c r="K427" i="25"/>
  <c r="J427" i="25" s="1"/>
  <c r="K423" i="25"/>
  <c r="K411" i="25"/>
  <c r="I407" i="25"/>
  <c r="K403" i="25"/>
  <c r="K399" i="25"/>
  <c r="K391" i="25"/>
  <c r="K383" i="25"/>
  <c r="K375" i="25"/>
  <c r="J375" i="25" s="1"/>
  <c r="K363" i="25"/>
  <c r="K347" i="25"/>
  <c r="K339" i="25"/>
  <c r="K335" i="25"/>
  <c r="K327" i="25"/>
  <c r="K319" i="25"/>
  <c r="J319" i="25" s="1"/>
  <c r="K311" i="25"/>
  <c r="K299" i="25"/>
  <c r="K291" i="25"/>
  <c r="K283" i="25"/>
  <c r="K275" i="25"/>
  <c r="K267" i="25"/>
  <c r="K255" i="25"/>
  <c r="J255" i="25" s="1"/>
  <c r="K247" i="25"/>
  <c r="K239" i="25"/>
  <c r="K219" i="25"/>
  <c r="K191" i="25"/>
  <c r="I187" i="25"/>
  <c r="K179" i="25"/>
  <c r="I155" i="25"/>
  <c r="J155" i="25" s="1"/>
  <c r="K151" i="25"/>
  <c r="K131" i="25"/>
  <c r="K123" i="25"/>
  <c r="K115" i="25"/>
  <c r="I107" i="25"/>
  <c r="K103" i="25"/>
  <c r="J103" i="25" s="1"/>
  <c r="K95" i="25"/>
  <c r="I198" i="25"/>
  <c r="I166" i="25"/>
  <c r="I134" i="25"/>
  <c r="I102" i="25"/>
  <c r="I70" i="25"/>
  <c r="I38" i="25"/>
  <c r="K513" i="25"/>
  <c r="K509" i="25"/>
  <c r="K505" i="25"/>
  <c r="K501" i="25"/>
  <c r="K497" i="25"/>
  <c r="K493" i="25"/>
  <c r="K489" i="25"/>
  <c r="K485" i="25"/>
  <c r="K481" i="25"/>
  <c r="K477" i="25"/>
  <c r="K473" i="25"/>
  <c r="K469" i="25"/>
  <c r="K465" i="25"/>
  <c r="J465" i="25" s="1"/>
  <c r="K461" i="25"/>
  <c r="K457" i="25"/>
  <c r="K453" i="25"/>
  <c r="K445" i="25"/>
  <c r="K441" i="25"/>
  <c r="K437" i="25"/>
  <c r="K433" i="25"/>
  <c r="J433" i="25" s="1"/>
  <c r="K429" i="25"/>
  <c r="K425" i="25"/>
  <c r="K421" i="25"/>
  <c r="K417" i="25"/>
  <c r="K413" i="25"/>
  <c r="K409" i="25"/>
  <c r="K405" i="25"/>
  <c r="K397" i="25"/>
  <c r="K393" i="25"/>
  <c r="K389" i="25"/>
  <c r="I381" i="25"/>
  <c r="K377" i="25"/>
  <c r="K373" i="25"/>
  <c r="K369" i="25"/>
  <c r="I365" i="25"/>
  <c r="J365" i="25" s="1"/>
  <c r="K361" i="25"/>
  <c r="K357" i="25"/>
  <c r="K353" i="25"/>
  <c r="K345" i="25"/>
  <c r="K341" i="25"/>
  <c r="K329" i="25"/>
  <c r="K325" i="25"/>
  <c r="K313" i="25"/>
  <c r="K309" i="25"/>
  <c r="K305" i="25"/>
  <c r="K297" i="25"/>
  <c r="K293" i="25"/>
  <c r="K289" i="25"/>
  <c r="J289" i="25" s="1"/>
  <c r="K281" i="25"/>
  <c r="K277" i="25"/>
  <c r="K265" i="25"/>
  <c r="K261" i="25"/>
  <c r="K257" i="25"/>
  <c r="I253" i="25"/>
  <c r="K249" i="25"/>
  <c r="K245" i="25"/>
  <c r="I237" i="25"/>
  <c r="K233" i="25"/>
  <c r="K229" i="25"/>
  <c r="K225" i="25"/>
  <c r="K221" i="25"/>
  <c r="K217" i="25"/>
  <c r="K213" i="25"/>
  <c r="K209" i="25"/>
  <c r="K205" i="25"/>
  <c r="K201" i="25"/>
  <c r="K197" i="25"/>
  <c r="K189" i="25"/>
  <c r="K185" i="25"/>
  <c r="K181" i="25"/>
  <c r="K173" i="25"/>
  <c r="K169" i="25"/>
  <c r="K165" i="25"/>
  <c r="K161" i="25"/>
  <c r="K157" i="25"/>
  <c r="K153" i="25"/>
  <c r="K149" i="25"/>
  <c r="K141" i="25"/>
  <c r="K137" i="25"/>
  <c r="K133" i="25"/>
  <c r="K125" i="25"/>
  <c r="K121" i="25"/>
  <c r="K117" i="25"/>
  <c r="K109" i="25"/>
  <c r="K105" i="25"/>
  <c r="K101" i="25"/>
  <c r="K93" i="25"/>
  <c r="K89" i="25"/>
  <c r="K85" i="25"/>
  <c r="K77" i="25"/>
  <c r="K73" i="25"/>
  <c r="K69" i="25"/>
  <c r="K65" i="25"/>
  <c r="K61" i="25"/>
  <c r="K57" i="25"/>
  <c r="K53" i="25"/>
  <c r="K45" i="25"/>
  <c r="K41" i="25"/>
  <c r="K37" i="25"/>
  <c r="K496" i="25"/>
  <c r="K488" i="25"/>
  <c r="K436" i="25"/>
  <c r="I416" i="25"/>
  <c r="K388" i="25"/>
  <c r="K360" i="25"/>
  <c r="K332" i="25"/>
  <c r="K304" i="25"/>
  <c r="I284" i="25"/>
  <c r="K236" i="25"/>
  <c r="K216" i="25"/>
  <c r="K196" i="25"/>
  <c r="J196" i="25" s="1"/>
  <c r="K160" i="25"/>
  <c r="K140" i="25"/>
  <c r="K29" i="25"/>
  <c r="K25" i="25"/>
  <c r="K21" i="25"/>
  <c r="K17" i="25"/>
  <c r="K13" i="25"/>
  <c r="K9" i="25"/>
  <c r="K8" i="25"/>
  <c r="K87" i="25"/>
  <c r="K83" i="25"/>
  <c r="J83" i="25" s="1"/>
  <c r="I79" i="25"/>
  <c r="K75" i="25"/>
  <c r="K67" i="25"/>
  <c r="K59" i="25"/>
  <c r="K55" i="25"/>
  <c r="K47" i="25"/>
  <c r="K39" i="25"/>
  <c r="K31" i="25"/>
  <c r="K27" i="25"/>
  <c r="K19" i="25"/>
  <c r="K11" i="25"/>
  <c r="K623" i="25"/>
  <c r="I623" i="25"/>
  <c r="K615" i="25"/>
  <c r="I615" i="25"/>
  <c r="K607" i="25"/>
  <c r="I607" i="25"/>
  <c r="K599" i="25"/>
  <c r="I599" i="25"/>
  <c r="K591" i="25"/>
  <c r="I591" i="25"/>
  <c r="K583" i="25"/>
  <c r="I583" i="25"/>
  <c r="K559" i="25"/>
  <c r="I559" i="25"/>
  <c r="K551" i="25"/>
  <c r="I551" i="25"/>
  <c r="K523" i="25"/>
  <c r="I523" i="25"/>
  <c r="K515" i="25"/>
  <c r="I515" i="25"/>
  <c r="K507" i="25"/>
  <c r="I507" i="25"/>
  <c r="K499" i="25"/>
  <c r="I499" i="25"/>
  <c r="K491" i="25"/>
  <c r="I491" i="25"/>
  <c r="K483" i="25"/>
  <c r="I483" i="25"/>
  <c r="I471" i="25"/>
  <c r="K471" i="25"/>
  <c r="K463" i="25"/>
  <c r="I463" i="25"/>
  <c r="I631" i="25"/>
  <c r="J631" i="25" s="1"/>
  <c r="K447" i="25"/>
  <c r="I595" i="25"/>
  <c r="I567" i="25"/>
  <c r="J567" i="25" s="1"/>
  <c r="I539" i="25"/>
  <c r="J539" i="25" s="1"/>
  <c r="I511" i="25"/>
  <c r="J511" i="25" s="1"/>
  <c r="I588" i="25"/>
  <c r="I560" i="25"/>
  <c r="I503" i="25"/>
  <c r="I475" i="25"/>
  <c r="J475" i="25" s="1"/>
  <c r="I436" i="25"/>
  <c r="I360" i="25"/>
  <c r="I304" i="25"/>
  <c r="I236" i="25"/>
  <c r="K575" i="25"/>
  <c r="K635" i="25"/>
  <c r="I635" i="25"/>
  <c r="K627" i="25"/>
  <c r="I627" i="25"/>
  <c r="K619" i="25"/>
  <c r="I619" i="25"/>
  <c r="K611" i="25"/>
  <c r="I611" i="25"/>
  <c r="K587" i="25"/>
  <c r="I587" i="25"/>
  <c r="K579" i="25"/>
  <c r="I579" i="25"/>
  <c r="K571" i="25"/>
  <c r="I571" i="25"/>
  <c r="K563" i="25"/>
  <c r="I563" i="25"/>
  <c r="K555" i="25"/>
  <c r="I555" i="25"/>
  <c r="K547" i="25"/>
  <c r="I547" i="25"/>
  <c r="K543" i="25"/>
  <c r="I543" i="25"/>
  <c r="K535" i="25"/>
  <c r="I535" i="25"/>
  <c r="K527" i="25"/>
  <c r="I527" i="25"/>
  <c r="K519" i="25"/>
  <c r="I519" i="25"/>
  <c r="K495" i="25"/>
  <c r="I495" i="25"/>
  <c r="K487" i="25"/>
  <c r="I487" i="25"/>
  <c r="K479" i="25"/>
  <c r="I479" i="25"/>
  <c r="I459" i="25"/>
  <c r="K459" i="25"/>
  <c r="K451" i="25"/>
  <c r="I451" i="25"/>
  <c r="I603" i="25"/>
  <c r="J603" i="25" s="1"/>
  <c r="I455" i="25"/>
  <c r="K636" i="25"/>
  <c r="I636" i="25"/>
  <c r="K632" i="25"/>
  <c r="I632" i="25"/>
  <c r="K628" i="25"/>
  <c r="I628" i="25"/>
  <c r="K620" i="25"/>
  <c r="I620" i="25"/>
  <c r="K612" i="25"/>
  <c r="I612" i="25"/>
  <c r="K608" i="25"/>
  <c r="I608" i="25"/>
  <c r="K604" i="25"/>
  <c r="I604" i="25"/>
  <c r="K600" i="25"/>
  <c r="I600" i="25"/>
  <c r="K596" i="25"/>
  <c r="I596" i="25"/>
  <c r="K592" i="25"/>
  <c r="I592" i="25"/>
  <c r="K584" i="25"/>
  <c r="I584" i="25"/>
  <c r="K576" i="25"/>
  <c r="I576" i="25"/>
  <c r="K572" i="25"/>
  <c r="I572" i="25"/>
  <c r="K568" i="25"/>
  <c r="I568" i="25"/>
  <c r="K564" i="25"/>
  <c r="I564" i="25"/>
  <c r="K556" i="25"/>
  <c r="I556" i="25"/>
  <c r="K548" i="25"/>
  <c r="I548" i="25"/>
  <c r="K544" i="25"/>
  <c r="I544" i="25"/>
  <c r="K540" i="25"/>
  <c r="I540" i="25"/>
  <c r="K536" i="25"/>
  <c r="I536" i="25"/>
  <c r="K532" i="25"/>
  <c r="I532" i="25"/>
  <c r="K528" i="25"/>
  <c r="I528" i="25"/>
  <c r="K520" i="25"/>
  <c r="I520" i="25"/>
  <c r="K512" i="25"/>
  <c r="I512" i="25"/>
  <c r="K508" i="25"/>
  <c r="I508" i="25"/>
  <c r="K504" i="25"/>
  <c r="I504" i="25"/>
  <c r="K500" i="25"/>
  <c r="I500" i="25"/>
  <c r="K492" i="25"/>
  <c r="I492" i="25"/>
  <c r="K484" i="25"/>
  <c r="I484" i="25"/>
  <c r="K480" i="25"/>
  <c r="I480" i="25"/>
  <c r="K476" i="25"/>
  <c r="I476" i="25"/>
  <c r="K472" i="25"/>
  <c r="I472" i="25"/>
  <c r="K468" i="25"/>
  <c r="I468" i="25"/>
  <c r="I464" i="25"/>
  <c r="K464" i="25"/>
  <c r="K460" i="25"/>
  <c r="I460" i="25"/>
  <c r="I456" i="25"/>
  <c r="K456" i="25"/>
  <c r="K452" i="25"/>
  <c r="I452" i="25"/>
  <c r="K448" i="25"/>
  <c r="I448" i="25"/>
  <c r="K444" i="25"/>
  <c r="I444" i="25"/>
  <c r="K440" i="25"/>
  <c r="I440" i="25"/>
  <c r="K432" i="25"/>
  <c r="I432" i="25"/>
  <c r="K428" i="25"/>
  <c r="I428" i="25"/>
  <c r="K424" i="25"/>
  <c r="I424" i="25"/>
  <c r="K420" i="25"/>
  <c r="I420" i="25"/>
  <c r="K412" i="25"/>
  <c r="I412" i="25"/>
  <c r="K408" i="25"/>
  <c r="I408" i="25"/>
  <c r="K404" i="25"/>
  <c r="I404" i="25"/>
  <c r="I400" i="25"/>
  <c r="K400" i="25"/>
  <c r="K396" i="25"/>
  <c r="I396" i="25"/>
  <c r="K392" i="25"/>
  <c r="I392" i="25"/>
  <c r="K384" i="25"/>
  <c r="I384" i="25"/>
  <c r="K380" i="25"/>
  <c r="I380" i="25"/>
  <c r="K376" i="25"/>
  <c r="I376" i="25"/>
  <c r="K372" i="25"/>
  <c r="I372" i="25"/>
  <c r="K368" i="25"/>
  <c r="I368" i="25"/>
  <c r="I364" i="25"/>
  <c r="K364" i="25"/>
  <c r="K356" i="25"/>
  <c r="I356" i="25"/>
  <c r="K352" i="25"/>
  <c r="I352" i="25"/>
  <c r="K348" i="25"/>
  <c r="I348" i="25"/>
  <c r="K344" i="25"/>
  <c r="I344" i="25"/>
  <c r="K340" i="25"/>
  <c r="I340" i="25"/>
  <c r="K336" i="25"/>
  <c r="I336" i="25"/>
  <c r="K328" i="25"/>
  <c r="I328" i="25"/>
  <c r="K324" i="25"/>
  <c r="I324" i="25"/>
  <c r="K320" i="25"/>
  <c r="I320" i="25"/>
  <c r="K316" i="25"/>
  <c r="I316" i="25"/>
  <c r="K312" i="25"/>
  <c r="I312" i="25"/>
  <c r="K308" i="25"/>
  <c r="I308" i="25"/>
  <c r="I300" i="25"/>
  <c r="K300" i="25"/>
  <c r="K296" i="25"/>
  <c r="I296" i="25"/>
  <c r="K292" i="25"/>
  <c r="I292" i="25"/>
  <c r="K288" i="25"/>
  <c r="I288" i="25"/>
  <c r="K280" i="25"/>
  <c r="I280" i="25"/>
  <c r="I276" i="25"/>
  <c r="K276" i="25"/>
  <c r="K272" i="25"/>
  <c r="I272" i="25"/>
  <c r="K268" i="25"/>
  <c r="I268" i="25"/>
  <c r="K264" i="25"/>
  <c r="I264" i="25"/>
  <c r="K260" i="25"/>
  <c r="I260" i="25"/>
  <c r="K256" i="25"/>
  <c r="I256" i="25"/>
  <c r="K252" i="25"/>
  <c r="I252" i="25"/>
  <c r="K248" i="25"/>
  <c r="I248" i="25"/>
  <c r="K244" i="25"/>
  <c r="I244" i="25"/>
  <c r="K240" i="25"/>
  <c r="I240" i="25"/>
  <c r="K232" i="25"/>
  <c r="I232" i="25"/>
  <c r="K228" i="25"/>
  <c r="I228" i="25"/>
  <c r="K224" i="25"/>
  <c r="I224" i="25"/>
  <c r="K220" i="25"/>
  <c r="I220" i="25"/>
  <c r="K212" i="25"/>
  <c r="I212" i="25"/>
  <c r="K208" i="25"/>
  <c r="I208" i="25"/>
  <c r="K204" i="25"/>
  <c r="I204" i="25"/>
  <c r="K200" i="25"/>
  <c r="I200" i="25"/>
  <c r="K192" i="25"/>
  <c r="I192" i="25"/>
  <c r="K188" i="25"/>
  <c r="I188" i="25"/>
  <c r="K184" i="25"/>
  <c r="I184" i="25"/>
  <c r="K180" i="25"/>
  <c r="I180" i="25"/>
  <c r="K176" i="25"/>
  <c r="I176" i="25"/>
  <c r="K172" i="25"/>
  <c r="I172" i="25"/>
  <c r="K168" i="25"/>
  <c r="I168" i="25"/>
  <c r="K164" i="25"/>
  <c r="I164" i="25"/>
  <c r="K156" i="25"/>
  <c r="I156" i="25"/>
  <c r="K152" i="25"/>
  <c r="I152" i="25"/>
  <c r="K148" i="25"/>
  <c r="I148" i="25"/>
  <c r="K144" i="25"/>
  <c r="I144" i="25"/>
  <c r="K136" i="25"/>
  <c r="I136" i="25"/>
  <c r="K132" i="25"/>
  <c r="I132" i="25"/>
  <c r="K128" i="25"/>
  <c r="I128" i="25"/>
  <c r="K124" i="25"/>
  <c r="I124" i="25"/>
  <c r="K120" i="25"/>
  <c r="I120" i="25"/>
  <c r="K116" i="25"/>
  <c r="I116" i="25"/>
  <c r="K112" i="25"/>
  <c r="I112" i="25"/>
  <c r="K108" i="25"/>
  <c r="I108" i="25"/>
  <c r="K104" i="25"/>
  <c r="I104" i="25"/>
  <c r="K100" i="25"/>
  <c r="I100" i="25"/>
  <c r="K96" i="25"/>
  <c r="I96" i="25"/>
  <c r="K92" i="25"/>
  <c r="I92" i="25"/>
  <c r="K88" i="25"/>
  <c r="I88" i="25"/>
  <c r="K84" i="25"/>
  <c r="I84" i="25"/>
  <c r="K80" i="25"/>
  <c r="I80" i="25"/>
  <c r="K76" i="25"/>
  <c r="I76" i="25"/>
  <c r="K72" i="25"/>
  <c r="I72" i="25"/>
  <c r="K68" i="25"/>
  <c r="I68" i="25"/>
  <c r="K64" i="25"/>
  <c r="I64" i="25"/>
  <c r="K60" i="25"/>
  <c r="I60" i="25"/>
  <c r="K56" i="25"/>
  <c r="I56" i="25"/>
  <c r="K52" i="25"/>
  <c r="I52" i="25"/>
  <c r="K48" i="25"/>
  <c r="I48" i="25"/>
  <c r="K44" i="25"/>
  <c r="I44" i="25"/>
  <c r="K40" i="25"/>
  <c r="I40" i="25"/>
  <c r="K36" i="25"/>
  <c r="I36" i="25"/>
  <c r="K32" i="25"/>
  <c r="I32" i="25"/>
  <c r="K28" i="25"/>
  <c r="I28" i="25"/>
  <c r="K24" i="25"/>
  <c r="I24" i="25"/>
  <c r="K20" i="25"/>
  <c r="I20" i="25"/>
  <c r="K16" i="25"/>
  <c r="I16" i="25"/>
  <c r="K12" i="25"/>
  <c r="I12" i="25"/>
  <c r="I580" i="25"/>
  <c r="J580" i="25" s="1"/>
  <c r="I552" i="25"/>
  <c r="I524" i="25"/>
  <c r="I496" i="25"/>
  <c r="I388" i="25"/>
  <c r="I216" i="25"/>
  <c r="J216" i="25" s="1"/>
  <c r="I160" i="25"/>
  <c r="I8" i="25"/>
  <c r="K467" i="25"/>
  <c r="J467" i="25" s="1"/>
  <c r="K284" i="25"/>
  <c r="I443" i="25"/>
  <c r="K443" i="25"/>
  <c r="K435" i="25"/>
  <c r="I435" i="25"/>
  <c r="I415" i="25"/>
  <c r="K415" i="25"/>
  <c r="J403" i="25"/>
  <c r="K395" i="25"/>
  <c r="J395" i="25" s="1"/>
  <c r="I395" i="25"/>
  <c r="K387" i="25"/>
  <c r="I387" i="25"/>
  <c r="K379" i="25"/>
  <c r="I379" i="25"/>
  <c r="K371" i="25"/>
  <c r="I371" i="25"/>
  <c r="K367" i="25"/>
  <c r="I367" i="25"/>
  <c r="K359" i="25"/>
  <c r="I359" i="25"/>
  <c r="K351" i="25"/>
  <c r="I351" i="25"/>
  <c r="K343" i="25"/>
  <c r="I343" i="25"/>
  <c r="K331" i="25"/>
  <c r="I331" i="25"/>
  <c r="K323" i="25"/>
  <c r="I323" i="25"/>
  <c r="K315" i="25"/>
  <c r="I315" i="25"/>
  <c r="K307" i="25"/>
  <c r="I307" i="25"/>
  <c r="K303" i="25"/>
  <c r="I303" i="25"/>
  <c r="K295" i="25"/>
  <c r="I295" i="25"/>
  <c r="K287" i="25"/>
  <c r="I287" i="25"/>
  <c r="K279" i="25"/>
  <c r="I279" i="25"/>
  <c r="K271" i="25"/>
  <c r="I271" i="25"/>
  <c r="K263" i="25"/>
  <c r="I263" i="25"/>
  <c r="K259" i="25"/>
  <c r="I259" i="25"/>
  <c r="K251" i="25"/>
  <c r="I251" i="25"/>
  <c r="K243" i="25"/>
  <c r="I243" i="25"/>
  <c r="K235" i="25"/>
  <c r="I235" i="25"/>
  <c r="K231" i="25"/>
  <c r="I231" i="25"/>
  <c r="K227" i="25"/>
  <c r="I227" i="25"/>
  <c r="K223" i="25"/>
  <c r="I223" i="25"/>
  <c r="K215" i="25"/>
  <c r="I215" i="25"/>
  <c r="K211" i="25"/>
  <c r="I211" i="25"/>
  <c r="I207" i="25"/>
  <c r="K207" i="25"/>
  <c r="K203" i="25"/>
  <c r="I203" i="25"/>
  <c r="K199" i="25"/>
  <c r="I199" i="25"/>
  <c r="K195" i="25"/>
  <c r="I195" i="25"/>
  <c r="K183" i="25"/>
  <c r="I183" i="25"/>
  <c r="K175" i="25"/>
  <c r="I175" i="25"/>
  <c r="K171" i="25"/>
  <c r="I171" i="25"/>
  <c r="K167" i="25"/>
  <c r="I167" i="25"/>
  <c r="K163" i="25"/>
  <c r="I163" i="25"/>
  <c r="K159" i="25"/>
  <c r="I159" i="25"/>
  <c r="K147" i="25"/>
  <c r="I147" i="25"/>
  <c r="I143" i="25"/>
  <c r="K143" i="25"/>
  <c r="K139" i="25"/>
  <c r="I139" i="25"/>
  <c r="K135" i="25"/>
  <c r="I135" i="25"/>
  <c r="K127" i="25"/>
  <c r="I127" i="25"/>
  <c r="K119" i="25"/>
  <c r="I119" i="25"/>
  <c r="K111" i="25"/>
  <c r="I111" i="25"/>
  <c r="K99" i="25"/>
  <c r="I99" i="25"/>
  <c r="K91" i="25"/>
  <c r="I91" i="25"/>
  <c r="K71" i="25"/>
  <c r="I71" i="25"/>
  <c r="K63" i="25"/>
  <c r="I63" i="25"/>
  <c r="K51" i="25"/>
  <c r="I51" i="25"/>
  <c r="I43" i="25"/>
  <c r="K43" i="25"/>
  <c r="K35" i="25"/>
  <c r="I35" i="25"/>
  <c r="K23" i="25"/>
  <c r="I23" i="25"/>
  <c r="K15" i="25"/>
  <c r="I15" i="25"/>
  <c r="I593" i="25"/>
  <c r="I529" i="25"/>
  <c r="J529" i="25" s="1"/>
  <c r="I399" i="25"/>
  <c r="I355" i="25"/>
  <c r="J355" i="25" s="1"/>
  <c r="I327" i="25"/>
  <c r="I299" i="25"/>
  <c r="J299" i="25" s="1"/>
  <c r="I267" i="25"/>
  <c r="I247" i="25"/>
  <c r="I191" i="25"/>
  <c r="I115" i="25"/>
  <c r="J115" i="25" s="1"/>
  <c r="I59" i="25"/>
  <c r="J59" i="25" s="1"/>
  <c r="I39" i="25"/>
  <c r="I19" i="25"/>
  <c r="K439" i="25"/>
  <c r="J439" i="25" s="1"/>
  <c r="K407" i="25"/>
  <c r="J407" i="25" s="1"/>
  <c r="K107" i="25"/>
  <c r="I577" i="25"/>
  <c r="I513" i="25"/>
  <c r="J513" i="25" s="1"/>
  <c r="I423" i="25"/>
  <c r="I411" i="25"/>
  <c r="I383" i="25"/>
  <c r="J383" i="25" s="1"/>
  <c r="I353" i="25"/>
  <c r="J353" i="25" s="1"/>
  <c r="I339" i="25"/>
  <c r="J339" i="25" s="1"/>
  <c r="I311" i="25"/>
  <c r="J311" i="25" s="1"/>
  <c r="I283" i="25"/>
  <c r="I225" i="25"/>
  <c r="I151" i="25"/>
  <c r="I131" i="25"/>
  <c r="I95" i="25"/>
  <c r="I75" i="25"/>
  <c r="I55" i="25"/>
  <c r="I17" i="25"/>
  <c r="K237" i="25"/>
  <c r="K79" i="25"/>
  <c r="J79" i="25" s="1"/>
  <c r="K449" i="25"/>
  <c r="I449" i="25"/>
  <c r="K401" i="25"/>
  <c r="I401" i="25"/>
  <c r="K385" i="25"/>
  <c r="I385" i="25"/>
  <c r="I349" i="25"/>
  <c r="K349" i="25"/>
  <c r="K337" i="25"/>
  <c r="I337" i="25"/>
  <c r="I333" i="25"/>
  <c r="K333" i="25"/>
  <c r="K321" i="25"/>
  <c r="I321" i="25"/>
  <c r="I317" i="25"/>
  <c r="K317" i="25"/>
  <c r="I301" i="25"/>
  <c r="K301" i="25"/>
  <c r="I285" i="25"/>
  <c r="K285" i="25"/>
  <c r="I269" i="25"/>
  <c r="K269" i="25"/>
  <c r="J253" i="25"/>
  <c r="K241" i="25"/>
  <c r="I241" i="25"/>
  <c r="K193" i="25"/>
  <c r="I193" i="25"/>
  <c r="K177" i="25"/>
  <c r="I177" i="25"/>
  <c r="K145" i="25"/>
  <c r="I145" i="25"/>
  <c r="K129" i="25"/>
  <c r="I129" i="25"/>
  <c r="K113" i="25"/>
  <c r="I113" i="25"/>
  <c r="K97" i="25"/>
  <c r="I97" i="25"/>
  <c r="K81" i="25"/>
  <c r="I81" i="25"/>
  <c r="K49" i="25"/>
  <c r="I49" i="25"/>
  <c r="K33" i="25"/>
  <c r="I33" i="25"/>
  <c r="I625" i="25"/>
  <c r="I561" i="25"/>
  <c r="I497" i="25"/>
  <c r="I431" i="25"/>
  <c r="J431" i="25" s="1"/>
  <c r="I419" i="25"/>
  <c r="I391" i="25"/>
  <c r="I363" i="25"/>
  <c r="I335" i="25"/>
  <c r="I305" i="25"/>
  <c r="I291" i="25"/>
  <c r="I275" i="25"/>
  <c r="J275" i="25" s="1"/>
  <c r="I257" i="25"/>
  <c r="J257" i="25" s="1"/>
  <c r="I239" i="25"/>
  <c r="J239" i="25" s="1"/>
  <c r="I219" i="25"/>
  <c r="I161" i="25"/>
  <c r="J161" i="25" s="1"/>
  <c r="I87" i="25"/>
  <c r="J87" i="25" s="1"/>
  <c r="I67" i="25"/>
  <c r="I31" i="25"/>
  <c r="J31" i="25" s="1"/>
  <c r="I11" i="25"/>
  <c r="K381" i="25"/>
  <c r="K187" i="25"/>
  <c r="I638" i="25"/>
  <c r="K638" i="25"/>
  <c r="I630" i="25"/>
  <c r="K630" i="25"/>
  <c r="I622" i="25"/>
  <c r="K622" i="25"/>
  <c r="I614" i="25"/>
  <c r="K614" i="25"/>
  <c r="I602" i="25"/>
  <c r="K602" i="25"/>
  <c r="I594" i="25"/>
  <c r="K594" i="25"/>
  <c r="I586" i="25"/>
  <c r="K586" i="25"/>
  <c r="I578" i="25"/>
  <c r="K578" i="25"/>
  <c r="I570" i="25"/>
  <c r="K570" i="25"/>
  <c r="I562" i="25"/>
  <c r="K562" i="25"/>
  <c r="I558" i="25"/>
  <c r="K558" i="25"/>
  <c r="I550" i="25"/>
  <c r="K550" i="25"/>
  <c r="I542" i="25"/>
  <c r="K542" i="25"/>
  <c r="I534" i="25"/>
  <c r="K534" i="25"/>
  <c r="I526" i="25"/>
  <c r="K526" i="25"/>
  <c r="I518" i="25"/>
  <c r="K518" i="25"/>
  <c r="I510" i="25"/>
  <c r="K510" i="25"/>
  <c r="I502" i="25"/>
  <c r="K502" i="25"/>
  <c r="I490" i="25"/>
  <c r="K490" i="25"/>
  <c r="I482" i="25"/>
  <c r="K482" i="25"/>
  <c r="I478" i="25"/>
  <c r="K478" i="25"/>
  <c r="I470" i="25"/>
  <c r="K470" i="25"/>
  <c r="I462" i="25"/>
  <c r="K462" i="25"/>
  <c r="I454" i="25"/>
  <c r="K454" i="25"/>
  <c r="I442" i="25"/>
  <c r="K442" i="25"/>
  <c r="I434" i="25"/>
  <c r="K434" i="25"/>
  <c r="I426" i="25"/>
  <c r="K426" i="25"/>
  <c r="I418" i="25"/>
  <c r="K418" i="25"/>
  <c r="I410" i="25"/>
  <c r="K410" i="25"/>
  <c r="I402" i="25"/>
  <c r="K402" i="25"/>
  <c r="K394" i="25"/>
  <c r="I394" i="25"/>
  <c r="K386" i="25"/>
  <c r="I386" i="25"/>
  <c r="K378" i="25"/>
  <c r="I378" i="25"/>
  <c r="K370" i="25"/>
  <c r="I370" i="25"/>
  <c r="K362" i="25"/>
  <c r="I362" i="25"/>
  <c r="K354" i="25"/>
  <c r="I354" i="25"/>
  <c r="K350" i="25"/>
  <c r="I350" i="25"/>
  <c r="K342" i="25"/>
  <c r="I342" i="25"/>
  <c r="K330" i="25"/>
  <c r="I330" i="25"/>
  <c r="K322" i="25"/>
  <c r="I322" i="25"/>
  <c r="K314" i="25"/>
  <c r="I314" i="25"/>
  <c r="K306" i="25"/>
  <c r="I306" i="25"/>
  <c r="K298" i="25"/>
  <c r="I298" i="25"/>
  <c r="K290" i="25"/>
  <c r="I290" i="25"/>
  <c r="K282" i="25"/>
  <c r="I282" i="25"/>
  <c r="K274" i="25"/>
  <c r="I274" i="25"/>
  <c r="K266" i="25"/>
  <c r="I266" i="25"/>
  <c r="K258" i="25"/>
  <c r="I258" i="25"/>
  <c r="K250" i="25"/>
  <c r="I250" i="25"/>
  <c r="K242" i="25"/>
  <c r="I242" i="25"/>
  <c r="K234" i="25"/>
  <c r="I234" i="25"/>
  <c r="K226" i="25"/>
  <c r="I226" i="25"/>
  <c r="I218" i="25"/>
  <c r="K218" i="25"/>
  <c r="K206" i="25"/>
  <c r="I206" i="25"/>
  <c r="K202" i="25"/>
  <c r="I202" i="25"/>
  <c r="K190" i="25"/>
  <c r="I190" i="25"/>
  <c r="I182" i="25"/>
  <c r="K182" i="25"/>
  <c r="K158" i="25"/>
  <c r="I158" i="25"/>
  <c r="I150" i="25"/>
  <c r="K150" i="25"/>
  <c r="K142" i="25"/>
  <c r="I142" i="25"/>
  <c r="K138" i="25"/>
  <c r="I138" i="25"/>
  <c r="K130" i="25"/>
  <c r="I130" i="25"/>
  <c r="I122" i="25"/>
  <c r="K122" i="25"/>
  <c r="K94" i="25"/>
  <c r="I94" i="25"/>
  <c r="I86" i="25"/>
  <c r="K86" i="25"/>
  <c r="K62" i="25"/>
  <c r="I62" i="25"/>
  <c r="I54" i="25"/>
  <c r="K54" i="25"/>
  <c r="K46" i="25"/>
  <c r="I46" i="25"/>
  <c r="K42" i="25"/>
  <c r="I42" i="25"/>
  <c r="K34" i="25"/>
  <c r="I34" i="25"/>
  <c r="I26" i="25"/>
  <c r="K26" i="25"/>
  <c r="K18" i="25"/>
  <c r="I18" i="25"/>
  <c r="K10" i="25"/>
  <c r="I10" i="25"/>
  <c r="I629" i="25"/>
  <c r="I613" i="25"/>
  <c r="I597" i="25"/>
  <c r="I581" i="25"/>
  <c r="I565" i="25"/>
  <c r="I549" i="25"/>
  <c r="I533" i="25"/>
  <c r="I517" i="25"/>
  <c r="I501" i="25"/>
  <c r="I485" i="25"/>
  <c r="I469" i="25"/>
  <c r="I453" i="25"/>
  <c r="I437" i="25"/>
  <c r="I421" i="25"/>
  <c r="I405" i="25"/>
  <c r="I389" i="25"/>
  <c r="J389" i="25" s="1"/>
  <c r="I373" i="25"/>
  <c r="I357" i="25"/>
  <c r="J357" i="25" s="1"/>
  <c r="I341" i="25"/>
  <c r="I325" i="25"/>
  <c r="J325" i="25" s="1"/>
  <c r="I309" i="25"/>
  <c r="I293" i="25"/>
  <c r="I277" i="25"/>
  <c r="J277" i="25" s="1"/>
  <c r="I261" i="25"/>
  <c r="I245" i="25"/>
  <c r="I229" i="25"/>
  <c r="I213" i="25"/>
  <c r="I197" i="25"/>
  <c r="I181" i="25"/>
  <c r="J181" i="25" s="1"/>
  <c r="I165" i="25"/>
  <c r="J165" i="25" s="1"/>
  <c r="I149" i="25"/>
  <c r="I133" i="25"/>
  <c r="I117" i="25"/>
  <c r="I101" i="25"/>
  <c r="J101" i="25" s="1"/>
  <c r="I85" i="25"/>
  <c r="I69" i="25"/>
  <c r="I53" i="25"/>
  <c r="I37" i="25"/>
  <c r="I21" i="25"/>
  <c r="K134" i="25"/>
  <c r="I633" i="25"/>
  <c r="I617" i="25"/>
  <c r="I601" i="25"/>
  <c r="I585" i="25"/>
  <c r="I569" i="25"/>
  <c r="J564" i="25"/>
  <c r="I553" i="25"/>
  <c r="I537" i="25"/>
  <c r="J532" i="25"/>
  <c r="I521" i="25"/>
  <c r="J516" i="25"/>
  <c r="I505" i="25"/>
  <c r="J500" i="25"/>
  <c r="I489" i="25"/>
  <c r="I473" i="25"/>
  <c r="J468" i="25"/>
  <c r="I457" i="25"/>
  <c r="I441" i="25"/>
  <c r="J441" i="25" s="1"/>
  <c r="J436" i="25"/>
  <c r="I425" i="25"/>
  <c r="J425" i="25" s="1"/>
  <c r="I409" i="25"/>
  <c r="J409" i="25" s="1"/>
  <c r="I393" i="25"/>
  <c r="I377" i="25"/>
  <c r="J377" i="25" s="1"/>
  <c r="I361" i="25"/>
  <c r="I345" i="25"/>
  <c r="I329" i="25"/>
  <c r="I313" i="25"/>
  <c r="I297" i="25"/>
  <c r="J297" i="25" s="1"/>
  <c r="I281" i="25"/>
  <c r="I265" i="25"/>
  <c r="I249" i="25"/>
  <c r="I233" i="25"/>
  <c r="J233" i="25" s="1"/>
  <c r="I217" i="25"/>
  <c r="J217" i="25" s="1"/>
  <c r="I201" i="25"/>
  <c r="J201" i="25" s="1"/>
  <c r="I185" i="25"/>
  <c r="I169" i="25"/>
  <c r="I153" i="25"/>
  <c r="I137" i="25"/>
  <c r="I121" i="25"/>
  <c r="J121" i="25" s="1"/>
  <c r="I105" i="25"/>
  <c r="J105" i="25" s="1"/>
  <c r="I89" i="25"/>
  <c r="I73" i="25"/>
  <c r="I57" i="25"/>
  <c r="I41" i="25"/>
  <c r="J41" i="25" s="1"/>
  <c r="I25" i="25"/>
  <c r="I9" i="25"/>
  <c r="K102" i="25"/>
  <c r="J102" i="25" s="1"/>
  <c r="I634" i="25"/>
  <c r="K634" i="25"/>
  <c r="I626" i="25"/>
  <c r="K626" i="25"/>
  <c r="I618" i="25"/>
  <c r="K618" i="25"/>
  <c r="I610" i="25"/>
  <c r="K610" i="25"/>
  <c r="I606" i="25"/>
  <c r="K606" i="25"/>
  <c r="I598" i="25"/>
  <c r="K598" i="25"/>
  <c r="I590" i="25"/>
  <c r="K590" i="25"/>
  <c r="I582" i="25"/>
  <c r="K582" i="25"/>
  <c r="I574" i="25"/>
  <c r="K574" i="25"/>
  <c r="I566" i="25"/>
  <c r="K566" i="25"/>
  <c r="I554" i="25"/>
  <c r="K554" i="25"/>
  <c r="I546" i="25"/>
  <c r="K546" i="25"/>
  <c r="I538" i="25"/>
  <c r="K538" i="25"/>
  <c r="I530" i="25"/>
  <c r="K530" i="25"/>
  <c r="I522" i="25"/>
  <c r="K522" i="25"/>
  <c r="I514" i="25"/>
  <c r="K514" i="25"/>
  <c r="I506" i="25"/>
  <c r="K506" i="25"/>
  <c r="I498" i="25"/>
  <c r="K498" i="25"/>
  <c r="I494" i="25"/>
  <c r="K494" i="25"/>
  <c r="I486" i="25"/>
  <c r="K486" i="25"/>
  <c r="I474" i="25"/>
  <c r="K474" i="25"/>
  <c r="I466" i="25"/>
  <c r="K466" i="25"/>
  <c r="I458" i="25"/>
  <c r="K458" i="25"/>
  <c r="I450" i="25"/>
  <c r="K450" i="25"/>
  <c r="I446" i="25"/>
  <c r="K446" i="25"/>
  <c r="I438" i="25"/>
  <c r="K438" i="25"/>
  <c r="I430" i="25"/>
  <c r="K430" i="25"/>
  <c r="I422" i="25"/>
  <c r="K422" i="25"/>
  <c r="I414" i="25"/>
  <c r="K414" i="25"/>
  <c r="I406" i="25"/>
  <c r="K406" i="25"/>
  <c r="I398" i="25"/>
  <c r="K398" i="25"/>
  <c r="K390" i="25"/>
  <c r="I390" i="25"/>
  <c r="K382" i="25"/>
  <c r="I382" i="25"/>
  <c r="K374" i="25"/>
  <c r="I374" i="25"/>
  <c r="K366" i="25"/>
  <c r="I366" i="25"/>
  <c r="K358" i="25"/>
  <c r="I358" i="25"/>
  <c r="K346" i="25"/>
  <c r="I346" i="25"/>
  <c r="K338" i="25"/>
  <c r="I338" i="25"/>
  <c r="K334" i="25"/>
  <c r="I334" i="25"/>
  <c r="K326" i="25"/>
  <c r="I326" i="25"/>
  <c r="K318" i="25"/>
  <c r="I318" i="25"/>
  <c r="K310" i="25"/>
  <c r="I310" i="25"/>
  <c r="K302" i="25"/>
  <c r="I302" i="25"/>
  <c r="K294" i="25"/>
  <c r="I294" i="25"/>
  <c r="K286" i="25"/>
  <c r="I286" i="25"/>
  <c r="K278" i="25"/>
  <c r="I278" i="25"/>
  <c r="K270" i="25"/>
  <c r="I270" i="25"/>
  <c r="K262" i="25"/>
  <c r="I262" i="25"/>
  <c r="K254" i="25"/>
  <c r="I254" i="25"/>
  <c r="K246" i="25"/>
  <c r="I246" i="25"/>
  <c r="K238" i="25"/>
  <c r="I238" i="25"/>
  <c r="K230" i="25"/>
  <c r="I230" i="25"/>
  <c r="K222" i="25"/>
  <c r="I222" i="25"/>
  <c r="I214" i="25"/>
  <c r="K214" i="25"/>
  <c r="K210" i="25"/>
  <c r="I210" i="25"/>
  <c r="K194" i="25"/>
  <c r="I194" i="25"/>
  <c r="I186" i="25"/>
  <c r="K186" i="25"/>
  <c r="K178" i="25"/>
  <c r="I178" i="25"/>
  <c r="K174" i="25"/>
  <c r="I174" i="25"/>
  <c r="K170" i="25"/>
  <c r="I170" i="25"/>
  <c r="K162" i="25"/>
  <c r="I162" i="25"/>
  <c r="I154" i="25"/>
  <c r="K154" i="25"/>
  <c r="K146" i="25"/>
  <c r="I146" i="25"/>
  <c r="K126" i="25"/>
  <c r="I126" i="25"/>
  <c r="I118" i="25"/>
  <c r="K118" i="25"/>
  <c r="K114" i="25"/>
  <c r="I114" i="25"/>
  <c r="K110" i="25"/>
  <c r="I110" i="25"/>
  <c r="K106" i="25"/>
  <c r="I106" i="25"/>
  <c r="K98" i="25"/>
  <c r="I98" i="25"/>
  <c r="I90" i="25"/>
  <c r="K90" i="25"/>
  <c r="K82" i="25"/>
  <c r="I82" i="25"/>
  <c r="K78" i="25"/>
  <c r="I78" i="25"/>
  <c r="K74" i="25"/>
  <c r="I74" i="25"/>
  <c r="K66" i="25"/>
  <c r="I66" i="25"/>
  <c r="I58" i="25"/>
  <c r="K58" i="25"/>
  <c r="K50" i="25"/>
  <c r="I50" i="25"/>
  <c r="K30" i="25"/>
  <c r="I30" i="25"/>
  <c r="I22" i="25"/>
  <c r="K22" i="25"/>
  <c r="K14" i="25"/>
  <c r="I14" i="25"/>
  <c r="K166" i="25"/>
  <c r="K38" i="25"/>
  <c r="I637" i="25"/>
  <c r="J637" i="25" s="1"/>
  <c r="I621" i="25"/>
  <c r="J621" i="25" s="1"/>
  <c r="I605" i="25"/>
  <c r="J605" i="25" s="1"/>
  <c r="I589" i="25"/>
  <c r="J589" i="25" s="1"/>
  <c r="I573" i="25"/>
  <c r="J573" i="25" s="1"/>
  <c r="I557" i="25"/>
  <c r="J557" i="25" s="1"/>
  <c r="I541" i="25"/>
  <c r="J541" i="25" s="1"/>
  <c r="I525" i="25"/>
  <c r="J525" i="25" s="1"/>
  <c r="I509" i="25"/>
  <c r="J509" i="25" s="1"/>
  <c r="I493" i="25"/>
  <c r="J493" i="25" s="1"/>
  <c r="I477" i="25"/>
  <c r="J477" i="25" s="1"/>
  <c r="I461" i="25"/>
  <c r="J461" i="25" s="1"/>
  <c r="I445" i="25"/>
  <c r="I429" i="25"/>
  <c r="J429" i="25" s="1"/>
  <c r="I413" i="25"/>
  <c r="I397" i="25"/>
  <c r="I221" i="25"/>
  <c r="I205" i="25"/>
  <c r="J205" i="25" s="1"/>
  <c r="I189" i="25"/>
  <c r="I173" i="25"/>
  <c r="I157" i="25"/>
  <c r="I141" i="25"/>
  <c r="J141" i="25" s="1"/>
  <c r="I125" i="25"/>
  <c r="I109" i="25"/>
  <c r="I93" i="25"/>
  <c r="I77" i="25"/>
  <c r="J77" i="25" s="1"/>
  <c r="I61" i="25"/>
  <c r="J61" i="25" s="1"/>
  <c r="I45" i="25"/>
  <c r="I29" i="25"/>
  <c r="J29" i="25" s="1"/>
  <c r="I13" i="25"/>
  <c r="J13" i="25" s="1"/>
  <c r="K198" i="25"/>
  <c r="K70" i="25"/>
  <c r="J396" i="25"/>
  <c r="J384" i="25"/>
  <c r="J328" i="25"/>
  <c r="J304" i="25"/>
  <c r="J280" i="25"/>
  <c r="J256" i="25"/>
  <c r="J248" i="25"/>
  <c r="J623" i="25"/>
  <c r="J571" i="25"/>
  <c r="J415" i="25"/>
  <c r="J411" i="25"/>
  <c r="J95" i="25"/>
  <c r="AF631" i="1"/>
  <c r="AF623" i="1"/>
  <c r="AF615" i="1"/>
  <c r="AF607" i="1"/>
  <c r="AF599" i="1"/>
  <c r="AF591" i="1"/>
  <c r="AF583" i="1"/>
  <c r="AF575" i="1"/>
  <c r="AF561" i="1"/>
  <c r="AF545" i="1"/>
  <c r="AF529" i="1"/>
  <c r="AF513" i="1"/>
  <c r="AF497" i="1"/>
  <c r="AF478" i="1"/>
  <c r="AF457" i="1"/>
  <c r="AF436" i="1"/>
  <c r="AF414" i="1"/>
  <c r="AF393" i="1"/>
  <c r="AF372" i="1"/>
  <c r="AF350" i="1"/>
  <c r="AF325" i="1"/>
  <c r="AF297" i="1"/>
  <c r="AF268" i="1"/>
  <c r="AF237" i="1"/>
  <c r="AF196" i="1"/>
  <c r="AF152" i="1"/>
  <c r="AF109" i="1"/>
  <c r="AF68" i="1"/>
  <c r="AF24" i="1"/>
  <c r="AF629" i="1"/>
  <c r="AF621" i="1"/>
  <c r="AF613" i="1"/>
  <c r="AF605" i="1"/>
  <c r="AF597" i="1"/>
  <c r="AF589" i="1"/>
  <c r="AF581" i="1"/>
  <c r="AF573" i="1"/>
  <c r="AF557" i="1"/>
  <c r="AF541" i="1"/>
  <c r="AF525" i="1"/>
  <c r="AF509" i="1"/>
  <c r="AF493" i="1"/>
  <c r="AF473" i="1"/>
  <c r="AF452" i="1"/>
  <c r="AF430" i="1"/>
  <c r="AF409" i="1"/>
  <c r="AF388" i="1"/>
  <c r="AF366" i="1"/>
  <c r="AF345" i="1"/>
  <c r="AF319" i="1"/>
  <c r="AF289" i="1"/>
  <c r="AF261" i="1"/>
  <c r="AF228" i="1"/>
  <c r="AF184" i="1"/>
  <c r="AF141" i="1"/>
  <c r="AF100" i="1"/>
  <c r="AF56" i="1"/>
  <c r="AF4" i="1"/>
  <c r="AF2" i="1"/>
  <c r="AF6" i="1"/>
  <c r="AF10" i="1"/>
  <c r="AF14" i="1"/>
  <c r="AF18" i="1"/>
  <c r="AF22" i="1"/>
  <c r="AF26" i="1"/>
  <c r="AF30" i="1"/>
  <c r="AF34" i="1"/>
  <c r="AF38" i="1"/>
  <c r="AF42" i="1"/>
  <c r="AF46" i="1"/>
  <c r="AF50" i="1"/>
  <c r="AF54" i="1"/>
  <c r="AF58" i="1"/>
  <c r="AF62" i="1"/>
  <c r="AF66" i="1"/>
  <c r="AF70" i="1"/>
  <c r="AF74" i="1"/>
  <c r="AF78" i="1"/>
  <c r="AF82" i="1"/>
  <c r="AF86" i="1"/>
  <c r="AF90" i="1"/>
  <c r="AF94" i="1"/>
  <c r="AF98" i="1"/>
  <c r="AF102" i="1"/>
  <c r="AF106" i="1"/>
  <c r="AF110" i="1"/>
  <c r="AF114" i="1"/>
  <c r="AF118" i="1"/>
  <c r="AF122" i="1"/>
  <c r="AF126" i="1"/>
  <c r="AF130" i="1"/>
  <c r="AF134" i="1"/>
  <c r="AF138" i="1"/>
  <c r="AF142" i="1"/>
  <c r="AF146" i="1"/>
  <c r="AF150" i="1"/>
  <c r="AF154" i="1"/>
  <c r="AF158" i="1"/>
  <c r="AF162" i="1"/>
  <c r="AF166" i="1"/>
  <c r="AF170" i="1"/>
  <c r="AF174" i="1"/>
  <c r="AF178" i="1"/>
  <c r="AF182" i="1"/>
  <c r="AF186" i="1"/>
  <c r="AF190" i="1"/>
  <c r="AF194" i="1"/>
  <c r="AF198" i="1"/>
  <c r="AF202" i="1"/>
  <c r="AF206" i="1"/>
  <c r="AF210" i="1"/>
  <c r="AF214" i="1"/>
  <c r="AF218" i="1"/>
  <c r="AF222" i="1"/>
  <c r="AF226" i="1"/>
  <c r="AF230" i="1"/>
  <c r="AF234" i="1"/>
  <c r="AF238" i="1"/>
  <c r="AF242" i="1"/>
  <c r="AF246" i="1"/>
  <c r="AF250" i="1"/>
  <c r="AF254" i="1"/>
  <c r="AF258" i="1"/>
  <c r="AF262" i="1"/>
  <c r="AF266" i="1"/>
  <c r="AF270" i="1"/>
  <c r="AF274" i="1"/>
  <c r="AF278" i="1"/>
  <c r="AF282" i="1"/>
  <c r="AF286" i="1"/>
  <c r="AF290" i="1"/>
  <c r="AF294" i="1"/>
  <c r="AF298" i="1"/>
  <c r="AF302" i="1"/>
  <c r="AF306" i="1"/>
  <c r="AF310" i="1"/>
  <c r="AF314" i="1"/>
  <c r="AF318" i="1"/>
  <c r="AF322" i="1"/>
  <c r="AF326" i="1"/>
  <c r="AF330" i="1"/>
  <c r="AF334" i="1"/>
  <c r="AF338" i="1"/>
  <c r="AF3" i="1"/>
  <c r="AF7" i="1"/>
  <c r="AF11" i="1"/>
  <c r="AF15" i="1"/>
  <c r="AF19" i="1"/>
  <c r="AF23" i="1"/>
  <c r="AF27" i="1"/>
  <c r="AF31" i="1"/>
  <c r="AF35" i="1"/>
  <c r="AF39" i="1"/>
  <c r="AF43" i="1"/>
  <c r="AF47" i="1"/>
  <c r="AF51" i="1"/>
  <c r="AF55" i="1"/>
  <c r="AF59" i="1"/>
  <c r="AF63" i="1"/>
  <c r="AF67" i="1"/>
  <c r="AF71" i="1"/>
  <c r="AF75" i="1"/>
  <c r="AF79" i="1"/>
  <c r="AF83" i="1"/>
  <c r="AF87" i="1"/>
  <c r="AF91" i="1"/>
  <c r="AF95" i="1"/>
  <c r="AF99" i="1"/>
  <c r="AF103" i="1"/>
  <c r="AF107" i="1"/>
  <c r="AF111" i="1"/>
  <c r="AF115" i="1"/>
  <c r="AF119" i="1"/>
  <c r="AF123" i="1"/>
  <c r="AF127" i="1"/>
  <c r="AF131" i="1"/>
  <c r="AF135" i="1"/>
  <c r="AF139" i="1"/>
  <c r="AF143" i="1"/>
  <c r="AF147" i="1"/>
  <c r="AF151" i="1"/>
  <c r="AF155" i="1"/>
  <c r="AF159" i="1"/>
  <c r="AF163" i="1"/>
  <c r="AF167" i="1"/>
  <c r="AF171" i="1"/>
  <c r="AF175" i="1"/>
  <c r="AF179" i="1"/>
  <c r="AF183" i="1"/>
  <c r="AF187" i="1"/>
  <c r="AF191" i="1"/>
  <c r="AF195" i="1"/>
  <c r="AF199" i="1"/>
  <c r="AF203" i="1"/>
  <c r="AF207" i="1"/>
  <c r="AF211" i="1"/>
  <c r="AF215" i="1"/>
  <c r="AF219" i="1"/>
  <c r="AF223" i="1"/>
  <c r="AF227" i="1"/>
  <c r="AF231" i="1"/>
  <c r="AF235" i="1"/>
  <c r="AF239" i="1"/>
  <c r="AF243" i="1"/>
  <c r="AF9" i="1"/>
  <c r="AF17" i="1"/>
  <c r="AF25" i="1"/>
  <c r="AF33" i="1"/>
  <c r="AF41" i="1"/>
  <c r="AF49" i="1"/>
  <c r="AF57" i="1"/>
  <c r="AF65" i="1"/>
  <c r="AF73" i="1"/>
  <c r="AF81" i="1"/>
  <c r="AF89" i="1"/>
  <c r="AF97" i="1"/>
  <c r="AF105" i="1"/>
  <c r="AF113" i="1"/>
  <c r="AF121" i="1"/>
  <c r="AF129" i="1"/>
  <c r="AF137" i="1"/>
  <c r="AF145" i="1"/>
  <c r="AF153" i="1"/>
  <c r="AF161" i="1"/>
  <c r="AF169" i="1"/>
  <c r="AF177" i="1"/>
  <c r="AF185" i="1"/>
  <c r="AF193" i="1"/>
  <c r="AF201" i="1"/>
  <c r="AF209" i="1"/>
  <c r="AF217" i="1"/>
  <c r="AF225" i="1"/>
  <c r="AF233" i="1"/>
  <c r="AF241" i="1"/>
  <c r="AF248" i="1"/>
  <c r="AF253" i="1"/>
  <c r="AF259" i="1"/>
  <c r="AF264" i="1"/>
  <c r="AF269" i="1"/>
  <c r="AF275" i="1"/>
  <c r="AF280" i="1"/>
  <c r="AF285" i="1"/>
  <c r="AF291" i="1"/>
  <c r="AF296" i="1"/>
  <c r="AF301" i="1"/>
  <c r="AF307" i="1"/>
  <c r="AF312" i="1"/>
  <c r="AF317" i="1"/>
  <c r="AF323" i="1"/>
  <c r="AF328" i="1"/>
  <c r="AF333" i="1"/>
  <c r="AF339" i="1"/>
  <c r="AF343" i="1"/>
  <c r="AF347" i="1"/>
  <c r="AF351" i="1"/>
  <c r="AF355" i="1"/>
  <c r="AF359" i="1"/>
  <c r="AF363" i="1"/>
  <c r="AF367" i="1"/>
  <c r="AF371" i="1"/>
  <c r="AF375" i="1"/>
  <c r="AF379" i="1"/>
  <c r="AF383" i="1"/>
  <c r="AF387" i="1"/>
  <c r="AF391" i="1"/>
  <c r="AF395" i="1"/>
  <c r="AF399" i="1"/>
  <c r="AF403" i="1"/>
  <c r="AF407" i="1"/>
  <c r="AF411" i="1"/>
  <c r="AF415" i="1"/>
  <c r="AF419" i="1"/>
  <c r="AF423" i="1"/>
  <c r="AF427" i="1"/>
  <c r="AF431" i="1"/>
  <c r="AF435" i="1"/>
  <c r="AF439" i="1"/>
  <c r="AF443" i="1"/>
  <c r="AF447" i="1"/>
  <c r="AF451" i="1"/>
  <c r="AF455" i="1"/>
  <c r="AF459" i="1"/>
  <c r="AF463" i="1"/>
  <c r="AF467" i="1"/>
  <c r="AF471" i="1"/>
  <c r="AF475" i="1"/>
  <c r="AF479" i="1"/>
  <c r="AF483" i="1"/>
  <c r="AF487" i="1"/>
  <c r="AF12" i="1"/>
  <c r="AF21" i="1"/>
  <c r="AF32" i="1"/>
  <c r="AF44" i="1"/>
  <c r="AF53" i="1"/>
  <c r="AF64" i="1"/>
  <c r="AF76" i="1"/>
  <c r="AF85" i="1"/>
  <c r="AF96" i="1"/>
  <c r="AF108" i="1"/>
  <c r="AF117" i="1"/>
  <c r="AF128" i="1"/>
  <c r="AF140" i="1"/>
  <c r="AF149" i="1"/>
  <c r="AF160" i="1"/>
  <c r="AF172" i="1"/>
  <c r="AF181" i="1"/>
  <c r="AF192" i="1"/>
  <c r="AF204" i="1"/>
  <c r="AF213" i="1"/>
  <c r="AF224" i="1"/>
  <c r="AF236" i="1"/>
  <c r="AF245" i="1"/>
  <c r="AF252" i="1"/>
  <c r="AF260" i="1"/>
  <c r="AF267" i="1"/>
  <c r="AF273" i="1"/>
  <c r="AF281" i="1"/>
  <c r="AF288" i="1"/>
  <c r="AF295" i="1"/>
  <c r="AF303" i="1"/>
  <c r="AF309" i="1"/>
  <c r="AF316" i="1"/>
  <c r="AF324" i="1"/>
  <c r="AF331" i="1"/>
  <c r="AF337" i="1"/>
  <c r="AF344" i="1"/>
  <c r="AF349" i="1"/>
  <c r="AF354" i="1"/>
  <c r="AF360" i="1"/>
  <c r="AF365" i="1"/>
  <c r="AF370" i="1"/>
  <c r="AF376" i="1"/>
  <c r="AF381" i="1"/>
  <c r="AF386" i="1"/>
  <c r="AF392" i="1"/>
  <c r="AF397" i="1"/>
  <c r="AF402" i="1"/>
  <c r="AF408" i="1"/>
  <c r="AF413" i="1"/>
  <c r="AF418" i="1"/>
  <c r="AF424" i="1"/>
  <c r="AF429" i="1"/>
  <c r="AF434" i="1"/>
  <c r="AF440" i="1"/>
  <c r="AF445" i="1"/>
  <c r="AF450" i="1"/>
  <c r="AF456" i="1"/>
  <c r="AF461" i="1"/>
  <c r="AF466" i="1"/>
  <c r="AF472" i="1"/>
  <c r="AF477" i="1"/>
  <c r="AF482" i="1"/>
  <c r="AF488" i="1"/>
  <c r="AF492" i="1"/>
  <c r="AF496" i="1"/>
  <c r="AF500" i="1"/>
  <c r="AF504" i="1"/>
  <c r="AF508" i="1"/>
  <c r="AF512" i="1"/>
  <c r="AF516" i="1"/>
  <c r="AF520" i="1"/>
  <c r="AF524" i="1"/>
  <c r="AF528" i="1"/>
  <c r="AF532" i="1"/>
  <c r="AF536" i="1"/>
  <c r="AF540" i="1"/>
  <c r="AF544" i="1"/>
  <c r="AF548" i="1"/>
  <c r="AF552" i="1"/>
  <c r="AF556" i="1"/>
  <c r="AF560" i="1"/>
  <c r="AF564" i="1"/>
  <c r="AF568" i="1"/>
  <c r="AF572" i="1"/>
  <c r="AF576" i="1"/>
  <c r="AF580" i="1"/>
  <c r="AF584" i="1"/>
  <c r="AF588" i="1"/>
  <c r="AF592" i="1"/>
  <c r="AF596" i="1"/>
  <c r="AF600" i="1"/>
  <c r="AF604" i="1"/>
  <c r="AF608" i="1"/>
  <c r="AF612" i="1"/>
  <c r="AF616" i="1"/>
  <c r="AF620" i="1"/>
  <c r="AF624" i="1"/>
  <c r="AF628" i="1"/>
  <c r="AF632" i="1"/>
  <c r="AF5" i="1"/>
  <c r="AF16" i="1"/>
  <c r="AF28" i="1"/>
  <c r="AF37" i="1"/>
  <c r="AF48" i="1"/>
  <c r="AF60" i="1"/>
  <c r="AF69" i="1"/>
  <c r="AF80" i="1"/>
  <c r="AF92" i="1"/>
  <c r="AF101" i="1"/>
  <c r="AF112" i="1"/>
  <c r="AF124" i="1"/>
  <c r="AF133" i="1"/>
  <c r="AF144" i="1"/>
  <c r="AF156" i="1"/>
  <c r="AF165" i="1"/>
  <c r="AF176" i="1"/>
  <c r="AF188" i="1"/>
  <c r="AF197" i="1"/>
  <c r="AF208" i="1"/>
  <c r="AF220" i="1"/>
  <c r="AF229" i="1"/>
  <c r="AF240" i="1"/>
  <c r="AF249" i="1"/>
  <c r="AF256" i="1"/>
  <c r="AF263" i="1"/>
  <c r="AF271" i="1"/>
  <c r="AF277" i="1"/>
  <c r="AF284" i="1"/>
  <c r="AF292" i="1"/>
  <c r="AF299" i="1"/>
  <c r="AF305" i="1"/>
  <c r="AF313" i="1"/>
  <c r="AF320" i="1"/>
  <c r="AF327" i="1"/>
  <c r="AF335" i="1"/>
  <c r="AF341" i="1"/>
  <c r="AF346" i="1"/>
  <c r="AF352" i="1"/>
  <c r="AF357" i="1"/>
  <c r="AF362" i="1"/>
  <c r="AF368" i="1"/>
  <c r="AF373" i="1"/>
  <c r="AF378" i="1"/>
  <c r="AF384" i="1"/>
  <c r="AF389" i="1"/>
  <c r="AF394" i="1"/>
  <c r="AF400" i="1"/>
  <c r="AF405" i="1"/>
  <c r="AF410" i="1"/>
  <c r="AF416" i="1"/>
  <c r="AF421" i="1"/>
  <c r="AF426" i="1"/>
  <c r="AF432" i="1"/>
  <c r="AF437" i="1"/>
  <c r="AF442" i="1"/>
  <c r="AF448" i="1"/>
  <c r="AF453" i="1"/>
  <c r="AF458" i="1"/>
  <c r="AF464" i="1"/>
  <c r="AF469" i="1"/>
  <c r="AF474" i="1"/>
  <c r="AF480" i="1"/>
  <c r="AF485" i="1"/>
  <c r="AF490" i="1"/>
  <c r="AF494" i="1"/>
  <c r="AF498" i="1"/>
  <c r="AF502" i="1"/>
  <c r="AF506" i="1"/>
  <c r="AF510" i="1"/>
  <c r="AF514" i="1"/>
  <c r="AF518" i="1"/>
  <c r="AF522" i="1"/>
  <c r="AF526" i="1"/>
  <c r="AF530" i="1"/>
  <c r="AF534" i="1"/>
  <c r="AF538" i="1"/>
  <c r="AF542" i="1"/>
  <c r="AF546" i="1"/>
  <c r="AF550" i="1"/>
  <c r="AF554" i="1"/>
  <c r="AF558" i="1"/>
  <c r="AF562" i="1"/>
  <c r="AF566" i="1"/>
  <c r="AF570" i="1"/>
  <c r="AF574" i="1"/>
  <c r="AF578" i="1"/>
  <c r="AF582" i="1"/>
  <c r="AF586" i="1"/>
  <c r="AF590" i="1"/>
  <c r="AF594" i="1"/>
  <c r="AF598" i="1"/>
  <c r="AF602" i="1"/>
  <c r="AF606" i="1"/>
  <c r="AF610" i="1"/>
  <c r="AF614" i="1"/>
  <c r="AF618" i="1"/>
  <c r="AF622" i="1"/>
  <c r="AF626" i="1"/>
  <c r="AF630" i="1"/>
  <c r="AF8" i="1"/>
  <c r="AF20" i="1"/>
  <c r="AF29" i="1"/>
  <c r="AF40" i="1"/>
  <c r="AF52" i="1"/>
  <c r="AF61" i="1"/>
  <c r="AF72" i="1"/>
  <c r="AF84" i="1"/>
  <c r="AF93" i="1"/>
  <c r="AF104" i="1"/>
  <c r="AF116" i="1"/>
  <c r="AF125" i="1"/>
  <c r="AF136" i="1"/>
  <c r="AF148" i="1"/>
  <c r="AF157" i="1"/>
  <c r="AF168" i="1"/>
  <c r="AF180" i="1"/>
  <c r="AF189" i="1"/>
  <c r="AF200" i="1"/>
  <c r="AF212" i="1"/>
  <c r="AF221" i="1"/>
  <c r="AF232" i="1"/>
  <c r="AF244" i="1"/>
  <c r="AF251" i="1"/>
  <c r="AF257" i="1"/>
  <c r="AF265" i="1"/>
  <c r="AF272" i="1"/>
  <c r="AF279" i="1"/>
  <c r="AF287" i="1"/>
  <c r="AF293" i="1"/>
  <c r="AF300" i="1"/>
  <c r="AF308" i="1"/>
  <c r="AF315" i="1"/>
  <c r="AF321" i="1"/>
  <c r="AF329" i="1"/>
  <c r="AF336" i="1"/>
  <c r="AF342" i="1"/>
  <c r="AF348" i="1"/>
  <c r="AF353" i="1"/>
  <c r="AF358" i="1"/>
  <c r="AF364" i="1"/>
  <c r="AF369" i="1"/>
  <c r="AF374" i="1"/>
  <c r="AF380" i="1"/>
  <c r="AF385" i="1"/>
  <c r="AF390" i="1"/>
  <c r="AF396" i="1"/>
  <c r="AF401" i="1"/>
  <c r="AF406" i="1"/>
  <c r="AF412" i="1"/>
  <c r="AF417" i="1"/>
  <c r="AF422" i="1"/>
  <c r="AF428" i="1"/>
  <c r="AF433" i="1"/>
  <c r="AF438" i="1"/>
  <c r="AF444" i="1"/>
  <c r="AF449" i="1"/>
  <c r="AF454" i="1"/>
  <c r="AF460" i="1"/>
  <c r="AF465" i="1"/>
  <c r="AF470" i="1"/>
  <c r="AF476" i="1"/>
  <c r="AF481" i="1"/>
  <c r="AF486" i="1"/>
  <c r="AF491" i="1"/>
  <c r="AF495" i="1"/>
  <c r="AF499" i="1"/>
  <c r="AF503" i="1"/>
  <c r="AF507" i="1"/>
  <c r="AF511" i="1"/>
  <c r="AF515" i="1"/>
  <c r="AF519" i="1"/>
  <c r="AF523" i="1"/>
  <c r="AF527" i="1"/>
  <c r="AF531" i="1"/>
  <c r="AF535" i="1"/>
  <c r="AF539" i="1"/>
  <c r="AF543" i="1"/>
  <c r="AF547" i="1"/>
  <c r="AF551" i="1"/>
  <c r="AF555" i="1"/>
  <c r="AF559" i="1"/>
  <c r="AF563" i="1"/>
  <c r="AF567" i="1"/>
  <c r="AF571" i="1"/>
  <c r="AF627" i="1"/>
  <c r="AF619" i="1"/>
  <c r="AF611" i="1"/>
  <c r="AF603" i="1"/>
  <c r="AF595" i="1"/>
  <c r="AF587" i="1"/>
  <c r="AF579" i="1"/>
  <c r="AF569" i="1"/>
  <c r="AF553" i="1"/>
  <c r="AF537" i="1"/>
  <c r="AF521" i="1"/>
  <c r="AF505" i="1"/>
  <c r="AF489" i="1"/>
  <c r="AF468" i="1"/>
  <c r="AF446" i="1"/>
  <c r="AF425" i="1"/>
  <c r="AF404" i="1"/>
  <c r="AF382" i="1"/>
  <c r="AF361" i="1"/>
  <c r="AF340" i="1"/>
  <c r="AF311" i="1"/>
  <c r="AF283" i="1"/>
  <c r="AF255" i="1"/>
  <c r="AF216" i="1"/>
  <c r="AF173" i="1"/>
  <c r="AF132" i="1"/>
  <c r="AF88" i="1"/>
  <c r="AF45" i="1"/>
  <c r="AF633" i="1"/>
  <c r="AF625" i="1"/>
  <c r="AF617" i="1"/>
  <c r="AF609" i="1"/>
  <c r="AF601" i="1"/>
  <c r="AF593" i="1"/>
  <c r="AF585" i="1"/>
  <c r="AF577" i="1"/>
  <c r="AF565" i="1"/>
  <c r="AF549" i="1"/>
  <c r="AF533" i="1"/>
  <c r="AF517" i="1"/>
  <c r="AF501" i="1"/>
  <c r="AF484" i="1"/>
  <c r="AF462" i="1"/>
  <c r="AF441" i="1"/>
  <c r="AF420" i="1"/>
  <c r="AF398" i="1"/>
  <c r="AF377" i="1"/>
  <c r="AF356" i="1"/>
  <c r="AF332" i="1"/>
  <c r="AF304" i="1"/>
  <c r="AF276" i="1"/>
  <c r="AF247" i="1"/>
  <c r="AF205" i="1"/>
  <c r="AF164" i="1"/>
  <c r="AF120" i="1"/>
  <c r="AF77" i="1"/>
  <c r="AF36" i="1"/>
  <c r="E17" i="18"/>
  <c r="F17" i="18" s="1"/>
  <c r="E29" i="18"/>
  <c r="F29" i="18" s="1"/>
  <c r="E41" i="18"/>
  <c r="F41" i="18" s="1"/>
  <c r="E53" i="18"/>
  <c r="F53" i="18" s="1"/>
  <c r="E94" i="18"/>
  <c r="F94" i="18" s="1"/>
  <c r="E118" i="18"/>
  <c r="F118" i="18" s="1"/>
  <c r="E134" i="18"/>
  <c r="F134" i="18" s="1"/>
  <c r="E150" i="18"/>
  <c r="F150" i="18" s="1"/>
  <c r="E158" i="18"/>
  <c r="F158" i="18" s="1"/>
  <c r="E8" i="18"/>
  <c r="F8" i="18" s="1"/>
  <c r="E20" i="18"/>
  <c r="F20" i="18" s="1"/>
  <c r="E24" i="18"/>
  <c r="F24" i="18" s="1"/>
  <c r="E28" i="18"/>
  <c r="F28" i="18" s="1"/>
  <c r="E40" i="18"/>
  <c r="F40" i="18" s="1"/>
  <c r="E48" i="18"/>
  <c r="F48" i="18" s="1"/>
  <c r="E60" i="18"/>
  <c r="F60" i="18" s="1"/>
  <c r="E77" i="18"/>
  <c r="F77" i="18" s="1"/>
  <c r="E80" i="18"/>
  <c r="F80" i="18" s="1"/>
  <c r="E88" i="18"/>
  <c r="F88" i="18" s="1"/>
  <c r="E101" i="18"/>
  <c r="F101" i="18" s="1"/>
  <c r="E104" i="18"/>
  <c r="F104" i="18" s="1"/>
  <c r="E109" i="18"/>
  <c r="F109" i="18" s="1"/>
  <c r="E112" i="18"/>
  <c r="F112" i="18" s="1"/>
  <c r="E117" i="18"/>
  <c r="F117" i="18" s="1"/>
  <c r="E120" i="18"/>
  <c r="F120" i="18" s="1"/>
  <c r="E125" i="18"/>
  <c r="F125" i="18" s="1"/>
  <c r="E128" i="18"/>
  <c r="F128" i="18" s="1"/>
  <c r="E133" i="18"/>
  <c r="F133" i="18" s="1"/>
  <c r="E136" i="18"/>
  <c r="F136" i="18" s="1"/>
  <c r="E141" i="18"/>
  <c r="F141" i="18" s="1"/>
  <c r="E144" i="18"/>
  <c r="F144" i="18" s="1"/>
  <c r="E149" i="18"/>
  <c r="F149" i="18" s="1"/>
  <c r="E152" i="18"/>
  <c r="F152" i="18" s="1"/>
  <c r="E157" i="18"/>
  <c r="F157" i="18" s="1"/>
  <c r="E160" i="18"/>
  <c r="F160" i="18" s="1"/>
  <c r="E164" i="18"/>
  <c r="F164" i="18" s="1"/>
  <c r="E168" i="18"/>
  <c r="F168" i="18" s="1"/>
  <c r="E189" i="18"/>
  <c r="F189" i="18" s="1"/>
  <c r="E197" i="18"/>
  <c r="F197" i="18" s="1"/>
  <c r="E205" i="18"/>
  <c r="F205" i="18" s="1"/>
  <c r="E213" i="18"/>
  <c r="F213" i="18" s="1"/>
  <c r="E221" i="18"/>
  <c r="F221" i="18" s="1"/>
  <c r="E229" i="18"/>
  <c r="F229" i="18" s="1"/>
  <c r="E237" i="18"/>
  <c r="F237" i="18" s="1"/>
  <c r="E245" i="18"/>
  <c r="F245" i="18" s="1"/>
  <c r="E253" i="18"/>
  <c r="F253" i="18" s="1"/>
  <c r="E261" i="18"/>
  <c r="F261" i="18" s="1"/>
  <c r="E400" i="18"/>
  <c r="F400" i="18" s="1"/>
  <c r="E416" i="18"/>
  <c r="F416" i="18" s="1"/>
  <c r="E13" i="18"/>
  <c r="F13" i="18" s="1"/>
  <c r="E25" i="18"/>
  <c r="F25" i="18" s="1"/>
  <c r="E37" i="18"/>
  <c r="F37" i="18" s="1"/>
  <c r="E49" i="18"/>
  <c r="F49" i="18" s="1"/>
  <c r="E61" i="18"/>
  <c r="F61" i="18" s="1"/>
  <c r="E65" i="18"/>
  <c r="F65" i="18" s="1"/>
  <c r="E69" i="18"/>
  <c r="F69" i="18" s="1"/>
  <c r="E178" i="18"/>
  <c r="F178" i="18" s="1"/>
  <c r="E174" i="18"/>
  <c r="F174" i="18" s="1"/>
  <c r="E170" i="18"/>
  <c r="F170" i="18" s="1"/>
  <c r="E166" i="18"/>
  <c r="F166" i="18" s="1"/>
  <c r="E162" i="18"/>
  <c r="F162" i="18" s="1"/>
  <c r="E179" i="18"/>
  <c r="F179" i="18" s="1"/>
  <c r="E175" i="18"/>
  <c r="F175" i="18" s="1"/>
  <c r="E171" i="18"/>
  <c r="F171" i="18" s="1"/>
  <c r="E167" i="18"/>
  <c r="F167" i="18" s="1"/>
  <c r="E163" i="18"/>
  <c r="F163" i="18" s="1"/>
  <c r="E159" i="18"/>
  <c r="F159" i="18" s="1"/>
  <c r="E155" i="18"/>
  <c r="F155" i="18" s="1"/>
  <c r="E151" i="18"/>
  <c r="F151" i="18" s="1"/>
  <c r="E147" i="18"/>
  <c r="F147" i="18" s="1"/>
  <c r="E143" i="18"/>
  <c r="F143" i="18" s="1"/>
  <c r="E139" i="18"/>
  <c r="F139" i="18" s="1"/>
  <c r="E135" i="18"/>
  <c r="F135" i="18" s="1"/>
  <c r="E131" i="18"/>
  <c r="F131" i="18" s="1"/>
  <c r="E127" i="18"/>
  <c r="F127" i="18" s="1"/>
  <c r="E123" i="18"/>
  <c r="F123" i="18" s="1"/>
  <c r="E119" i="18"/>
  <c r="F119" i="18" s="1"/>
  <c r="E115" i="18"/>
  <c r="F115" i="18" s="1"/>
  <c r="E111" i="18"/>
  <c r="F111" i="18" s="1"/>
  <c r="E107" i="18"/>
  <c r="F107" i="18" s="1"/>
  <c r="E103" i="18"/>
  <c r="F103" i="18" s="1"/>
  <c r="E99" i="18"/>
  <c r="F99" i="18" s="1"/>
  <c r="E95" i="18"/>
  <c r="F95" i="18" s="1"/>
  <c r="E91" i="18"/>
  <c r="F91" i="18" s="1"/>
  <c r="E180" i="18"/>
  <c r="F180" i="18" s="1"/>
  <c r="E176" i="18"/>
  <c r="F176" i="18" s="1"/>
  <c r="E102" i="18"/>
  <c r="F102" i="18" s="1"/>
  <c r="E142" i="18"/>
  <c r="F142" i="18" s="1"/>
  <c r="E4" i="18"/>
  <c r="F4" i="18" s="1"/>
  <c r="E16" i="18"/>
  <c r="F16" i="18" s="1"/>
  <c r="E36" i="18"/>
  <c r="F36" i="18" s="1"/>
  <c r="E44" i="18"/>
  <c r="F44" i="18" s="1"/>
  <c r="E93" i="18"/>
  <c r="F93" i="18" s="1"/>
  <c r="E87" i="18"/>
  <c r="F87" i="18" s="1"/>
  <c r="E83" i="18"/>
  <c r="F83" i="18" s="1"/>
  <c r="E79" i="18"/>
  <c r="F79" i="18" s="1"/>
  <c r="E75" i="18"/>
  <c r="F75" i="18" s="1"/>
  <c r="E3" i="18"/>
  <c r="F3" i="18" s="1"/>
  <c r="E7" i="18"/>
  <c r="F7" i="18" s="1"/>
  <c r="E15" i="18"/>
  <c r="F15" i="18" s="1"/>
  <c r="E19" i="18"/>
  <c r="F19" i="18" s="1"/>
  <c r="E23" i="18"/>
  <c r="F23" i="18" s="1"/>
  <c r="E27" i="18"/>
  <c r="F27" i="18" s="1"/>
  <c r="E31" i="18"/>
  <c r="F31" i="18" s="1"/>
  <c r="E35" i="18"/>
  <c r="F35" i="18" s="1"/>
  <c r="E39" i="18"/>
  <c r="F39" i="18" s="1"/>
  <c r="E43" i="18"/>
  <c r="F43" i="18" s="1"/>
  <c r="E47" i="18"/>
  <c r="F47" i="18" s="1"/>
  <c r="E51" i="18"/>
  <c r="F51" i="18" s="1"/>
  <c r="E55" i="18"/>
  <c r="F55" i="18" s="1"/>
  <c r="E59" i="18"/>
  <c r="F59" i="18" s="1"/>
  <c r="E63" i="18"/>
  <c r="F63" i="18" s="1"/>
  <c r="E67" i="18"/>
  <c r="F67" i="18" s="1"/>
  <c r="E71" i="18"/>
  <c r="F71" i="18" s="1"/>
  <c r="E74" i="18"/>
  <c r="F74" i="18" s="1"/>
  <c r="E82" i="18"/>
  <c r="F82" i="18" s="1"/>
  <c r="E98" i="18"/>
  <c r="F98" i="18" s="1"/>
  <c r="E106" i="18"/>
  <c r="F106" i="18" s="1"/>
  <c r="E114" i="18"/>
  <c r="F114" i="18" s="1"/>
  <c r="E122" i="18"/>
  <c r="F122" i="18" s="1"/>
  <c r="E130" i="18"/>
  <c r="F130" i="18" s="1"/>
  <c r="E138" i="18"/>
  <c r="F138" i="18" s="1"/>
  <c r="E146" i="18"/>
  <c r="F146" i="18" s="1"/>
  <c r="E154" i="18"/>
  <c r="F154" i="18" s="1"/>
  <c r="E177" i="18"/>
  <c r="F177" i="18" s="1"/>
  <c r="E248" i="18"/>
  <c r="F248" i="18" s="1"/>
  <c r="E256" i="18"/>
  <c r="F256" i="18" s="1"/>
  <c r="E532" i="18"/>
  <c r="F532" i="18" s="1"/>
  <c r="E5" i="18"/>
  <c r="F5" i="18" s="1"/>
  <c r="E9" i="18"/>
  <c r="F9" i="18" s="1"/>
  <c r="E21" i="18"/>
  <c r="F21" i="18" s="1"/>
  <c r="E33" i="18"/>
  <c r="F33" i="18" s="1"/>
  <c r="E45" i="18"/>
  <c r="F45" i="18" s="1"/>
  <c r="E57" i="18"/>
  <c r="F57" i="18" s="1"/>
  <c r="E78" i="18"/>
  <c r="F78" i="18" s="1"/>
  <c r="E110" i="18"/>
  <c r="F110" i="18" s="1"/>
  <c r="E126" i="18"/>
  <c r="F126" i="18" s="1"/>
  <c r="E12" i="18"/>
  <c r="F12" i="18" s="1"/>
  <c r="E32" i="18"/>
  <c r="F32" i="18" s="1"/>
  <c r="E52" i="18"/>
  <c r="F52" i="18" s="1"/>
  <c r="E56" i="18"/>
  <c r="F56" i="18" s="1"/>
  <c r="E64" i="18"/>
  <c r="F64" i="18" s="1"/>
  <c r="E68" i="18"/>
  <c r="F68" i="18" s="1"/>
  <c r="E72" i="18"/>
  <c r="F72" i="18" s="1"/>
  <c r="E96" i="18"/>
  <c r="F96" i="18" s="1"/>
  <c r="E11" i="18"/>
  <c r="F11" i="18" s="1"/>
  <c r="E2" i="18"/>
  <c r="F2" i="18" s="1"/>
  <c r="E6" i="18"/>
  <c r="F6" i="18" s="1"/>
  <c r="E10" i="18"/>
  <c r="F10" i="18" s="1"/>
  <c r="E14" i="18"/>
  <c r="F14" i="18" s="1"/>
  <c r="E18" i="18"/>
  <c r="F18" i="18" s="1"/>
  <c r="E22" i="18"/>
  <c r="F22" i="18" s="1"/>
  <c r="E26" i="18"/>
  <c r="F26" i="18" s="1"/>
  <c r="E30" i="18"/>
  <c r="F30" i="18" s="1"/>
  <c r="E34" i="18"/>
  <c r="F34" i="18" s="1"/>
  <c r="E38" i="18"/>
  <c r="F38" i="18" s="1"/>
  <c r="E42" i="18"/>
  <c r="F42" i="18" s="1"/>
  <c r="E46" i="18"/>
  <c r="F46" i="18" s="1"/>
  <c r="E50" i="18"/>
  <c r="F50" i="18" s="1"/>
  <c r="E54" i="18"/>
  <c r="F54" i="18" s="1"/>
  <c r="E58" i="18"/>
  <c r="F58" i="18" s="1"/>
  <c r="E62" i="18"/>
  <c r="F62" i="18" s="1"/>
  <c r="E66" i="18"/>
  <c r="F66" i="18" s="1"/>
  <c r="E70" i="18"/>
  <c r="F70" i="18" s="1"/>
  <c r="E73" i="18"/>
  <c r="F73" i="18" s="1"/>
  <c r="E76" i="18"/>
  <c r="F76" i="18" s="1"/>
  <c r="E81" i="18"/>
  <c r="F81" i="18" s="1"/>
  <c r="E84" i="18"/>
  <c r="F84" i="18" s="1"/>
  <c r="E89" i="18"/>
  <c r="F89" i="18" s="1"/>
  <c r="E92" i="18"/>
  <c r="F92" i="18" s="1"/>
  <c r="E97" i="18"/>
  <c r="F97" i="18" s="1"/>
  <c r="E100" i="18"/>
  <c r="F100" i="18" s="1"/>
  <c r="E105" i="18"/>
  <c r="F105" i="18" s="1"/>
  <c r="E108" i="18"/>
  <c r="F108" i="18" s="1"/>
  <c r="E113" i="18"/>
  <c r="F113" i="18" s="1"/>
  <c r="E116" i="18"/>
  <c r="F116" i="18" s="1"/>
  <c r="E121" i="18"/>
  <c r="F121" i="18" s="1"/>
  <c r="E124" i="18"/>
  <c r="F124" i="18" s="1"/>
  <c r="E129" i="18"/>
  <c r="F129" i="18" s="1"/>
  <c r="E132" i="18"/>
  <c r="F132" i="18" s="1"/>
  <c r="E137" i="18"/>
  <c r="F137" i="18" s="1"/>
  <c r="E140" i="18"/>
  <c r="F140" i="18" s="1"/>
  <c r="E145" i="18"/>
  <c r="F145" i="18" s="1"/>
  <c r="E148" i="18"/>
  <c r="F148" i="18" s="1"/>
  <c r="E153" i="18"/>
  <c r="F153" i="18" s="1"/>
  <c r="E156" i="18"/>
  <c r="F156" i="18" s="1"/>
  <c r="E161" i="18"/>
  <c r="F161" i="18" s="1"/>
  <c r="E165" i="18"/>
  <c r="F165" i="18" s="1"/>
  <c r="E169" i="18"/>
  <c r="F169" i="18" s="1"/>
  <c r="E173" i="18"/>
  <c r="F173" i="18" s="1"/>
  <c r="E185" i="18"/>
  <c r="F185" i="18" s="1"/>
  <c r="E193" i="18"/>
  <c r="F193" i="18" s="1"/>
  <c r="E201" i="18"/>
  <c r="F201" i="18" s="1"/>
  <c r="E209" i="18"/>
  <c r="F209" i="18" s="1"/>
  <c r="E217" i="18"/>
  <c r="F217" i="18" s="1"/>
  <c r="E225" i="18"/>
  <c r="F225" i="18" s="1"/>
  <c r="E233" i="18"/>
  <c r="F233" i="18" s="1"/>
  <c r="E443" i="18"/>
  <c r="F443" i="18" s="1"/>
  <c r="E184" i="18"/>
  <c r="F184" i="18" s="1"/>
  <c r="E188" i="18"/>
  <c r="F188" i="18" s="1"/>
  <c r="E192" i="18"/>
  <c r="F192" i="18" s="1"/>
  <c r="E196" i="18"/>
  <c r="F196" i="18" s="1"/>
  <c r="E200" i="18"/>
  <c r="F200" i="18" s="1"/>
  <c r="E204" i="18"/>
  <c r="F204" i="18" s="1"/>
  <c r="E208" i="18"/>
  <c r="F208" i="18" s="1"/>
  <c r="E212" i="18"/>
  <c r="F212" i="18" s="1"/>
  <c r="E216" i="18"/>
  <c r="F216" i="18" s="1"/>
  <c r="E220" i="18"/>
  <c r="F220" i="18" s="1"/>
  <c r="E224" i="18"/>
  <c r="F224" i="18" s="1"/>
  <c r="E228" i="18"/>
  <c r="F228" i="18" s="1"/>
  <c r="E232" i="18"/>
  <c r="F232" i="18" s="1"/>
  <c r="E236" i="18"/>
  <c r="F236" i="18" s="1"/>
  <c r="E240" i="18"/>
  <c r="F240" i="18" s="1"/>
  <c r="E244" i="18"/>
  <c r="F244" i="18" s="1"/>
  <c r="E250" i="18"/>
  <c r="F250" i="18" s="1"/>
  <c r="E274" i="18"/>
  <c r="F274" i="18" s="1"/>
  <c r="E282" i="18"/>
  <c r="F282" i="18" s="1"/>
  <c r="E290" i="18"/>
  <c r="F290" i="18" s="1"/>
  <c r="E298" i="18"/>
  <c r="F298" i="18" s="1"/>
  <c r="E306" i="18"/>
  <c r="F306" i="18" s="1"/>
  <c r="E314" i="18"/>
  <c r="F314" i="18" s="1"/>
  <c r="E322" i="18"/>
  <c r="F322" i="18" s="1"/>
  <c r="E330" i="18"/>
  <c r="F330" i="18" s="1"/>
  <c r="E334" i="18"/>
  <c r="F334" i="18" s="1"/>
  <c r="E338" i="18"/>
  <c r="F338" i="18" s="1"/>
  <c r="E342" i="18"/>
  <c r="F342" i="18" s="1"/>
  <c r="E346" i="18"/>
  <c r="F346" i="18" s="1"/>
  <c r="E350" i="18"/>
  <c r="F350" i="18" s="1"/>
  <c r="E354" i="18"/>
  <c r="F354" i="18" s="1"/>
  <c r="E362" i="18"/>
  <c r="F362" i="18" s="1"/>
  <c r="E366" i="18"/>
  <c r="F366" i="18" s="1"/>
  <c r="E370" i="18"/>
  <c r="F370" i="18" s="1"/>
  <c r="E374" i="18"/>
  <c r="F374" i="18" s="1"/>
  <c r="E378" i="18"/>
  <c r="F378" i="18" s="1"/>
  <c r="E382" i="18"/>
  <c r="F382" i="18" s="1"/>
  <c r="E387" i="18"/>
  <c r="F387" i="18" s="1"/>
  <c r="E398" i="18"/>
  <c r="F398" i="18" s="1"/>
  <c r="E403" i="18"/>
  <c r="F403" i="18" s="1"/>
  <c r="E414" i="18"/>
  <c r="F414" i="18" s="1"/>
  <c r="E419" i="18"/>
  <c r="F419" i="18" s="1"/>
  <c r="E430" i="18"/>
  <c r="F430" i="18" s="1"/>
  <c r="E435" i="18"/>
  <c r="F435" i="18" s="1"/>
  <c r="E451" i="18"/>
  <c r="F451" i="18" s="1"/>
  <c r="E463" i="18"/>
  <c r="F463" i="18" s="1"/>
  <c r="E492" i="18"/>
  <c r="F492" i="18" s="1"/>
  <c r="E259" i="18"/>
  <c r="F259" i="18" s="1"/>
  <c r="E255" i="18"/>
  <c r="F255" i="18" s="1"/>
  <c r="E251" i="18"/>
  <c r="F251" i="18" s="1"/>
  <c r="E247" i="18"/>
  <c r="F247" i="18" s="1"/>
  <c r="E183" i="18"/>
  <c r="F183" i="18" s="1"/>
  <c r="E187" i="18"/>
  <c r="F187" i="18" s="1"/>
  <c r="E191" i="18"/>
  <c r="F191" i="18" s="1"/>
  <c r="E195" i="18"/>
  <c r="F195" i="18" s="1"/>
  <c r="E199" i="18"/>
  <c r="F199" i="18" s="1"/>
  <c r="E203" i="18"/>
  <c r="F203" i="18" s="1"/>
  <c r="E207" i="18"/>
  <c r="F207" i="18" s="1"/>
  <c r="E211" i="18"/>
  <c r="F211" i="18" s="1"/>
  <c r="E215" i="18"/>
  <c r="F215" i="18" s="1"/>
  <c r="E219" i="18"/>
  <c r="F219" i="18" s="1"/>
  <c r="E223" i="18"/>
  <c r="F223" i="18" s="1"/>
  <c r="E227" i="18"/>
  <c r="F227" i="18" s="1"/>
  <c r="E231" i="18"/>
  <c r="F231" i="18" s="1"/>
  <c r="E235" i="18"/>
  <c r="F235" i="18" s="1"/>
  <c r="E239" i="18"/>
  <c r="F239" i="18" s="1"/>
  <c r="E243" i="18"/>
  <c r="F243" i="18" s="1"/>
  <c r="E249" i="18"/>
  <c r="F249" i="18" s="1"/>
  <c r="E252" i="18"/>
  <c r="F252" i="18" s="1"/>
  <c r="E257" i="18"/>
  <c r="F257" i="18" s="1"/>
  <c r="E260" i="18"/>
  <c r="F260" i="18" s="1"/>
  <c r="E265" i="18"/>
  <c r="F265" i="18" s="1"/>
  <c r="E268" i="18"/>
  <c r="F268" i="18" s="1"/>
  <c r="E273" i="18"/>
  <c r="F273" i="18" s="1"/>
  <c r="E276" i="18"/>
  <c r="F276" i="18" s="1"/>
  <c r="E281" i="18"/>
  <c r="F281" i="18" s="1"/>
  <c r="E284" i="18"/>
  <c r="F284" i="18" s="1"/>
  <c r="E289" i="18"/>
  <c r="F289" i="18" s="1"/>
  <c r="E292" i="18"/>
  <c r="F292" i="18" s="1"/>
  <c r="E297" i="18"/>
  <c r="F297" i="18" s="1"/>
  <c r="E300" i="18"/>
  <c r="F300" i="18" s="1"/>
  <c r="E305" i="18"/>
  <c r="F305" i="18" s="1"/>
  <c r="E308" i="18"/>
  <c r="F308" i="18" s="1"/>
  <c r="E313" i="18"/>
  <c r="F313" i="18" s="1"/>
  <c r="E316" i="18"/>
  <c r="F316" i="18" s="1"/>
  <c r="E321" i="18"/>
  <c r="F321" i="18" s="1"/>
  <c r="E324" i="18"/>
  <c r="F324" i="18" s="1"/>
  <c r="E392" i="18"/>
  <c r="F392" i="18" s="1"/>
  <c r="E408" i="18"/>
  <c r="F408" i="18" s="1"/>
  <c r="E424" i="18"/>
  <c r="F424" i="18" s="1"/>
  <c r="E440" i="18"/>
  <c r="F440" i="18" s="1"/>
  <c r="E531" i="18"/>
  <c r="F531" i="18" s="1"/>
  <c r="E526" i="18"/>
  <c r="F526" i="18" s="1"/>
  <c r="E524" i="18"/>
  <c r="F524" i="18" s="1"/>
  <c r="E515" i="18"/>
  <c r="F515" i="18" s="1"/>
  <c r="E510" i="18"/>
  <c r="F510" i="18" s="1"/>
  <c r="E508" i="18"/>
  <c r="F508" i="18" s="1"/>
  <c r="E470" i="18"/>
  <c r="F470" i="18" s="1"/>
  <c r="E466" i="18"/>
  <c r="F466" i="18" s="1"/>
  <c r="E462" i="18"/>
  <c r="F462" i="18" s="1"/>
  <c r="E458" i="18"/>
  <c r="F458" i="18" s="1"/>
  <c r="E455" i="18"/>
  <c r="F455" i="18" s="1"/>
  <c r="E450" i="18"/>
  <c r="F450" i="18" s="1"/>
  <c r="E447" i="18"/>
  <c r="F447" i="18" s="1"/>
  <c r="E456" i="18"/>
  <c r="F456" i="18" s="1"/>
  <c r="E483" i="18"/>
  <c r="F483" i="18" s="1"/>
  <c r="E186" i="18"/>
  <c r="F186" i="18" s="1"/>
  <c r="E190" i="18"/>
  <c r="F190" i="18" s="1"/>
  <c r="E194" i="18"/>
  <c r="F194" i="18" s="1"/>
  <c r="E198" i="18"/>
  <c r="F198" i="18" s="1"/>
  <c r="E202" i="18"/>
  <c r="F202" i="18" s="1"/>
  <c r="E206" i="18"/>
  <c r="F206" i="18" s="1"/>
  <c r="E210" i="18"/>
  <c r="F210" i="18" s="1"/>
  <c r="E214" i="18"/>
  <c r="F214" i="18" s="1"/>
  <c r="E218" i="18"/>
  <c r="F218" i="18" s="1"/>
  <c r="E222" i="18"/>
  <c r="F222" i="18" s="1"/>
  <c r="E226" i="18"/>
  <c r="F226" i="18" s="1"/>
  <c r="E230" i="18"/>
  <c r="F230" i="18" s="1"/>
  <c r="E234" i="18"/>
  <c r="F234" i="18" s="1"/>
  <c r="E238" i="18"/>
  <c r="F238" i="18" s="1"/>
  <c r="E242" i="18"/>
  <c r="F242" i="18" s="1"/>
  <c r="E254" i="18"/>
  <c r="F254" i="18" s="1"/>
  <c r="E262" i="18"/>
  <c r="F262" i="18" s="1"/>
  <c r="E355" i="18"/>
  <c r="F355" i="18" s="1"/>
  <c r="E351" i="18"/>
  <c r="F351" i="18" s="1"/>
  <c r="E347" i="18"/>
  <c r="F347" i="18" s="1"/>
  <c r="E343" i="18"/>
  <c r="F343" i="18" s="1"/>
  <c r="E339" i="18"/>
  <c r="F339" i="18" s="1"/>
  <c r="E335" i="18"/>
  <c r="F335" i="18" s="1"/>
  <c r="E331" i="18"/>
  <c r="F331" i="18" s="1"/>
  <c r="E327" i="18"/>
  <c r="F327" i="18" s="1"/>
  <c r="E323" i="18"/>
  <c r="F323" i="18" s="1"/>
  <c r="E319" i="18"/>
  <c r="F319" i="18" s="1"/>
  <c r="E315" i="18"/>
  <c r="F315" i="18" s="1"/>
  <c r="E311" i="18"/>
  <c r="F311" i="18" s="1"/>
  <c r="E307" i="18"/>
  <c r="F307" i="18" s="1"/>
  <c r="E303" i="18"/>
  <c r="F303" i="18" s="1"/>
  <c r="E299" i="18"/>
  <c r="F299" i="18" s="1"/>
  <c r="E295" i="18"/>
  <c r="F295" i="18" s="1"/>
  <c r="E291" i="18"/>
  <c r="F291" i="18" s="1"/>
  <c r="E287" i="18"/>
  <c r="F287" i="18" s="1"/>
  <c r="E283" i="18"/>
  <c r="F283" i="18" s="1"/>
  <c r="E279" i="18"/>
  <c r="F279" i="18" s="1"/>
  <c r="E275" i="18"/>
  <c r="F275" i="18" s="1"/>
  <c r="E271" i="18"/>
  <c r="F271" i="18" s="1"/>
  <c r="E267" i="18"/>
  <c r="F267" i="18" s="1"/>
  <c r="E356" i="18"/>
  <c r="F356" i="18" s="1"/>
  <c r="E352" i="18"/>
  <c r="F352" i="18" s="1"/>
  <c r="E348" i="18"/>
  <c r="F348" i="18" s="1"/>
  <c r="E344" i="18"/>
  <c r="F344" i="18" s="1"/>
  <c r="E340" i="18"/>
  <c r="F340" i="18" s="1"/>
  <c r="E336" i="18"/>
  <c r="F336" i="18" s="1"/>
  <c r="E332" i="18"/>
  <c r="F332" i="18" s="1"/>
  <c r="E270" i="18"/>
  <c r="F270" i="18" s="1"/>
  <c r="E278" i="18"/>
  <c r="F278" i="18" s="1"/>
  <c r="E286" i="18"/>
  <c r="F286" i="18" s="1"/>
  <c r="E294" i="18"/>
  <c r="F294" i="18" s="1"/>
  <c r="E302" i="18"/>
  <c r="F302" i="18" s="1"/>
  <c r="E310" i="18"/>
  <c r="F310" i="18" s="1"/>
  <c r="E318" i="18"/>
  <c r="F318" i="18" s="1"/>
  <c r="E326" i="18"/>
  <c r="F326" i="18" s="1"/>
  <c r="E333" i="18"/>
  <c r="F333" i="18" s="1"/>
  <c r="E337" i="18"/>
  <c r="F337" i="18" s="1"/>
  <c r="E341" i="18"/>
  <c r="F341" i="18" s="1"/>
  <c r="E345" i="18"/>
  <c r="F345" i="18" s="1"/>
  <c r="E349" i="18"/>
  <c r="F349" i="18" s="1"/>
  <c r="E353" i="18"/>
  <c r="F353" i="18" s="1"/>
  <c r="E357" i="18"/>
  <c r="F357" i="18" s="1"/>
  <c r="E361" i="18"/>
  <c r="F361" i="18" s="1"/>
  <c r="E365" i="18"/>
  <c r="F365" i="18" s="1"/>
  <c r="E369" i="18"/>
  <c r="F369" i="18" s="1"/>
  <c r="E373" i="18"/>
  <c r="F373" i="18" s="1"/>
  <c r="E377" i="18"/>
  <c r="F377" i="18" s="1"/>
  <c r="E381" i="18"/>
  <c r="F381" i="18" s="1"/>
  <c r="E390" i="18"/>
  <c r="F390" i="18" s="1"/>
  <c r="E395" i="18"/>
  <c r="F395" i="18" s="1"/>
  <c r="E406" i="18"/>
  <c r="F406" i="18" s="1"/>
  <c r="E411" i="18"/>
  <c r="F411" i="18" s="1"/>
  <c r="E422" i="18"/>
  <c r="F422" i="18" s="1"/>
  <c r="E427" i="18"/>
  <c r="F427" i="18" s="1"/>
  <c r="E438" i="18"/>
  <c r="F438" i="18" s="1"/>
  <c r="E454" i="18"/>
  <c r="F454" i="18" s="1"/>
  <c r="E459" i="18"/>
  <c r="F459" i="18" s="1"/>
  <c r="E467" i="18"/>
  <c r="F467" i="18" s="1"/>
  <c r="E476" i="18"/>
  <c r="F476" i="18" s="1"/>
  <c r="E478" i="18"/>
  <c r="F478" i="18" s="1"/>
  <c r="E441" i="18"/>
  <c r="F441" i="18" s="1"/>
  <c r="E437" i="18"/>
  <c r="F437" i="18" s="1"/>
  <c r="E433" i="18"/>
  <c r="F433" i="18" s="1"/>
  <c r="E429" i="18"/>
  <c r="F429" i="18" s="1"/>
  <c r="E425" i="18"/>
  <c r="F425" i="18" s="1"/>
  <c r="E421" i="18"/>
  <c r="F421" i="18" s="1"/>
  <c r="E417" i="18"/>
  <c r="F417" i="18" s="1"/>
  <c r="E413" i="18"/>
  <c r="F413" i="18" s="1"/>
  <c r="E409" i="18"/>
  <c r="F409" i="18" s="1"/>
  <c r="E405" i="18"/>
  <c r="F405" i="18" s="1"/>
  <c r="E401" i="18"/>
  <c r="F401" i="18" s="1"/>
  <c r="E397" i="18"/>
  <c r="F397" i="18" s="1"/>
  <c r="E393" i="18"/>
  <c r="F393" i="18" s="1"/>
  <c r="E389" i="18"/>
  <c r="F389" i="18" s="1"/>
  <c r="E385" i="18"/>
  <c r="F385" i="18" s="1"/>
  <c r="E360" i="18"/>
  <c r="F360" i="18" s="1"/>
  <c r="E364" i="18"/>
  <c r="F364" i="18" s="1"/>
  <c r="E368" i="18"/>
  <c r="F368" i="18" s="1"/>
  <c r="E372" i="18"/>
  <c r="F372" i="18" s="1"/>
  <c r="E376" i="18"/>
  <c r="F376" i="18" s="1"/>
  <c r="E380" i="18"/>
  <c r="F380" i="18" s="1"/>
  <c r="E383" i="18"/>
  <c r="F383" i="18" s="1"/>
  <c r="E386" i="18"/>
  <c r="F386" i="18" s="1"/>
  <c r="E391" i="18"/>
  <c r="F391" i="18" s="1"/>
  <c r="E394" i="18"/>
  <c r="F394" i="18" s="1"/>
  <c r="E399" i="18"/>
  <c r="F399" i="18" s="1"/>
  <c r="E402" i="18"/>
  <c r="F402" i="18" s="1"/>
  <c r="E407" i="18"/>
  <c r="F407" i="18" s="1"/>
  <c r="E410" i="18"/>
  <c r="F410" i="18" s="1"/>
  <c r="E415" i="18"/>
  <c r="F415" i="18" s="1"/>
  <c r="E418" i="18"/>
  <c r="F418" i="18" s="1"/>
  <c r="E423" i="18"/>
  <c r="F423" i="18" s="1"/>
  <c r="E426" i="18"/>
  <c r="F426" i="18" s="1"/>
  <c r="E431" i="18"/>
  <c r="F431" i="18" s="1"/>
  <c r="E434" i="18"/>
  <c r="F434" i="18" s="1"/>
  <c r="E439" i="18"/>
  <c r="F439" i="18" s="1"/>
  <c r="E442" i="18"/>
  <c r="F442" i="18" s="1"/>
  <c r="E475" i="18"/>
  <c r="F475" i="18" s="1"/>
  <c r="E484" i="18"/>
  <c r="F484" i="18" s="1"/>
  <c r="E486" i="18"/>
  <c r="F486" i="18" s="1"/>
  <c r="E491" i="18"/>
  <c r="F491" i="18" s="1"/>
  <c r="E500" i="18"/>
  <c r="F500" i="18" s="1"/>
  <c r="E502" i="18"/>
  <c r="F502" i="18" s="1"/>
  <c r="E507" i="18"/>
  <c r="F507" i="18" s="1"/>
  <c r="E516" i="18"/>
  <c r="F516" i="18" s="1"/>
  <c r="E518" i="18"/>
  <c r="F518" i="18" s="1"/>
  <c r="E523" i="18"/>
  <c r="F523" i="18" s="1"/>
  <c r="E359" i="18"/>
  <c r="F359" i="18" s="1"/>
  <c r="E363" i="18"/>
  <c r="F363" i="18" s="1"/>
  <c r="E367" i="18"/>
  <c r="F367" i="18" s="1"/>
  <c r="E371" i="18"/>
  <c r="F371" i="18" s="1"/>
  <c r="E375" i="18"/>
  <c r="F375" i="18" s="1"/>
  <c r="E379" i="18"/>
  <c r="F379" i="18" s="1"/>
  <c r="E388" i="18"/>
  <c r="F388" i="18" s="1"/>
  <c r="E396" i="18"/>
  <c r="F396" i="18" s="1"/>
  <c r="E404" i="18"/>
  <c r="F404" i="18" s="1"/>
  <c r="E412" i="18"/>
  <c r="F412" i="18" s="1"/>
  <c r="E420" i="18"/>
  <c r="F420" i="18" s="1"/>
  <c r="E428" i="18"/>
  <c r="F428" i="18" s="1"/>
  <c r="E436" i="18"/>
  <c r="F436" i="18" s="1"/>
  <c r="E444" i="18"/>
  <c r="F444" i="18" s="1"/>
  <c r="E533" i="18"/>
  <c r="F533" i="18" s="1"/>
  <c r="E529" i="18"/>
  <c r="F529" i="18" s="1"/>
  <c r="E525" i="18"/>
  <c r="F525" i="18" s="1"/>
  <c r="E521" i="18"/>
  <c r="F521" i="18" s="1"/>
  <c r="E517" i="18"/>
  <c r="F517" i="18" s="1"/>
  <c r="E513" i="18"/>
  <c r="F513" i="18" s="1"/>
  <c r="E509" i="18"/>
  <c r="F509" i="18" s="1"/>
  <c r="E505" i="18"/>
  <c r="F505" i="18" s="1"/>
  <c r="E501" i="18"/>
  <c r="F501" i="18" s="1"/>
  <c r="E497" i="18"/>
  <c r="F497" i="18" s="1"/>
  <c r="E493" i="18"/>
  <c r="F493" i="18" s="1"/>
  <c r="E489" i="18"/>
  <c r="F489" i="18" s="1"/>
  <c r="E485" i="18"/>
  <c r="F485" i="18" s="1"/>
  <c r="E481" i="18"/>
  <c r="F481" i="18" s="1"/>
  <c r="E477" i="18"/>
  <c r="F477" i="18" s="1"/>
  <c r="E473" i="18"/>
  <c r="F473" i="18" s="1"/>
  <c r="E530" i="18"/>
  <c r="F530" i="18" s="1"/>
  <c r="E527" i="18"/>
  <c r="F527" i="18" s="1"/>
  <c r="E522" i="18"/>
  <c r="F522" i="18" s="1"/>
  <c r="E519" i="18"/>
  <c r="F519" i="18" s="1"/>
  <c r="E514" i="18"/>
  <c r="F514" i="18" s="1"/>
  <c r="E511" i="18"/>
  <c r="F511" i="18" s="1"/>
  <c r="E506" i="18"/>
  <c r="F506" i="18" s="1"/>
  <c r="E503" i="18"/>
  <c r="F503" i="18" s="1"/>
  <c r="E498" i="18"/>
  <c r="F498" i="18" s="1"/>
  <c r="E495" i="18"/>
  <c r="F495" i="18" s="1"/>
  <c r="E490" i="18"/>
  <c r="F490" i="18" s="1"/>
  <c r="E487" i="18"/>
  <c r="F487" i="18" s="1"/>
  <c r="E482" i="18"/>
  <c r="F482" i="18" s="1"/>
  <c r="E479" i="18"/>
  <c r="F479" i="18" s="1"/>
  <c r="E474" i="18"/>
  <c r="F474" i="18" s="1"/>
  <c r="E471" i="18"/>
  <c r="F471" i="18" s="1"/>
  <c r="E468" i="18"/>
  <c r="F468" i="18" s="1"/>
  <c r="E464" i="18"/>
  <c r="F464" i="18" s="1"/>
  <c r="E460" i="18"/>
  <c r="F460" i="18" s="1"/>
  <c r="E528" i="18"/>
  <c r="F528" i="18" s="1"/>
  <c r="E520" i="18"/>
  <c r="F520" i="18" s="1"/>
  <c r="E512" i="18"/>
  <c r="F512" i="18" s="1"/>
  <c r="E504" i="18"/>
  <c r="F504" i="18" s="1"/>
  <c r="E496" i="18"/>
  <c r="F496" i="18" s="1"/>
  <c r="E488" i="18"/>
  <c r="F488" i="18" s="1"/>
  <c r="E480" i="18"/>
  <c r="F480" i="18" s="1"/>
  <c r="E472" i="18"/>
  <c r="F472" i="18" s="1"/>
  <c r="E469" i="18"/>
  <c r="F469" i="18" s="1"/>
  <c r="E465" i="18"/>
  <c r="F465" i="18" s="1"/>
  <c r="E461" i="18"/>
  <c r="F461" i="18" s="1"/>
  <c r="E457" i="18"/>
  <c r="F457" i="18" s="1"/>
  <c r="E453" i="18"/>
  <c r="F453" i="18" s="1"/>
  <c r="E449" i="18"/>
  <c r="F449" i="18" s="1"/>
  <c r="E452" i="18"/>
  <c r="F452" i="18" s="1"/>
  <c r="E631" i="18"/>
  <c r="F631" i="18" s="1"/>
  <c r="E627" i="18"/>
  <c r="F627" i="18" s="1"/>
  <c r="E623" i="18"/>
  <c r="F623" i="18" s="1"/>
  <c r="E619" i="18"/>
  <c r="F619" i="18" s="1"/>
  <c r="E615" i="18"/>
  <c r="F615" i="18" s="1"/>
  <c r="E611" i="18"/>
  <c r="F611" i="18" s="1"/>
  <c r="E607" i="18"/>
  <c r="F607" i="18" s="1"/>
  <c r="E603" i="18"/>
  <c r="F603" i="18" s="1"/>
  <c r="E599" i="18"/>
  <c r="F599" i="18" s="1"/>
  <c r="E595" i="18"/>
  <c r="F595" i="18" s="1"/>
  <c r="E591" i="18"/>
  <c r="F591" i="18" s="1"/>
  <c r="E587" i="18"/>
  <c r="F587" i="18" s="1"/>
  <c r="E583" i="18"/>
  <c r="F583" i="18" s="1"/>
  <c r="E579" i="18"/>
  <c r="F579" i="18" s="1"/>
  <c r="E575" i="18"/>
  <c r="F575" i="18" s="1"/>
  <c r="E571" i="18"/>
  <c r="F571" i="18" s="1"/>
  <c r="E567" i="18"/>
  <c r="F567" i="18" s="1"/>
  <c r="E563" i="18"/>
  <c r="F563" i="18" s="1"/>
  <c r="E559" i="18"/>
  <c r="F559" i="18" s="1"/>
  <c r="E555" i="18"/>
  <c r="F555" i="18" s="1"/>
  <c r="E551" i="18"/>
  <c r="F551" i="18" s="1"/>
  <c r="E547" i="18"/>
  <c r="F547" i="18" s="1"/>
  <c r="E543" i="18"/>
  <c r="F543" i="18" s="1"/>
  <c r="E538" i="18"/>
  <c r="F538" i="18" s="1"/>
  <c r="E539" i="18"/>
  <c r="F539" i="18" s="1"/>
  <c r="E546" i="18"/>
  <c r="F546" i="18" s="1"/>
  <c r="E554" i="18"/>
  <c r="F554" i="18" s="1"/>
  <c r="E562" i="18"/>
  <c r="F562" i="18" s="1"/>
  <c r="E570" i="18"/>
  <c r="F570" i="18" s="1"/>
  <c r="E578" i="18"/>
  <c r="F578" i="18" s="1"/>
  <c r="E586" i="18"/>
  <c r="F586" i="18" s="1"/>
  <c r="E594" i="18"/>
  <c r="F594" i="18" s="1"/>
  <c r="E602" i="18"/>
  <c r="F602" i="18" s="1"/>
  <c r="E610" i="18"/>
  <c r="F610" i="18" s="1"/>
  <c r="E618" i="18"/>
  <c r="F618" i="18" s="1"/>
  <c r="E626" i="18"/>
  <c r="F626" i="18" s="1"/>
  <c r="E634" i="18"/>
  <c r="F634" i="18" s="1"/>
  <c r="E637" i="18"/>
  <c r="F637" i="18" s="1"/>
  <c r="E633" i="18"/>
  <c r="F633" i="18" s="1"/>
  <c r="E629" i="18"/>
  <c r="F629" i="18" s="1"/>
  <c r="E625" i="18"/>
  <c r="F625" i="18" s="1"/>
  <c r="E621" i="18"/>
  <c r="F621" i="18" s="1"/>
  <c r="E617" i="18"/>
  <c r="F617" i="18" s="1"/>
  <c r="E613" i="18"/>
  <c r="F613" i="18" s="1"/>
  <c r="E609" i="18"/>
  <c r="F609" i="18" s="1"/>
  <c r="E605" i="18"/>
  <c r="F605" i="18" s="1"/>
  <c r="E601" i="18"/>
  <c r="F601" i="18" s="1"/>
  <c r="E597" i="18"/>
  <c r="F597" i="18" s="1"/>
  <c r="E593" i="18"/>
  <c r="F593" i="18" s="1"/>
  <c r="E589" i="18"/>
  <c r="F589" i="18" s="1"/>
  <c r="E585" i="18"/>
  <c r="F585" i="18" s="1"/>
  <c r="E581" i="18"/>
  <c r="F581" i="18" s="1"/>
  <c r="E577" i="18"/>
  <c r="F577" i="18" s="1"/>
  <c r="E573" i="18"/>
  <c r="F573" i="18" s="1"/>
  <c r="E569" i="18"/>
  <c r="F569" i="18" s="1"/>
  <c r="E565" i="18"/>
  <c r="F565" i="18" s="1"/>
  <c r="E561" i="18"/>
  <c r="F561" i="18" s="1"/>
  <c r="E557" i="18"/>
  <c r="F557" i="18" s="1"/>
  <c r="E553" i="18"/>
  <c r="F553" i="18" s="1"/>
  <c r="E549" i="18"/>
  <c r="F549" i="18" s="1"/>
  <c r="E545" i="18"/>
  <c r="F545" i="18" s="1"/>
  <c r="E541" i="18"/>
  <c r="F541" i="18" s="1"/>
  <c r="E537" i="18"/>
  <c r="F537" i="18" s="1"/>
  <c r="E636" i="18"/>
  <c r="F636" i="18" s="1"/>
  <c r="E632" i="18"/>
  <c r="F632" i="18" s="1"/>
  <c r="E628" i="18"/>
  <c r="F628" i="18" s="1"/>
  <c r="E624" i="18"/>
  <c r="F624" i="18" s="1"/>
  <c r="E620" i="18"/>
  <c r="F620" i="18" s="1"/>
  <c r="E616" i="18"/>
  <c r="F616" i="18" s="1"/>
  <c r="E612" i="18"/>
  <c r="F612" i="18" s="1"/>
  <c r="E608" i="18"/>
  <c r="F608" i="18" s="1"/>
  <c r="E604" i="18"/>
  <c r="F604" i="18" s="1"/>
  <c r="E600" i="18"/>
  <c r="F600" i="18" s="1"/>
  <c r="E596" i="18"/>
  <c r="F596" i="18" s="1"/>
  <c r="E592" i="18"/>
  <c r="F592" i="18" s="1"/>
  <c r="E588" i="18"/>
  <c r="F588" i="18" s="1"/>
  <c r="E584" i="18"/>
  <c r="F584" i="18" s="1"/>
  <c r="E580" i="18"/>
  <c r="F580" i="18" s="1"/>
  <c r="E576" i="18"/>
  <c r="F576" i="18" s="1"/>
  <c r="E572" i="18"/>
  <c r="F572" i="18" s="1"/>
  <c r="E568" i="18"/>
  <c r="F568" i="18" s="1"/>
  <c r="E564" i="18"/>
  <c r="F564" i="18" s="1"/>
  <c r="E560" i="18"/>
  <c r="F560" i="18" s="1"/>
  <c r="E556" i="18"/>
  <c r="F556" i="18" s="1"/>
  <c r="E552" i="18"/>
  <c r="F552" i="18" s="1"/>
  <c r="E548" i="18"/>
  <c r="F548" i="18" s="1"/>
  <c r="E544" i="18"/>
  <c r="F544" i="18" s="1"/>
  <c r="E536" i="18"/>
  <c r="F536" i="18" s="1"/>
  <c r="E635" i="18"/>
  <c r="F635" i="18" s="1"/>
  <c r="AG489" i="1"/>
  <c r="AG191" i="1"/>
  <c r="AB222" i="1"/>
  <c r="AG222" i="1" s="1"/>
  <c r="AG617" i="1"/>
  <c r="AG533" i="1"/>
  <c r="AG377" i="1"/>
  <c r="AB629" i="1"/>
  <c r="AG629" i="1" s="1"/>
  <c r="AG597" i="1"/>
  <c r="AG490" i="1"/>
  <c r="AG349" i="1"/>
  <c r="AG450" i="1"/>
  <c r="AG554" i="1"/>
  <c r="AB618" i="1"/>
  <c r="AG618" i="1" s="1"/>
  <c r="AB586" i="1"/>
  <c r="AG586" i="1" s="1"/>
  <c r="AB522" i="1"/>
  <c r="AG522" i="1" s="1"/>
  <c r="AG553" i="1"/>
  <c r="AG465" i="1"/>
  <c r="AG74" i="1"/>
  <c r="AB632" i="1"/>
  <c r="AG632" i="1" s="1"/>
  <c r="AB628" i="1"/>
  <c r="AG628" i="1" s="1"/>
  <c r="AB624" i="1"/>
  <c r="AG624" i="1" s="1"/>
  <c r="AB620" i="1"/>
  <c r="AG620" i="1" s="1"/>
  <c r="AB616" i="1"/>
  <c r="AG616" i="1" s="1"/>
  <c r="AB612" i="1"/>
  <c r="AG612" i="1" s="1"/>
  <c r="AB608" i="1"/>
  <c r="AG608" i="1" s="1"/>
  <c r="AB604" i="1"/>
  <c r="AG604" i="1" s="1"/>
  <c r="AB600" i="1"/>
  <c r="AG600" i="1" s="1"/>
  <c r="AB596" i="1"/>
  <c r="AG596" i="1" s="1"/>
  <c r="AB592" i="1"/>
  <c r="AG592" i="1" s="1"/>
  <c r="AB588" i="1"/>
  <c r="AG588" i="1" s="1"/>
  <c r="AB584" i="1"/>
  <c r="AG584" i="1" s="1"/>
  <c r="AB580" i="1"/>
  <c r="AG580" i="1" s="1"/>
  <c r="AB576" i="1"/>
  <c r="AG576" i="1" s="1"/>
  <c r="AB572" i="1"/>
  <c r="AG572" i="1" s="1"/>
  <c r="AB568" i="1"/>
  <c r="AG568" i="1" s="1"/>
  <c r="AB564" i="1"/>
  <c r="AG564" i="1" s="1"/>
  <c r="AB560" i="1"/>
  <c r="AG560" i="1" s="1"/>
  <c r="AB556" i="1"/>
  <c r="AG556" i="1" s="1"/>
  <c r="AB552" i="1"/>
  <c r="AG552" i="1" s="1"/>
  <c r="AB548" i="1"/>
  <c r="AG548" i="1" s="1"/>
  <c r="AB544" i="1"/>
  <c r="AG544" i="1" s="1"/>
  <c r="AB540" i="1"/>
  <c r="AG540" i="1" s="1"/>
  <c r="AB536" i="1"/>
  <c r="AG536" i="1" s="1"/>
  <c r="AB532" i="1"/>
  <c r="AG532" i="1" s="1"/>
  <c r="AB528" i="1"/>
  <c r="AG528" i="1" s="1"/>
  <c r="AB524" i="1"/>
  <c r="AG524" i="1" s="1"/>
  <c r="AB520" i="1"/>
  <c r="AG520" i="1" s="1"/>
  <c r="AB516" i="1"/>
  <c r="AG516" i="1" s="1"/>
  <c r="AB512" i="1"/>
  <c r="AG512" i="1" s="1"/>
  <c r="AB508" i="1"/>
  <c r="AG508" i="1" s="1"/>
  <c r="AB504" i="1"/>
  <c r="AG504" i="1" s="1"/>
  <c r="AB500" i="1"/>
  <c r="AG500" i="1" s="1"/>
  <c r="AB496" i="1"/>
  <c r="AG496" i="1" s="1"/>
  <c r="AB492" i="1"/>
  <c r="AG492" i="1" s="1"/>
  <c r="AB488" i="1"/>
  <c r="AG488" i="1" s="1"/>
  <c r="AB484" i="1"/>
  <c r="AG484" i="1" s="1"/>
  <c r="AB480" i="1"/>
  <c r="AG480" i="1" s="1"/>
  <c r="AB476" i="1"/>
  <c r="AG476" i="1" s="1"/>
  <c r="AB472" i="1"/>
  <c r="AG472" i="1" s="1"/>
  <c r="AB468" i="1"/>
  <c r="AG468" i="1" s="1"/>
  <c r="AB464" i="1"/>
  <c r="AG464" i="1" s="1"/>
  <c r="AB460" i="1"/>
  <c r="AG460" i="1" s="1"/>
  <c r="AB456" i="1"/>
  <c r="AG456" i="1" s="1"/>
  <c r="AB452" i="1"/>
  <c r="AG452" i="1" s="1"/>
  <c r="AB448" i="1"/>
  <c r="AG448" i="1" s="1"/>
  <c r="AB444" i="1"/>
  <c r="AG444" i="1" s="1"/>
  <c r="AB440" i="1"/>
  <c r="AG440" i="1" s="1"/>
  <c r="AB436" i="1"/>
  <c r="AG436" i="1" s="1"/>
  <c r="AB432" i="1"/>
  <c r="AG432" i="1" s="1"/>
  <c r="AB428" i="1"/>
  <c r="AG428" i="1" s="1"/>
  <c r="AB424" i="1"/>
  <c r="AG424" i="1" s="1"/>
  <c r="AB420" i="1"/>
  <c r="AG420" i="1" s="1"/>
  <c r="AB416" i="1"/>
  <c r="AG416" i="1" s="1"/>
  <c r="AB412" i="1"/>
  <c r="AG412" i="1" s="1"/>
  <c r="AB408" i="1"/>
  <c r="AG408" i="1" s="1"/>
  <c r="AB404" i="1"/>
  <c r="AG404" i="1" s="1"/>
  <c r="AB400" i="1"/>
  <c r="AG400" i="1" s="1"/>
  <c r="AB396" i="1"/>
  <c r="AG396" i="1" s="1"/>
  <c r="AB392" i="1"/>
  <c r="AG392" i="1" s="1"/>
  <c r="AB388" i="1"/>
  <c r="AG388" i="1" s="1"/>
  <c r="AB384" i="1"/>
  <c r="AG384" i="1" s="1"/>
  <c r="AB380" i="1"/>
  <c r="AG380" i="1" s="1"/>
  <c r="AB376" i="1"/>
  <c r="AG376" i="1" s="1"/>
  <c r="AB372" i="1"/>
  <c r="AG372" i="1" s="1"/>
  <c r="AB368" i="1"/>
  <c r="AG368" i="1" s="1"/>
  <c r="AB364" i="1"/>
  <c r="AG364" i="1" s="1"/>
  <c r="AB360" i="1"/>
  <c r="AG360" i="1" s="1"/>
  <c r="AB356" i="1"/>
  <c r="AG356" i="1" s="1"/>
  <c r="AB352" i="1"/>
  <c r="AG352" i="1" s="1"/>
  <c r="AB348" i="1"/>
  <c r="AG348" i="1" s="1"/>
  <c r="AB344" i="1"/>
  <c r="AG344" i="1" s="1"/>
  <c r="AB340" i="1"/>
  <c r="AG340" i="1" s="1"/>
  <c r="AB336" i="1"/>
  <c r="AG336" i="1" s="1"/>
  <c r="AB332" i="1"/>
  <c r="AG332" i="1" s="1"/>
  <c r="AB328" i="1"/>
  <c r="AG328" i="1" s="1"/>
  <c r="AB324" i="1"/>
  <c r="AG324" i="1" s="1"/>
  <c r="AB320" i="1"/>
  <c r="AG320" i="1" s="1"/>
  <c r="AB316" i="1"/>
  <c r="AG316" i="1" s="1"/>
  <c r="AB312" i="1"/>
  <c r="AG312" i="1" s="1"/>
  <c r="AB308" i="1"/>
  <c r="AG308" i="1" s="1"/>
  <c r="AB304" i="1"/>
  <c r="AG304" i="1" s="1"/>
  <c r="AB300" i="1"/>
  <c r="AG300" i="1" s="1"/>
  <c r="AB292" i="1"/>
  <c r="AG292" i="1" s="1"/>
  <c r="AB288" i="1"/>
  <c r="AG288" i="1" s="1"/>
  <c r="AB284" i="1"/>
  <c r="AG284" i="1" s="1"/>
  <c r="AB280" i="1"/>
  <c r="AG280" i="1" s="1"/>
  <c r="AB276" i="1"/>
  <c r="AG276" i="1" s="1"/>
  <c r="AB272" i="1"/>
  <c r="AG272" i="1" s="1"/>
  <c r="AB268" i="1"/>
  <c r="AG268" i="1" s="1"/>
  <c r="AB264" i="1"/>
  <c r="AG264" i="1" s="1"/>
  <c r="AB260" i="1"/>
  <c r="AG260" i="1" s="1"/>
  <c r="AB252" i="1"/>
  <c r="AG252" i="1" s="1"/>
  <c r="AB248" i="1"/>
  <c r="AG248" i="1" s="1"/>
  <c r="AB244" i="1"/>
  <c r="AG244" i="1" s="1"/>
  <c r="AB240" i="1"/>
  <c r="AG240" i="1" s="1"/>
  <c r="AB236" i="1"/>
  <c r="AG236" i="1" s="1"/>
  <c r="AB232" i="1"/>
  <c r="AG232" i="1" s="1"/>
  <c r="AB228" i="1"/>
  <c r="AG228" i="1" s="1"/>
  <c r="AB224" i="1"/>
  <c r="AG224" i="1" s="1"/>
  <c r="AB220" i="1"/>
  <c r="AG220" i="1" s="1"/>
  <c r="AB216" i="1"/>
  <c r="AG216" i="1" s="1"/>
  <c r="AB212" i="1"/>
  <c r="AG212" i="1" s="1"/>
  <c r="AB208" i="1"/>
  <c r="AG208" i="1" s="1"/>
  <c r="AB204" i="1"/>
  <c r="AG204" i="1" s="1"/>
  <c r="AB200" i="1"/>
  <c r="AG200" i="1" s="1"/>
  <c r="AB196" i="1"/>
  <c r="AG196" i="1" s="1"/>
  <c r="AB192" i="1"/>
  <c r="AG192" i="1" s="1"/>
  <c r="AB188" i="1"/>
  <c r="AG188" i="1" s="1"/>
  <c r="AB184" i="1"/>
  <c r="AG184" i="1" s="1"/>
  <c r="AB180" i="1"/>
  <c r="AG180" i="1" s="1"/>
  <c r="AB176" i="1"/>
  <c r="AG176" i="1" s="1"/>
  <c r="AB172" i="1"/>
  <c r="AG172" i="1" s="1"/>
  <c r="AB168" i="1"/>
  <c r="AG168" i="1" s="1"/>
  <c r="AB164" i="1"/>
  <c r="AG164" i="1" s="1"/>
  <c r="AB160" i="1"/>
  <c r="AG160" i="1" s="1"/>
  <c r="AB156" i="1"/>
  <c r="AG156" i="1" s="1"/>
  <c r="AB152" i="1"/>
  <c r="AG152" i="1" s="1"/>
  <c r="AB148" i="1"/>
  <c r="AG148" i="1" s="1"/>
  <c r="AB144" i="1"/>
  <c r="AG144" i="1" s="1"/>
  <c r="AB140" i="1"/>
  <c r="AG140" i="1" s="1"/>
  <c r="AB136" i="1"/>
  <c r="AG136" i="1" s="1"/>
  <c r="AB132" i="1"/>
  <c r="AG132" i="1" s="1"/>
  <c r="AB128" i="1"/>
  <c r="AG128" i="1" s="1"/>
  <c r="AB124" i="1"/>
  <c r="AG124" i="1" s="1"/>
  <c r="AB120" i="1"/>
  <c r="AG120" i="1" s="1"/>
  <c r="AB116" i="1"/>
  <c r="AG116" i="1" s="1"/>
  <c r="AB112" i="1"/>
  <c r="AG112" i="1" s="1"/>
  <c r="AB108" i="1"/>
  <c r="AG108" i="1" s="1"/>
  <c r="AB104" i="1"/>
  <c r="AG104" i="1" s="1"/>
  <c r="AB100" i="1"/>
  <c r="AG100" i="1" s="1"/>
  <c r="AB96" i="1"/>
  <c r="AG96" i="1" s="1"/>
  <c r="AB92" i="1"/>
  <c r="AG92" i="1" s="1"/>
  <c r="AB88" i="1"/>
  <c r="AG88" i="1" s="1"/>
  <c r="AB84" i="1"/>
  <c r="AG84" i="1" s="1"/>
  <c r="AB80" i="1"/>
  <c r="AG80" i="1" s="1"/>
  <c r="AB76" i="1"/>
  <c r="AG76" i="1" s="1"/>
  <c r="AB72" i="1"/>
  <c r="AG72" i="1" s="1"/>
  <c r="AB68" i="1"/>
  <c r="AG68" i="1" s="1"/>
  <c r="AB64" i="1"/>
  <c r="AG64" i="1" s="1"/>
  <c r="AB60" i="1"/>
  <c r="AG60" i="1" s="1"/>
  <c r="AB56" i="1"/>
  <c r="AG56" i="1" s="1"/>
  <c r="AB52" i="1"/>
  <c r="AG52" i="1" s="1"/>
  <c r="AB48" i="1"/>
  <c r="AG48" i="1" s="1"/>
  <c r="AB44" i="1"/>
  <c r="AG44" i="1" s="1"/>
  <c r="AB40" i="1"/>
  <c r="AG40" i="1" s="1"/>
  <c r="AB36" i="1"/>
  <c r="AG36" i="1" s="1"/>
  <c r="AB32" i="1"/>
  <c r="AG32" i="1" s="1"/>
  <c r="AB28" i="1"/>
  <c r="AG28" i="1" s="1"/>
  <c r="AB24" i="1"/>
  <c r="AG24" i="1" s="1"/>
  <c r="AB20" i="1"/>
  <c r="AG20" i="1" s="1"/>
  <c r="AB16" i="1"/>
  <c r="AG16" i="1" s="1"/>
  <c r="AB12" i="1"/>
  <c r="AG12" i="1" s="1"/>
  <c r="AB8" i="1"/>
  <c r="AG8" i="1" s="1"/>
  <c r="AB4" i="1"/>
  <c r="AG4" i="1" s="1"/>
  <c r="AB595" i="1"/>
  <c r="AG595" i="1" s="1"/>
  <c r="AB563" i="1"/>
  <c r="AG563" i="1" s="1"/>
  <c r="AB531" i="1"/>
  <c r="AG531" i="1" s="1"/>
  <c r="AB499" i="1"/>
  <c r="AG499" i="1" s="1"/>
  <c r="AB331" i="1"/>
  <c r="AG331" i="1" s="1"/>
  <c r="AB315" i="1"/>
  <c r="AG315" i="1" s="1"/>
  <c r="AB275" i="1"/>
  <c r="AG275" i="1" s="1"/>
  <c r="AG575" i="1"/>
  <c r="AG511" i="1"/>
  <c r="AG239" i="1"/>
  <c r="AG619" i="1"/>
  <c r="AG611" i="1"/>
  <c r="AG603" i="1"/>
  <c r="AG587" i="1"/>
  <c r="AG579" i="1"/>
  <c r="AG571" i="1"/>
  <c r="AG555" i="1"/>
  <c r="AG547" i="1"/>
  <c r="AG539" i="1"/>
  <c r="AG523" i="1"/>
  <c r="AG515" i="1"/>
  <c r="AG507" i="1"/>
  <c r="AG491" i="1"/>
  <c r="AG483" i="1"/>
  <c r="AG475" i="1"/>
  <c r="AG467" i="1"/>
  <c r="AG459" i="1"/>
  <c r="AG451" i="1"/>
  <c r="AG443" i="1"/>
  <c r="AG435" i="1"/>
  <c r="AG427" i="1"/>
  <c r="AG419" i="1"/>
  <c r="AG411" i="1"/>
  <c r="AG403" i="1"/>
  <c r="AG395" i="1"/>
  <c r="AG387" i="1"/>
  <c r="AG379" i="1"/>
  <c r="AG371" i="1"/>
  <c r="AG363" i="1"/>
  <c r="AG355" i="1"/>
  <c r="AG347" i="1"/>
  <c r="AG339" i="1"/>
  <c r="AG323" i="1"/>
  <c r="AG307" i="1"/>
  <c r="AG299" i="1"/>
  <c r="AG291" i="1"/>
  <c r="AG283" i="1"/>
  <c r="AB271" i="1"/>
  <c r="AG271" i="1" s="1"/>
  <c r="AB267" i="1"/>
  <c r="AG267" i="1" s="1"/>
  <c r="AB255" i="1"/>
  <c r="AG255" i="1" s="1"/>
  <c r="AB251" i="1"/>
  <c r="AG251" i="1" s="1"/>
  <c r="AG243" i="1"/>
  <c r="AB235" i="1"/>
  <c r="AG235" i="1" s="1"/>
  <c r="AB223" i="1"/>
  <c r="AG223" i="1" s="1"/>
  <c r="AB219" i="1"/>
  <c r="AG219" i="1" s="1"/>
  <c r="AG211" i="1"/>
  <c r="AB207" i="1"/>
  <c r="AG207" i="1" s="1"/>
  <c r="AB203" i="1"/>
  <c r="AG203" i="1" s="1"/>
  <c r="AB187" i="1"/>
  <c r="AG187" i="1" s="1"/>
  <c r="AG179" i="1"/>
  <c r="AB175" i="1"/>
  <c r="AG175" i="1" s="1"/>
  <c r="AB171" i="1"/>
  <c r="AG171" i="1" s="1"/>
  <c r="AB155" i="1"/>
  <c r="AG155" i="1" s="1"/>
  <c r="AG147" i="1"/>
  <c r="AB143" i="1"/>
  <c r="AG143" i="1" s="1"/>
  <c r="AB139" i="1"/>
  <c r="AG139" i="1" s="1"/>
  <c r="AB127" i="1"/>
  <c r="AG127" i="1" s="1"/>
  <c r="AB123" i="1"/>
  <c r="AG123" i="1" s="1"/>
  <c r="AG115" i="1"/>
  <c r="AB111" i="1"/>
  <c r="AG111" i="1" s="1"/>
  <c r="AB107" i="1"/>
  <c r="AG107" i="1" s="1"/>
  <c r="AB95" i="1"/>
  <c r="AG95" i="1" s="1"/>
  <c r="AB91" i="1"/>
  <c r="AG91" i="1" s="1"/>
  <c r="AG83" i="1"/>
  <c r="AB79" i="1"/>
  <c r="AG79" i="1" s="1"/>
  <c r="AB75" i="1"/>
  <c r="AG75" i="1" s="1"/>
  <c r="AB63" i="1"/>
  <c r="AG63" i="1" s="1"/>
  <c r="AB59" i="1"/>
  <c r="AG59" i="1" s="1"/>
  <c r="AB51" i="1"/>
  <c r="AG51" i="1" s="1"/>
  <c r="AB47" i="1"/>
  <c r="AG47" i="1" s="1"/>
  <c r="AB43" i="1"/>
  <c r="AG43" i="1" s="1"/>
  <c r="AB35" i="1"/>
  <c r="AG35" i="1" s="1"/>
  <c r="AB31" i="1"/>
  <c r="AG31" i="1" s="1"/>
  <c r="AB23" i="1"/>
  <c r="AG23" i="1" s="1"/>
  <c r="AB19" i="1"/>
  <c r="AG19" i="1" s="1"/>
  <c r="AB15" i="1"/>
  <c r="AG15" i="1" s="1"/>
  <c r="AB11" i="1"/>
  <c r="AG11" i="1" s="1"/>
  <c r="AG7" i="1"/>
  <c r="AB3" i="1"/>
  <c r="AG3" i="1" s="1"/>
  <c r="AB623" i="1"/>
  <c r="AG623" i="1" s="1"/>
  <c r="AB263" i="1"/>
  <c r="AG263" i="1" s="1"/>
  <c r="AB231" i="1"/>
  <c r="AG231" i="1" s="1"/>
  <c r="AB199" i="1"/>
  <c r="AG199" i="1" s="1"/>
  <c r="AB167" i="1"/>
  <c r="AG167" i="1" s="1"/>
  <c r="AB103" i="1"/>
  <c r="AG103" i="1" s="1"/>
  <c r="AB71" i="1"/>
  <c r="AG71" i="1" s="1"/>
  <c r="AB27" i="1"/>
  <c r="AG27" i="1" s="1"/>
  <c r="AG630" i="1"/>
  <c r="AG610" i="1"/>
  <c r="AG602" i="1"/>
  <c r="AG594" i="1"/>
  <c r="AG578" i="1"/>
  <c r="AG570" i="1"/>
  <c r="AG562" i="1"/>
  <c r="AG546" i="1"/>
  <c r="AG538" i="1"/>
  <c r="AG530" i="1"/>
  <c r="AG514" i="1"/>
  <c r="AG506" i="1"/>
  <c r="AG498" i="1"/>
  <c r="AG482" i="1"/>
  <c r="AG474" i="1"/>
  <c r="AG466" i="1"/>
  <c r="AG458" i="1"/>
  <c r="AG442" i="1"/>
  <c r="AG426" i="1"/>
  <c r="AG418" i="1"/>
  <c r="AG410" i="1"/>
  <c r="AG402" i="1"/>
  <c r="AG394" i="1"/>
  <c r="AG386" i="1"/>
  <c r="AG378" i="1"/>
  <c r="AG370" i="1"/>
  <c r="AG362" i="1"/>
  <c r="AG354" i="1"/>
  <c r="AG346" i="1"/>
  <c r="AG338" i="1"/>
  <c r="AG330" i="1"/>
  <c r="AG322" i="1"/>
  <c r="AG306" i="1"/>
  <c r="AG298" i="1"/>
  <c r="AG290" i="1"/>
  <c r="AG282" i="1"/>
  <c r="AG274" i="1"/>
  <c r="AB266" i="1"/>
  <c r="AG266" i="1" s="1"/>
  <c r="AB262" i="1"/>
  <c r="AG262" i="1" s="1"/>
  <c r="AG254" i="1"/>
  <c r="AB250" i="1"/>
  <c r="AG250" i="1" s="1"/>
  <c r="AB246" i="1"/>
  <c r="AG246" i="1" s="1"/>
  <c r="AG242" i="1"/>
  <c r="AB234" i="1"/>
  <c r="AG234" i="1" s="1"/>
  <c r="AB230" i="1"/>
  <c r="AG230" i="1" s="1"/>
  <c r="AB218" i="1"/>
  <c r="AG218" i="1" s="1"/>
  <c r="AB214" i="1"/>
  <c r="AG214" i="1" s="1"/>
  <c r="AG210" i="1"/>
  <c r="AB202" i="1"/>
  <c r="AG202" i="1" s="1"/>
  <c r="AB198" i="1"/>
  <c r="AG198" i="1" s="1"/>
  <c r="AB186" i="1"/>
  <c r="AG186" i="1" s="1"/>
  <c r="AB182" i="1"/>
  <c r="AG182" i="1" s="1"/>
  <c r="AG178" i="1"/>
  <c r="AB170" i="1"/>
  <c r="AG170" i="1" s="1"/>
  <c r="AB166" i="1"/>
  <c r="AG166" i="1" s="1"/>
  <c r="AG158" i="1"/>
  <c r="AB154" i="1"/>
  <c r="AG154" i="1" s="1"/>
  <c r="AB150" i="1"/>
  <c r="AG150" i="1" s="1"/>
  <c r="AG146" i="1"/>
  <c r="AB138" i="1"/>
  <c r="AG138" i="1" s="1"/>
  <c r="AB134" i="1"/>
  <c r="AG134" i="1" s="1"/>
  <c r="AG126" i="1"/>
  <c r="AB122" i="1"/>
  <c r="AG122" i="1" s="1"/>
  <c r="AB118" i="1"/>
  <c r="AG118" i="1" s="1"/>
  <c r="AG114" i="1"/>
  <c r="AB102" i="1"/>
  <c r="AG102" i="1" s="1"/>
  <c r="AG94" i="1"/>
  <c r="AB90" i="1"/>
  <c r="AG90" i="1" s="1"/>
  <c r="AB86" i="1"/>
  <c r="AG86" i="1" s="1"/>
  <c r="AG82" i="1"/>
  <c r="AB70" i="1"/>
  <c r="AG70" i="1" s="1"/>
  <c r="AG62" i="1"/>
  <c r="AB58" i="1"/>
  <c r="AG58" i="1" s="1"/>
  <c r="AB54" i="1"/>
  <c r="AG54" i="1" s="1"/>
  <c r="AG50" i="1"/>
  <c r="AB34" i="1"/>
  <c r="AG34" i="1" s="1"/>
  <c r="AB30" i="1"/>
  <c r="AG30" i="1" s="1"/>
  <c r="AB26" i="1"/>
  <c r="AG26" i="1" s="1"/>
  <c r="AB22" i="1"/>
  <c r="AG22" i="1" s="1"/>
  <c r="AB14" i="1"/>
  <c r="AG14" i="1" s="1"/>
  <c r="AB10" i="1"/>
  <c r="AG10" i="1" s="1"/>
  <c r="AG6" i="1"/>
  <c r="AB2" i="1"/>
  <c r="AG2" i="1" s="1"/>
  <c r="AB627" i="1"/>
  <c r="AG627" i="1" s="1"/>
  <c r="AB622" i="1"/>
  <c r="AG622" i="1" s="1"/>
  <c r="AB615" i="1"/>
  <c r="AG615" i="1" s="1"/>
  <c r="AB607" i="1"/>
  <c r="AG607" i="1" s="1"/>
  <c r="AB599" i="1"/>
  <c r="AG599" i="1" s="1"/>
  <c r="AB591" i="1"/>
  <c r="AG591" i="1" s="1"/>
  <c r="AB583" i="1"/>
  <c r="AG583" i="1" s="1"/>
  <c r="AB567" i="1"/>
  <c r="AG567" i="1" s="1"/>
  <c r="AB559" i="1"/>
  <c r="AG559" i="1" s="1"/>
  <c r="AB551" i="1"/>
  <c r="AG551" i="1" s="1"/>
  <c r="AB543" i="1"/>
  <c r="AG543" i="1" s="1"/>
  <c r="AB535" i="1"/>
  <c r="AG535" i="1" s="1"/>
  <c r="AB527" i="1"/>
  <c r="AG527" i="1" s="1"/>
  <c r="AB519" i="1"/>
  <c r="AG519" i="1" s="1"/>
  <c r="AB503" i="1"/>
  <c r="AG503" i="1" s="1"/>
  <c r="AB495" i="1"/>
  <c r="AG495" i="1" s="1"/>
  <c r="AB487" i="1"/>
  <c r="AG487" i="1" s="1"/>
  <c r="AB479" i="1"/>
  <c r="AG479" i="1" s="1"/>
  <c r="AB471" i="1"/>
  <c r="AG471" i="1" s="1"/>
  <c r="AB463" i="1"/>
  <c r="AG463" i="1" s="1"/>
  <c r="AB455" i="1"/>
  <c r="AG455" i="1" s="1"/>
  <c r="AB447" i="1"/>
  <c r="AG447" i="1" s="1"/>
  <c r="AB439" i="1"/>
  <c r="AG439" i="1" s="1"/>
  <c r="AB431" i="1"/>
  <c r="AG431" i="1" s="1"/>
  <c r="AB423" i="1"/>
  <c r="AG423" i="1" s="1"/>
  <c r="AB415" i="1"/>
  <c r="AG415" i="1" s="1"/>
  <c r="AB407" i="1"/>
  <c r="AG407" i="1" s="1"/>
  <c r="AB399" i="1"/>
  <c r="AG399" i="1" s="1"/>
  <c r="AB391" i="1"/>
  <c r="AG391" i="1" s="1"/>
  <c r="AB383" i="1"/>
  <c r="AG383" i="1" s="1"/>
  <c r="AB375" i="1"/>
  <c r="AG375" i="1" s="1"/>
  <c r="AB367" i="1"/>
  <c r="AG367" i="1" s="1"/>
  <c r="AB359" i="1"/>
  <c r="AG359" i="1" s="1"/>
  <c r="AB351" i="1"/>
  <c r="AG351" i="1" s="1"/>
  <c r="AB343" i="1"/>
  <c r="AG343" i="1" s="1"/>
  <c r="AB335" i="1"/>
  <c r="AG335" i="1" s="1"/>
  <c r="AB327" i="1"/>
  <c r="AG327" i="1" s="1"/>
  <c r="AB319" i="1"/>
  <c r="AG319" i="1" s="1"/>
  <c r="AB311" i="1"/>
  <c r="AG311" i="1" s="1"/>
  <c r="AB303" i="1"/>
  <c r="AG303" i="1" s="1"/>
  <c r="AB295" i="1"/>
  <c r="AG295" i="1" s="1"/>
  <c r="AB287" i="1"/>
  <c r="AG287" i="1" s="1"/>
  <c r="AB279" i="1"/>
  <c r="AG279" i="1" s="1"/>
  <c r="AB270" i="1"/>
  <c r="AG270" i="1" s="1"/>
  <c r="AB259" i="1"/>
  <c r="AG259" i="1" s="1"/>
  <c r="AB227" i="1"/>
  <c r="AG227" i="1" s="1"/>
  <c r="AB206" i="1"/>
  <c r="AG206" i="1" s="1"/>
  <c r="AB195" i="1"/>
  <c r="AG195" i="1" s="1"/>
  <c r="AB174" i="1"/>
  <c r="AG174" i="1" s="1"/>
  <c r="AB163" i="1"/>
  <c r="AG163" i="1" s="1"/>
  <c r="AB142" i="1"/>
  <c r="AG142" i="1" s="1"/>
  <c r="AB131" i="1"/>
  <c r="AG131" i="1" s="1"/>
  <c r="AB110" i="1"/>
  <c r="AG110" i="1" s="1"/>
  <c r="AB99" i="1"/>
  <c r="AG99" i="1" s="1"/>
  <c r="AB67" i="1"/>
  <c r="AG67" i="1" s="1"/>
  <c r="AB39" i="1"/>
  <c r="AG39" i="1" s="1"/>
  <c r="AB18" i="1"/>
  <c r="AG18" i="1" s="1"/>
  <c r="AG565" i="1"/>
  <c r="AG501" i="1"/>
  <c r="AG478" i="1"/>
  <c r="AG422" i="1"/>
  <c r="AG393" i="1"/>
  <c r="AG365" i="1"/>
  <c r="AG296" i="1"/>
  <c r="AG162" i="1"/>
  <c r="AG106" i="1"/>
  <c r="AG46" i="1"/>
  <c r="AG633" i="1"/>
  <c r="AG625" i="1"/>
  <c r="AB613" i="1"/>
  <c r="AG613" i="1" s="1"/>
  <c r="AB609" i="1"/>
  <c r="AG609" i="1" s="1"/>
  <c r="AB605" i="1"/>
  <c r="AG605" i="1" s="1"/>
  <c r="AB601" i="1"/>
  <c r="AG601" i="1" s="1"/>
  <c r="AB593" i="1"/>
  <c r="AG593" i="1" s="1"/>
  <c r="AB589" i="1"/>
  <c r="AG589" i="1" s="1"/>
  <c r="AB581" i="1"/>
  <c r="AG581" i="1" s="1"/>
  <c r="AB577" i="1"/>
  <c r="AG577" i="1" s="1"/>
  <c r="AB573" i="1"/>
  <c r="AG573" i="1" s="1"/>
  <c r="AB569" i="1"/>
  <c r="AG569" i="1" s="1"/>
  <c r="AB561" i="1"/>
  <c r="AG561" i="1" s="1"/>
  <c r="AB557" i="1"/>
  <c r="AG557" i="1" s="1"/>
  <c r="AB549" i="1"/>
  <c r="AG549" i="1" s="1"/>
  <c r="AB545" i="1"/>
  <c r="AG545" i="1" s="1"/>
  <c r="AB541" i="1"/>
  <c r="AG541" i="1" s="1"/>
  <c r="AB537" i="1"/>
  <c r="AG537" i="1" s="1"/>
  <c r="AB529" i="1"/>
  <c r="AG529" i="1" s="1"/>
  <c r="AB525" i="1"/>
  <c r="AG525" i="1" s="1"/>
  <c r="AB517" i="1"/>
  <c r="AG517" i="1" s="1"/>
  <c r="AB513" i="1"/>
  <c r="AG513" i="1" s="1"/>
  <c r="AB509" i="1"/>
  <c r="AG509" i="1" s="1"/>
  <c r="AB505" i="1"/>
  <c r="AG505" i="1" s="1"/>
  <c r="AB497" i="1"/>
  <c r="AG497" i="1" s="1"/>
  <c r="AB493" i="1"/>
  <c r="AG493" i="1" s="1"/>
  <c r="AB485" i="1"/>
  <c r="AG485" i="1" s="1"/>
  <c r="AB481" i="1"/>
  <c r="AG481" i="1" s="1"/>
  <c r="AB473" i="1"/>
  <c r="AG473" i="1" s="1"/>
  <c r="AB469" i="1"/>
  <c r="AG469" i="1" s="1"/>
  <c r="AB461" i="1"/>
  <c r="AG461" i="1" s="1"/>
  <c r="AB457" i="1"/>
  <c r="AG457" i="1" s="1"/>
  <c r="AB453" i="1"/>
  <c r="AG453" i="1" s="1"/>
  <c r="AB445" i="1"/>
  <c r="AG445" i="1" s="1"/>
  <c r="AB441" i="1"/>
  <c r="AG441" i="1" s="1"/>
  <c r="AB437" i="1"/>
  <c r="AG437" i="1" s="1"/>
  <c r="AB433" i="1"/>
  <c r="AG433" i="1" s="1"/>
  <c r="AB429" i="1"/>
  <c r="AG429" i="1" s="1"/>
  <c r="AB425" i="1"/>
  <c r="AG425" i="1" s="1"/>
  <c r="AB421" i="1"/>
  <c r="AG421" i="1" s="1"/>
  <c r="AB417" i="1"/>
  <c r="AG417" i="1" s="1"/>
  <c r="AB413" i="1"/>
  <c r="AG413" i="1" s="1"/>
  <c r="AB409" i="1"/>
  <c r="AG409" i="1" s="1"/>
  <c r="AB405" i="1"/>
  <c r="AG405" i="1" s="1"/>
  <c r="AB401" i="1"/>
  <c r="AG401" i="1" s="1"/>
  <c r="AB397" i="1"/>
  <c r="AG397" i="1" s="1"/>
  <c r="AB389" i="1"/>
  <c r="AG389" i="1" s="1"/>
  <c r="AB385" i="1"/>
  <c r="AG385" i="1" s="1"/>
  <c r="AB381" i="1"/>
  <c r="AG381" i="1" s="1"/>
  <c r="AB373" i="1"/>
  <c r="AG373" i="1" s="1"/>
  <c r="AB369" i="1"/>
  <c r="AG369" i="1" s="1"/>
  <c r="AB361" i="1"/>
  <c r="AG361" i="1" s="1"/>
  <c r="AB357" i="1"/>
  <c r="AG357" i="1" s="1"/>
  <c r="AB353" i="1"/>
  <c r="AG353" i="1" s="1"/>
  <c r="AB345" i="1"/>
  <c r="AG345" i="1" s="1"/>
  <c r="AB341" i="1"/>
  <c r="AG341" i="1" s="1"/>
  <c r="AB337" i="1"/>
  <c r="AG337" i="1" s="1"/>
  <c r="AB333" i="1"/>
  <c r="AG333" i="1" s="1"/>
  <c r="AB329" i="1"/>
  <c r="AG329" i="1" s="1"/>
  <c r="AB325" i="1"/>
  <c r="AG325" i="1" s="1"/>
  <c r="AB321" i="1"/>
  <c r="AG321" i="1" s="1"/>
  <c r="AB317" i="1"/>
  <c r="AG317" i="1" s="1"/>
  <c r="AB313" i="1"/>
  <c r="AG313" i="1" s="1"/>
  <c r="AB309" i="1"/>
  <c r="AG309" i="1" s="1"/>
  <c r="AB305" i="1"/>
  <c r="AG305" i="1" s="1"/>
  <c r="AB301" i="1"/>
  <c r="AG301" i="1" s="1"/>
  <c r="AB297" i="1"/>
  <c r="AG297" i="1" s="1"/>
  <c r="AB293" i="1"/>
  <c r="AG293" i="1" s="1"/>
  <c r="AB289" i="1"/>
  <c r="AG289" i="1" s="1"/>
  <c r="AB285" i="1"/>
  <c r="AG285" i="1" s="1"/>
  <c r="AB281" i="1"/>
  <c r="AG281" i="1" s="1"/>
  <c r="AB277" i="1"/>
  <c r="AG277" i="1" s="1"/>
  <c r="AB273" i="1"/>
  <c r="AG273" i="1" s="1"/>
  <c r="AG265" i="1"/>
  <c r="AB261" i="1"/>
  <c r="AG261" i="1" s="1"/>
  <c r="AB257" i="1"/>
  <c r="AG257" i="1" s="1"/>
  <c r="AG253" i="1"/>
  <c r="AG249" i="1"/>
  <c r="AB245" i="1"/>
  <c r="AG245" i="1" s="1"/>
  <c r="AB241" i="1"/>
  <c r="AG241" i="1" s="1"/>
  <c r="AG233" i="1"/>
  <c r="AB229" i="1"/>
  <c r="AG229" i="1" s="1"/>
  <c r="AB225" i="1"/>
  <c r="AG225" i="1" s="1"/>
  <c r="AG221" i="1"/>
  <c r="AG217" i="1"/>
  <c r="AB213" i="1"/>
  <c r="AG213" i="1" s="1"/>
  <c r="AB209" i="1"/>
  <c r="AG209" i="1" s="1"/>
  <c r="AG201" i="1"/>
  <c r="AB197" i="1"/>
  <c r="AG197" i="1" s="1"/>
  <c r="AB193" i="1"/>
  <c r="AG193" i="1" s="1"/>
  <c r="AG189" i="1"/>
  <c r="AG185" i="1"/>
  <c r="AB181" i="1"/>
  <c r="AG181" i="1" s="1"/>
  <c r="AB177" i="1"/>
  <c r="AG177" i="1" s="1"/>
  <c r="AG169" i="1"/>
  <c r="AB165" i="1"/>
  <c r="AG165" i="1" s="1"/>
  <c r="AB161" i="1"/>
  <c r="AG161" i="1" s="1"/>
  <c r="AG157" i="1"/>
  <c r="AG153" i="1"/>
  <c r="AB149" i="1"/>
  <c r="AG149" i="1" s="1"/>
  <c r="AB145" i="1"/>
  <c r="AG145" i="1" s="1"/>
  <c r="AG137" i="1"/>
  <c r="AB133" i="1"/>
  <c r="AG133" i="1" s="1"/>
  <c r="AB129" i="1"/>
  <c r="AG129" i="1" s="1"/>
  <c r="AG125" i="1"/>
  <c r="AG121" i="1"/>
  <c r="AB117" i="1"/>
  <c r="AG117" i="1" s="1"/>
  <c r="AB113" i="1"/>
  <c r="AG113" i="1" s="1"/>
  <c r="AG105" i="1"/>
  <c r="AB101" i="1"/>
  <c r="AG101" i="1" s="1"/>
  <c r="AB97" i="1"/>
  <c r="AG97" i="1" s="1"/>
  <c r="AG93" i="1"/>
  <c r="AG89" i="1"/>
  <c r="AB85" i="1"/>
  <c r="AG85" i="1" s="1"/>
  <c r="AB81" i="1"/>
  <c r="AG81" i="1" s="1"/>
  <c r="AG73" i="1"/>
  <c r="AB69" i="1"/>
  <c r="AG69" i="1" s="1"/>
  <c r="AB65" i="1"/>
  <c r="AG65" i="1" s="1"/>
  <c r="AG61" i="1"/>
  <c r="AG57" i="1"/>
  <c r="AB53" i="1"/>
  <c r="AG53" i="1" s="1"/>
  <c r="AG49" i="1"/>
  <c r="AB45" i="1"/>
  <c r="AG45" i="1" s="1"/>
  <c r="AB41" i="1"/>
  <c r="AG41" i="1" s="1"/>
  <c r="AB37" i="1"/>
  <c r="AG37" i="1" s="1"/>
  <c r="AB33" i="1"/>
  <c r="AG33" i="1" s="1"/>
  <c r="AG29" i="1"/>
  <c r="AB25" i="1"/>
  <c r="AG25" i="1" s="1"/>
  <c r="AB21" i="1"/>
  <c r="AG21" i="1" s="1"/>
  <c r="AB13" i="1"/>
  <c r="AG13" i="1" s="1"/>
  <c r="AB9" i="1"/>
  <c r="AG9" i="1" s="1"/>
  <c r="AB5" i="1"/>
  <c r="AG5" i="1" s="1"/>
  <c r="AB631" i="1"/>
  <c r="AG631" i="1" s="1"/>
  <c r="AB626" i="1"/>
  <c r="AG626" i="1" s="1"/>
  <c r="AB621" i="1"/>
  <c r="AG621" i="1" s="1"/>
  <c r="AB614" i="1"/>
  <c r="AG614" i="1" s="1"/>
  <c r="AB606" i="1"/>
  <c r="AG606" i="1" s="1"/>
  <c r="AB598" i="1"/>
  <c r="AG598" i="1" s="1"/>
  <c r="AB590" i="1"/>
  <c r="AG590" i="1" s="1"/>
  <c r="AB582" i="1"/>
  <c r="AG582" i="1" s="1"/>
  <c r="AB566" i="1"/>
  <c r="AG566" i="1" s="1"/>
  <c r="AB558" i="1"/>
  <c r="AG558" i="1" s="1"/>
  <c r="AB550" i="1"/>
  <c r="AG550" i="1" s="1"/>
  <c r="AB542" i="1"/>
  <c r="AG542" i="1" s="1"/>
  <c r="AB534" i="1"/>
  <c r="AG534" i="1" s="1"/>
  <c r="AB526" i="1"/>
  <c r="AG526" i="1" s="1"/>
  <c r="AB518" i="1"/>
  <c r="AG518" i="1" s="1"/>
  <c r="AB502" i="1"/>
  <c r="AG502" i="1" s="1"/>
  <c r="AB494" i="1"/>
  <c r="AG494" i="1" s="1"/>
  <c r="AB486" i="1"/>
  <c r="AG486" i="1" s="1"/>
  <c r="AB470" i="1"/>
  <c r="AG470" i="1" s="1"/>
  <c r="AB454" i="1"/>
  <c r="AG454" i="1" s="1"/>
  <c r="AB446" i="1"/>
  <c r="AG446" i="1" s="1"/>
  <c r="AB438" i="1"/>
  <c r="AG438" i="1" s="1"/>
  <c r="AB430" i="1"/>
  <c r="AG430" i="1" s="1"/>
  <c r="AB414" i="1"/>
  <c r="AG414" i="1" s="1"/>
  <c r="AB398" i="1"/>
  <c r="AG398" i="1" s="1"/>
  <c r="AB390" i="1"/>
  <c r="AG390" i="1" s="1"/>
  <c r="AB382" i="1"/>
  <c r="AG382" i="1" s="1"/>
  <c r="AB374" i="1"/>
  <c r="AG374" i="1" s="1"/>
  <c r="AB366" i="1"/>
  <c r="AG366" i="1" s="1"/>
  <c r="AB358" i="1"/>
  <c r="AG358" i="1" s="1"/>
  <c r="AB342" i="1"/>
  <c r="AG342" i="1" s="1"/>
  <c r="AB334" i="1"/>
  <c r="AG334" i="1" s="1"/>
  <c r="AB326" i="1"/>
  <c r="AG326" i="1" s="1"/>
  <c r="AB318" i="1"/>
  <c r="AG318" i="1" s="1"/>
  <c r="AB310" i="1"/>
  <c r="AG310" i="1" s="1"/>
  <c r="AB302" i="1"/>
  <c r="AG302" i="1" s="1"/>
  <c r="AB294" i="1"/>
  <c r="AG294" i="1" s="1"/>
  <c r="AB286" i="1"/>
  <c r="AG286" i="1" s="1"/>
  <c r="AB269" i="1"/>
  <c r="AG269" i="1" s="1"/>
  <c r="AB258" i="1"/>
  <c r="AG258" i="1" s="1"/>
  <c r="AB247" i="1"/>
  <c r="AG247" i="1" s="1"/>
  <c r="AB237" i="1"/>
  <c r="AG237" i="1" s="1"/>
  <c r="AB226" i="1"/>
  <c r="AG226" i="1" s="1"/>
  <c r="AB215" i="1"/>
  <c r="AG215" i="1" s="1"/>
  <c r="AB205" i="1"/>
  <c r="AG205" i="1" s="1"/>
  <c r="AB194" i="1"/>
  <c r="AG194" i="1" s="1"/>
  <c r="AB183" i="1"/>
  <c r="AG183" i="1" s="1"/>
  <c r="AB173" i="1"/>
  <c r="AG173" i="1" s="1"/>
  <c r="AB151" i="1"/>
  <c r="AG151" i="1" s="1"/>
  <c r="AB141" i="1"/>
  <c r="AG141" i="1" s="1"/>
  <c r="AB119" i="1"/>
  <c r="AG119" i="1" s="1"/>
  <c r="AB109" i="1"/>
  <c r="AG109" i="1" s="1"/>
  <c r="AB98" i="1"/>
  <c r="AG98" i="1" s="1"/>
  <c r="AB87" i="1"/>
  <c r="AG87" i="1" s="1"/>
  <c r="AB77" i="1"/>
  <c r="AG77" i="1" s="1"/>
  <c r="AB66" i="1"/>
  <c r="AG66" i="1" s="1"/>
  <c r="AB55" i="1"/>
  <c r="AG55" i="1" s="1"/>
  <c r="AB38" i="1"/>
  <c r="AG38" i="1" s="1"/>
  <c r="AB17" i="1"/>
  <c r="AG17" i="1" s="1"/>
  <c r="AG585" i="1"/>
  <c r="AG521" i="1"/>
  <c r="AG477" i="1"/>
  <c r="AG449" i="1"/>
  <c r="AG256" i="1"/>
  <c r="AG159" i="1"/>
  <c r="AG42" i="1"/>
  <c r="Y4" i="1"/>
  <c r="Y634" i="1" s="1"/>
  <c r="X634" i="1"/>
  <c r="J15" i="25" l="1"/>
  <c r="J159" i="25"/>
  <c r="J175" i="25"/>
  <c r="J203" i="25"/>
  <c r="J223" i="25"/>
  <c r="J416" i="25"/>
  <c r="J143" i="25"/>
  <c r="J123" i="25"/>
  <c r="J140" i="25"/>
  <c r="J273" i="25"/>
  <c r="J609" i="25"/>
  <c r="J240" i="25"/>
  <c r="J264" i="25"/>
  <c r="J376" i="25"/>
  <c r="J612" i="25"/>
  <c r="J491" i="25"/>
  <c r="J507" i="25"/>
  <c r="J523" i="25"/>
  <c r="J559" i="25"/>
  <c r="J591" i="25"/>
  <c r="J633" i="25"/>
  <c r="J117" i="25"/>
  <c r="J437" i="25"/>
  <c r="J381" i="25"/>
  <c r="J335" i="25"/>
  <c r="J505" i="25"/>
  <c r="J537" i="25"/>
  <c r="J607" i="25"/>
  <c r="J272" i="25"/>
  <c r="J312" i="25"/>
  <c r="J320" i="25"/>
  <c r="J368" i="25"/>
  <c r="J404" i="25"/>
  <c r="J412" i="25"/>
  <c r="J424" i="25"/>
  <c r="J452" i="25"/>
  <c r="J484" i="25"/>
  <c r="J548" i="25"/>
  <c r="J596" i="25"/>
  <c r="J628" i="25"/>
  <c r="J189" i="25"/>
  <c r="J166" i="25"/>
  <c r="J75" i="25"/>
  <c r="J225" i="25"/>
  <c r="J388" i="25"/>
  <c r="J352" i="25"/>
  <c r="J420" i="25"/>
  <c r="J27" i="25"/>
  <c r="J219" i="25"/>
  <c r="J53" i="25"/>
  <c r="J245" i="25"/>
  <c r="J309" i="25"/>
  <c r="J501" i="25"/>
  <c r="J565" i="25"/>
  <c r="J629" i="25"/>
  <c r="J113" i="25"/>
  <c r="J145" i="25"/>
  <c r="J443" i="25"/>
  <c r="J635" i="25"/>
  <c r="J569" i="25"/>
  <c r="J595" i="25"/>
  <c r="J209" i="25"/>
  <c r="J417" i="25"/>
  <c r="J399" i="25"/>
  <c r="J447" i="25"/>
  <c r="J616" i="25"/>
  <c r="J575" i="25"/>
  <c r="J47" i="25"/>
  <c r="J57" i="25"/>
  <c r="J249" i="25"/>
  <c r="J313" i="25"/>
  <c r="J473" i="25"/>
  <c r="J601" i="25"/>
  <c r="J197" i="25"/>
  <c r="J198" i="25"/>
  <c r="J9" i="25"/>
  <c r="J73" i="25"/>
  <c r="J137" i="25"/>
  <c r="J265" i="25"/>
  <c r="J69" i="25"/>
  <c r="J453" i="25"/>
  <c r="J581" i="25"/>
  <c r="J363" i="25"/>
  <c r="J327" i="25"/>
  <c r="J8" i="25"/>
  <c r="J93" i="25"/>
  <c r="J157" i="25"/>
  <c r="J25" i="25"/>
  <c r="J89" i="25"/>
  <c r="J153" i="25"/>
  <c r="J345" i="25"/>
  <c r="J585" i="25"/>
  <c r="J617" i="25"/>
  <c r="J21" i="25"/>
  <c r="J213" i="25"/>
  <c r="J341" i="25"/>
  <c r="J405" i="25"/>
  <c r="J469" i="25"/>
  <c r="J533" i="25"/>
  <c r="J597" i="25"/>
  <c r="J26" i="25"/>
  <c r="J54" i="25"/>
  <c r="J291" i="25"/>
  <c r="J269" i="25"/>
  <c r="J301" i="25"/>
  <c r="J107" i="25"/>
  <c r="J160" i="25"/>
  <c r="J479" i="25"/>
  <c r="J495" i="25"/>
  <c r="J527" i="25"/>
  <c r="J543" i="25"/>
  <c r="J555" i="25"/>
  <c r="J587" i="25"/>
  <c r="J619" i="25"/>
  <c r="J560" i="25"/>
  <c r="J332" i="25"/>
  <c r="J369" i="25"/>
  <c r="J179" i="25"/>
  <c r="J133" i="25"/>
  <c r="J261" i="25"/>
  <c r="J517" i="25"/>
  <c r="J19" i="25"/>
  <c r="J191" i="25"/>
  <c r="J496" i="25"/>
  <c r="J503" i="25"/>
  <c r="J70" i="25"/>
  <c r="J109" i="25"/>
  <c r="J173" i="25"/>
  <c r="J397" i="25"/>
  <c r="J38" i="25"/>
  <c r="J169" i="25"/>
  <c r="J361" i="25"/>
  <c r="J457" i="25"/>
  <c r="J489" i="25"/>
  <c r="J521" i="25"/>
  <c r="J553" i="25"/>
  <c r="J37" i="25"/>
  <c r="J229" i="25"/>
  <c r="J293" i="25"/>
  <c r="J421" i="25"/>
  <c r="J485" i="25"/>
  <c r="J549" i="25"/>
  <c r="J613" i="25"/>
  <c r="J419" i="25"/>
  <c r="J177" i="25"/>
  <c r="J55" i="25"/>
  <c r="J151" i="25"/>
  <c r="J423" i="25"/>
  <c r="J267" i="25"/>
  <c r="J284" i="25"/>
  <c r="J552" i="25"/>
  <c r="J488" i="25"/>
  <c r="J65" i="25"/>
  <c r="J481" i="25"/>
  <c r="J347" i="25"/>
  <c r="J545" i="25"/>
  <c r="J119" i="25"/>
  <c r="J135" i="25"/>
  <c r="J17" i="25"/>
  <c r="J187" i="25"/>
  <c r="J288" i="25"/>
  <c r="J456" i="25"/>
  <c r="J459" i="25"/>
  <c r="J236" i="25"/>
  <c r="J221" i="25"/>
  <c r="J445" i="25"/>
  <c r="J50" i="25"/>
  <c r="J66" i="25"/>
  <c r="J78" i="25"/>
  <c r="J106" i="25"/>
  <c r="J114" i="25"/>
  <c r="J126" i="25"/>
  <c r="J170" i="25"/>
  <c r="J178" i="25"/>
  <c r="J194" i="25"/>
  <c r="J185" i="25"/>
  <c r="J373" i="25"/>
  <c r="J138" i="25"/>
  <c r="J11" i="25"/>
  <c r="J497" i="25"/>
  <c r="J237" i="25"/>
  <c r="J283" i="25"/>
  <c r="J577" i="25"/>
  <c r="J593" i="25"/>
  <c r="J43" i="25"/>
  <c r="J63" i="25"/>
  <c r="J91" i="25"/>
  <c r="J12" i="25"/>
  <c r="J20" i="25"/>
  <c r="J28" i="25"/>
  <c r="J36" i="25"/>
  <c r="J44" i="25"/>
  <c r="J499" i="25"/>
  <c r="J45" i="25"/>
  <c r="J329" i="25"/>
  <c r="J393" i="25"/>
  <c r="J134" i="25"/>
  <c r="J391" i="25"/>
  <c r="J561" i="25"/>
  <c r="J131" i="25"/>
  <c r="J39" i="25"/>
  <c r="J247" i="25"/>
  <c r="J524" i="25"/>
  <c r="J360" i="25"/>
  <c r="J125" i="25"/>
  <c r="J413" i="25"/>
  <c r="J14" i="25"/>
  <c r="J30" i="25"/>
  <c r="J74" i="25"/>
  <c r="J82" i="25"/>
  <c r="J210" i="25"/>
  <c r="J222" i="25"/>
  <c r="J238" i="25"/>
  <c r="J254" i="25"/>
  <c r="J270" i="25"/>
  <c r="J286" i="25"/>
  <c r="J302" i="25"/>
  <c r="J318" i="25"/>
  <c r="J334" i="25"/>
  <c r="J346" i="25"/>
  <c r="J366" i="25"/>
  <c r="J382" i="25"/>
  <c r="J281" i="25"/>
  <c r="J85" i="25"/>
  <c r="J149" i="25"/>
  <c r="J190" i="25"/>
  <c r="J206" i="25"/>
  <c r="J226" i="25"/>
  <c r="J242" i="25"/>
  <c r="J258" i="25"/>
  <c r="J274" i="25"/>
  <c r="J290" i="25"/>
  <c r="J306" i="25"/>
  <c r="J322" i="25"/>
  <c r="J342" i="25"/>
  <c r="J354" i="25"/>
  <c r="J370" i="25"/>
  <c r="J386" i="25"/>
  <c r="J67" i="25"/>
  <c r="J305" i="25"/>
  <c r="J625" i="25"/>
  <c r="J49" i="25"/>
  <c r="J296" i="25"/>
  <c r="J308" i="25"/>
  <c r="J316" i="25"/>
  <c r="J324" i="25"/>
  <c r="J336" i="25"/>
  <c r="J344" i="25"/>
  <c r="J372" i="25"/>
  <c r="J380" i="25"/>
  <c r="J392" i="25"/>
  <c r="J400" i="25"/>
  <c r="J408" i="25"/>
  <c r="J428" i="25"/>
  <c r="J440" i="25"/>
  <c r="J448" i="25"/>
  <c r="J472" i="25"/>
  <c r="J480" i="25"/>
  <c r="J492" i="25"/>
  <c r="J504" i="25"/>
  <c r="J512" i="25"/>
  <c r="J528" i="25"/>
  <c r="J536" i="25"/>
  <c r="J544" i="25"/>
  <c r="J556" i="25"/>
  <c r="J568" i="25"/>
  <c r="J576" i="25"/>
  <c r="J592" i="25"/>
  <c r="J600" i="25"/>
  <c r="J608" i="25"/>
  <c r="J620" i="25"/>
  <c r="J632" i="25"/>
  <c r="J455" i="25"/>
  <c r="J487" i="25"/>
  <c r="J519" i="25"/>
  <c r="J535" i="25"/>
  <c r="J547" i="25"/>
  <c r="J579" i="25"/>
  <c r="J611" i="25"/>
  <c r="J588" i="25"/>
  <c r="J486" i="26"/>
  <c r="J596" i="26"/>
  <c r="J417" i="26"/>
  <c r="J413" i="26"/>
  <c r="J187" i="26"/>
  <c r="J74" i="26"/>
  <c r="J139" i="26"/>
  <c r="J107" i="26"/>
  <c r="J45" i="26"/>
  <c r="J244" i="26"/>
  <c r="J95" i="26"/>
  <c r="J436" i="26"/>
  <c r="J440" i="26"/>
  <c r="J352" i="26"/>
  <c r="J203" i="26"/>
  <c r="J227" i="26"/>
  <c r="J172" i="26"/>
  <c r="J243" i="26"/>
  <c r="J211" i="26"/>
  <c r="J179" i="26"/>
  <c r="J61" i="26"/>
  <c r="J43" i="26"/>
  <c r="J657" i="26"/>
  <c r="J432" i="26"/>
  <c r="J411" i="26"/>
  <c r="J400" i="26"/>
  <c r="J180" i="26"/>
  <c r="J204" i="26"/>
  <c r="J59" i="26"/>
  <c r="J384" i="26"/>
  <c r="J212" i="26"/>
  <c r="J236" i="26"/>
  <c r="J163" i="26"/>
  <c r="J219" i="26"/>
  <c r="J167" i="25"/>
  <c r="J195" i="25"/>
  <c r="J211" i="25"/>
  <c r="J231" i="25"/>
  <c r="J243" i="25"/>
  <c r="J259" i="25"/>
  <c r="J271" i="25"/>
  <c r="J287" i="25"/>
  <c r="J303" i="25"/>
  <c r="J315" i="25"/>
  <c r="J331" i="25"/>
  <c r="J351" i="25"/>
  <c r="J367" i="25"/>
  <c r="J285" i="25"/>
  <c r="J317" i="25"/>
  <c r="J333" i="25"/>
  <c r="J349" i="25"/>
  <c r="J111" i="25"/>
  <c r="J127" i="25"/>
  <c r="J139" i="25"/>
  <c r="J147" i="25"/>
  <c r="J163" i="25"/>
  <c r="J171" i="25"/>
  <c r="J183" i="25"/>
  <c r="J199" i="25"/>
  <c r="J207" i="25"/>
  <c r="J215" i="25"/>
  <c r="J227" i="25"/>
  <c r="J235" i="25"/>
  <c r="J251" i="25"/>
  <c r="J263" i="25"/>
  <c r="J279" i="25"/>
  <c r="J295" i="25"/>
  <c r="J307" i="25"/>
  <c r="J323" i="25"/>
  <c r="J343" i="25"/>
  <c r="J359" i="25"/>
  <c r="J371" i="25"/>
  <c r="J387" i="25"/>
  <c r="J435" i="25"/>
  <c r="J232" i="25"/>
  <c r="J276" i="25"/>
  <c r="J241" i="25"/>
  <c r="J52" i="25"/>
  <c r="J60" i="25"/>
  <c r="J68" i="25"/>
  <c r="J76" i="25"/>
  <c r="J84" i="25"/>
  <c r="J92" i="25"/>
  <c r="J100" i="25"/>
  <c r="J292" i="25"/>
  <c r="J340" i="25"/>
  <c r="J348" i="25"/>
  <c r="J356" i="25"/>
  <c r="J432" i="25"/>
  <c r="J444" i="25"/>
  <c r="J460" i="25"/>
  <c r="J476" i="25"/>
  <c r="J508" i="25"/>
  <c r="J520" i="25"/>
  <c r="J540" i="25"/>
  <c r="J463" i="25"/>
  <c r="J22" i="25"/>
  <c r="J214" i="25"/>
  <c r="J406" i="25"/>
  <c r="J422" i="25"/>
  <c r="J438" i="25"/>
  <c r="J450" i="25"/>
  <c r="J466" i="25"/>
  <c r="J486" i="25"/>
  <c r="J498" i="25"/>
  <c r="J514" i="25"/>
  <c r="J530" i="25"/>
  <c r="J546" i="25"/>
  <c r="J566" i="25"/>
  <c r="J582" i="25"/>
  <c r="J598" i="25"/>
  <c r="J610" i="25"/>
  <c r="J626" i="25"/>
  <c r="J33" i="25"/>
  <c r="J81" i="25"/>
  <c r="J193" i="25"/>
  <c r="J385" i="25"/>
  <c r="J449" i="25"/>
  <c r="J35" i="25"/>
  <c r="J51" i="25"/>
  <c r="J71" i="25"/>
  <c r="J99" i="25"/>
  <c r="J108" i="25"/>
  <c r="J116" i="25"/>
  <c r="J124" i="25"/>
  <c r="J132" i="25"/>
  <c r="J144" i="25"/>
  <c r="J152" i="25"/>
  <c r="J164" i="25"/>
  <c r="J172" i="25"/>
  <c r="J180" i="25"/>
  <c r="J188" i="25"/>
  <c r="J200" i="25"/>
  <c r="J208" i="25"/>
  <c r="J220" i="25"/>
  <c r="J228" i="25"/>
  <c r="J364" i="25"/>
  <c r="J464" i="25"/>
  <c r="J379" i="25"/>
  <c r="J572" i="25"/>
  <c r="J584" i="25"/>
  <c r="J604" i="25"/>
  <c r="J636" i="25"/>
  <c r="J563" i="25"/>
  <c r="J627" i="25"/>
  <c r="J471" i="25"/>
  <c r="J118" i="25"/>
  <c r="J186" i="25"/>
  <c r="J18" i="25"/>
  <c r="J34" i="25"/>
  <c r="J46" i="25"/>
  <c r="J62" i="25"/>
  <c r="J182" i="25"/>
  <c r="J218" i="25"/>
  <c r="J410" i="25"/>
  <c r="J426" i="25"/>
  <c r="J442" i="25"/>
  <c r="J462" i="25"/>
  <c r="J478" i="25"/>
  <c r="J490" i="25"/>
  <c r="J510" i="25"/>
  <c r="J526" i="25"/>
  <c r="J542" i="25"/>
  <c r="J558" i="25"/>
  <c r="J570" i="25"/>
  <c r="J586" i="25"/>
  <c r="J602" i="25"/>
  <c r="J622" i="25"/>
  <c r="J97" i="25"/>
  <c r="J129" i="25"/>
  <c r="J321" i="25"/>
  <c r="J337" i="25"/>
  <c r="J401" i="25"/>
  <c r="J23" i="25"/>
  <c r="J16" i="25"/>
  <c r="J24" i="25"/>
  <c r="J32" i="25"/>
  <c r="J40" i="25"/>
  <c r="J48" i="25"/>
  <c r="J56" i="25"/>
  <c r="J64" i="25"/>
  <c r="J72" i="25"/>
  <c r="J80" i="25"/>
  <c r="J88" i="25"/>
  <c r="J96" i="25"/>
  <c r="J104" i="25"/>
  <c r="J112" i="25"/>
  <c r="J120" i="25"/>
  <c r="J128" i="25"/>
  <c r="J136" i="25"/>
  <c r="J148" i="25"/>
  <c r="J156" i="25"/>
  <c r="J168" i="25"/>
  <c r="J176" i="25"/>
  <c r="J184" i="25"/>
  <c r="J192" i="25"/>
  <c r="J204" i="25"/>
  <c r="J212" i="25"/>
  <c r="J224" i="25"/>
  <c r="J244" i="25"/>
  <c r="J252" i="25"/>
  <c r="J260" i="25"/>
  <c r="J268" i="25"/>
  <c r="J300" i="25"/>
  <c r="J451" i="25"/>
  <c r="J483" i="25"/>
  <c r="J515" i="25"/>
  <c r="J551" i="25"/>
  <c r="J583" i="25"/>
  <c r="J599" i="25"/>
  <c r="J615" i="25"/>
  <c r="J430" i="25"/>
  <c r="J494" i="25"/>
  <c r="J554" i="25"/>
  <c r="J618" i="25"/>
  <c r="J86" i="25"/>
  <c r="J402" i="25"/>
  <c r="J418" i="25"/>
  <c r="J434" i="25"/>
  <c r="J454" i="25"/>
  <c r="J470" i="25"/>
  <c r="J482" i="25"/>
  <c r="J502" i="25"/>
  <c r="J518" i="25"/>
  <c r="J534" i="25"/>
  <c r="J578" i="25"/>
  <c r="J594" i="25"/>
  <c r="J614" i="25"/>
  <c r="J630" i="25"/>
  <c r="J398" i="25"/>
  <c r="J446" i="25"/>
  <c r="J474" i="25"/>
  <c r="J522" i="25"/>
  <c r="J574" i="25"/>
  <c r="J606" i="25"/>
  <c r="J562" i="25"/>
  <c r="J98" i="25"/>
  <c r="J110" i="25"/>
  <c r="J154" i="25"/>
  <c r="J230" i="25"/>
  <c r="J246" i="25"/>
  <c r="J262" i="25"/>
  <c r="J278" i="25"/>
  <c r="J294" i="25"/>
  <c r="J310" i="25"/>
  <c r="J326" i="25"/>
  <c r="J338" i="25"/>
  <c r="J358" i="25"/>
  <c r="J374" i="25"/>
  <c r="J390" i="25"/>
  <c r="J94" i="25"/>
  <c r="J122" i="25"/>
  <c r="J150" i="25"/>
  <c r="J202" i="25"/>
  <c r="J234" i="25"/>
  <c r="J250" i="25"/>
  <c r="J266" i="25"/>
  <c r="J282" i="25"/>
  <c r="J298" i="25"/>
  <c r="J314" i="25"/>
  <c r="J330" i="25"/>
  <c r="J350" i="25"/>
  <c r="J362" i="25"/>
  <c r="J378" i="25"/>
  <c r="J394" i="25"/>
  <c r="J90" i="25"/>
  <c r="J414" i="25"/>
  <c r="J458" i="25"/>
  <c r="J506" i="25"/>
  <c r="J538" i="25"/>
  <c r="J590" i="25"/>
  <c r="J634" i="25"/>
  <c r="J550" i="25"/>
  <c r="J58" i="25"/>
  <c r="J146" i="25"/>
  <c r="J162" i="25"/>
  <c r="J174" i="25"/>
  <c r="J10" i="25"/>
  <c r="J42" i="25"/>
  <c r="J130" i="25"/>
  <c r="J142" i="25"/>
  <c r="J158" i="25"/>
  <c r="J638" i="25"/>
  <c r="A644" i="2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<sst xmlns="http://schemas.openxmlformats.org/spreadsheetml/2006/main" count="9066" uniqueCount="1539">
  <si>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</si>
  <si>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</si>
  <si>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</si>
  <si>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</si>
  <si>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</si>
  <si>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</si>
  <si>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</si>
  <si>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</si>
  <si>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</si>
  <si>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</si>
  <si>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</si>
  <si>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</si>
  <si>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</si>
  <si>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</si>
  <si>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</si>
  <si>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</si>
  <si>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</si>
  <si>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</si>
  <si>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</si>
  <si>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</si>
  <si>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</si>
  <si>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</si>
  <si>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</si>
  <si>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</si>
  <si>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</si>
  <si>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</si>
  <si>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</si>
  <si>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</si>
  <si>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</si>
  <si>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</si>
  <si>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</si>
  <si>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</si>
  <si>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</si>
  <si>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</si>
  <si>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</si>
  <si>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</si>
  <si>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</si>
  <si>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</si>
  <si>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</si>
  <si>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</si>
  <si>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</si>
  <si>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</si>
  <si>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</si>
  <si>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</si>
  <si>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</si>
  <si>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</si>
  <si>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</si>
  <si>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</si>
  <si>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</si>
  <si>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</si>
  <si>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</si>
  <si>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</si>
  <si>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</si>
  <si>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</si>
  <si>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</si>
  <si>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</si>
  <si>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</si>
  <si>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</si>
  <si>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</si>
  <si>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</si>
  <si>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</si>
  <si>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</si>
  <si>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</si>
  <si>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</si>
  <si>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</si>
  <si>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</si>
  <si>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</si>
  <si>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</si>
  <si>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</si>
  <si>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</si>
  <si>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</si>
  <si>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</si>
  <si>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</si>
  <si>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</si>
  <si>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</si>
  <si>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</si>
  <si>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</si>
  <si>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</si>
  <si>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</si>
  <si>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</si>
  <si>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</si>
  <si>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</si>
  <si>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</si>
  <si>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</si>
  <si>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</si>
  <si>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</si>
  <si>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</si>
  <si>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</si>
  <si>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</si>
  <si>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</si>
  <si>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</si>
  <si>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</si>
  <si>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</si>
  <si>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</si>
  <si>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</si>
  <si>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</si>
  <si>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</si>
  <si>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</si>
  <si>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</si>
  <si>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</si>
  <si>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</si>
  <si>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</si>
  <si>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</si>
  <si>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</si>
  <si>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</si>
  <si>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</si>
  <si>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</si>
  <si>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</si>
  <si>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</si>
  <si>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</si>
  <si>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</si>
  <si>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</si>
  <si>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</si>
  <si>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</si>
  <si>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</si>
  <si>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</si>
  <si>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</si>
  <si>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</si>
  <si>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</si>
  <si>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</si>
  <si>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</si>
  <si>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</si>
  <si>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</si>
  <si>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</si>
  <si>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</si>
  <si>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</si>
  <si>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</si>
  <si>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</si>
  <si>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</si>
  <si>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</si>
  <si>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</si>
  <si>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</si>
  <si>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</si>
  <si>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</si>
  <si>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</si>
  <si>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</si>
  <si>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</si>
  <si>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</si>
  <si>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</si>
  <si>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</si>
  <si>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</si>
  <si>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</si>
  <si>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</si>
  <si>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</si>
  <si>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</si>
  <si>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</si>
  <si>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</si>
  <si>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</si>
  <si>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</si>
  <si>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</si>
  <si>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</si>
  <si>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</si>
  <si>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</si>
  <si>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</si>
  <si>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</si>
  <si>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</si>
  <si>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</si>
  <si>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</si>
  <si>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</si>
  <si>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</si>
  <si>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</si>
  <si>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</si>
  <si>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</si>
  <si>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</si>
  <si>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</si>
  <si>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</si>
  <si>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</si>
  <si>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</si>
  <si>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</si>
  <si>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</si>
  <si>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</si>
  <si>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</si>
  <si>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</si>
  <si>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</si>
  <si>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</si>
  <si>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</si>
  <si>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</si>
  <si>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</si>
  <si>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</si>
  <si>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</si>
  <si>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</si>
  <si>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</si>
  <si>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</si>
  <si>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</si>
  <si>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</si>
  <si>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</si>
  <si>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</si>
  <si>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</si>
  <si>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</si>
  <si>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</si>
  <si>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</si>
  <si>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</si>
  <si>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</si>
  <si>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</si>
  <si>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</si>
  <si>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</si>
  <si>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</si>
  <si>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</si>
  <si>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</si>
  <si>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</si>
  <si>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</si>
  <si>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</si>
  <si>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</si>
  <si>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</si>
  <si>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</si>
  <si>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</si>
  <si>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</si>
  <si>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</si>
  <si>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</si>
  <si>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</si>
  <si>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</si>
  <si>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</si>
  <si>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</si>
  <si>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</si>
  <si>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</si>
  <si>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</si>
  <si>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</si>
  <si>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</si>
  <si>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</si>
  <si>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</si>
  <si>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</si>
  <si>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</si>
  <si>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</si>
  <si>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</si>
  <si>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</si>
  <si>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</si>
  <si>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</si>
  <si>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</si>
  <si>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</si>
  <si>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</si>
  <si>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</si>
  <si>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</si>
  <si>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</si>
  <si>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</si>
  <si>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</si>
  <si>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</si>
  <si>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</si>
  <si>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</si>
  <si>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</si>
  <si>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</si>
  <si>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</si>
  <si>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</si>
  <si>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</si>
  <si>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</si>
  <si>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</si>
  <si>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</si>
  <si>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</si>
  <si>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</si>
  <si>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</si>
  <si>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</si>
  <si>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</si>
  <si>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</si>
  <si>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</si>
  <si>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</si>
  <si>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</si>
  <si>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</si>
  <si>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</si>
  <si>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</si>
  <si>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</si>
  <si>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</si>
  <si>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</si>
  <si>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</si>
  <si>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</si>
  <si>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</si>
  <si>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</si>
  <si>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</si>
  <si>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</si>
  <si>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</si>
  <si>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</si>
  <si>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</si>
  <si>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</si>
  <si>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</si>
  <si>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</si>
  <si>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</si>
  <si>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</si>
  <si>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</si>
  <si>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</si>
  <si>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</si>
  <si>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</si>
  <si>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</si>
  <si>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</si>
  <si>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</si>
  <si>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</si>
  <si>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</si>
  <si>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</si>
  <si>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</si>
  <si>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</si>
  <si>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</si>
  <si>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</si>
  <si>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</si>
  <si>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</si>
  <si>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</si>
  <si>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</si>
  <si>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</si>
  <si>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</si>
  <si>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</si>
  <si>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</si>
  <si>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</si>
  <si>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</si>
  <si>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</si>
  <si>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</si>
  <si>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</si>
  <si>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</si>
  <si>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</si>
  <si>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</si>
  <si>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</si>
  <si>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</si>
  <si>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</si>
  <si>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</si>
  <si>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</si>
  <si>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</si>
  <si>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</si>
  <si>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</si>
  <si>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</si>
  <si>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</si>
  <si>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</si>
  <si>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</si>
  <si>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</si>
  <si>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</si>
  <si>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</si>
  <si>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</si>
  <si>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</si>
  <si>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</si>
  <si>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</si>
  <si>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</si>
  <si>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</si>
  <si>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</si>
  <si>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</si>
  <si>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</si>
  <si>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</si>
  <si>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</si>
  <si>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</si>
  <si>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</si>
  <si>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</si>
  <si>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</si>
  <si>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</si>
  <si>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</si>
  <si>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</si>
  <si>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</si>
  <si>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</si>
  <si>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</si>
  <si>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</si>
  <si>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</si>
  <si>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</si>
  <si>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</si>
  <si>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</si>
  <si>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</si>
  <si>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</si>
  <si>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</si>
  <si>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</si>
  <si>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</si>
  <si>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</si>
  <si>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</si>
  <si>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</si>
  <si>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</si>
  <si>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</si>
  <si>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</si>
  <si>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</si>
  <si>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</si>
  <si>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</si>
  <si>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</si>
  <si>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</si>
  <si>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</si>
  <si>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</si>
  <si>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</si>
  <si>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</si>
  <si>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</si>
  <si>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</si>
  <si>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</si>
  <si>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</si>
  <si>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</si>
  <si>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</si>
  <si>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</si>
  <si>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</si>
  <si>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</si>
  <si>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</si>
  <si>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</si>
  <si>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</si>
  <si>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</si>
  <si>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</si>
  <si>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</si>
  <si>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</si>
  <si>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</si>
  <si>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</si>
  <si>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</si>
  <si>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</si>
  <si>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</si>
  <si>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</si>
  <si>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</si>
  <si>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</si>
  <si>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</si>
  <si>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</si>
  <si>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</si>
  <si>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</si>
  <si>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</si>
  <si>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</si>
  <si>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</si>
  <si>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</si>
  <si>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</si>
  <si>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</si>
  <si>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</si>
  <si>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</si>
  <si>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</si>
  <si>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</si>
  <si>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</si>
  <si>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</si>
  <si>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</si>
  <si>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</si>
  <si>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</si>
  <si>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</si>
  <si>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</si>
  <si>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</si>
  <si>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</si>
  <si>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</si>
  <si>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</si>
  <si>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</si>
  <si>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</si>
  <si>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</si>
  <si>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</si>
  <si>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</si>
  <si>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</si>
  <si>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</si>
  <si>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</si>
  <si>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</si>
  <si>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</si>
  <si>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</si>
  <si>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</si>
  <si>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</si>
  <si>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</si>
  <si>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</si>
  <si>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</si>
  <si>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</si>
  <si>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</si>
  <si>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</si>
  <si>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</si>
  <si>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</si>
  <si>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</si>
  <si>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</si>
  <si>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</si>
  <si>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</si>
  <si>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</si>
  <si>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</si>
  <si>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</si>
  <si>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</si>
  <si>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</si>
  <si>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</si>
  <si>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</si>
  <si>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</si>
  <si>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</si>
  <si>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</si>
  <si>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</si>
  <si>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</si>
  <si>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</si>
  <si>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</si>
  <si>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</si>
  <si>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</si>
  <si>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</si>
  <si>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</si>
  <si>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</si>
  <si>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</si>
  <si>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</si>
  <si>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</si>
  <si>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</si>
  <si>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</si>
  <si>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</si>
  <si>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</si>
  <si>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</si>
  <si>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</si>
  <si>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</si>
  <si>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</si>
  <si>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</si>
  <si>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</si>
  <si>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</si>
  <si>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</si>
  <si>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</si>
  <si>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</si>
  <si>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</si>
  <si>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</si>
  <si>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</si>
  <si>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</si>
  <si>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</si>
  <si>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</si>
  <si>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</si>
  <si>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</si>
  <si>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</si>
  <si>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</si>
  <si>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</si>
  <si>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</si>
  <si>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</si>
  <si>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</si>
  <si>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</si>
  <si>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</si>
  <si>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</si>
  <si>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</si>
  <si>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</si>
  <si>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</si>
  <si>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</si>
  <si>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</si>
  <si>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</si>
  <si>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</si>
  <si>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</si>
  <si>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</si>
  <si>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</si>
  <si>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</si>
  <si>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</si>
  <si>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</si>
  <si>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</si>
  <si>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</si>
  <si>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</si>
  <si>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</si>
  <si>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</si>
  <si>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</si>
  <si>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</si>
  <si>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</si>
  <si>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</si>
  <si>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</si>
  <si>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</si>
  <si>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</si>
  <si>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</si>
  <si>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</si>
  <si>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</si>
  <si>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</si>
  <si>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</si>
  <si>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</si>
  <si>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</si>
  <si>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</si>
  <si>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</si>
  <si>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</si>
  <si>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</si>
  <si>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</si>
  <si>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</si>
  <si>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</si>
  <si>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</si>
  <si>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</si>
  <si>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</si>
  <si>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</si>
  <si>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</si>
  <si>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</si>
  <si>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</si>
  <si>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</si>
  <si>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</si>
  <si>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</si>
  <si>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</si>
  <si>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</si>
  <si>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</si>
  <si>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</si>
  <si>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</si>
  <si>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</si>
  <si>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</si>
  <si>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</si>
  <si>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</si>
  <si>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</si>
  <si>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</si>
  <si>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</si>
  <si>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</si>
  <si>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</si>
  <si>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</si>
  <si>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</si>
  <si>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</si>
  <si>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</si>
  <si>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</si>
  <si>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</si>
  <si>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</si>
  <si>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</si>
  <si>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</si>
  <si>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</si>
  <si>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</si>
  <si>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</si>
  <si>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</si>
  <si>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</si>
  <si>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</si>
  <si>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</si>
  <si>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</si>
  <si>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</si>
  <si>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</si>
  <si>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</si>
  <si>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</si>
  <si>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</si>
  <si>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</si>
  <si>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</si>
  <si>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</si>
  <si>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</si>
  <si>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</si>
  <si>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</si>
  <si>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</si>
  <si>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</si>
  <si>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</si>
  <si>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</si>
  <si>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</si>
  <si>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</si>
  <si>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</si>
  <si>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</si>
  <si>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</si>
  <si>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</si>
  <si>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</si>
  <si>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</si>
  <si>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</si>
  <si>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</si>
  <si>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</si>
  <si>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</si>
  <si>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</si>
  <si>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</si>
  <si>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</si>
  <si>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</si>
  <si>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</si>
  <si>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</si>
  <si>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</si>
  <si>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</si>
  <si>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</si>
  <si>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</si>
  <si>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</si>
  <si>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</si>
  <si>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</si>
  <si>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</si>
  <si>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</si>
  <si>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</si>
  <si>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</si>
  <si>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</si>
  <si>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</si>
  <si>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</si>
  <si>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</si>
  <si>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</si>
  <si>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</si>
  <si>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</si>
  <si>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</si>
  <si>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</si>
  <si>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</si>
  <si>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</si>
  <si>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</si>
  <si>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</si>
  <si>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</si>
  <si>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</si>
  <si>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</si>
  <si>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</si>
  <si>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</si>
  <si>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</si>
  <si>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</si>
  <si>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</si>
  <si>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</si>
  <si>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</si>
  <si>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</si>
  <si>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</si>
  <si>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</si>
  <si>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</si>
  <si>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</si>
  <si>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</si>
  <si>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</si>
  <si>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</si>
  <si>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</si>
  <si>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</si>
  <si>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</si>
  <si>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</si>
  <si>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</si>
  <si>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</si>
  <si>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</si>
  <si>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</si>
  <si>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</si>
  <si>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</si>
  <si>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</si>
  <si>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</si>
  <si>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</si>
  <si>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</si>
  <si>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</si>
  <si>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</si>
  <si>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</si>
  <si>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</si>
  <si>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</si>
  <si>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</si>
  <si>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</si>
  <si>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</si>
  <si>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</si>
  <si>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</si>
  <si>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</si>
  <si>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</si>
  <si>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</si>
  <si>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</si>
  <si>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</si>
  <si>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</si>
  <si>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</si>
  <si>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</si>
  <si>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</si>
  <si>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</si>
  <si>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</si>
  <si>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</si>
  <si>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</si>
  <si>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</si>
  <si>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</si>
  <si>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</si>
  <si>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</si>
  <si>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</si>
  <si>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</si>
  <si>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</si>
  <si>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</si>
  <si>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</si>
  <si>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</si>
  <si>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</si>
  <si>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</si>
  <si>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</si>
  <si>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</si>
  <si>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</si>
  <si>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</si>
  <si>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</si>
  <si>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</si>
  <si>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</si>
  <si>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</si>
  <si>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</si>
  <si>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</si>
  <si>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</si>
  <si>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</si>
  <si>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</si>
  <si>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</si>
  <si>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</si>
  <si>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</si>
  <si>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</si>
  <si>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</si>
  <si>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</si>
  <si>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</si>
  <si>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</si>
  <si>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</si>
  <si>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</si>
  <si>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</si>
  <si>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</si>
  <si>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</si>
  <si>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</si>
  <si>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</si>
  <si>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</si>
  <si>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</si>
  <si>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</si>
  <si>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</si>
  <si>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</si>
  <si>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</si>
  <si>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</si>
  <si>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</si>
  <si>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</si>
  <si>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</si>
  <si>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</si>
  <si>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</si>
  <si>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</si>
  <si>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</si>
  <si>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</si>
  <si>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</si>
  <si>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</si>
  <si>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</si>
  <si>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</si>
  <si>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</si>
  <si>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</si>
  <si>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</si>
  <si>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</si>
  <si>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</si>
  <si>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</si>
  <si>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</si>
  <si>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</si>
  <si>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</si>
  <si>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</si>
  <si>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</si>
  <si>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</si>
  <si>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</si>
  <si>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</si>
  <si>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</si>
  <si>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</si>
  <si>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</si>
  <si>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</si>
  <si>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</si>
  <si>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</si>
  <si>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</si>
  <si>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</si>
  <si>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</si>
  <si>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</si>
  <si>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</si>
  <si>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</si>
  <si>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</si>
  <si>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</si>
  <si>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</si>
  <si>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</si>
  <si>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</si>
  <si>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</si>
  <si>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</si>
  <si>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</si>
  <si>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</si>
  <si>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</si>
  <si>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</si>
  <si>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</si>
  <si>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</si>
  <si>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</si>
  <si>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</si>
  <si>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</si>
  <si>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</si>
  <si>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</si>
  <si>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</si>
  <si>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</si>
  <si>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</si>
  <si>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</si>
  <si>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</si>
  <si>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</si>
  <si>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</si>
  <si>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</si>
  <si>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</si>
  <si>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</si>
  <si>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</si>
  <si>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</si>
  <si>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</si>
  <si>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</si>
  <si>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</si>
  <si>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</si>
  <si>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</si>
  <si>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</si>
  <si>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</si>
  <si>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</si>
  <si>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</si>
  <si>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</si>
  <si>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</si>
  <si>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</si>
  <si>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</si>
  <si>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</si>
  <si>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</si>
  <si>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</si>
  <si>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</si>
  <si>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</si>
  <si>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</si>
  <si>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</si>
  <si>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</si>
  <si>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</si>
  <si>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</si>
  <si>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</si>
  <si>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</si>
  <si>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</si>
  <si>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</si>
  <si>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</si>
  <si>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</si>
  <si>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</si>
  <si>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</si>
  <si>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</si>
  <si>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</si>
  <si>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</si>
  <si>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</si>
  <si>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</si>
  <si>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</si>
  <si>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</si>
  <si>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</si>
  <si>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</si>
  <si>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</si>
  <si>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</si>
  <si>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</si>
  <si>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</si>
  <si>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</si>
  <si>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</si>
  <si>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</si>
  <si>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</si>
  <si>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</si>
  <si>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</si>
  <si>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</si>
  <si>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</si>
  <si>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</si>
  <si>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</si>
  <si>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</si>
  <si>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</si>
  <si>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</si>
  <si>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</si>
  <si>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</si>
  <si>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</si>
  <si>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</si>
  <si>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</si>
  <si>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</si>
  <si>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</si>
  <si>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</si>
  <si>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</si>
  <si>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</si>
  <si>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</si>
  <si>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</si>
  <si>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</si>
  <si>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</si>
  <si>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</si>
  <si>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</si>
  <si>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</si>
  <si>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</si>
  <si>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</si>
  <si>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</si>
  <si>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</si>
  <si>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</si>
  <si>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</si>
  <si>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</si>
  <si>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</si>
  <si>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</si>
  <si>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</si>
  <si>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</si>
  <si>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</si>
  <si>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</si>
  <si>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</si>
  <si>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</si>
  <si>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</si>
  <si>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</si>
  <si>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</si>
  <si>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</si>
  <si>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</si>
  <si>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</si>
  <si>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</si>
  <si>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</si>
  <si>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</si>
  <si>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</si>
  <si>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</si>
  <si>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</si>
  <si>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</si>
  <si>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</si>
  <si>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</si>
  <si>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</si>
  <si>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</si>
  <si>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</si>
  <si>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</si>
  <si>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</si>
  <si>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</si>
  <si>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</si>
  <si>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</si>
  <si>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</si>
  <si>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</si>
  <si>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</si>
  <si>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</si>
  <si>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</si>
  <si>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</si>
  <si>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</si>
  <si>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</si>
  <si>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</si>
  <si>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</si>
  <si>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</si>
  <si>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</si>
  <si>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</si>
  <si>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</si>
  <si>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</si>
  <si>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</si>
  <si>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</si>
  <si>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</si>
  <si>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</si>
  <si>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</si>
  <si>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</si>
  <si>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</si>
  <si>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</si>
  <si>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</si>
  <si>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</si>
  <si>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</si>
  <si>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</si>
  <si>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</si>
  <si>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</si>
  <si>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</si>
  <si>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</si>
  <si>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</si>
  <si>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</si>
  <si>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</si>
  <si>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</si>
  <si>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</si>
  <si>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</si>
  <si>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</si>
  <si>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</si>
  <si>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</si>
  <si>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</si>
  <si>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</si>
  <si>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</si>
  <si>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</si>
  <si>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</si>
  <si>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</si>
  <si>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</si>
  <si>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</si>
  <si>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</si>
  <si>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</si>
  <si>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</si>
  <si>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</si>
  <si>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</si>
  <si>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</si>
  <si>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</si>
  <si>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</si>
  <si>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</si>
  <si>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</si>
  <si>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</si>
  <si>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</si>
  <si>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</si>
  <si>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</si>
  <si>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</si>
  <si>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</si>
  <si>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</si>
  <si>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</si>
  <si>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</si>
  <si>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</si>
  <si>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</si>
  <si>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</si>
  <si>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</si>
  <si>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</si>
  <si>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</si>
  <si>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</si>
  <si>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</si>
  <si>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</si>
  <si>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</si>
  <si>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</si>
  <si>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</si>
  <si>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</si>
  <si>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</si>
  <si>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</si>
  <si>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</si>
  <si>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</si>
  <si>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</si>
  <si>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</si>
  <si>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</si>
  <si>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</si>
  <si>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</si>
  <si>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</si>
  <si>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</si>
  <si>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</si>
  <si>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</si>
  <si>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</si>
  <si>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</si>
  <si>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</si>
  <si>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</si>
  <si>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</si>
  <si>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</si>
  <si>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</si>
  <si>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</si>
  <si>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</si>
  <si>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</si>
  <si>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</si>
  <si>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</si>
  <si>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</si>
  <si>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</si>
  <si>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</si>
  <si>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</si>
  <si>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</si>
  <si>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</si>
  <si>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</si>
  <si>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</si>
  <si>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</si>
  <si>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</si>
  <si>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</si>
  <si>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</si>
  <si>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</si>
  <si>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</si>
  <si>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</si>
  <si>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</si>
  <si>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</si>
  <si>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</si>
  <si>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</si>
  <si>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</si>
  <si>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</si>
  <si>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</si>
  <si>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</si>
  <si>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</si>
  <si>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</si>
  <si>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</si>
  <si>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</si>
  <si>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</si>
  <si>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</si>
  <si>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</si>
  <si>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</si>
  <si>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</si>
  <si>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</si>
  <si>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</si>
  <si>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</si>
  <si>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</si>
  <si>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</si>
  <si>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</si>
  <si>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</si>
  <si>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</si>
  <si>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</si>
  <si>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</si>
  <si>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</si>
  <si>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</si>
  <si>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</si>
  <si>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</si>
  <si>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</si>
  <si>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</si>
  <si>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</si>
  <si>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</si>
  <si>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</si>
  <si>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</si>
  <si>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</si>
  <si>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</si>
  <si>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</si>
  <si>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</si>
  <si>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</si>
  <si>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</si>
  <si>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</si>
  <si>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</si>
  <si>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</si>
  <si>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</si>
  <si>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</si>
  <si>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</si>
  <si>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</si>
  <si>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</si>
  <si>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</si>
  <si>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</si>
  <si>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</si>
  <si>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</si>
  <si>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</si>
  <si>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</si>
  <si>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</si>
  <si>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</si>
  <si>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</si>
  <si>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</si>
  <si>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</si>
  <si>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</si>
  <si>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</si>
  <si>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</si>
  <si>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</si>
  <si>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</si>
  <si>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</si>
  <si>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</si>
  <si>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</si>
  <si>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</si>
  <si>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</si>
  <si>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</si>
  <si>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</si>
  <si>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</si>
  <si>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</si>
  <si>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</si>
  <si>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</si>
  <si>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</si>
  <si>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</si>
  <si>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</si>
  <si>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</si>
  <si>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</si>
  <si>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</si>
  <si>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</si>
  <si>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</si>
  <si>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</si>
  <si>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</si>
  <si>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</si>
  <si>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</si>
  <si>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</si>
  <si>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</si>
  <si>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</si>
  <si>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</si>
  <si>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</si>
  <si>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</si>
  <si>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</si>
  <si>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</si>
  <si>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</si>
  <si>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</si>
  <si>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</si>
  <si>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</si>
  <si>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</si>
  <si>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</si>
  <si>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</si>
  <si>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</si>
  <si>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</si>
  <si>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</si>
  <si>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</si>
  <si>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</si>
  <si>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</si>
  <si>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</si>
  <si>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</si>
  <si>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</si>
  <si>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</si>
  <si>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</si>
  <si>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</si>
  <si>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</si>
  <si>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</si>
  <si>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</si>
  <si>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</si>
  <si>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</si>
  <si>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</si>
  <si>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</si>
  <si>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</si>
  <si>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</si>
  <si>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</si>
  <si>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</si>
  <si>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</si>
  <si>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</si>
  <si>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</si>
  <si>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</si>
  <si>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</si>
  <si>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</si>
  <si>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</si>
  <si>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</si>
  <si>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</si>
  <si>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</si>
  <si>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</si>
  <si>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</si>
  <si>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</si>
  <si>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</si>
  <si>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</si>
  <si>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</si>
  <si>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</si>
  <si>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</si>
  <si>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</si>
  <si>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</si>
  <si>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</si>
  <si>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</si>
  <si>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</si>
  <si>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</si>
  <si>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</si>
  <si>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</si>
  <si>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</si>
  <si>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</si>
  <si>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</si>
  <si>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</si>
  <si>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</si>
  <si>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</si>
  <si>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</si>
  <si>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</si>
  <si>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</si>
  <si>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</si>
  <si>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</si>
  <si>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</si>
  <si>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</si>
  <si>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</si>
  <si>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</si>
  <si>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</si>
  <si>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</si>
  <si>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</si>
  <si>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</si>
  <si>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</si>
  <si>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</si>
  <si>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</si>
  <si>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</si>
  <si>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</si>
  <si>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</si>
  <si>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</si>
  <si>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</si>
  <si>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</si>
  <si>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</si>
  <si>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</si>
  <si>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</si>
  <si>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</si>
  <si>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</si>
  <si>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</si>
  <si>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</si>
  <si>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</si>
  <si>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</si>
  <si>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</si>
  <si>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</si>
  <si>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</si>
  <si>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</si>
  <si>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</si>
  <si>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</si>
  <si>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</si>
  <si>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</si>
  <si>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</si>
  <si>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</si>
  <si>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</si>
  <si>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</si>
  <si>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</si>
  <si>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</si>
  <si>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</si>
  <si>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</si>
  <si>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</si>
  <si>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</si>
  <si>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</si>
  <si>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</si>
  <si>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</si>
  <si>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</si>
  <si>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</si>
  <si>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</si>
  <si>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</si>
  <si>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</si>
  <si>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</si>
  <si>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</si>
  <si>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</si>
  <si>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</si>
  <si>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</si>
  <si>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</si>
  <si>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</si>
  <si>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</si>
  <si>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</si>
  <si>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</si>
  <si>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</si>
  <si>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</si>
  <si>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</si>
  <si>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</si>
  <si>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</si>
  <si>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</si>
  <si>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</si>
  <si>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</si>
  <si>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</si>
  <si>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</si>
  <si>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</si>
  <si>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</si>
  <si>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</si>
  <si>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</si>
  <si>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</si>
  <si>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</si>
  <si>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</si>
  <si>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</si>
  <si>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</si>
  <si>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</si>
  <si>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</si>
  <si>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</si>
  <si>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</si>
  <si>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</si>
  <si>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</si>
  <si>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</si>
  <si>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</si>
  <si>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</si>
  <si>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</si>
  <si>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</si>
  <si>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</si>
  <si>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</si>
  <si>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</si>
  <si>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</si>
  <si>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</si>
  <si>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</si>
  <si>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</si>
  <si>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</si>
  <si>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</si>
  <si>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</si>
  <si>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</si>
  <si>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</si>
  <si>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</si>
  <si>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</si>
  <si>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</si>
  <si>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</si>
  <si>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</si>
  <si>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</si>
  <si>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</si>
  <si>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</si>
  <si>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</si>
  <si>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</si>
  <si>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</si>
  <si>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</si>
  <si>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</si>
  <si>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</si>
  <si>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</si>
  <si>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</si>
  <si>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</si>
  <si>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</si>
  <si>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</si>
  <si>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</si>
  <si>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</si>
  <si>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</si>
  <si>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</si>
  <si>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</si>
  <si>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</si>
  <si>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</si>
  <si>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</si>
  <si>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</si>
  <si>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</si>
  <si>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</si>
  <si>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</si>
  <si>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</si>
  <si>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</si>
  <si>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</si>
  <si>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</si>
  <si>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</si>
  <si>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</si>
  <si>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</si>
  <si>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</si>
  <si>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</si>
  <si>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</si>
  <si>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</si>
  <si>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</si>
  <si>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</si>
  <si>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</si>
  <si>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</si>
  <si>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</si>
  <si>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</si>
  <si>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</si>
  <si>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</si>
  <si>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</si>
  <si>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</si>
  <si>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</si>
  <si>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</si>
  <si>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</si>
  <si>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</si>
  <si>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</si>
  <si>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</si>
  <si>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</si>
  <si>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</si>
  <si>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</si>
  <si>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</si>
  <si>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</si>
  <si>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</si>
  <si>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</si>
  <si>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</si>
  <si>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</si>
  <si>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</si>
  <si>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</si>
  <si>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</si>
  <si>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</si>
  <si>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</si>
  <si>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</si>
  <si>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</si>
  <si>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</si>
  <si>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</si>
  <si>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</si>
  <si>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</si>
  <si>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</si>
  <si>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</si>
  <si>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</si>
  <si>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</si>
  <si>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</si>
  <si>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</si>
  <si>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</si>
  <si>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</si>
  <si>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</si>
  <si>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</si>
  <si>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</si>
  <si>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</si>
  <si>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</si>
  <si>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</si>
  <si>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</si>
  <si>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</si>
  <si>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</si>
  <si>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</si>
  <si>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</si>
  <si>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</si>
  <si>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</si>
  <si>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</si>
  <si>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</si>
  <si>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</si>
  <si>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</si>
  <si>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</si>
  <si>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</si>
  <si>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</si>
  <si>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</si>
  <si>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</si>
  <si>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</si>
  <si>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</si>
  <si>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</si>
  <si>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</si>
  <si>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</si>
  <si>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</si>
  <si>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</si>
  <si>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</si>
  <si>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 xml:space="preserve">   • Remove exact duplicate rows (define and document your duplicate criteria).-----there were no duplicates</t>
  </si>
  <si>
    <t>unknown</t>
  </si>
  <si>
    <t xml:space="preserve">   • Fix data types (dates as Dates, numeric fields as numbers).----done</t>
  </si>
  <si>
    <t xml:space="preserve">   • Handle missing values for City, Salesperson, and Channel using reasonable business logic (document your approach).-----we filled with unknown because they were mainly text columns with blanks</t>
  </si>
  <si>
    <t xml:space="preserve">   • Flag and correct suspicious UnitPrice values (e.g., negative prices) and discounts (e.g., &gt; 30%).highlighted the anomaly data in discount column with red ,,,,  we decided to leave them </t>
  </si>
  <si>
    <t>updated_reqdate</t>
  </si>
  <si>
    <t>diff(date)</t>
  </si>
  <si>
    <t>LeadTimeDays</t>
  </si>
  <si>
    <t>GrossRevenue</t>
  </si>
  <si>
    <t>CostOfGoods</t>
  </si>
  <si>
    <t>GrossProfit</t>
  </si>
  <si>
    <t>MarginPct</t>
  </si>
  <si>
    <t>Standardized-o-date</t>
  </si>
  <si>
    <t xml:space="preserve">   • ProductCategory and a derived 'PriceBand' (e.g., Low/Medium/High using quantiles).          ="Q" &amp; ROUNDUP(MONTH(RC2)/3,0) &amp; "-" &amp; YEAR(RC2)</t>
  </si>
  <si>
    <t>Quarter</t>
  </si>
  <si>
    <t>Row Labels</t>
  </si>
  <si>
    <t>(blank)</t>
  </si>
  <si>
    <t>Grand Total</t>
  </si>
  <si>
    <t>PriceBand</t>
  </si>
  <si>
    <t>Absolute_days_diff</t>
  </si>
  <si>
    <t>date_status</t>
  </si>
  <si>
    <t>Column Labels</t>
  </si>
  <si>
    <t>CohortMonth</t>
  </si>
  <si>
    <t>FirstCoutryOrderDate</t>
  </si>
  <si>
    <t>Apr-2023</t>
  </si>
  <si>
    <t>Apr-2024</t>
  </si>
  <si>
    <t>Apr-2025</t>
  </si>
  <si>
    <t>Aug-2023</t>
  </si>
  <si>
    <t>Aug-2024</t>
  </si>
  <si>
    <t>Aug-2025</t>
  </si>
  <si>
    <t>Dec-2023</t>
  </si>
  <si>
    <t>Dec-2024</t>
  </si>
  <si>
    <t>Feb-2023</t>
  </si>
  <si>
    <t>Feb-2024</t>
  </si>
  <si>
    <t>Feb-2025</t>
  </si>
  <si>
    <t>Jan-2023</t>
  </si>
  <si>
    <t>Jan-2024</t>
  </si>
  <si>
    <t>Jan-2025</t>
  </si>
  <si>
    <t>Jul-2023</t>
  </si>
  <si>
    <t>Jul-2024</t>
  </si>
  <si>
    <t>Jul-2025</t>
  </si>
  <si>
    <t>Jun-2023</t>
  </si>
  <si>
    <t>Jun-2024</t>
  </si>
  <si>
    <t>Jun-2025</t>
  </si>
  <si>
    <t>Mar-2023</t>
  </si>
  <si>
    <t>Mar-2024</t>
  </si>
  <si>
    <t>Mar-2025</t>
  </si>
  <si>
    <t>May-2023</t>
  </si>
  <si>
    <t>May-2024</t>
  </si>
  <si>
    <t>May-2025</t>
  </si>
  <si>
    <t>Nov-2023</t>
  </si>
  <si>
    <t>Nov-2024</t>
  </si>
  <si>
    <t>Oct-2023</t>
  </si>
  <si>
    <t>Oct-2024</t>
  </si>
  <si>
    <t>Sept-2023</t>
  </si>
  <si>
    <t>Sept-2024</t>
  </si>
  <si>
    <t>Sept-2025</t>
  </si>
  <si>
    <t>Sum of GrossRevenue</t>
  </si>
  <si>
    <t>Q1</t>
  </si>
  <si>
    <t>Q2</t>
  </si>
  <si>
    <t>Q3</t>
  </si>
  <si>
    <t>PriceBand2</t>
  </si>
  <si>
    <t>Accessories Total</t>
  </si>
  <si>
    <t>Components Total</t>
  </si>
  <si>
    <t>Laptops Total</t>
  </si>
  <si>
    <t>Monitors Total</t>
  </si>
  <si>
    <t>Networking Total</t>
  </si>
  <si>
    <t>Phones Total</t>
  </si>
  <si>
    <t>Printers Total</t>
  </si>
  <si>
    <t>Revenue_%</t>
  </si>
  <si>
    <t>Cumulative_%</t>
  </si>
  <si>
    <t>ABC_Classification</t>
  </si>
  <si>
    <t>Count of OrderID</t>
  </si>
  <si>
    <t>Sum of GrossProfit</t>
  </si>
  <si>
    <t>Revenue/Order</t>
  </si>
  <si>
    <t>Order/month</t>
  </si>
  <si>
    <t>Profit/Order</t>
  </si>
  <si>
    <t>Yellow---bottom 3</t>
  </si>
  <si>
    <t xml:space="preserve">Red ---- top 3 </t>
  </si>
  <si>
    <t>7Target</t>
  </si>
  <si>
    <t>Average of 7Target</t>
  </si>
  <si>
    <t>DiscountFlag</t>
  </si>
  <si>
    <t>Average of DiscountFlag</t>
  </si>
  <si>
    <t>FLAGS</t>
  </si>
  <si>
    <t>Discount Cap</t>
  </si>
  <si>
    <t>Cost Inflation</t>
  </si>
  <si>
    <t>Quantity Uplift</t>
  </si>
  <si>
    <t>OrderId</t>
  </si>
  <si>
    <t>Unitcost</t>
  </si>
  <si>
    <t>Unitprice</t>
  </si>
  <si>
    <t>Discountpct</t>
  </si>
  <si>
    <t>ScenarioRevenue</t>
  </si>
  <si>
    <t>ScenarioDiscount</t>
  </si>
  <si>
    <t>ScenarioUnitCost</t>
  </si>
  <si>
    <t>ScenarioQty</t>
  </si>
  <si>
    <t>ScenarioProfit</t>
  </si>
  <si>
    <t>ScenarioCOGS</t>
  </si>
  <si>
    <t>$B$1</t>
  </si>
  <si>
    <t>$B$2</t>
  </si>
  <si>
    <t>$B$3</t>
  </si>
  <si>
    <t>conservative</t>
  </si>
  <si>
    <t>Created by User on 19/06/2026
Modified by User on 19/06/2026</t>
  </si>
  <si>
    <t>expected</t>
  </si>
  <si>
    <t>aggressive growth</t>
  </si>
  <si>
    <t>Created by User on 19/06/2026</t>
  </si>
  <si>
    <t>Scenario Summary</t>
  </si>
  <si>
    <t>Changing Cells:</t>
  </si>
  <si>
    <t>Current Values:</t>
  </si>
  <si>
    <t>Notes:  Current Values column represents values of changing cells at</t>
  </si>
  <si>
    <t>time Scenario Summary Report was created.  Changing cells for each</t>
  </si>
  <si>
    <t>scenario are highlighted in gray.</t>
  </si>
  <si>
    <t>Discount cap</t>
  </si>
  <si>
    <t>quantity uplift</t>
  </si>
  <si>
    <t xml:space="preserve">       </t>
  </si>
  <si>
    <t>INPUTS</t>
  </si>
  <si>
    <t>Region, Country, Channel, ProductCategory, Month, and Salesperson.</t>
  </si>
  <si>
    <t>$B$4</t>
  </si>
  <si>
    <t>$J$7</t>
  </si>
  <si>
    <t>Scenario1</t>
  </si>
  <si>
    <t>Created by Admin on 6/20/2026</t>
  </si>
  <si>
    <t>Scenario2</t>
  </si>
  <si>
    <t>Result Cells: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</si>
</sst>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Ksh&quot;#,##0.00"/>
  </numFmts>
  <fonts count="12" x14ac:knownFonts="1">
    <font>
      <sz val="11"/>
      <color theme="1"/>
      <name val="Calibri"/>
      <family val="2"/>
      <scheme val="minor"/>
    </font>
    <font>
      <b/>
      <sz val="11"/>
      <color theme="1"/>
      <name val="Calibri"/>
      <family val="2"/>
      <scheme val="minor"/>
    </font>
    <font>
      <sz val="11"/>
      <color theme="0"/>
      <name val="Calibri"/>
      <family val="2"/>
      <scheme val="minor"/>
    </font>
    <font>
      <sz val="8"/>
      <name val="Calibri"/>
      <family val="2"/>
      <scheme val="minor"/>
    </font>
    <font>
      <sz val="10"/>
      <color theme="1"/>
      <name val="Arial Unicode MS"/>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sz val="12"/>
      <color theme="1"/>
      <name val="Calibri"/>
      <family val="2"/>
      <scheme val="minor"/>
    </font>
    <font>
      <sz val="11"/>
      <color rgb="FFFF0000"/>
      <name val="Calibri"/>
      <family val="2"/>
      <scheme val="minor"/>
    </font>
  </fonts>
  <fills count="13">
    <fill>
      <patternFill patternType="none"/>
    </fill>
    <fill>
      <patternFill patternType="gray125"/>
    </fill>
    <fill>
      <patternFill patternType="solid">
        <fgColor theme="3" tint="0.59999389629810485"/>
        <bgColor indexed="64"/>
      </patternFill>
    </fill>
    <fill>
      <patternFill patternType="solid">
        <fgColor theme="4" tint="0.79998168889431442"/>
        <bgColor theme="4" tint="0.79998168889431442"/>
      </patternFill>
    </fill>
    <fill>
      <patternFill patternType="solid">
        <fgColor theme="3" tint="0.59999389629810485"/>
        <bgColor theme="4" tint="0.79998168889431442"/>
      </patternFill>
    </fill>
    <fill>
      <patternFill patternType="solid">
        <fgColor theme="7" tint="-0.249977111117893"/>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8"/>
        <bgColor indexed="64"/>
      </patternFill>
    </fill>
    <fill>
      <patternFill patternType="solid">
        <fgColor theme="5" tint="0.79998168889431442"/>
        <bgColor indexed="64"/>
      </patternFill>
    </fill>
    <fill>
      <patternFill patternType="solid">
        <fgColor theme="7"/>
        <bgColor indexed="64"/>
      </patternFill>
    </fill>
    <fill>
      <patternFill patternType="solid">
        <fgColor theme="2" tint="-9.9978637043366805E-2"/>
        <bgColor indexed="64"/>
      </patternFill>
    </fill>
  </fills>
  <borders count="9">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style="thin">
        <color theme="4"/>
      </top>
      <bottom style="thin">
        <color theme="4"/>
      </bottom>
      <diagonal/>
    </border>
    <border>
      <left/>
      <right/>
      <top style="medium">
        <color indexed="64"/>
      </top>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bottom style="medium">
        <color indexed="64"/>
      </bottom>
      <diagonal/>
    </border>
  </borders>
  <cellStyleXfs count="1">
    <xf numFmtId="0" fontId="0" fillId="0" borderId="0"/>
  </cellStyleXfs>
  <cellXfs count="49">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14" fontId="1" fillId="2" borderId="1" xfId="0" applyNumberFormat="1" applyFont="1" applyFill="1" applyBorder="1" applyAlignment="1">
      <alignment horizontal="center" vertical="top"/>
    </xf>
    <xf numFmtId="14" fontId="0" fillId="0" borderId="0" xfId="0" applyNumberFormat="1"/>
    <xf numFmtId="2" fontId="1" fillId="2" borderId="1" xfId="0" applyNumberFormat="1" applyFont="1" applyFill="1" applyBorder="1" applyAlignment="1">
      <alignment horizontal="center" vertical="top"/>
    </xf>
    <xf numFmtId="2" fontId="0" fillId="0" borderId="0" xfId="0" applyNumberFormat="1"/>
    <xf numFmtId="10" fontId="1" fillId="2" borderId="1" xfId="0" applyNumberFormat="1" applyFont="1" applyFill="1" applyBorder="1" applyAlignment="1">
      <alignment horizontal="center" vertical="top"/>
    </xf>
    <xf numFmtId="10" fontId="0" fillId="0" borderId="0" xfId="0" applyNumberFormat="1"/>
    <xf numFmtId="164" fontId="1" fillId="2" borderId="1" xfId="0" applyNumberFormat="1" applyFont="1" applyFill="1" applyBorder="1" applyAlignment="1">
      <alignment horizontal="center" vertical="top"/>
    </xf>
    <xf numFmtId="164" fontId="0" fillId="0" borderId="0" xfId="0" applyNumberFormat="1"/>
    <xf numFmtId="1" fontId="1" fillId="2" borderId="1" xfId="0" applyNumberFormat="1" applyFont="1" applyFill="1" applyBorder="1" applyAlignment="1">
      <alignment horizontal="center" vertical="top"/>
    </xf>
    <xf numFmtId="1" fontId="0" fillId="0" borderId="0" xfId="0" applyNumberFormat="1"/>
    <xf numFmtId="0" fontId="1" fillId="2" borderId="0" xfId="0" applyFont="1" applyFill="1"/>
    <xf numFmtId="2" fontId="1" fillId="2" borderId="0" xfId="0" applyNumberFormat="1"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1" fillId="3" borderId="2" xfId="0" applyFont="1" applyFill="1" applyBorder="1"/>
    <xf numFmtId="14" fontId="1" fillId="2" borderId="0" xfId="0" applyNumberFormat="1" applyFont="1" applyFill="1"/>
    <xf numFmtId="0" fontId="1" fillId="0" borderId="0" xfId="0" applyFont="1"/>
    <xf numFmtId="0" fontId="1" fillId="0" borderId="2" xfId="0" applyFont="1" applyBorder="1"/>
    <xf numFmtId="0" fontId="1" fillId="0" borderId="3" xfId="0" applyFont="1" applyBorder="1"/>
    <xf numFmtId="0" fontId="4" fillId="0" borderId="0" xfId="0" applyFont="1" applyAlignment="1">
      <alignment vertical="center"/>
    </xf>
    <xf numFmtId="0" fontId="1" fillId="4" borderId="2" xfId="0" applyFont="1" applyFill="1" applyBorder="1"/>
    <xf numFmtId="0" fontId="1" fillId="3" borderId="0" xfId="0" applyFont="1" applyFill="1"/>
    <xf numFmtId="0" fontId="2" fillId="5" borderId="0" xfId="0" applyFont="1" applyFill="1"/>
    <xf numFmtId="0" fontId="5" fillId="6" borderId="5" xfId="0" applyFont="1" applyFill="1" applyBorder="1" applyAlignment="1">
      <alignment horizontal="left"/>
    </xf>
    <xf numFmtId="0" fontId="5" fillId="6" borderId="4" xfId="0" applyFont="1" applyFill="1" applyBorder="1" applyAlignment="1">
      <alignment horizontal="left"/>
    </xf>
    <xf numFmtId="0" fontId="0" fillId="0" borderId="6" xfId="0" applyBorder="1"/>
    <xf numFmtId="0" fontId="6" fillId="7" borderId="0" xfId="0" applyFont="1" applyFill="1" applyAlignment="1">
      <alignment horizontal="left"/>
    </xf>
    <xf numFmtId="0" fontId="7" fillId="7" borderId="6" xfId="0" applyFont="1" applyFill="1" applyBorder="1" applyAlignment="1">
      <alignment horizontal="left"/>
    </xf>
    <xf numFmtId="0" fontId="8" fillId="6" borderId="4" xfId="0" applyFont="1" applyFill="1" applyBorder="1" applyAlignment="1">
      <alignment horizontal="right"/>
    </xf>
    <xf numFmtId="0" fontId="8" fillId="6" borderId="5" xfId="0" applyFont="1" applyFill="1" applyBorder="1" applyAlignment="1">
      <alignment horizontal="right"/>
    </xf>
    <xf numFmtId="0" fontId="7" fillId="7" borderId="7" xfId="0" applyFont="1" applyFill="1" applyBorder="1" applyAlignment="1">
      <alignment horizontal="left"/>
    </xf>
    <xf numFmtId="0" fontId="0" fillId="0" borderId="7" xfId="0" applyBorder="1"/>
    <xf numFmtId="10" fontId="0" fillId="8" borderId="0" xfId="0" applyNumberFormat="1" applyFill="1"/>
    <xf numFmtId="0" fontId="9" fillId="0" borderId="0" xfId="0" applyFont="1" applyAlignment="1">
      <alignment vertical="top" wrapText="1"/>
    </xf>
    <xf numFmtId="0" fontId="0" fillId="0" borderId="8" xfId="0" applyBorder="1"/>
    <xf numFmtId="0" fontId="6" fillId="7" borderId="8" xfId="0" applyFont="1" applyFill="1" applyBorder="1" applyAlignment="1">
      <alignment horizontal="left"/>
    </xf>
    <xf numFmtId="0" fontId="10" fillId="10" borderId="0" xfId="0" applyFont="1" applyFill="1" applyAlignment="1">
      <alignment textRotation="90"/>
    </xf>
    <xf numFmtId="0" fontId="2" fillId="11" borderId="0" xfId="0" applyFont="1" applyFill="1" applyAlignment="1">
      <alignment horizontal="center"/>
    </xf>
    <xf numFmtId="0" fontId="2" fillId="9" borderId="0" xfId="0" applyFont="1" applyFill="1" applyAlignment="1">
      <alignment horizontal="center"/>
    </xf>
    <xf numFmtId="0" fontId="0" fillId="12" borderId="0" xfId="0" applyFill="1"/>
    <xf numFmtId="0" fontId="2" fillId="12" borderId="0" xfId="0" applyFont="1" applyFill="1" applyAlignment="1">
      <alignment horizontal="center"/>
    </xf>
    <xf numFmtId="10" fontId="0" fillId="12" borderId="0" xfId="0" applyNumberFormat="1" applyFill="1"/>
    <xf numFmtId="0" fontId="10" fillId="12" borderId="0" xfId="0" applyFont="1" applyFill="1" applyAlignment="1">
      <alignment textRotation="90"/>
    </xf>
    <xf numFmtId="0" fontId="11" fillId="12" borderId="0" xfId="0" applyFont="1" applyFill="1" applyAlignment="1">
      <alignment horizontal="center"/>
    </xf>
  </cellXfs>
  <cellStyles count="1">
    <cellStyle name="Normal" xfId="0" builtinId="0"/>
  </cellStyles>
  <dxfs count="3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numFmt numFmtId="2" formatCode="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2" formatCode="0.00"/>
    </dxf>
    <dxf>
      <numFmt numFmtId="1" formatCode="0"/>
    </dxf>
    <dxf>
      <numFmt numFmtId="14" formatCode="0.00%"/>
    </dxf>
    <dxf>
      <numFmt numFmtId="164" formatCode="&quot;Ksh&quot;#,##0.00"/>
    </dxf>
    <dxf>
      <numFmt numFmtId="164" formatCode="&quot;Ksh&quot;#,##0.00"/>
    </dxf>
    <dxf>
      <numFmt numFmtId="165" formatCode="dd/mm/yyyy"/>
    </dxf>
    <dxf>
      <numFmt numFmtId="1" formatCode="0"/>
    </dxf>
    <dxf>
      <numFmt numFmtId="1" formatCode="0"/>
    </dxf>
    <dxf>
      <numFmt numFmtId="165" formatCode="dd/mm/yyyy"/>
    </dxf>
    <dxf>
      <numFmt numFmtId="165" formatCode="dd/mm/yyyy"/>
    </dxf>
    <dxf>
      <numFmt numFmtId="165" formatCode="dd/mm/yyyy"/>
    </dxf>
    <dxf>
      <numFmt numFmtId="165" formatCode="dd/mm/yyyy"/>
    </dxf>
    <dxf>
      <font>
        <b/>
        <i val="0"/>
        <strike val="0"/>
        <condense val="0"/>
        <extend val="0"/>
        <outline val="0"/>
        <shadow val="0"/>
        <u val="none"/>
        <vertAlign val="baseline"/>
        <sz val="11"/>
        <color theme="1"/>
        <name val="Calibri"/>
        <family val="2"/>
        <scheme val="minor"/>
      </font>
      <fill>
        <patternFill patternType="solid">
          <fgColor indexed="64"/>
          <bgColor theme="3" tint="0.59999389629810485"/>
        </patternFill>
      </fill>
    </dxf>
    <dxf>
      <numFmt numFmtId="2" formatCode="0.00"/>
    </dxf>
    <dxf>
      <numFmt numFmtId="2" formatCode="0.00"/>
    </dxf>
    <dxf>
      <numFmt numFmtId="14" formatCode="0.00%"/>
    </dxf>
    <dxf>
      <numFmt numFmtId="14" formatCode="0.00%"/>
    </dxf>
    <dxf>
      <numFmt numFmtId="14" formatCode="0.00%"/>
    </dxf>
    <dxf>
      <numFmt numFmtId="14" formatCode="0.00%"/>
    </dxf>
  </dxfs>
  <tableStyles count="0" defaultTableStyle="TableStyleMedium9" defaultPivotStyle="PivotStyleLight16"/>
  <colors>
    <mruColors>
      <color rgb="FF949F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3.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microsoft.com/office/2007/relationships/slicerCache" Target="slicerCaches/slicerCache6.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microsoft.com/office/2007/relationships/slicerCache" Target="slicerCaches/slicerCache5.xml"/><Relationship Id="rId30" Type="http://schemas.microsoft.com/office/2007/relationships/slicerCache" Target="slicerCaches/slicerCache8.xml"/><Relationship Id="rId35" Type="http://schemas.openxmlformats.org/officeDocument/2006/relationships/sheetMetadata" Target="metadata.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[Cleaned_Multi-Regional Sales Operations_Dashboard.xlsx]Cannibalization!PivotTable15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Cannibalization!$B$3:$B$4</c:f>
              <c:strCache>
                <c:ptCount val="1"/>
                <c:pt idx="0">
                  <c:v>Direct</c:v>
                </c:pt>
              </c:strCache>
            </c:strRef>
          </c:tx>
          <c:spPr>
            <a:solidFill>
              <a:schemeClr val="accent1"/>
            </a:solidFill>
            <a:ln>
              <a:noFill/>
            </a:ln>
            <a:effectLst/>
          </c:spPr>
          <c:invertIfNegative val="0"/>
          <c:cat>
            <c:strRef>
              <c:f>Cannibalization!$A$5:$A$9</c:f>
              <c:strCache>
                <c:ptCount val="4"/>
                <c:pt idx="0">
                  <c:v>Africa</c:v>
                </c:pt>
                <c:pt idx="1">
                  <c:v>Americas</c:v>
                </c:pt>
                <c:pt idx="2">
                  <c:v>Asia</c:v>
                </c:pt>
                <c:pt idx="3">
                  <c:v>Europe</c:v>
                </c:pt>
              </c:strCache>
            </c:strRef>
          </c:cat>
          <c:val>
            <c:numRef>
              <c:f>Cannibalization!$B$5:$B$9</c:f>
              <c:numCache>
                <c:formatCode>0.00%</c:formatCode>
                <c:ptCount val="4"/>
                <c:pt idx="0">
                  <c:v>0.17763419811514022</c:v>
                </c:pt>
                <c:pt idx="1">
                  <c:v>0.27964209388840083</c:v>
                </c:pt>
                <c:pt idx="2">
                  <c:v>0.22609014172883743</c:v>
                </c:pt>
                <c:pt idx="3">
                  <c:v>0.30082759058230796</c:v>
                </c:pt>
              </c:numCache>
            </c:numRef>
          </c:val>
          <c:extLst>
            <c:ext xmlns:c16="http://schemas.microsoft.com/office/drawing/2014/chart" uri="{C3380CC4-5D6E-409C-BE32-E72D297353CC}">
              <c16:uniqueId val="{00000000-675C-4FAA-85D3-E8722CE1E194}"/>
            </c:ext>
          </c:extLst>
        </c:ser>
        <c:ser>
          <c:idx val="1"/>
          <c:order val="1"/>
          <c:tx>
            <c:strRef>
              <c:f>Cannibalization!$C$3:$C$4</c:f>
              <c:strCache>
                <c:ptCount val="1"/>
                <c:pt idx="0">
                  <c:v>Distributor</c:v>
                </c:pt>
              </c:strCache>
            </c:strRef>
          </c:tx>
          <c:spPr>
            <a:solidFill>
              <a:schemeClr val="accent2"/>
            </a:solidFill>
            <a:ln>
              <a:noFill/>
            </a:ln>
            <a:effectLst/>
          </c:spPr>
          <c:invertIfNegative val="0"/>
          <c:cat>
            <c:strRef>
              <c:f>Cannibalization!$A$5:$A$9</c:f>
              <c:strCache>
                <c:ptCount val="4"/>
                <c:pt idx="0">
                  <c:v>Africa</c:v>
                </c:pt>
                <c:pt idx="1">
                  <c:v>Americas</c:v>
                </c:pt>
                <c:pt idx="2">
                  <c:v>Asia</c:v>
                </c:pt>
                <c:pt idx="3">
                  <c:v>Europe</c:v>
                </c:pt>
              </c:strCache>
            </c:strRef>
          </c:cat>
          <c:val>
            <c:numRef>
              <c:f>Cannibalization!$C$5:$C$9</c:f>
              <c:numCache>
                <c:formatCode>0.00%</c:formatCode>
                <c:ptCount val="4"/>
                <c:pt idx="0">
                  <c:v>0.24017766543817531</c:v>
                </c:pt>
                <c:pt idx="1">
                  <c:v>0.21140873261126455</c:v>
                </c:pt>
                <c:pt idx="2">
                  <c:v>0.17927990166846616</c:v>
                </c:pt>
                <c:pt idx="3">
                  <c:v>0.11379437522820594</c:v>
                </c:pt>
              </c:numCache>
            </c:numRef>
          </c:val>
          <c:extLst>
            <c:ext xmlns:c16="http://schemas.microsoft.com/office/drawing/2014/chart" uri="{C3380CC4-5D6E-409C-BE32-E72D297353CC}">
              <c16:uniqueId val="{00000001-BDFC-4807-8F78-3E5509CE5EA5}"/>
            </c:ext>
          </c:extLst>
        </c:ser>
        <c:ser>
          <c:idx val="2"/>
          <c:order val="2"/>
          <c:tx>
            <c:strRef>
              <c:f>Cannibalization!$D$3:$D$4</c:f>
              <c:strCache>
                <c:ptCount val="1"/>
                <c:pt idx="0">
                  <c:v>Marketplace</c:v>
                </c:pt>
              </c:strCache>
            </c:strRef>
          </c:tx>
          <c:spPr>
            <a:solidFill>
              <a:schemeClr val="accent3"/>
            </a:solidFill>
            <a:ln>
              <a:noFill/>
            </a:ln>
            <a:effectLst/>
          </c:spPr>
          <c:invertIfNegative val="0"/>
          <c:cat>
            <c:strRef>
              <c:f>Cannibalization!$A$5:$A$9</c:f>
              <c:strCache>
                <c:ptCount val="4"/>
                <c:pt idx="0">
                  <c:v>Africa</c:v>
                </c:pt>
                <c:pt idx="1">
                  <c:v>Americas</c:v>
                </c:pt>
                <c:pt idx="2">
                  <c:v>Asia</c:v>
                </c:pt>
                <c:pt idx="3">
                  <c:v>Europe</c:v>
                </c:pt>
              </c:strCache>
            </c:strRef>
          </c:cat>
          <c:val>
            <c:numRef>
              <c:f>Cannibalization!$D$5:$D$9</c:f>
              <c:numCache>
                <c:formatCode>0.00%</c:formatCode>
                <c:ptCount val="4"/>
                <c:pt idx="0">
                  <c:v>0.20305689740383887</c:v>
                </c:pt>
                <c:pt idx="1">
                  <c:v>0.13626254750800823</c:v>
                </c:pt>
                <c:pt idx="2">
                  <c:v>0.19054974103273625</c:v>
                </c:pt>
                <c:pt idx="3">
                  <c:v>0.20338414276125114</c:v>
                </c:pt>
              </c:numCache>
            </c:numRef>
          </c:val>
          <c:extLst>
            <c:ext xmlns:c16="http://schemas.microsoft.com/office/drawing/2014/chart" uri="{C3380CC4-5D6E-409C-BE32-E72D297353CC}">
              <c16:uniqueId val="{00000002-BDFC-4807-8F78-3E5509CE5EA5}"/>
            </c:ext>
          </c:extLst>
        </c:ser>
        <c:ser>
          <c:idx val="3"/>
          <c:order val="3"/>
          <c:tx>
            <c:strRef>
              <c:f>Cannibalization!$E$3:$E$4</c:f>
              <c:strCache>
                <c:ptCount val="1"/>
                <c:pt idx="0">
                  <c:v>Online</c:v>
                </c:pt>
              </c:strCache>
            </c:strRef>
          </c:tx>
          <c:spPr>
            <a:solidFill>
              <a:schemeClr val="accent4"/>
            </a:solidFill>
            <a:ln>
              <a:noFill/>
            </a:ln>
            <a:effectLst/>
          </c:spPr>
          <c:invertIfNegative val="0"/>
          <c:cat>
            <c:strRef>
              <c:f>Cannibalization!$A$5:$A$9</c:f>
              <c:strCache>
                <c:ptCount val="4"/>
                <c:pt idx="0">
                  <c:v>Africa</c:v>
                </c:pt>
                <c:pt idx="1">
                  <c:v>Americas</c:v>
                </c:pt>
                <c:pt idx="2">
                  <c:v>Asia</c:v>
                </c:pt>
                <c:pt idx="3">
                  <c:v>Europe</c:v>
                </c:pt>
              </c:strCache>
            </c:strRef>
          </c:cat>
          <c:val>
            <c:numRef>
              <c:f>Cannibalization!$E$5:$E$9</c:f>
              <c:numCache>
                <c:formatCode>0.00%</c:formatCode>
                <c:ptCount val="4"/>
                <c:pt idx="0">
                  <c:v>0.16684645682272783</c:v>
                </c:pt>
                <c:pt idx="1">
                  <c:v>0.25660676853333764</c:v>
                </c:pt>
                <c:pt idx="2">
                  <c:v>0.14558000982537006</c:v>
                </c:pt>
                <c:pt idx="3">
                  <c:v>0.2090000871634993</c:v>
                </c:pt>
              </c:numCache>
            </c:numRef>
          </c:val>
          <c:extLst>
            <c:ext xmlns:c16="http://schemas.microsoft.com/office/drawing/2014/chart" uri="{C3380CC4-5D6E-409C-BE32-E72D297353CC}">
              <c16:uniqueId val="{00000003-BDFC-4807-8F78-3E5509CE5EA5}"/>
            </c:ext>
          </c:extLst>
        </c:ser>
        <c:ser>
          <c:idx val="4"/>
          <c:order val="4"/>
          <c:tx>
            <c:strRef>
              <c:f>Cannibalization!$F$3:$F$4</c:f>
              <c:strCache>
                <c:ptCount val="1"/>
                <c:pt idx="0">
                  <c:v>Retail</c:v>
                </c:pt>
              </c:strCache>
            </c:strRef>
          </c:tx>
          <c:spPr>
            <a:solidFill>
              <a:schemeClr val="accent5"/>
            </a:solidFill>
            <a:ln>
              <a:noFill/>
            </a:ln>
            <a:effectLst/>
          </c:spPr>
          <c:invertIfNegative val="0"/>
          <c:cat>
            <c:strRef>
              <c:f>Cannibalization!$A$5:$A$9</c:f>
              <c:strCache>
                <c:ptCount val="4"/>
                <c:pt idx="0">
                  <c:v>Africa</c:v>
                </c:pt>
                <c:pt idx="1">
                  <c:v>Americas</c:v>
                </c:pt>
                <c:pt idx="2">
                  <c:v>Asia</c:v>
                </c:pt>
                <c:pt idx="3">
                  <c:v>Europe</c:v>
                </c:pt>
              </c:strCache>
            </c:strRef>
          </c:cat>
          <c:val>
            <c:numRef>
              <c:f>Cannibalization!$F$5:$F$9</c:f>
              <c:numCache>
                <c:formatCode>0.00%</c:formatCode>
                <c:ptCount val="4"/>
                <c:pt idx="0">
                  <c:v>0.19968989739934648</c:v>
                </c:pt>
                <c:pt idx="1">
                  <c:v>0.11263731355325697</c:v>
                </c:pt>
                <c:pt idx="2">
                  <c:v>0.24393754361410452</c:v>
                </c:pt>
                <c:pt idx="3">
                  <c:v>0.16654949001834427</c:v>
                </c:pt>
              </c:numCache>
            </c:numRef>
          </c:val>
          <c:extLst>
            <c:ext xmlns:c16="http://schemas.microsoft.com/office/drawing/2014/chart" uri="{C3380CC4-5D6E-409C-BE32-E72D297353CC}">
              <c16:uniqueId val="{00000004-BDFC-4807-8F78-3E5509CE5EA5}"/>
            </c:ext>
          </c:extLst>
        </c:ser>
        <c:ser>
          <c:idx val="5"/>
          <c:order val="5"/>
          <c:tx>
            <c:strRef>
              <c:f>Cannibalization!$G$3:$G$4</c:f>
              <c:strCache>
                <c:ptCount val="1"/>
                <c:pt idx="0">
                  <c:v>unknown</c:v>
                </c:pt>
              </c:strCache>
            </c:strRef>
          </c:tx>
          <c:spPr>
            <a:solidFill>
              <a:schemeClr val="accent6"/>
            </a:solidFill>
            <a:ln>
              <a:noFill/>
            </a:ln>
            <a:effectLst/>
          </c:spPr>
          <c:invertIfNegative val="0"/>
          <c:cat>
            <c:strRef>
              <c:f>Cannibalization!$A$5:$A$9</c:f>
              <c:strCache>
                <c:ptCount val="4"/>
                <c:pt idx="0">
                  <c:v>Africa</c:v>
                </c:pt>
                <c:pt idx="1">
                  <c:v>Americas</c:v>
                </c:pt>
                <c:pt idx="2">
                  <c:v>Asia</c:v>
                </c:pt>
                <c:pt idx="3">
                  <c:v>Europe</c:v>
                </c:pt>
              </c:strCache>
            </c:strRef>
          </c:cat>
          <c:val>
            <c:numRef>
              <c:f>Cannibalization!$G$5:$G$9</c:f>
              <c:numCache>
                <c:formatCode>0.00%</c:formatCode>
                <c:ptCount val="4"/>
                <c:pt idx="0">
                  <c:v>1.2594884820771366E-2</c:v>
                </c:pt>
                <c:pt idx="1">
                  <c:v>3.4425439057317007E-3</c:v>
                </c:pt>
                <c:pt idx="2">
                  <c:v>1.4562662130485616E-2</c:v>
                </c:pt>
                <c:pt idx="3">
                  <c:v>6.4443142463915136E-3</c:v>
                </c:pt>
              </c:numCache>
            </c:numRef>
          </c:val>
          <c:extLst>
            <c:ext xmlns:c16="http://schemas.microsoft.com/office/drawing/2014/chart" uri="{C3380CC4-5D6E-409C-BE32-E72D297353CC}">
              <c16:uniqueId val="{00000000-9ED1-459A-8F43-B34664B69BA8}"/>
            </c:ext>
          </c:extLst>
        </c:ser>
        <c:dLbls>
          <c:showLegendKey val="0"/>
          <c:showVal val="0"/>
          <c:showCatName val="0"/>
          <c:showSerName val="0"/>
          <c:showPercent val="0"/>
          <c:showBubbleSize val="0"/>
        </c:dLbls>
        <c:gapWidth val="219"/>
        <c:overlap val="-27"/>
        <c:axId val="761583920"/>
        <c:axId val="761584400"/>
      </c:barChart>
      <c:catAx>
        <c:axId val="76158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61584400"/>
        <c:crosses val="autoZero"/>
        <c:auto val="1"/>
        <c:lblAlgn val="ctr"/>
        <c:lblOffset val="100"/>
        <c:noMultiLvlLbl val="0"/>
      </c:catAx>
      <c:valAx>
        <c:axId val="7615844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6158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[Cleaned_Multi-Regional Sales Operations_Dashboard.xlsx]service_level_proxy!PivotTable16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service_level_proxy!$B$3:$B$4</c:f>
              <c:strCache>
                <c:ptCount val="1"/>
                <c:pt idx="0">
                  <c:v>Accessories</c:v>
                </c:pt>
              </c:strCache>
            </c:strRef>
          </c:tx>
          <c:spPr>
            <a:solidFill>
              <a:schemeClr val="accent1"/>
            </a:solidFill>
            <a:ln>
              <a:noFill/>
            </a:ln>
            <a:effectLst/>
          </c:spPr>
          <c:invertIfNegative val="0"/>
          <c:cat>
            <c:strRef>
              <c:f>service_level_proxy!$A$5:$A$17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service_level_proxy!$B$5:$B$17</c:f>
              <c:numCache>
                <c:formatCode>0.00%</c:formatCode>
                <c:ptCount val="12"/>
                <c:pt idx="0">
                  <c:v>0.3</c:v>
                </c:pt>
                <c:pt idx="1">
                  <c:v>0.16666666666666666</c:v>
                </c:pt>
                <c:pt idx="2">
                  <c:v>0.75</c:v>
                </c:pt>
                <c:pt idx="3">
                  <c:v>0.14285714285714285</c:v>
                </c:pt>
                <c:pt idx="4">
                  <c:v>0.44444444444444442</c:v>
                </c:pt>
                <c:pt idx="5">
                  <c:v>0.25</c:v>
                </c:pt>
                <c:pt idx="6">
                  <c:v>0.2</c:v>
                </c:pt>
                <c:pt idx="7">
                  <c:v>0.4</c:v>
                </c:pt>
                <c:pt idx="8">
                  <c:v>0.30769230769230771</c:v>
                </c:pt>
                <c:pt idx="9">
                  <c:v>0.5</c:v>
                </c:pt>
                <c:pt idx="10">
                  <c:v>0.125</c:v>
                </c:pt>
                <c:pt idx="11">
                  <c:v>0.5</c:v>
                </c:pt>
              </c:numCache>
            </c:numRef>
          </c:val>
          <c:extLst>
            <c:ext xmlns:c16="http://schemas.microsoft.com/office/drawing/2014/chart" uri="{C3380CC4-5D6E-409C-BE32-E72D297353CC}">
              <c16:uniqueId val="{00000000-B26B-477F-A287-853E243A20AD}"/>
            </c:ext>
          </c:extLst>
        </c:ser>
        <c:ser>
          <c:idx val="1"/>
          <c:order val="1"/>
          <c:tx>
            <c:strRef>
              <c:f>service_level_proxy!$C$3:$C$4</c:f>
              <c:strCache>
                <c:ptCount val="1"/>
                <c:pt idx="0">
                  <c:v>Components</c:v>
                </c:pt>
              </c:strCache>
            </c:strRef>
          </c:tx>
          <c:spPr>
            <a:solidFill>
              <a:schemeClr val="accent2"/>
            </a:solidFill>
            <a:ln>
              <a:noFill/>
            </a:ln>
            <a:effectLst/>
          </c:spPr>
          <c:invertIfNegative val="0"/>
          <c:cat>
            <c:strRef>
              <c:f>service_level_proxy!$A$5:$A$17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service_level_proxy!$C$5:$C$17</c:f>
              <c:numCache>
                <c:formatCode>0.00%</c:formatCode>
                <c:ptCount val="12"/>
                <c:pt idx="0">
                  <c:v>0.14285714285714285</c:v>
                </c:pt>
                <c:pt idx="1">
                  <c:v>0.33333333333333331</c:v>
                </c:pt>
                <c:pt idx="2">
                  <c:v>0</c:v>
                </c:pt>
                <c:pt idx="3">
                  <c:v>0.3</c:v>
                </c:pt>
                <c:pt idx="4">
                  <c:v>0.33333333333333331</c:v>
                </c:pt>
                <c:pt idx="5">
                  <c:v>0.2</c:v>
                </c:pt>
                <c:pt idx="6">
                  <c:v>0.25</c:v>
                </c:pt>
                <c:pt idx="7">
                  <c:v>0.2</c:v>
                </c:pt>
                <c:pt idx="8">
                  <c:v>0.16666666666666666</c:v>
                </c:pt>
                <c:pt idx="9">
                  <c:v>0.18181818181818182</c:v>
                </c:pt>
                <c:pt idx="10">
                  <c:v>0.2857142857142857</c:v>
                </c:pt>
                <c:pt idx="11">
                  <c:v>0.4</c:v>
                </c:pt>
              </c:numCache>
            </c:numRef>
          </c:val>
          <c:extLst>
            <c:ext xmlns:c16="http://schemas.microsoft.com/office/drawing/2014/chart" uri="{C3380CC4-5D6E-409C-BE32-E72D297353CC}">
              <c16:uniqueId val="{00000001-2B78-4117-B457-BB27E23CCDD6}"/>
            </c:ext>
          </c:extLst>
        </c:ser>
        <c:ser>
          <c:idx val="2"/>
          <c:order val="2"/>
          <c:tx>
            <c:strRef>
              <c:f>service_level_proxy!$D$3:$D$4</c:f>
              <c:strCache>
                <c:ptCount val="1"/>
                <c:pt idx="0">
                  <c:v>Laptops</c:v>
                </c:pt>
              </c:strCache>
            </c:strRef>
          </c:tx>
          <c:spPr>
            <a:solidFill>
              <a:schemeClr val="accent3"/>
            </a:solidFill>
            <a:ln>
              <a:noFill/>
            </a:ln>
            <a:effectLst/>
          </c:spPr>
          <c:invertIfNegative val="0"/>
          <c:cat>
            <c:strRef>
              <c:f>service_level_proxy!$A$5:$A$17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service_level_proxy!$D$5:$D$17</c:f>
              <c:numCache>
                <c:formatCode>0.00%</c:formatCode>
                <c:ptCount val="12"/>
                <c:pt idx="0">
                  <c:v>0.2</c:v>
                </c:pt>
                <c:pt idx="1">
                  <c:v>0.33333333333333331</c:v>
                </c:pt>
                <c:pt idx="2">
                  <c:v>0.2</c:v>
                </c:pt>
                <c:pt idx="3">
                  <c:v>0.33333333333333331</c:v>
                </c:pt>
                <c:pt idx="4">
                  <c:v>0.2857142857142857</c:v>
                </c:pt>
                <c:pt idx="5">
                  <c:v>0.1111111111111111</c:v>
                </c:pt>
                <c:pt idx="6">
                  <c:v>0.2857142857142857</c:v>
                </c:pt>
                <c:pt idx="7">
                  <c:v>0.5</c:v>
                </c:pt>
                <c:pt idx="8">
                  <c:v>0.5</c:v>
                </c:pt>
                <c:pt idx="9">
                  <c:v>0</c:v>
                </c:pt>
                <c:pt idx="10">
                  <c:v>0.33333333333333331</c:v>
                </c:pt>
                <c:pt idx="11">
                  <c:v>0.2</c:v>
                </c:pt>
              </c:numCache>
            </c:numRef>
          </c:val>
          <c:extLst>
            <c:ext xmlns:c16="http://schemas.microsoft.com/office/drawing/2014/chart" uri="{C3380CC4-5D6E-409C-BE32-E72D297353CC}">
              <c16:uniqueId val="{00000002-2B78-4117-B457-BB27E23CCDD6}"/>
            </c:ext>
          </c:extLst>
        </c:ser>
        <c:ser>
          <c:idx val="3"/>
          <c:order val="3"/>
          <c:tx>
            <c:strRef>
              <c:f>service_level_proxy!$E$3:$E$4</c:f>
              <c:strCache>
                <c:ptCount val="1"/>
                <c:pt idx="0">
                  <c:v>Monitors</c:v>
                </c:pt>
              </c:strCache>
            </c:strRef>
          </c:tx>
          <c:spPr>
            <a:solidFill>
              <a:schemeClr val="accent4"/>
            </a:solidFill>
            <a:ln>
              <a:noFill/>
            </a:ln>
            <a:effectLst/>
          </c:spPr>
          <c:invertIfNegative val="0"/>
          <c:cat>
            <c:strRef>
              <c:f>service_level_proxy!$A$5:$A$17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service_level_proxy!$E$5:$E$17</c:f>
              <c:numCache>
                <c:formatCode>0.00%</c:formatCode>
                <c:ptCount val="12"/>
                <c:pt idx="0">
                  <c:v>8.3333333333333329E-2</c:v>
                </c:pt>
                <c:pt idx="1">
                  <c:v>0</c:v>
                </c:pt>
                <c:pt idx="2">
                  <c:v>0.16666666666666666</c:v>
                </c:pt>
                <c:pt idx="3">
                  <c:v>0.3</c:v>
                </c:pt>
                <c:pt idx="4">
                  <c:v>0</c:v>
                </c:pt>
                <c:pt idx="5">
                  <c:v>0.16666666666666666</c:v>
                </c:pt>
                <c:pt idx="6">
                  <c:v>0.2857142857142857</c:v>
                </c:pt>
                <c:pt idx="7">
                  <c:v>0</c:v>
                </c:pt>
                <c:pt idx="8">
                  <c:v>0.6</c:v>
                </c:pt>
                <c:pt idx="9">
                  <c:v>0.14285714285714285</c:v>
                </c:pt>
                <c:pt idx="10">
                  <c:v>0.2857142857142857</c:v>
                </c:pt>
                <c:pt idx="11">
                  <c:v>0</c:v>
                </c:pt>
              </c:numCache>
            </c:numRef>
          </c:val>
          <c:extLst>
            <c:ext xmlns:c16="http://schemas.microsoft.com/office/drawing/2014/chart" uri="{C3380CC4-5D6E-409C-BE32-E72D297353CC}">
              <c16:uniqueId val="{00000003-2B78-4117-B457-BB27E23CCDD6}"/>
            </c:ext>
          </c:extLst>
        </c:ser>
        <c:ser>
          <c:idx val="4"/>
          <c:order val="4"/>
          <c:tx>
            <c:strRef>
              <c:f>service_level_proxy!$F$3:$F$4</c:f>
              <c:strCache>
                <c:ptCount val="1"/>
                <c:pt idx="0">
                  <c:v>Networking</c:v>
                </c:pt>
              </c:strCache>
            </c:strRef>
          </c:tx>
          <c:spPr>
            <a:solidFill>
              <a:schemeClr val="accent5"/>
            </a:solidFill>
            <a:ln>
              <a:noFill/>
            </a:ln>
            <a:effectLst/>
          </c:spPr>
          <c:invertIfNegative val="0"/>
          <c:cat>
            <c:strRef>
              <c:f>service_level_proxy!$A$5:$A$17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service_level_proxy!$F$5:$F$17</c:f>
              <c:numCache>
                <c:formatCode>0.00%</c:formatCode>
                <c:ptCount val="12"/>
                <c:pt idx="0">
                  <c:v>0.16666666666666666</c:v>
                </c:pt>
                <c:pt idx="1">
                  <c:v>0</c:v>
                </c:pt>
                <c:pt idx="2">
                  <c:v>0.375</c:v>
                </c:pt>
                <c:pt idx="3">
                  <c:v>0.16666666666666666</c:v>
                </c:pt>
                <c:pt idx="4">
                  <c:v>0.25</c:v>
                </c:pt>
                <c:pt idx="5">
                  <c:v>0.14285714285714285</c:v>
                </c:pt>
                <c:pt idx="6">
                  <c:v>0</c:v>
                </c:pt>
                <c:pt idx="7">
                  <c:v>0.33333333333333331</c:v>
                </c:pt>
                <c:pt idx="8">
                  <c:v>0.5</c:v>
                </c:pt>
                <c:pt idx="9">
                  <c:v>0.2857142857142857</c:v>
                </c:pt>
                <c:pt idx="10">
                  <c:v>0.22222222222222221</c:v>
                </c:pt>
                <c:pt idx="11">
                  <c:v>0.2</c:v>
                </c:pt>
              </c:numCache>
            </c:numRef>
          </c:val>
          <c:extLst>
            <c:ext xmlns:c16="http://schemas.microsoft.com/office/drawing/2014/chart" uri="{C3380CC4-5D6E-409C-BE32-E72D297353CC}">
              <c16:uniqueId val="{00000004-2B78-4117-B457-BB27E23CCDD6}"/>
            </c:ext>
          </c:extLst>
        </c:ser>
        <c:ser>
          <c:idx val="5"/>
          <c:order val="5"/>
          <c:tx>
            <c:strRef>
              <c:f>service_level_proxy!$G$3:$G$4</c:f>
              <c:strCache>
                <c:ptCount val="1"/>
                <c:pt idx="0">
                  <c:v>Phones</c:v>
                </c:pt>
              </c:strCache>
            </c:strRef>
          </c:tx>
          <c:spPr>
            <a:solidFill>
              <a:schemeClr val="accent6"/>
            </a:solidFill>
            <a:ln>
              <a:noFill/>
            </a:ln>
            <a:effectLst/>
          </c:spPr>
          <c:invertIfNegative val="0"/>
          <c:cat>
            <c:strRef>
              <c:f>service_level_proxy!$A$5:$A$17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service_level_proxy!$G$5:$G$17</c:f>
              <c:numCache>
                <c:formatCode>0.00%</c:formatCode>
                <c:ptCount val="12"/>
                <c:pt idx="0">
                  <c:v>0.44444444444444442</c:v>
                </c:pt>
                <c:pt idx="1">
                  <c:v>0</c:v>
                </c:pt>
                <c:pt idx="2">
                  <c:v>0.14285714285714285</c:v>
                </c:pt>
                <c:pt idx="3">
                  <c:v>0</c:v>
                </c:pt>
                <c:pt idx="4">
                  <c:v>0.14285714285714285</c:v>
                </c:pt>
                <c:pt idx="5">
                  <c:v>0.22222222222222221</c:v>
                </c:pt>
                <c:pt idx="6">
                  <c:v>9.0909090909090912E-2</c:v>
                </c:pt>
                <c:pt idx="7">
                  <c:v>0.13333333333333333</c:v>
                </c:pt>
                <c:pt idx="8">
                  <c:v>0.16666666666666666</c:v>
                </c:pt>
                <c:pt idx="9">
                  <c:v>0.5</c:v>
                </c:pt>
                <c:pt idx="10">
                  <c:v>0</c:v>
                </c:pt>
                <c:pt idx="11">
                  <c:v>0.1</c:v>
                </c:pt>
              </c:numCache>
            </c:numRef>
          </c:val>
          <c:extLst>
            <c:ext xmlns:c16="http://schemas.microsoft.com/office/drawing/2014/chart" uri="{C3380CC4-5D6E-409C-BE32-E72D297353CC}">
              <c16:uniqueId val="{00000005-2B78-4117-B457-BB27E23CCDD6}"/>
            </c:ext>
          </c:extLst>
        </c:ser>
        <c:ser>
          <c:idx val="6"/>
          <c:order val="6"/>
          <c:tx>
            <c:strRef>
              <c:f>service_level_proxy!$H$3:$H$4</c:f>
              <c:strCache>
                <c:ptCount val="1"/>
                <c:pt idx="0">
                  <c:v>Printers</c:v>
                </c:pt>
              </c:strCache>
            </c:strRef>
          </c:tx>
          <c:spPr>
            <a:solidFill>
              <a:schemeClr val="accent1">
                <a:lumMod val="60000"/>
              </a:schemeClr>
            </a:solidFill>
            <a:ln>
              <a:noFill/>
            </a:ln>
            <a:effectLst/>
          </c:spPr>
          <c:invertIfNegative val="0"/>
          <c:cat>
            <c:strRef>
              <c:f>service_level_proxy!$A$5:$A$17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service_level_proxy!$H$5:$H$17</c:f>
              <c:numCache>
                <c:formatCode>0.00%</c:formatCode>
                <c:ptCount val="12"/>
                <c:pt idx="0">
                  <c:v>0.14285714285714285</c:v>
                </c:pt>
                <c:pt idx="1">
                  <c:v>7.6923076923076927E-2</c:v>
                </c:pt>
                <c:pt idx="2">
                  <c:v>0</c:v>
                </c:pt>
                <c:pt idx="3">
                  <c:v>0.16666666666666666</c:v>
                </c:pt>
                <c:pt idx="4">
                  <c:v>0.125</c:v>
                </c:pt>
                <c:pt idx="5">
                  <c:v>0.16666666666666666</c:v>
                </c:pt>
                <c:pt idx="6">
                  <c:v>0.22222222222222221</c:v>
                </c:pt>
                <c:pt idx="7">
                  <c:v>0.125</c:v>
                </c:pt>
                <c:pt idx="8">
                  <c:v>0.16666666666666666</c:v>
                </c:pt>
                <c:pt idx="9">
                  <c:v>0.2</c:v>
                </c:pt>
                <c:pt idx="10">
                  <c:v>0.3</c:v>
                </c:pt>
                <c:pt idx="11">
                  <c:v>0.75</c:v>
                </c:pt>
              </c:numCache>
            </c:numRef>
          </c:val>
          <c:extLst>
            <c:ext xmlns:c16="http://schemas.microsoft.com/office/drawing/2014/chart" uri="{C3380CC4-5D6E-409C-BE32-E72D297353CC}">
              <c16:uniqueId val="{00000006-2B78-4117-B457-BB27E23CCDD6}"/>
            </c:ext>
          </c:extLst>
        </c:ser>
        <c:dLbls>
          <c:showLegendKey val="0"/>
          <c:showVal val="0"/>
          <c:showCatName val="0"/>
          <c:showSerName val="0"/>
          <c:showPercent val="0"/>
          <c:showBubbleSize val="0"/>
        </c:dLbls>
        <c:gapWidth val="219"/>
        <c:overlap val="-27"/>
        <c:axId val="1558970240"/>
        <c:axId val="1558966400"/>
      </c:barChart>
      <c:catAx>
        <c:axId val="155897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58966400"/>
        <c:crosses val="autoZero"/>
        <c:auto val="1"/>
        <c:lblAlgn val="ctr"/>
        <c:lblOffset val="100"/>
        <c:noMultiLvlLbl val="0"/>
      </c:catAx>
      <c:valAx>
        <c:axId val="15589664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5897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[Cleaned_Multi-Regional Sales Operations_Dashboard.xlsx]revenue by month!PivotTable1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C00000"/>
                </a:solidFill>
              </a:rPr>
              <a:t>Sum</a:t>
            </a:r>
            <a:r>
              <a:rPr lang="en-US" baseline="0">
                <a:solidFill>
                  <a:srgbClr val="C00000"/>
                </a:solidFill>
              </a:rPr>
              <a:t> of revenue per month</a:t>
            </a:r>
            <a:endParaRPr lang="en-US">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'revenue by month'!$A$4:$A$37</c:f>
              <c:strCache>
                <c:ptCount val="33"/>
                <c:pt idx="0">
                  <c:v>Apr-2023</c:v>
                </c:pt>
                <c:pt idx="1">
                  <c:v>Apr-2024</c:v>
                </c:pt>
                <c:pt idx="2">
                  <c:v>Apr-2025</c:v>
                </c:pt>
                <c:pt idx="3">
                  <c:v>Aug-2023</c:v>
                </c:pt>
                <c:pt idx="4">
                  <c:v>Aug-2024</c:v>
                </c:pt>
                <c:pt idx="5">
                  <c:v>Aug-2025</c:v>
                </c:pt>
                <c:pt idx="6">
                  <c:v>Dec-2023</c:v>
                </c:pt>
                <c:pt idx="7">
                  <c:v>Dec-2024</c:v>
                </c:pt>
                <c:pt idx="8">
                  <c:v>Feb-2023</c:v>
                </c:pt>
                <c:pt idx="9">
                  <c:v>Feb-2024</c:v>
                </c:pt>
                <c:pt idx="10">
                  <c:v>Feb-2025</c:v>
                </c:pt>
                <c:pt idx="11">
                  <c:v>Jan-2023</c:v>
                </c:pt>
                <c:pt idx="12">
                  <c:v>Jan-2024</c:v>
                </c:pt>
                <c:pt idx="13">
                  <c:v>Jan-2025</c:v>
                </c:pt>
                <c:pt idx="14">
                  <c:v>Jul-2023</c:v>
                </c:pt>
                <c:pt idx="15">
                  <c:v>Jul-2024</c:v>
                </c:pt>
                <c:pt idx="16">
                  <c:v>Jul-2025</c:v>
                </c:pt>
                <c:pt idx="17">
                  <c:v>Jun-2023</c:v>
                </c:pt>
                <c:pt idx="18">
                  <c:v>Jun-2024</c:v>
                </c:pt>
                <c:pt idx="19">
                  <c:v>Jun-2025</c:v>
                </c:pt>
                <c:pt idx="20">
                  <c:v>Mar-2023</c:v>
                </c:pt>
                <c:pt idx="21">
                  <c:v>Mar-2024</c:v>
                </c:pt>
                <c:pt idx="22">
                  <c:v>Mar-2025</c:v>
                </c:pt>
                <c:pt idx="23">
                  <c:v>May-2023</c:v>
                </c:pt>
                <c:pt idx="24">
                  <c:v>May-2024</c:v>
                </c:pt>
                <c:pt idx="25">
                  <c:v>May-2025</c:v>
                </c:pt>
                <c:pt idx="26">
                  <c:v>Nov-2023</c:v>
                </c:pt>
                <c:pt idx="27">
                  <c:v>Nov-2024</c:v>
                </c:pt>
                <c:pt idx="28">
                  <c:v>Oct-2023</c:v>
                </c:pt>
                <c:pt idx="29">
                  <c:v>Oct-2024</c:v>
                </c:pt>
                <c:pt idx="30">
                  <c:v>Sept-2023</c:v>
                </c:pt>
                <c:pt idx="31">
                  <c:v>Sept-2024</c:v>
                </c:pt>
                <c:pt idx="32">
                  <c:v>Sept-2025</c:v>
                </c:pt>
              </c:strCache>
            </c:strRef>
          </c:cat>
          <c:val>
            <c:numRef>
              <c:f>'revenue by month'!$B$4:$B$37</c:f>
              <c:numCache>
                <c:formatCode>General</c:formatCode>
                <c:ptCount val="33"/>
                <c:pt idx="0">
                  <c:v>371604.58273999998</c:v>
                </c:pt>
                <c:pt idx="1">
                  <c:v>239506.82714000004</c:v>
                </c:pt>
                <c:pt idx="2">
                  <c:v>336135.16749999998</c:v>
                </c:pt>
                <c:pt idx="3">
                  <c:v>339044.67039000004</c:v>
                </c:pt>
                <c:pt idx="4">
                  <c:v>383755.4196599999</c:v>
                </c:pt>
                <c:pt idx="5">
                  <c:v>366808.72249999997</c:v>
                </c:pt>
                <c:pt idx="6">
                  <c:v>382101.36680000002</c:v>
                </c:pt>
                <c:pt idx="7">
                  <c:v>354378.93716000003</c:v>
                </c:pt>
                <c:pt idx="8">
                  <c:v>433788.64049000002</c:v>
                </c:pt>
                <c:pt idx="9">
                  <c:v>307793.71461999998</c:v>
                </c:pt>
                <c:pt idx="10">
                  <c:v>221608.49786999999</c:v>
                </c:pt>
                <c:pt idx="11">
                  <c:v>178642.73714999997</c:v>
                </c:pt>
                <c:pt idx="12">
                  <c:v>299100.37307999999</c:v>
                </c:pt>
                <c:pt idx="13">
                  <c:v>223498.20032000003</c:v>
                </c:pt>
                <c:pt idx="14">
                  <c:v>550462.84643999999</c:v>
                </c:pt>
                <c:pt idx="15">
                  <c:v>275628.61962999997</c:v>
                </c:pt>
                <c:pt idx="16">
                  <c:v>486970.83348000003</c:v>
                </c:pt>
                <c:pt idx="17">
                  <c:v>236474.06157000002</c:v>
                </c:pt>
                <c:pt idx="18">
                  <c:v>634490.72337999998</c:v>
                </c:pt>
                <c:pt idx="19">
                  <c:v>382009.37596000009</c:v>
                </c:pt>
                <c:pt idx="20">
                  <c:v>215576.67437999998</c:v>
                </c:pt>
                <c:pt idx="21">
                  <c:v>374300.10981000005</c:v>
                </c:pt>
                <c:pt idx="22">
                  <c:v>209101.52076000004</c:v>
                </c:pt>
                <c:pt idx="23">
                  <c:v>469902.36901999998</c:v>
                </c:pt>
                <c:pt idx="24">
                  <c:v>416985.76567000011</c:v>
                </c:pt>
                <c:pt idx="25">
                  <c:v>375285.78266000003</c:v>
                </c:pt>
                <c:pt idx="26">
                  <c:v>127009.5058</c:v>
                </c:pt>
                <c:pt idx="27">
                  <c:v>416944.18554999994</c:v>
                </c:pt>
                <c:pt idx="28">
                  <c:v>241851.10650000002</c:v>
                </c:pt>
                <c:pt idx="29">
                  <c:v>416924.94901000004</c:v>
                </c:pt>
                <c:pt idx="30">
                  <c:v>141266.51418999999</c:v>
                </c:pt>
                <c:pt idx="31">
                  <c:v>347613.18767000007</c:v>
                </c:pt>
                <c:pt idx="32">
                  <c:v>172279.72760000001</c:v>
                </c:pt>
              </c:numCache>
            </c:numRef>
          </c:val>
          <c:smooth val="0"/>
          <c:extLst>
            <c:ext xmlns:c16="http://schemas.microsoft.com/office/drawing/2014/chart" uri="{C3380CC4-5D6E-409C-BE32-E72D297353CC}">
              <c16:uniqueId val="{00000000-3096-4C6E-AAD6-E568E9CE6E53}"/>
            </c:ext>
          </c:extLst>
        </c:ser>
        <c:dLbls>
          <c:showLegendKey val="0"/>
          <c:showVal val="0"/>
          <c:showCatName val="0"/>
          <c:showSerName val="0"/>
          <c:showPercent val="0"/>
          <c:showBubbleSize val="0"/>
        </c:dLbls>
        <c:marker val="1"/>
        <c:smooth val="0"/>
        <c:axId val="907022256"/>
        <c:axId val="907022736"/>
      </c:lineChart>
      <c:catAx>
        <c:axId val="90702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07022736"/>
        <c:crosses val="autoZero"/>
        <c:auto val="1"/>
        <c:lblAlgn val="ctr"/>
        <c:lblOffset val="100"/>
        <c:noMultiLvlLbl val="0"/>
      </c:catAx>
      <c:valAx>
        <c:axId val="90702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0702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[Cleaned_Multi-Regional Sales Operations_Dashboard.xlsx]profit by region and channel!PivotTable2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solidFill>
                  <a:srgbClr val="C00000"/>
                </a:solidFill>
              </a:rPr>
              <a:t>Sum of profit by region and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region and channel'!$B$3:$B$4</c:f>
              <c:strCache>
                <c:ptCount val="1"/>
                <c:pt idx="0">
                  <c:v>Africa</c:v>
                </c:pt>
              </c:strCache>
            </c:strRef>
          </c:tx>
          <c:spPr>
            <a:solidFill>
              <a:schemeClr val="accent1"/>
            </a:solidFill>
            <a:ln>
              <a:noFill/>
            </a:ln>
            <a:effectLst/>
          </c:spPr>
          <c:invertIfNegative val="0"/>
          <c:cat>
            <c:strRef>
              <c:f>'profit by region and channel'!$A$5:$A$11</c:f>
              <c:strCache>
                <c:ptCount val="6"/>
                <c:pt idx="0">
                  <c:v>Direct</c:v>
                </c:pt>
                <c:pt idx="1">
                  <c:v>Distributor</c:v>
                </c:pt>
                <c:pt idx="2">
                  <c:v>Marketplace</c:v>
                </c:pt>
                <c:pt idx="3">
                  <c:v>Online</c:v>
                </c:pt>
                <c:pt idx="4">
                  <c:v>Retail</c:v>
                </c:pt>
                <c:pt idx="5">
                  <c:v>unknown</c:v>
                </c:pt>
              </c:strCache>
            </c:strRef>
          </c:cat>
          <c:val>
            <c:numRef>
              <c:f>'profit by region and channel'!$B$5:$B$11</c:f>
              <c:numCache>
                <c:formatCode>General</c:formatCode>
                <c:ptCount val="6"/>
                <c:pt idx="0">
                  <c:v>177919.81969999999</c:v>
                </c:pt>
                <c:pt idx="1">
                  <c:v>192042.35206999999</c:v>
                </c:pt>
                <c:pt idx="2">
                  <c:v>164839.30455999999</c:v>
                </c:pt>
                <c:pt idx="3">
                  <c:v>145453.94626999996</c:v>
                </c:pt>
                <c:pt idx="4">
                  <c:v>141171.08466999998</c:v>
                </c:pt>
                <c:pt idx="5">
                  <c:v>16237.344229999999</c:v>
                </c:pt>
              </c:numCache>
            </c:numRef>
          </c:val>
          <c:extLst>
            <c:ext xmlns:c16="http://schemas.microsoft.com/office/drawing/2014/chart" uri="{C3380CC4-5D6E-409C-BE32-E72D297353CC}">
              <c16:uniqueId val="{00000000-2487-472F-A2B6-DAF326A444BB}"/>
            </c:ext>
          </c:extLst>
        </c:ser>
        <c:ser>
          <c:idx val="1"/>
          <c:order val="1"/>
          <c:tx>
            <c:strRef>
              <c:f>'profit by region and channel'!$C$3:$C$4</c:f>
              <c:strCache>
                <c:ptCount val="1"/>
                <c:pt idx="0">
                  <c:v>Americas</c:v>
                </c:pt>
              </c:strCache>
            </c:strRef>
          </c:tx>
          <c:spPr>
            <a:solidFill>
              <a:schemeClr val="accent2"/>
            </a:solidFill>
            <a:ln>
              <a:noFill/>
            </a:ln>
            <a:effectLst/>
          </c:spPr>
          <c:invertIfNegative val="0"/>
          <c:cat>
            <c:strRef>
              <c:f>'profit by region and channel'!$A$5:$A$11</c:f>
              <c:strCache>
                <c:ptCount val="6"/>
                <c:pt idx="0">
                  <c:v>Direct</c:v>
                </c:pt>
                <c:pt idx="1">
                  <c:v>Distributor</c:v>
                </c:pt>
                <c:pt idx="2">
                  <c:v>Marketplace</c:v>
                </c:pt>
                <c:pt idx="3">
                  <c:v>Online</c:v>
                </c:pt>
                <c:pt idx="4">
                  <c:v>Retail</c:v>
                </c:pt>
                <c:pt idx="5">
                  <c:v>unknown</c:v>
                </c:pt>
              </c:strCache>
            </c:strRef>
          </c:cat>
          <c:val>
            <c:numRef>
              <c:f>'profit by region and channel'!$C$5:$C$11</c:f>
              <c:numCache>
                <c:formatCode>General</c:formatCode>
                <c:ptCount val="6"/>
                <c:pt idx="0">
                  <c:v>258674.92591000002</c:v>
                </c:pt>
                <c:pt idx="1">
                  <c:v>175298.68431999997</c:v>
                </c:pt>
                <c:pt idx="2">
                  <c:v>96609.647519999999</c:v>
                </c:pt>
                <c:pt idx="3">
                  <c:v>261943.84436999995</c:v>
                </c:pt>
                <c:pt idx="4">
                  <c:v>69035.709220000004</c:v>
                </c:pt>
                <c:pt idx="5">
                  <c:v>777.95999999999913</c:v>
                </c:pt>
              </c:numCache>
            </c:numRef>
          </c:val>
          <c:extLst>
            <c:ext xmlns:c16="http://schemas.microsoft.com/office/drawing/2014/chart" uri="{C3380CC4-5D6E-409C-BE32-E72D297353CC}">
              <c16:uniqueId val="{00000001-357B-4324-9103-B1EE26730F27}"/>
            </c:ext>
          </c:extLst>
        </c:ser>
        <c:ser>
          <c:idx val="2"/>
          <c:order val="2"/>
          <c:tx>
            <c:strRef>
              <c:f>'profit by region and channel'!$D$3:$D$4</c:f>
              <c:strCache>
                <c:ptCount val="1"/>
                <c:pt idx="0">
                  <c:v>Asia</c:v>
                </c:pt>
              </c:strCache>
            </c:strRef>
          </c:tx>
          <c:spPr>
            <a:solidFill>
              <a:schemeClr val="accent3"/>
            </a:solidFill>
            <a:ln>
              <a:noFill/>
            </a:ln>
            <a:effectLst/>
          </c:spPr>
          <c:invertIfNegative val="0"/>
          <c:cat>
            <c:strRef>
              <c:f>'profit by region and channel'!$A$5:$A$11</c:f>
              <c:strCache>
                <c:ptCount val="6"/>
                <c:pt idx="0">
                  <c:v>Direct</c:v>
                </c:pt>
                <c:pt idx="1">
                  <c:v>Distributor</c:v>
                </c:pt>
                <c:pt idx="2">
                  <c:v>Marketplace</c:v>
                </c:pt>
                <c:pt idx="3">
                  <c:v>Online</c:v>
                </c:pt>
                <c:pt idx="4">
                  <c:v>Retail</c:v>
                </c:pt>
                <c:pt idx="5">
                  <c:v>unknown</c:v>
                </c:pt>
              </c:strCache>
            </c:strRef>
          </c:cat>
          <c:val>
            <c:numRef>
              <c:f>'profit by region and channel'!$D$5:$D$11</c:f>
              <c:numCache>
                <c:formatCode>General</c:formatCode>
                <c:ptCount val="6"/>
                <c:pt idx="0">
                  <c:v>229217.47858</c:v>
                </c:pt>
                <c:pt idx="1">
                  <c:v>151146.74599000002</c:v>
                </c:pt>
                <c:pt idx="2">
                  <c:v>128045.00806000001</c:v>
                </c:pt>
                <c:pt idx="3">
                  <c:v>149042.38968999998</c:v>
                </c:pt>
                <c:pt idx="4">
                  <c:v>153258.55984000003</c:v>
                </c:pt>
                <c:pt idx="5">
                  <c:v>20547.545489999997</c:v>
                </c:pt>
              </c:numCache>
            </c:numRef>
          </c:val>
          <c:extLst>
            <c:ext xmlns:c16="http://schemas.microsoft.com/office/drawing/2014/chart" uri="{C3380CC4-5D6E-409C-BE32-E72D297353CC}">
              <c16:uniqueId val="{00000002-357B-4324-9103-B1EE26730F27}"/>
            </c:ext>
          </c:extLst>
        </c:ser>
        <c:ser>
          <c:idx val="3"/>
          <c:order val="3"/>
          <c:tx>
            <c:strRef>
              <c:f>'profit by region and channel'!$E$3:$E$4</c:f>
              <c:strCache>
                <c:ptCount val="1"/>
                <c:pt idx="0">
                  <c:v>Europe</c:v>
                </c:pt>
              </c:strCache>
            </c:strRef>
          </c:tx>
          <c:spPr>
            <a:solidFill>
              <a:schemeClr val="accent4"/>
            </a:solidFill>
            <a:ln>
              <a:noFill/>
            </a:ln>
            <a:effectLst/>
          </c:spPr>
          <c:invertIfNegative val="0"/>
          <c:cat>
            <c:strRef>
              <c:f>'profit by region and channel'!$A$5:$A$11</c:f>
              <c:strCache>
                <c:ptCount val="6"/>
                <c:pt idx="0">
                  <c:v>Direct</c:v>
                </c:pt>
                <c:pt idx="1">
                  <c:v>Distributor</c:v>
                </c:pt>
                <c:pt idx="2">
                  <c:v>Marketplace</c:v>
                </c:pt>
                <c:pt idx="3">
                  <c:v>Online</c:v>
                </c:pt>
                <c:pt idx="4">
                  <c:v>Retail</c:v>
                </c:pt>
                <c:pt idx="5">
                  <c:v>unknown</c:v>
                </c:pt>
              </c:strCache>
            </c:strRef>
          </c:cat>
          <c:val>
            <c:numRef>
              <c:f>'profit by region and channel'!$E$5:$E$11</c:f>
              <c:numCache>
                <c:formatCode>General</c:formatCode>
                <c:ptCount val="6"/>
                <c:pt idx="0">
                  <c:v>292716.95204</c:v>
                </c:pt>
                <c:pt idx="1">
                  <c:v>105550.85220000002</c:v>
                </c:pt>
                <c:pt idx="2">
                  <c:v>111692.81024999999</c:v>
                </c:pt>
                <c:pt idx="3">
                  <c:v>200067.16276999997</c:v>
                </c:pt>
                <c:pt idx="4">
                  <c:v>151779.17228999996</c:v>
                </c:pt>
                <c:pt idx="5">
                  <c:v>8028.7064599999994</c:v>
                </c:pt>
              </c:numCache>
            </c:numRef>
          </c:val>
          <c:extLst>
            <c:ext xmlns:c16="http://schemas.microsoft.com/office/drawing/2014/chart" uri="{C3380CC4-5D6E-409C-BE32-E72D297353CC}">
              <c16:uniqueId val="{00000003-357B-4324-9103-B1EE26730F27}"/>
            </c:ext>
          </c:extLst>
        </c:ser>
        <c:dLbls>
          <c:showLegendKey val="0"/>
          <c:showVal val="0"/>
          <c:showCatName val="0"/>
          <c:showSerName val="0"/>
          <c:showPercent val="0"/>
          <c:showBubbleSize val="0"/>
        </c:dLbls>
        <c:gapWidth val="150"/>
        <c:overlap val="100"/>
        <c:axId val="906983856"/>
        <c:axId val="906974736"/>
      </c:barChart>
      <c:catAx>
        <c:axId val="90698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06974736"/>
        <c:crosses val="autoZero"/>
        <c:auto val="1"/>
        <c:lblAlgn val="ctr"/>
        <c:lblOffset val="100"/>
        <c:noMultiLvlLbl val="0"/>
      </c:catAx>
      <c:valAx>
        <c:axId val="906974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06983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[Cleaned_Multi-Regional Sales Operations_Dashboard.xlsx]Top 10 SKUs by Revenue (bar)!PivotTable3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C00000"/>
                </a:solidFill>
              </a:rPr>
              <a:t>Top 10 SKUs by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SKUs by Revenue (bar)'!$B$3</c:f>
              <c:strCache>
                <c:ptCount val="1"/>
                <c:pt idx="0">
                  <c:v>Total</c:v>
                </c:pt>
              </c:strCache>
            </c:strRef>
          </c:tx>
          <c:spPr>
            <a:solidFill>
              <a:schemeClr val="accent4"/>
            </a:solidFill>
            <a:ln>
              <a:noFill/>
            </a:ln>
            <a:effectLst/>
          </c:spPr>
          <c:invertIfNegative val="0"/>
          <c:cat>
            <c:strRef>
              <c:f>'Top 10 SKUs by Revenue (bar)'!$A$4:$A$14</c:f>
              <c:strCache>
                <c:ptCount val="10"/>
                <c:pt idx="0">
                  <c:v>CMP-8851</c:v>
                </c:pt>
                <c:pt idx="1">
                  <c:v>NET-2365</c:v>
                </c:pt>
                <c:pt idx="2">
                  <c:v>LAP-8910</c:v>
                </c:pt>
                <c:pt idx="3">
                  <c:v>MON-6962</c:v>
                </c:pt>
                <c:pt idx="4">
                  <c:v>MON-2266</c:v>
                </c:pt>
                <c:pt idx="5">
                  <c:v>MON-6699</c:v>
                </c:pt>
                <c:pt idx="6">
                  <c:v>CMP-3938</c:v>
                </c:pt>
                <c:pt idx="7">
                  <c:v>LAP-3904</c:v>
                </c:pt>
                <c:pt idx="8">
                  <c:v>NET-5987</c:v>
                </c:pt>
                <c:pt idx="9">
                  <c:v>NET-5523</c:v>
                </c:pt>
              </c:strCache>
            </c:strRef>
          </c:cat>
          <c:val>
            <c:numRef>
              <c:f>'Top 10 SKUs by Revenue (bar)'!$B$4:$B$14</c:f>
              <c:numCache>
                <c:formatCode>0.00</c:formatCode>
                <c:ptCount val="10"/>
                <c:pt idx="0">
                  <c:v>139277.83032000001</c:v>
                </c:pt>
                <c:pt idx="1">
                  <c:v>109244</c:v>
                </c:pt>
                <c:pt idx="2">
                  <c:v>102122.94203999999</c:v>
                </c:pt>
                <c:pt idx="3">
                  <c:v>92715.25</c:v>
                </c:pt>
                <c:pt idx="4">
                  <c:v>87404.929919999995</c:v>
                </c:pt>
                <c:pt idx="5">
                  <c:v>85637.740319999997</c:v>
                </c:pt>
                <c:pt idx="6">
                  <c:v>84136.119600000005</c:v>
                </c:pt>
                <c:pt idx="7">
                  <c:v>82514.711519999997</c:v>
                </c:pt>
                <c:pt idx="8">
                  <c:v>82141.339799999987</c:v>
                </c:pt>
                <c:pt idx="9">
                  <c:v>79548.755999999994</c:v>
                </c:pt>
              </c:numCache>
            </c:numRef>
          </c:val>
          <c:extLst>
            <c:ext xmlns:c16="http://schemas.microsoft.com/office/drawing/2014/chart" uri="{C3380CC4-5D6E-409C-BE32-E72D297353CC}">
              <c16:uniqueId val="{00000000-5C7D-4F40-BB35-ED6DE43EAC8C}"/>
            </c:ext>
          </c:extLst>
        </c:ser>
        <c:dLbls>
          <c:showLegendKey val="0"/>
          <c:showVal val="0"/>
          <c:showCatName val="0"/>
          <c:showSerName val="0"/>
          <c:showPercent val="0"/>
          <c:showBubbleSize val="0"/>
        </c:dLbls>
        <c:gapWidth val="182"/>
        <c:axId val="907025136"/>
        <c:axId val="907021296"/>
      </c:barChart>
      <c:catAx>
        <c:axId val="907025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07021296"/>
        <c:crosses val="autoZero"/>
        <c:auto val="1"/>
        <c:lblAlgn val="ctr"/>
        <c:lblOffset val="100"/>
        <c:noMultiLvlLbl val="0"/>
      </c:catAx>
      <c:valAx>
        <c:axId val="9070212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0702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[Cleaned_Multi-Regional Sales Operations_Dashboard.xlsx]service_level_proxy!PivotTable16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solidFill>
                  <a:srgbClr val="C00000"/>
                </a:solidFill>
              </a:rPr>
              <a:t>Average</a:t>
            </a:r>
            <a:r>
              <a:rPr lang="nl-NL" baseline="0">
                <a:solidFill>
                  <a:srgbClr val="C00000"/>
                </a:solidFill>
              </a:rPr>
              <a:t> products sold withing the 7 lead days</a:t>
            </a:r>
            <a:endParaRPr lang="nl-NL">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service_level_proxy!$B$3:$B$4</c:f>
              <c:strCache>
                <c:ptCount val="1"/>
                <c:pt idx="0">
                  <c:v>Accessories</c:v>
                </c:pt>
              </c:strCache>
            </c:strRef>
          </c:tx>
          <c:spPr>
            <a:solidFill>
              <a:schemeClr val="accent1"/>
            </a:solidFill>
            <a:ln>
              <a:noFill/>
            </a:ln>
            <a:effectLst/>
          </c:spPr>
          <c:invertIfNegative val="0"/>
          <c:cat>
            <c:strRef>
              <c:f>service_level_proxy!$A$5:$A$17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service_level_proxy!$B$5:$B$17</c:f>
              <c:numCache>
                <c:formatCode>0.00%</c:formatCode>
                <c:ptCount val="12"/>
                <c:pt idx="0">
                  <c:v>0.3</c:v>
                </c:pt>
                <c:pt idx="1">
                  <c:v>0.16666666666666666</c:v>
                </c:pt>
                <c:pt idx="2">
                  <c:v>0.75</c:v>
                </c:pt>
                <c:pt idx="3">
                  <c:v>0.14285714285714285</c:v>
                </c:pt>
                <c:pt idx="4">
                  <c:v>0.44444444444444442</c:v>
                </c:pt>
                <c:pt idx="5">
                  <c:v>0.25</c:v>
                </c:pt>
                <c:pt idx="6">
                  <c:v>0.2</c:v>
                </c:pt>
                <c:pt idx="7">
                  <c:v>0.4</c:v>
                </c:pt>
                <c:pt idx="8">
                  <c:v>0.30769230769230771</c:v>
                </c:pt>
                <c:pt idx="9">
                  <c:v>0.5</c:v>
                </c:pt>
                <c:pt idx="10">
                  <c:v>0.125</c:v>
                </c:pt>
                <c:pt idx="11">
                  <c:v>0.5</c:v>
                </c:pt>
              </c:numCache>
            </c:numRef>
          </c:val>
          <c:extLst>
            <c:ext xmlns:c16="http://schemas.microsoft.com/office/drawing/2014/chart" uri="{C3380CC4-5D6E-409C-BE32-E72D297353CC}">
              <c16:uniqueId val="{00000000-232C-4BA0-90D4-32A52F50AB77}"/>
            </c:ext>
          </c:extLst>
        </c:ser>
        <c:ser>
          <c:idx val="1"/>
          <c:order val="1"/>
          <c:tx>
            <c:strRef>
              <c:f>service_level_proxy!$C$3:$C$4</c:f>
              <c:strCache>
                <c:ptCount val="1"/>
                <c:pt idx="0">
                  <c:v>Components</c:v>
                </c:pt>
              </c:strCache>
            </c:strRef>
          </c:tx>
          <c:spPr>
            <a:solidFill>
              <a:schemeClr val="accent2"/>
            </a:solidFill>
            <a:ln>
              <a:noFill/>
            </a:ln>
            <a:effectLst/>
          </c:spPr>
          <c:invertIfNegative val="0"/>
          <c:cat>
            <c:strRef>
              <c:f>service_level_proxy!$A$5:$A$17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service_level_proxy!$C$5:$C$17</c:f>
              <c:numCache>
                <c:formatCode>0.00%</c:formatCode>
                <c:ptCount val="12"/>
                <c:pt idx="0">
                  <c:v>0.14285714285714285</c:v>
                </c:pt>
                <c:pt idx="1">
                  <c:v>0.33333333333333331</c:v>
                </c:pt>
                <c:pt idx="2">
                  <c:v>0</c:v>
                </c:pt>
                <c:pt idx="3">
                  <c:v>0.3</c:v>
                </c:pt>
                <c:pt idx="4">
                  <c:v>0.33333333333333331</c:v>
                </c:pt>
                <c:pt idx="5">
                  <c:v>0.2</c:v>
                </c:pt>
                <c:pt idx="6">
                  <c:v>0.25</c:v>
                </c:pt>
                <c:pt idx="7">
                  <c:v>0.2</c:v>
                </c:pt>
                <c:pt idx="8">
                  <c:v>0.16666666666666666</c:v>
                </c:pt>
                <c:pt idx="9">
                  <c:v>0.18181818181818182</c:v>
                </c:pt>
                <c:pt idx="10">
                  <c:v>0.2857142857142857</c:v>
                </c:pt>
                <c:pt idx="11">
                  <c:v>0.4</c:v>
                </c:pt>
              </c:numCache>
            </c:numRef>
          </c:val>
          <c:extLst>
            <c:ext xmlns:c16="http://schemas.microsoft.com/office/drawing/2014/chart" uri="{C3380CC4-5D6E-409C-BE32-E72D297353CC}">
              <c16:uniqueId val="{00000009-232C-4BA0-90D4-32A52F50AB77}"/>
            </c:ext>
          </c:extLst>
        </c:ser>
        <c:ser>
          <c:idx val="2"/>
          <c:order val="2"/>
          <c:tx>
            <c:strRef>
              <c:f>service_level_proxy!$D$3:$D$4</c:f>
              <c:strCache>
                <c:ptCount val="1"/>
                <c:pt idx="0">
                  <c:v>Laptops</c:v>
                </c:pt>
              </c:strCache>
            </c:strRef>
          </c:tx>
          <c:spPr>
            <a:solidFill>
              <a:schemeClr val="accent3"/>
            </a:solidFill>
            <a:ln>
              <a:noFill/>
            </a:ln>
            <a:effectLst/>
          </c:spPr>
          <c:invertIfNegative val="0"/>
          <c:cat>
            <c:strRef>
              <c:f>service_level_proxy!$A$5:$A$17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service_level_proxy!$D$5:$D$17</c:f>
              <c:numCache>
                <c:formatCode>0.00%</c:formatCode>
                <c:ptCount val="12"/>
                <c:pt idx="0">
                  <c:v>0.2</c:v>
                </c:pt>
                <c:pt idx="1">
                  <c:v>0.33333333333333331</c:v>
                </c:pt>
                <c:pt idx="2">
                  <c:v>0.2</c:v>
                </c:pt>
                <c:pt idx="3">
                  <c:v>0.33333333333333331</c:v>
                </c:pt>
                <c:pt idx="4">
                  <c:v>0.2857142857142857</c:v>
                </c:pt>
                <c:pt idx="5">
                  <c:v>0.1111111111111111</c:v>
                </c:pt>
                <c:pt idx="6">
                  <c:v>0.2857142857142857</c:v>
                </c:pt>
                <c:pt idx="7">
                  <c:v>0.5</c:v>
                </c:pt>
                <c:pt idx="8">
                  <c:v>0.5</c:v>
                </c:pt>
                <c:pt idx="9">
                  <c:v>0</c:v>
                </c:pt>
                <c:pt idx="10">
                  <c:v>0.33333333333333331</c:v>
                </c:pt>
                <c:pt idx="11">
                  <c:v>0.2</c:v>
                </c:pt>
              </c:numCache>
            </c:numRef>
          </c:val>
          <c:extLst>
            <c:ext xmlns:c16="http://schemas.microsoft.com/office/drawing/2014/chart" uri="{C3380CC4-5D6E-409C-BE32-E72D297353CC}">
              <c16:uniqueId val="{0000000A-232C-4BA0-90D4-32A52F50AB77}"/>
            </c:ext>
          </c:extLst>
        </c:ser>
        <c:ser>
          <c:idx val="3"/>
          <c:order val="3"/>
          <c:tx>
            <c:strRef>
              <c:f>service_level_proxy!$E$3:$E$4</c:f>
              <c:strCache>
                <c:ptCount val="1"/>
                <c:pt idx="0">
                  <c:v>Monitors</c:v>
                </c:pt>
              </c:strCache>
            </c:strRef>
          </c:tx>
          <c:spPr>
            <a:solidFill>
              <a:schemeClr val="accent4"/>
            </a:solidFill>
            <a:ln>
              <a:noFill/>
            </a:ln>
            <a:effectLst/>
          </c:spPr>
          <c:invertIfNegative val="0"/>
          <c:cat>
            <c:strRef>
              <c:f>service_level_proxy!$A$5:$A$17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service_level_proxy!$E$5:$E$17</c:f>
              <c:numCache>
                <c:formatCode>0.00%</c:formatCode>
                <c:ptCount val="12"/>
                <c:pt idx="0">
                  <c:v>8.3333333333333329E-2</c:v>
                </c:pt>
                <c:pt idx="1">
                  <c:v>0</c:v>
                </c:pt>
                <c:pt idx="2">
                  <c:v>0.16666666666666666</c:v>
                </c:pt>
                <c:pt idx="3">
                  <c:v>0.3</c:v>
                </c:pt>
                <c:pt idx="4">
                  <c:v>0</c:v>
                </c:pt>
                <c:pt idx="5">
                  <c:v>0.16666666666666666</c:v>
                </c:pt>
                <c:pt idx="6">
                  <c:v>0.2857142857142857</c:v>
                </c:pt>
                <c:pt idx="7">
                  <c:v>0</c:v>
                </c:pt>
                <c:pt idx="8">
                  <c:v>0.6</c:v>
                </c:pt>
                <c:pt idx="9">
                  <c:v>0.14285714285714285</c:v>
                </c:pt>
                <c:pt idx="10">
                  <c:v>0.2857142857142857</c:v>
                </c:pt>
                <c:pt idx="11">
                  <c:v>0</c:v>
                </c:pt>
              </c:numCache>
            </c:numRef>
          </c:val>
          <c:extLst>
            <c:ext xmlns:c16="http://schemas.microsoft.com/office/drawing/2014/chart" uri="{C3380CC4-5D6E-409C-BE32-E72D297353CC}">
              <c16:uniqueId val="{0000000B-232C-4BA0-90D4-32A52F50AB77}"/>
            </c:ext>
          </c:extLst>
        </c:ser>
        <c:ser>
          <c:idx val="4"/>
          <c:order val="4"/>
          <c:tx>
            <c:strRef>
              <c:f>service_level_proxy!$F$3:$F$4</c:f>
              <c:strCache>
                <c:ptCount val="1"/>
                <c:pt idx="0">
                  <c:v>Networking</c:v>
                </c:pt>
              </c:strCache>
            </c:strRef>
          </c:tx>
          <c:spPr>
            <a:solidFill>
              <a:schemeClr val="accent5"/>
            </a:solidFill>
            <a:ln>
              <a:noFill/>
            </a:ln>
            <a:effectLst/>
          </c:spPr>
          <c:invertIfNegative val="0"/>
          <c:cat>
            <c:strRef>
              <c:f>service_level_proxy!$A$5:$A$17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service_level_proxy!$F$5:$F$17</c:f>
              <c:numCache>
                <c:formatCode>0.00%</c:formatCode>
                <c:ptCount val="12"/>
                <c:pt idx="0">
                  <c:v>0.16666666666666666</c:v>
                </c:pt>
                <c:pt idx="1">
                  <c:v>0</c:v>
                </c:pt>
                <c:pt idx="2">
                  <c:v>0.375</c:v>
                </c:pt>
                <c:pt idx="3">
                  <c:v>0.16666666666666666</c:v>
                </c:pt>
                <c:pt idx="4">
                  <c:v>0.25</c:v>
                </c:pt>
                <c:pt idx="5">
                  <c:v>0.14285714285714285</c:v>
                </c:pt>
                <c:pt idx="6">
                  <c:v>0</c:v>
                </c:pt>
                <c:pt idx="7">
                  <c:v>0.33333333333333331</c:v>
                </c:pt>
                <c:pt idx="8">
                  <c:v>0.5</c:v>
                </c:pt>
                <c:pt idx="9">
                  <c:v>0.2857142857142857</c:v>
                </c:pt>
                <c:pt idx="10">
                  <c:v>0.22222222222222221</c:v>
                </c:pt>
                <c:pt idx="11">
                  <c:v>0.2</c:v>
                </c:pt>
              </c:numCache>
            </c:numRef>
          </c:val>
          <c:extLst>
            <c:ext xmlns:c16="http://schemas.microsoft.com/office/drawing/2014/chart" uri="{C3380CC4-5D6E-409C-BE32-E72D297353CC}">
              <c16:uniqueId val="{0000000C-232C-4BA0-90D4-32A52F50AB77}"/>
            </c:ext>
          </c:extLst>
        </c:ser>
        <c:ser>
          <c:idx val="5"/>
          <c:order val="5"/>
          <c:tx>
            <c:strRef>
              <c:f>service_level_proxy!$G$3:$G$4</c:f>
              <c:strCache>
                <c:ptCount val="1"/>
                <c:pt idx="0">
                  <c:v>Phones</c:v>
                </c:pt>
              </c:strCache>
            </c:strRef>
          </c:tx>
          <c:spPr>
            <a:solidFill>
              <a:schemeClr val="accent6"/>
            </a:solidFill>
            <a:ln>
              <a:noFill/>
            </a:ln>
            <a:effectLst/>
          </c:spPr>
          <c:invertIfNegative val="0"/>
          <c:cat>
            <c:strRef>
              <c:f>service_level_proxy!$A$5:$A$17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service_level_proxy!$G$5:$G$17</c:f>
              <c:numCache>
                <c:formatCode>0.00%</c:formatCode>
                <c:ptCount val="12"/>
                <c:pt idx="0">
                  <c:v>0.44444444444444442</c:v>
                </c:pt>
                <c:pt idx="1">
                  <c:v>0</c:v>
                </c:pt>
                <c:pt idx="2">
                  <c:v>0.14285714285714285</c:v>
                </c:pt>
                <c:pt idx="3">
                  <c:v>0</c:v>
                </c:pt>
                <c:pt idx="4">
                  <c:v>0.14285714285714285</c:v>
                </c:pt>
                <c:pt idx="5">
                  <c:v>0.22222222222222221</c:v>
                </c:pt>
                <c:pt idx="6">
                  <c:v>9.0909090909090912E-2</c:v>
                </c:pt>
                <c:pt idx="7">
                  <c:v>0.13333333333333333</c:v>
                </c:pt>
                <c:pt idx="8">
                  <c:v>0.16666666666666666</c:v>
                </c:pt>
                <c:pt idx="9">
                  <c:v>0.5</c:v>
                </c:pt>
                <c:pt idx="10">
                  <c:v>0</c:v>
                </c:pt>
                <c:pt idx="11">
                  <c:v>0.1</c:v>
                </c:pt>
              </c:numCache>
            </c:numRef>
          </c:val>
          <c:extLst>
            <c:ext xmlns:c16="http://schemas.microsoft.com/office/drawing/2014/chart" uri="{C3380CC4-5D6E-409C-BE32-E72D297353CC}">
              <c16:uniqueId val="{0000000D-232C-4BA0-90D4-32A52F50AB77}"/>
            </c:ext>
          </c:extLst>
        </c:ser>
        <c:ser>
          <c:idx val="6"/>
          <c:order val="6"/>
          <c:tx>
            <c:strRef>
              <c:f>service_level_proxy!$H$3:$H$4</c:f>
              <c:strCache>
                <c:ptCount val="1"/>
                <c:pt idx="0">
                  <c:v>Printers</c:v>
                </c:pt>
              </c:strCache>
            </c:strRef>
          </c:tx>
          <c:spPr>
            <a:solidFill>
              <a:schemeClr val="accent1">
                <a:lumMod val="60000"/>
              </a:schemeClr>
            </a:solidFill>
            <a:ln>
              <a:noFill/>
            </a:ln>
            <a:effectLst/>
          </c:spPr>
          <c:invertIfNegative val="0"/>
          <c:cat>
            <c:strRef>
              <c:f>service_level_proxy!$A$5:$A$17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service_level_proxy!$H$5:$H$17</c:f>
              <c:numCache>
                <c:formatCode>0.00%</c:formatCode>
                <c:ptCount val="12"/>
                <c:pt idx="0">
                  <c:v>0.14285714285714285</c:v>
                </c:pt>
                <c:pt idx="1">
                  <c:v>7.6923076923076927E-2</c:v>
                </c:pt>
                <c:pt idx="2">
                  <c:v>0</c:v>
                </c:pt>
                <c:pt idx="3">
                  <c:v>0.16666666666666666</c:v>
                </c:pt>
                <c:pt idx="4">
                  <c:v>0.125</c:v>
                </c:pt>
                <c:pt idx="5">
                  <c:v>0.16666666666666666</c:v>
                </c:pt>
                <c:pt idx="6">
                  <c:v>0.22222222222222221</c:v>
                </c:pt>
                <c:pt idx="7">
                  <c:v>0.125</c:v>
                </c:pt>
                <c:pt idx="8">
                  <c:v>0.16666666666666666</c:v>
                </c:pt>
                <c:pt idx="9">
                  <c:v>0.2</c:v>
                </c:pt>
                <c:pt idx="10">
                  <c:v>0.3</c:v>
                </c:pt>
                <c:pt idx="11">
                  <c:v>0.75</c:v>
                </c:pt>
              </c:numCache>
            </c:numRef>
          </c:val>
          <c:extLst>
            <c:ext xmlns:c16="http://schemas.microsoft.com/office/drawing/2014/chart" uri="{C3380CC4-5D6E-409C-BE32-E72D297353CC}">
              <c16:uniqueId val="{0000000E-232C-4BA0-90D4-32A52F50AB77}"/>
            </c:ext>
          </c:extLst>
        </c:ser>
        <c:dLbls>
          <c:showLegendKey val="0"/>
          <c:showVal val="0"/>
          <c:showCatName val="0"/>
          <c:showSerName val="0"/>
          <c:showPercent val="0"/>
          <c:showBubbleSize val="0"/>
        </c:dLbls>
        <c:gapWidth val="219"/>
        <c:overlap val="-27"/>
        <c:axId val="1558970240"/>
        <c:axId val="1558966400"/>
      </c:barChart>
      <c:catAx>
        <c:axId val="155897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58966400"/>
        <c:crosses val="autoZero"/>
        <c:auto val="1"/>
        <c:lblAlgn val="ctr"/>
        <c:lblOffset val="100"/>
        <c:noMultiLvlLbl val="0"/>
      </c:catAx>
      <c:valAx>
        <c:axId val="15589664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5897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[Cleaned_Multi-Regional Sales Operations_Dashboard.xlsx]revenue by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4"/>
                </a:solidFill>
              </a:rPr>
              <a:t>Sum</a:t>
            </a:r>
            <a:r>
              <a:rPr lang="en-US" baseline="0">
                <a:solidFill>
                  <a:schemeClr val="accent4"/>
                </a:solidFill>
              </a:rPr>
              <a:t> of revenue per month</a:t>
            </a:r>
            <a:endParaRPr lang="en-US">
              <a:solidFill>
                <a:schemeClr val="accent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'revenue by month'!$A$4:$A$37</c:f>
              <c:strCache>
                <c:ptCount val="33"/>
                <c:pt idx="0">
                  <c:v>Apr-2023</c:v>
                </c:pt>
                <c:pt idx="1">
                  <c:v>Apr-2024</c:v>
                </c:pt>
                <c:pt idx="2">
                  <c:v>Apr-2025</c:v>
                </c:pt>
                <c:pt idx="3">
                  <c:v>Aug-2023</c:v>
                </c:pt>
                <c:pt idx="4">
                  <c:v>Aug-2024</c:v>
                </c:pt>
                <c:pt idx="5">
                  <c:v>Aug-2025</c:v>
                </c:pt>
                <c:pt idx="6">
                  <c:v>Dec-2023</c:v>
                </c:pt>
                <c:pt idx="7">
                  <c:v>Dec-2024</c:v>
                </c:pt>
                <c:pt idx="8">
                  <c:v>Feb-2023</c:v>
                </c:pt>
                <c:pt idx="9">
                  <c:v>Feb-2024</c:v>
                </c:pt>
                <c:pt idx="10">
                  <c:v>Feb-2025</c:v>
                </c:pt>
                <c:pt idx="11">
                  <c:v>Jan-2023</c:v>
                </c:pt>
                <c:pt idx="12">
                  <c:v>Jan-2024</c:v>
                </c:pt>
                <c:pt idx="13">
                  <c:v>Jan-2025</c:v>
                </c:pt>
                <c:pt idx="14">
                  <c:v>Jul-2023</c:v>
                </c:pt>
                <c:pt idx="15">
                  <c:v>Jul-2024</c:v>
                </c:pt>
                <c:pt idx="16">
                  <c:v>Jul-2025</c:v>
                </c:pt>
                <c:pt idx="17">
                  <c:v>Jun-2023</c:v>
                </c:pt>
                <c:pt idx="18">
                  <c:v>Jun-2024</c:v>
                </c:pt>
                <c:pt idx="19">
                  <c:v>Jun-2025</c:v>
                </c:pt>
                <c:pt idx="20">
                  <c:v>Mar-2023</c:v>
                </c:pt>
                <c:pt idx="21">
                  <c:v>Mar-2024</c:v>
                </c:pt>
                <c:pt idx="22">
                  <c:v>Mar-2025</c:v>
                </c:pt>
                <c:pt idx="23">
                  <c:v>May-2023</c:v>
                </c:pt>
                <c:pt idx="24">
                  <c:v>May-2024</c:v>
                </c:pt>
                <c:pt idx="25">
                  <c:v>May-2025</c:v>
                </c:pt>
                <c:pt idx="26">
                  <c:v>Nov-2023</c:v>
                </c:pt>
                <c:pt idx="27">
                  <c:v>Nov-2024</c:v>
                </c:pt>
                <c:pt idx="28">
                  <c:v>Oct-2023</c:v>
                </c:pt>
                <c:pt idx="29">
                  <c:v>Oct-2024</c:v>
                </c:pt>
                <c:pt idx="30">
                  <c:v>Sept-2023</c:v>
                </c:pt>
                <c:pt idx="31">
                  <c:v>Sept-2024</c:v>
                </c:pt>
                <c:pt idx="32">
                  <c:v>Sept-2025</c:v>
                </c:pt>
              </c:strCache>
            </c:strRef>
          </c:cat>
          <c:val>
            <c:numRef>
              <c:f>'revenue by month'!$B$4:$B$37</c:f>
              <c:numCache>
                <c:formatCode>General</c:formatCode>
                <c:ptCount val="33"/>
                <c:pt idx="0">
                  <c:v>371604.58273999998</c:v>
                </c:pt>
                <c:pt idx="1">
                  <c:v>239506.82714000004</c:v>
                </c:pt>
                <c:pt idx="2">
                  <c:v>336135.16749999998</c:v>
                </c:pt>
                <c:pt idx="3">
                  <c:v>339044.67039000004</c:v>
                </c:pt>
                <c:pt idx="4">
                  <c:v>383755.4196599999</c:v>
                </c:pt>
                <c:pt idx="5">
                  <c:v>366808.72249999997</c:v>
                </c:pt>
                <c:pt idx="6">
                  <c:v>382101.36680000002</c:v>
                </c:pt>
                <c:pt idx="7">
                  <c:v>354378.93716000003</c:v>
                </c:pt>
                <c:pt idx="8">
                  <c:v>433788.64049000002</c:v>
                </c:pt>
                <c:pt idx="9">
                  <c:v>307793.71461999998</c:v>
                </c:pt>
                <c:pt idx="10">
                  <c:v>221608.49786999999</c:v>
                </c:pt>
                <c:pt idx="11">
                  <c:v>178642.73714999997</c:v>
                </c:pt>
                <c:pt idx="12">
                  <c:v>299100.37307999999</c:v>
                </c:pt>
                <c:pt idx="13">
                  <c:v>223498.20032000003</c:v>
                </c:pt>
                <c:pt idx="14">
                  <c:v>550462.84643999999</c:v>
                </c:pt>
                <c:pt idx="15">
                  <c:v>275628.61962999997</c:v>
                </c:pt>
                <c:pt idx="16">
                  <c:v>486970.83348000003</c:v>
                </c:pt>
                <c:pt idx="17">
                  <c:v>236474.06157000002</c:v>
                </c:pt>
                <c:pt idx="18">
                  <c:v>634490.72337999998</c:v>
                </c:pt>
                <c:pt idx="19">
                  <c:v>382009.37596000009</c:v>
                </c:pt>
                <c:pt idx="20">
                  <c:v>215576.67437999998</c:v>
                </c:pt>
                <c:pt idx="21">
                  <c:v>374300.10981000005</c:v>
                </c:pt>
                <c:pt idx="22">
                  <c:v>209101.52076000004</c:v>
                </c:pt>
                <c:pt idx="23">
                  <c:v>469902.36901999998</c:v>
                </c:pt>
                <c:pt idx="24">
                  <c:v>416985.76567000011</c:v>
                </c:pt>
                <c:pt idx="25">
                  <c:v>375285.78266000003</c:v>
                </c:pt>
                <c:pt idx="26">
                  <c:v>127009.5058</c:v>
                </c:pt>
                <c:pt idx="27">
                  <c:v>416944.18554999994</c:v>
                </c:pt>
                <c:pt idx="28">
                  <c:v>241851.10650000002</c:v>
                </c:pt>
                <c:pt idx="29">
                  <c:v>416924.94901000004</c:v>
                </c:pt>
                <c:pt idx="30">
                  <c:v>141266.51418999999</c:v>
                </c:pt>
                <c:pt idx="31">
                  <c:v>347613.18767000007</c:v>
                </c:pt>
                <c:pt idx="32">
                  <c:v>172279.72760000001</c:v>
                </c:pt>
              </c:numCache>
            </c:numRef>
          </c:val>
          <c:smooth val="0"/>
          <c:extLst>
            <c:ext xmlns:c16="http://schemas.microsoft.com/office/drawing/2014/chart" uri="{C3380CC4-5D6E-409C-BE32-E72D297353CC}">
              <c16:uniqueId val="{00000000-6C7F-4E55-8EF3-66C0A1B8BB7A}"/>
            </c:ext>
          </c:extLst>
        </c:ser>
        <c:dLbls>
          <c:showLegendKey val="0"/>
          <c:showVal val="0"/>
          <c:showCatName val="0"/>
          <c:showSerName val="0"/>
          <c:showPercent val="0"/>
          <c:showBubbleSize val="0"/>
        </c:dLbls>
        <c:marker val="1"/>
        <c:smooth val="0"/>
        <c:axId val="907022256"/>
        <c:axId val="907022736"/>
      </c:lineChart>
      <c:catAx>
        <c:axId val="90702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07022736"/>
        <c:crosses val="autoZero"/>
        <c:auto val="1"/>
        <c:lblAlgn val="ctr"/>
        <c:lblOffset val="100"/>
        <c:noMultiLvlLbl val="0"/>
      </c:catAx>
      <c:valAx>
        <c:axId val="90702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0702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[Cleaned_Multi-Regional Sales Operations_Dashboard.xlsx]profit by region and channel!PivotTable2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solidFill>
                  <a:srgbClr val="7030A0"/>
                </a:solidFill>
              </a:rPr>
              <a:t>Sum of profit by region and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region and channel'!$B$3:$B$4</c:f>
              <c:strCache>
                <c:ptCount val="1"/>
                <c:pt idx="0">
                  <c:v>Africa</c:v>
                </c:pt>
              </c:strCache>
            </c:strRef>
          </c:tx>
          <c:spPr>
            <a:solidFill>
              <a:schemeClr val="accent1"/>
            </a:solidFill>
            <a:ln>
              <a:noFill/>
            </a:ln>
            <a:effectLst/>
          </c:spPr>
          <c:invertIfNegative val="0"/>
          <c:cat>
            <c:strRef>
              <c:f>'profit by region and channel'!$A$5:$A$11</c:f>
              <c:strCache>
                <c:ptCount val="6"/>
                <c:pt idx="0">
                  <c:v>Direct</c:v>
                </c:pt>
                <c:pt idx="1">
                  <c:v>Distributor</c:v>
                </c:pt>
                <c:pt idx="2">
                  <c:v>Marketplace</c:v>
                </c:pt>
                <c:pt idx="3">
                  <c:v>Online</c:v>
                </c:pt>
                <c:pt idx="4">
                  <c:v>Retail</c:v>
                </c:pt>
                <c:pt idx="5">
                  <c:v>unknown</c:v>
                </c:pt>
              </c:strCache>
            </c:strRef>
          </c:cat>
          <c:val>
            <c:numRef>
              <c:f>'profit by region and channel'!$B$5:$B$11</c:f>
              <c:numCache>
                <c:formatCode>General</c:formatCode>
                <c:ptCount val="6"/>
                <c:pt idx="0">
                  <c:v>177919.81969999999</c:v>
                </c:pt>
                <c:pt idx="1">
                  <c:v>192042.35206999999</c:v>
                </c:pt>
                <c:pt idx="2">
                  <c:v>164839.30455999999</c:v>
                </c:pt>
                <c:pt idx="3">
                  <c:v>145453.94626999996</c:v>
                </c:pt>
                <c:pt idx="4">
                  <c:v>141171.08466999998</c:v>
                </c:pt>
                <c:pt idx="5">
                  <c:v>16237.344229999999</c:v>
                </c:pt>
              </c:numCache>
            </c:numRef>
          </c:val>
          <c:extLst>
            <c:ext xmlns:c16="http://schemas.microsoft.com/office/drawing/2014/chart" uri="{C3380CC4-5D6E-409C-BE32-E72D297353CC}">
              <c16:uniqueId val="{00000000-7B09-4059-8666-AD40220436CC}"/>
            </c:ext>
          </c:extLst>
        </c:ser>
        <c:ser>
          <c:idx val="1"/>
          <c:order val="1"/>
          <c:tx>
            <c:strRef>
              <c:f>'profit by region and channel'!$C$3:$C$4</c:f>
              <c:strCache>
                <c:ptCount val="1"/>
                <c:pt idx="0">
                  <c:v>Americas</c:v>
                </c:pt>
              </c:strCache>
            </c:strRef>
          </c:tx>
          <c:spPr>
            <a:solidFill>
              <a:schemeClr val="accent2"/>
            </a:solidFill>
            <a:ln>
              <a:noFill/>
            </a:ln>
            <a:effectLst/>
          </c:spPr>
          <c:invertIfNegative val="0"/>
          <c:cat>
            <c:strRef>
              <c:f>'profit by region and channel'!$A$5:$A$11</c:f>
              <c:strCache>
                <c:ptCount val="6"/>
                <c:pt idx="0">
                  <c:v>Direct</c:v>
                </c:pt>
                <c:pt idx="1">
                  <c:v>Distributor</c:v>
                </c:pt>
                <c:pt idx="2">
                  <c:v>Marketplace</c:v>
                </c:pt>
                <c:pt idx="3">
                  <c:v>Online</c:v>
                </c:pt>
                <c:pt idx="4">
                  <c:v>Retail</c:v>
                </c:pt>
                <c:pt idx="5">
                  <c:v>unknown</c:v>
                </c:pt>
              </c:strCache>
            </c:strRef>
          </c:cat>
          <c:val>
            <c:numRef>
              <c:f>'profit by region and channel'!$C$5:$C$11</c:f>
              <c:numCache>
                <c:formatCode>General</c:formatCode>
                <c:ptCount val="6"/>
                <c:pt idx="0">
                  <c:v>258674.92591000002</c:v>
                </c:pt>
                <c:pt idx="1">
                  <c:v>175298.68431999997</c:v>
                </c:pt>
                <c:pt idx="2">
                  <c:v>96609.647519999999</c:v>
                </c:pt>
                <c:pt idx="3">
                  <c:v>261943.84436999995</c:v>
                </c:pt>
                <c:pt idx="4">
                  <c:v>69035.709220000004</c:v>
                </c:pt>
                <c:pt idx="5">
                  <c:v>777.95999999999913</c:v>
                </c:pt>
              </c:numCache>
            </c:numRef>
          </c:val>
          <c:extLst>
            <c:ext xmlns:c16="http://schemas.microsoft.com/office/drawing/2014/chart" uri="{C3380CC4-5D6E-409C-BE32-E72D297353CC}">
              <c16:uniqueId val="{00000000-CFBA-4F4C-81DF-E9EA478EA9C9}"/>
            </c:ext>
          </c:extLst>
        </c:ser>
        <c:ser>
          <c:idx val="2"/>
          <c:order val="2"/>
          <c:tx>
            <c:strRef>
              <c:f>'profit by region and channel'!$D$3:$D$4</c:f>
              <c:strCache>
                <c:ptCount val="1"/>
                <c:pt idx="0">
                  <c:v>Asia</c:v>
                </c:pt>
              </c:strCache>
            </c:strRef>
          </c:tx>
          <c:spPr>
            <a:solidFill>
              <a:schemeClr val="accent3"/>
            </a:solidFill>
            <a:ln>
              <a:noFill/>
            </a:ln>
            <a:effectLst/>
          </c:spPr>
          <c:invertIfNegative val="0"/>
          <c:cat>
            <c:strRef>
              <c:f>'profit by region and channel'!$A$5:$A$11</c:f>
              <c:strCache>
                <c:ptCount val="6"/>
                <c:pt idx="0">
                  <c:v>Direct</c:v>
                </c:pt>
                <c:pt idx="1">
                  <c:v>Distributor</c:v>
                </c:pt>
                <c:pt idx="2">
                  <c:v>Marketplace</c:v>
                </c:pt>
                <c:pt idx="3">
                  <c:v>Online</c:v>
                </c:pt>
                <c:pt idx="4">
                  <c:v>Retail</c:v>
                </c:pt>
                <c:pt idx="5">
                  <c:v>unknown</c:v>
                </c:pt>
              </c:strCache>
            </c:strRef>
          </c:cat>
          <c:val>
            <c:numRef>
              <c:f>'profit by region and channel'!$D$5:$D$11</c:f>
              <c:numCache>
                <c:formatCode>General</c:formatCode>
                <c:ptCount val="6"/>
                <c:pt idx="0">
                  <c:v>229217.47858</c:v>
                </c:pt>
                <c:pt idx="1">
                  <c:v>151146.74599000002</c:v>
                </c:pt>
                <c:pt idx="2">
                  <c:v>128045.00806000001</c:v>
                </c:pt>
                <c:pt idx="3">
                  <c:v>149042.38968999998</c:v>
                </c:pt>
                <c:pt idx="4">
                  <c:v>153258.55984000003</c:v>
                </c:pt>
                <c:pt idx="5">
                  <c:v>20547.545489999997</c:v>
                </c:pt>
              </c:numCache>
            </c:numRef>
          </c:val>
          <c:extLst>
            <c:ext xmlns:c16="http://schemas.microsoft.com/office/drawing/2014/chart" uri="{C3380CC4-5D6E-409C-BE32-E72D297353CC}">
              <c16:uniqueId val="{00000001-CFBA-4F4C-81DF-E9EA478EA9C9}"/>
            </c:ext>
          </c:extLst>
        </c:ser>
        <c:ser>
          <c:idx val="3"/>
          <c:order val="3"/>
          <c:tx>
            <c:strRef>
              <c:f>'profit by region and channel'!$E$3:$E$4</c:f>
              <c:strCache>
                <c:ptCount val="1"/>
                <c:pt idx="0">
                  <c:v>Europe</c:v>
                </c:pt>
              </c:strCache>
            </c:strRef>
          </c:tx>
          <c:spPr>
            <a:solidFill>
              <a:schemeClr val="accent4"/>
            </a:solidFill>
            <a:ln>
              <a:noFill/>
            </a:ln>
            <a:effectLst/>
          </c:spPr>
          <c:invertIfNegative val="0"/>
          <c:cat>
            <c:strRef>
              <c:f>'profit by region and channel'!$A$5:$A$11</c:f>
              <c:strCache>
                <c:ptCount val="6"/>
                <c:pt idx="0">
                  <c:v>Direct</c:v>
                </c:pt>
                <c:pt idx="1">
                  <c:v>Distributor</c:v>
                </c:pt>
                <c:pt idx="2">
                  <c:v>Marketplace</c:v>
                </c:pt>
                <c:pt idx="3">
                  <c:v>Online</c:v>
                </c:pt>
                <c:pt idx="4">
                  <c:v>Retail</c:v>
                </c:pt>
                <c:pt idx="5">
                  <c:v>unknown</c:v>
                </c:pt>
              </c:strCache>
            </c:strRef>
          </c:cat>
          <c:val>
            <c:numRef>
              <c:f>'profit by region and channel'!$E$5:$E$11</c:f>
              <c:numCache>
                <c:formatCode>General</c:formatCode>
                <c:ptCount val="6"/>
                <c:pt idx="0">
                  <c:v>292716.95204</c:v>
                </c:pt>
                <c:pt idx="1">
                  <c:v>105550.85220000002</c:v>
                </c:pt>
                <c:pt idx="2">
                  <c:v>111692.81024999999</c:v>
                </c:pt>
                <c:pt idx="3">
                  <c:v>200067.16276999997</c:v>
                </c:pt>
                <c:pt idx="4">
                  <c:v>151779.17228999996</c:v>
                </c:pt>
                <c:pt idx="5">
                  <c:v>8028.7064599999994</c:v>
                </c:pt>
              </c:numCache>
            </c:numRef>
          </c:val>
          <c:extLst>
            <c:ext xmlns:c16="http://schemas.microsoft.com/office/drawing/2014/chart" uri="{C3380CC4-5D6E-409C-BE32-E72D297353CC}">
              <c16:uniqueId val="{00000002-CFBA-4F4C-81DF-E9EA478EA9C9}"/>
            </c:ext>
          </c:extLst>
        </c:ser>
        <c:dLbls>
          <c:showLegendKey val="0"/>
          <c:showVal val="0"/>
          <c:showCatName val="0"/>
          <c:showSerName val="0"/>
          <c:showPercent val="0"/>
          <c:showBubbleSize val="0"/>
        </c:dLbls>
        <c:gapWidth val="150"/>
        <c:overlap val="100"/>
        <c:axId val="906983856"/>
        <c:axId val="906974736"/>
      </c:barChart>
      <c:catAx>
        <c:axId val="90698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06974736"/>
        <c:crosses val="autoZero"/>
        <c:auto val="1"/>
        <c:lblAlgn val="ctr"/>
        <c:lblOffset val="100"/>
        <c:noMultiLvlLbl val="0"/>
      </c:catAx>
      <c:valAx>
        <c:axId val="906974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06983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[Cleaned_Multi-Regional Sales Operations_Dashboard.xlsx]Top 10 SKUs by Revenue (bar)!PivotTable3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70C0"/>
                </a:solidFill>
              </a:rPr>
              <a:t>Top 10 SKUs by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SKUs by Revenue (bar)'!$B$3</c:f>
              <c:strCache>
                <c:ptCount val="1"/>
                <c:pt idx="0">
                  <c:v>Total</c:v>
                </c:pt>
              </c:strCache>
            </c:strRef>
          </c:tx>
          <c:spPr>
            <a:solidFill>
              <a:schemeClr val="accent4"/>
            </a:solidFill>
            <a:ln>
              <a:noFill/>
            </a:ln>
            <a:effectLst/>
          </c:spPr>
          <c:invertIfNegative val="0"/>
          <c:cat>
            <c:strRef>
              <c:f>'Top 10 SKUs by Revenue (bar)'!$A$4:$A$14</c:f>
              <c:strCache>
                <c:ptCount val="10"/>
                <c:pt idx="0">
                  <c:v>CMP-8851</c:v>
                </c:pt>
                <c:pt idx="1">
                  <c:v>NET-2365</c:v>
                </c:pt>
                <c:pt idx="2">
                  <c:v>LAP-8910</c:v>
                </c:pt>
                <c:pt idx="3">
                  <c:v>MON-6962</c:v>
                </c:pt>
                <c:pt idx="4">
                  <c:v>MON-2266</c:v>
                </c:pt>
                <c:pt idx="5">
                  <c:v>MON-6699</c:v>
                </c:pt>
                <c:pt idx="6">
                  <c:v>CMP-3938</c:v>
                </c:pt>
                <c:pt idx="7">
                  <c:v>LAP-3904</c:v>
                </c:pt>
                <c:pt idx="8">
                  <c:v>NET-5987</c:v>
                </c:pt>
                <c:pt idx="9">
                  <c:v>NET-5523</c:v>
                </c:pt>
              </c:strCache>
            </c:strRef>
          </c:cat>
          <c:val>
            <c:numRef>
              <c:f>'Top 10 SKUs by Revenue (bar)'!$B$4:$B$14</c:f>
              <c:numCache>
                <c:formatCode>0.00</c:formatCode>
                <c:ptCount val="10"/>
                <c:pt idx="0">
                  <c:v>139277.83032000001</c:v>
                </c:pt>
                <c:pt idx="1">
                  <c:v>109244</c:v>
                </c:pt>
                <c:pt idx="2">
                  <c:v>102122.94203999999</c:v>
                </c:pt>
                <c:pt idx="3">
                  <c:v>92715.25</c:v>
                </c:pt>
                <c:pt idx="4">
                  <c:v>87404.929919999995</c:v>
                </c:pt>
                <c:pt idx="5">
                  <c:v>85637.740319999997</c:v>
                </c:pt>
                <c:pt idx="6">
                  <c:v>84136.119600000005</c:v>
                </c:pt>
                <c:pt idx="7">
                  <c:v>82514.711519999997</c:v>
                </c:pt>
                <c:pt idx="8">
                  <c:v>82141.339799999987</c:v>
                </c:pt>
                <c:pt idx="9">
                  <c:v>79548.755999999994</c:v>
                </c:pt>
              </c:numCache>
            </c:numRef>
          </c:val>
          <c:extLst>
            <c:ext xmlns:c16="http://schemas.microsoft.com/office/drawing/2014/chart" uri="{C3380CC4-5D6E-409C-BE32-E72D297353CC}">
              <c16:uniqueId val="{00000000-CE1D-4952-BAF3-981F1659DACC}"/>
            </c:ext>
          </c:extLst>
        </c:ser>
        <c:dLbls>
          <c:showLegendKey val="0"/>
          <c:showVal val="0"/>
          <c:showCatName val="0"/>
          <c:showSerName val="0"/>
          <c:showPercent val="0"/>
          <c:showBubbleSize val="0"/>
        </c:dLbls>
        <c:gapWidth val="182"/>
        <c:axId val="907025136"/>
        <c:axId val="907021296"/>
      </c:barChart>
      <c:catAx>
        <c:axId val="907025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07021296"/>
        <c:crosses val="autoZero"/>
        <c:auto val="1"/>
        <c:lblAlgn val="ctr"/>
        <c:lblOffset val="100"/>
        <c:noMultiLvlLbl val="0"/>
      </c:catAx>
      <c:valAx>
        <c:axId val="9070212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0702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data id="1">
      <cx:strDim type="cat">
        <cx:f>_xlchart.v1.0</cx:f>
      </cx:strDim>
      <cx:numDim type="val">
        <cx:f>_xlchart.v1.4</cx:f>
      </cx:numDim>
    </cx:data>
    <cx:data id="2">
      <cx:strDim type="cat">
        <cx:f>_xlchart.v1.0</cx:f>
      </cx:strDim>
      <cx:numDim type="val">
        <cx:f>_xlchart.v1.6</cx:f>
      </cx:numDim>
    </cx:data>
    <cx:data id="3">
      <cx:strDim type="cat">
        <cx:f>_xlchart.v1.0</cx:f>
      </cx:strDim>
      <cx:numDim type="val">
        <cx:f>_xlchart.v1.8</cx:f>
      </cx:numDim>
    </cx:data>
    <cx:data id="4">
      <cx:strDim type="cat">
        <cx:f>_xlchart.v1.0</cx:f>
      </cx:strDim>
      <cx:numDim type="val">
        <cx:f>_xlchart.v1.10</cx:f>
      </cx:numDim>
    </cx:data>
  </cx:chartData>
  <cx:chart>
    <cx:title pos="t" align="ctr" overlay="0">
      <cx:tx>
        <cx:txData>
          <cx:v>Outliers in discount percentage against salesperson</cx:v>
        </cx:txData>
      </cx:tx>
      <cx:txPr>
        <a:bodyPr spcFirstLastPara="1" vertOverflow="ellipsis" horzOverflow="overflow" wrap="square" lIns="0" tIns="0" rIns="0" bIns="0" anchor="ctr" anchorCtr="1"/>
        <a:lstStyle/>
        <a:p>
          <a:pPr algn="ctr" rtl="0">
            <a:defRPr/>
          </a:pPr>
          <a:r>
            <a:rPr lang="en-US" sz="1400" b="0" i="0" u="none" strike="noStrike" baseline="0">
              <a:solidFill>
                <a:schemeClr val="accent2"/>
              </a:solidFill>
              <a:latin typeface="Calibri"/>
            </a:rPr>
            <a:t>Outliers in discount percentage against salesperson</a:t>
          </a:r>
        </a:p>
      </cx:txPr>
    </cx:title>
    <cx:plotArea>
      <cx:plotAreaRegion>
        <cx:series layoutId="boxWhisker" uniqueId="{00000000-96ED-4A54-899F-47EBA14EF5DF}">
          <cx:tx>
            <cx:txData>
              <cx:f>_xlchart.v1.1</cx:f>
              <cx:v>Africa</cx:v>
            </cx:txData>
          </cx:tx>
          <cx:dataId val="0"/>
          <cx:layoutPr>
            <cx:visibility meanLine="0" meanMarker="1" nonoutliers="0" outliers="1"/>
            <cx:statistics quartileMethod="exclusive"/>
          </cx:layoutPr>
        </cx:series>
        <cx:series layoutId="boxWhisker" uniqueId="{00000001-96ED-4A54-899F-47EBA14EF5DF}">
          <cx:tx>
            <cx:txData>
              <cx:f>_xlchart.v1.3</cx:f>
              <cx:v>Americas</cx:v>
            </cx:txData>
          </cx:tx>
          <cx:dataId val="1"/>
          <cx:layoutPr>
            <cx:visibility meanLine="0" meanMarker="1" nonoutliers="0" outliers="1"/>
            <cx:statistics quartileMethod="exclusive"/>
          </cx:layoutPr>
        </cx:series>
        <cx:series layoutId="boxWhisker" uniqueId="{00000002-96ED-4A54-899F-47EBA14EF5DF}">
          <cx:tx>
            <cx:txData>
              <cx:f>_xlchart.v1.5</cx:f>
              <cx:v>Asia</cx:v>
            </cx:txData>
          </cx:tx>
          <cx:dataId val="2"/>
          <cx:layoutPr>
            <cx:visibility meanLine="0" meanMarker="1" nonoutliers="0" outliers="1"/>
            <cx:statistics quartileMethod="exclusive"/>
          </cx:layoutPr>
        </cx:series>
        <cx:series layoutId="boxWhisker" uniqueId="{00000003-96ED-4A54-899F-47EBA14EF5DF}">
          <cx:tx>
            <cx:txData>
              <cx:f>_xlchart.v1.7</cx:f>
              <cx:v>Europe</cx:v>
            </cx:txData>
          </cx:tx>
          <cx:dataId val="3"/>
          <cx:layoutPr>
            <cx:visibility meanLine="0" meanMarker="1" nonoutliers="0" outliers="1"/>
            <cx:statistics quartileMethod="exclusive"/>
          </cx:layoutPr>
        </cx:series>
        <cx:series layoutId="boxWhisker" uniqueId="{00000004-96ED-4A54-899F-47EBA14EF5DF}">
          <cx:tx>
            <cx:txData>
              <cx:f>_xlchart.v1.9</cx:f>
              <cx:v>Grand Total</cx:v>
            </cx:txData>
          </cx:tx>
          <cx:dataId val="4"/>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data id="1">
      <cx:strDim type="cat">
        <cx:f>_xlchart.v1.11</cx:f>
      </cx:strDim>
      <cx:numDim type="val">
        <cx:f>_xlchart.v1.15</cx:f>
      </cx:numDim>
    </cx:data>
    <cx:data id="2">
      <cx:strDim type="cat">
        <cx:f>_xlchart.v1.11</cx:f>
      </cx:strDim>
      <cx:numDim type="val">
        <cx:f>_xlchart.v1.17</cx:f>
      </cx:numDim>
    </cx:data>
    <cx:data id="3">
      <cx:strDim type="cat">
        <cx:f>_xlchart.v1.11</cx:f>
      </cx:strDim>
      <cx:numDim type="val">
        <cx:f>_xlchart.v1.19</cx:f>
      </cx:numDim>
    </cx:data>
    <cx:data id="4">
      <cx:strDim type="cat">
        <cx:f>_xlchart.v1.11</cx:f>
      </cx:strDim>
      <cx:numDim type="val">
        <cx:f>_xlchart.v1.21</cx:f>
      </cx:numDim>
    </cx:data>
  </cx:chartData>
  <cx:chart>
    <cx:title pos="t" align="ctr" overlay="0">
      <cx:tx>
        <cx:txData>
          <cx:v>Outliers in discount percentage against salesperson</cx:v>
        </cx:txData>
      </cx:tx>
      <cx:txPr>
        <a:bodyPr spcFirstLastPara="1" vertOverflow="ellipsis" horzOverflow="overflow" wrap="square" lIns="0" tIns="0" rIns="0" bIns="0" anchor="ctr" anchorCtr="1"/>
        <a:lstStyle/>
        <a:p>
          <a:pPr algn="ctr" rtl="0">
            <a:defRPr/>
          </a:pPr>
          <a:r>
            <a:rPr lang="en-US" sz="1400" b="0" i="0" u="none" strike="noStrike" baseline="0">
              <a:solidFill>
                <a:schemeClr val="accent2"/>
              </a:solidFill>
              <a:latin typeface="Calibri"/>
            </a:rPr>
            <a:t>Outliers in discount percentage against salesperson</a:t>
          </a:r>
        </a:p>
      </cx:txPr>
    </cx:title>
    <cx:plotArea>
      <cx:plotAreaRegion>
        <cx:series layoutId="boxWhisker" uniqueId="{00000000-96ED-4A54-899F-47EBA14EF5DF}">
          <cx:tx>
            <cx:txData>
              <cx:f>_xlchart.v1.12</cx:f>
              <cx:v>Africa</cx:v>
            </cx:txData>
          </cx:tx>
          <cx:dataId val="0"/>
          <cx:layoutPr>
            <cx:visibility meanLine="0" meanMarker="1" nonoutliers="0" outliers="1"/>
            <cx:statistics quartileMethod="exclusive"/>
          </cx:layoutPr>
        </cx:series>
        <cx:series layoutId="boxWhisker" uniqueId="{00000001-96ED-4A54-899F-47EBA14EF5DF}">
          <cx:tx>
            <cx:txData>
              <cx:f>_xlchart.v1.14</cx:f>
              <cx:v>Americas</cx:v>
            </cx:txData>
          </cx:tx>
          <cx:dataId val="1"/>
          <cx:layoutPr>
            <cx:visibility meanLine="0" meanMarker="1" nonoutliers="0" outliers="1"/>
            <cx:statistics quartileMethod="exclusive"/>
          </cx:layoutPr>
        </cx:series>
        <cx:series layoutId="boxWhisker" uniqueId="{00000002-96ED-4A54-899F-47EBA14EF5DF}">
          <cx:tx>
            <cx:txData>
              <cx:f>_xlchart.v1.16</cx:f>
              <cx:v>Asia</cx:v>
            </cx:txData>
          </cx:tx>
          <cx:dataId val="2"/>
          <cx:layoutPr>
            <cx:visibility meanLine="0" meanMarker="1" nonoutliers="0" outliers="1"/>
            <cx:statistics quartileMethod="exclusive"/>
          </cx:layoutPr>
        </cx:series>
        <cx:series layoutId="boxWhisker" uniqueId="{00000003-96ED-4A54-899F-47EBA14EF5DF}">
          <cx:tx>
            <cx:txData>
              <cx:f>_xlchart.v1.18</cx:f>
              <cx:v>Europe</cx:v>
            </cx:txData>
          </cx:tx>
          <cx:dataId val="3"/>
          <cx:layoutPr>
            <cx:visibility meanLine="0" meanMarker="1" nonoutliers="0" outliers="1"/>
            <cx:statistics quartileMethod="exclusive"/>
          </cx:layoutPr>
        </cx:series>
        <cx:series layoutId="boxWhisker" uniqueId="{00000004-96ED-4A54-899F-47EBA14EF5DF}">
          <cx:tx>
            <cx:txData>
              <cx:f>_xlchart.v1.20</cx:f>
              <cx:v>Grand Total</cx:v>
            </cx:txData>
          </cx:tx>
          <cx:dataId val="4"/>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_xlchart.v1.23</cx:f>
      </cx:numDim>
    </cx:data>
  </cx:chartData>
  <cx:chart>
    <cx:title pos="t" align="ctr" overlay="0">
      <cx:tx>
        <cx:txData>
          <cx:v>Outliers in discount percentage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Outliers in discount percentage </a:t>
          </a:r>
        </a:p>
      </cx:txPr>
    </cx:title>
    <cx:plotArea>
      <cx:plotAreaRegion>
        <cx:series layoutId="boxWhisker" uniqueId="{00000000-D855-4711-86F7-50E4FAEEE900}">
          <cx:tx>
            <cx:txData>
              <cx:f>_xlchart.v1.22</cx:f>
              <cx:v>DiscountPct</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microsoft.com/office/2014/relationships/chartEx" Target="../charts/chartEx2.xml"/><Relationship Id="rId4"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editAs="oneCell">
    <xdr:from>
      <xdr:col>4</xdr:col>
      <xdr:colOff>220980</xdr:colOff>
      <xdr:row>7</xdr:row>
      <xdr:rowOff>0</xdr:rowOff>
    </xdr:from>
    <xdr:to>
      <xdr:col>7</xdr:col>
      <xdr:colOff>220980</xdr:colOff>
      <xdr:row>20</xdr:row>
      <xdr:rowOff>89535</xdr:rowOff>
    </xdr:to>
    <mc:AlternateContent xmlns:mc="http://schemas.openxmlformats.org/markup-compatibility/2006" xmlns:a14="http://schemas.microsoft.com/office/drawing/2010/main">
      <mc:Choice Requires="a14">
        <xdr:graphicFrame macro="">
          <xdr:nvGraphicFramePr>
            <xdr:cNvPr id="2" name="Standardized-o-date">
              <a:extLst>
                <a:ext uri="{FF2B5EF4-FFF2-40B4-BE49-F238E27FC236}">
                  <a16:creationId xmlns:a16="http://schemas.microsoft.com/office/drawing/2014/main" id="{A0401B2C-11B6-4929-DB12-360C3CAB846C}"/>
                </a:ext>
              </a:extLst>
            </xdr:cNvPr>
            <xdr:cNvGraphicFramePr/>
          </xdr:nvGraphicFramePr>
          <xdr:xfrm>
            <a:off x="0" y="0"/>
            <a:ext cx="0" cy="0"/>
          </xdr:xfrm>
          <a:graphic>
            <a:graphicData uri="http://schemas.microsoft.com/office/drawing/2010/slicer">
              <sle:slicer xmlns:sle="http://schemas.microsoft.com/office/drawing/2010/slicer" name="Standardized-o-date"/>
            </a:graphicData>
          </a:graphic>
        </xdr:graphicFrame>
      </mc:Choice>
      <mc:Fallback xmlns="">
        <xdr:sp macro="" textlink="">
          <xdr:nvSpPr>
            <xdr:cNvPr id="0" name=""/>
            <xdr:cNvSpPr>
              <a:spLocks noTextEdit="1"/>
            </xdr:cNvSpPr>
          </xdr:nvSpPr>
          <xdr:spPr>
            <a:xfrm>
              <a:off x="4632960" y="12801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205740</xdr:colOff>
      <xdr:row>1</xdr:row>
      <xdr:rowOff>175260</xdr:rowOff>
    </xdr:from>
    <xdr:to>
      <xdr:col>15</xdr:col>
      <xdr:colOff>876300</xdr:colOff>
      <xdr:row>16</xdr:row>
      <xdr:rowOff>175260</xdr:rowOff>
    </xdr:to>
    <xdr:graphicFrame macro="">
      <xdr:nvGraphicFramePr>
        <xdr:cNvPr id="3" name="Chart 2">
          <a:extLst>
            <a:ext uri="{FF2B5EF4-FFF2-40B4-BE49-F238E27FC236}">
              <a16:creationId xmlns:a16="http://schemas.microsoft.com/office/drawing/2014/main" id="{02F4EEF8-7D4E-8795-37A8-C8EB46EE3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15240</xdr:colOff>
      <xdr:row>1</xdr:row>
      <xdr:rowOff>148590</xdr:rowOff>
    </xdr:from>
    <xdr:to>
      <xdr:col>16</xdr:col>
      <xdr:colOff>320040</xdr:colOff>
      <xdr:row>16</xdr:row>
      <xdr:rowOff>148590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3D2B402-0347-E0EE-20F6-2D4A5408B4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01640" y="339090"/>
              <a:ext cx="4572000" cy="2857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10</xdr:col>
      <xdr:colOff>175260</xdr:colOff>
      <xdr:row>2</xdr:row>
      <xdr:rowOff>22860</xdr:rowOff>
    </xdr:from>
    <xdr:to>
      <xdr:col>15</xdr:col>
      <xdr:colOff>480060</xdr:colOff>
      <xdr:row>17</xdr:row>
      <xdr:rowOff>22860</xdr:rowOff>
    </xdr:to>
    <xdr:graphicFrame macro="">
      <xdr:nvGraphicFramePr>
        <xdr:cNvPr id="2" name="Chart 1">
          <a:extLst>
            <a:ext uri="{FF2B5EF4-FFF2-40B4-BE49-F238E27FC236}">
              <a16:creationId xmlns:a16="http://schemas.microsoft.com/office/drawing/2014/main" id="{1B0FB56E-4257-DBAB-AD7F-3FD03CB4C6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22</xdr:col>
      <xdr:colOff>205740</xdr:colOff>
      <xdr:row>2</xdr:row>
      <xdr:rowOff>7620</xdr:rowOff>
    </xdr:from>
    <xdr:to>
      <xdr:col>24</xdr:col>
      <xdr:colOff>777240</xdr:colOff>
      <xdr:row>15</xdr:row>
      <xdr:rowOff>97155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2129F3F5-1C80-F6D7-07E2-33FA702625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026640" y="37338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350520</xdr:colOff>
      <xdr:row>16</xdr:row>
      <xdr:rowOff>30480</xdr:rowOff>
    </xdr:from>
    <xdr:to>
      <xdr:col>22</xdr:col>
      <xdr:colOff>144780</xdr:colOff>
      <xdr:row>29</xdr:row>
      <xdr:rowOff>120015</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AE235E42-9C91-20E3-E856-2F992B4DD19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136880" y="29565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91440</xdr:colOff>
      <xdr:row>1</xdr:row>
      <xdr:rowOff>144780</xdr:rowOff>
    </xdr:from>
    <xdr:to>
      <xdr:col>27</xdr:col>
      <xdr:colOff>304800</xdr:colOff>
      <xdr:row>15</xdr:row>
      <xdr:rowOff>51435</xdr:rowOff>
    </xdr:to>
    <mc:AlternateContent xmlns:mc="http://schemas.openxmlformats.org/markup-compatibility/2006" xmlns:a14="http://schemas.microsoft.com/office/drawing/2010/main">
      <mc:Choice Requires="a14">
        <xdr:graphicFrame macro="">
          <xdr:nvGraphicFramePr>
            <xdr:cNvPr id="5" name="Channel">
              <a:extLst>
                <a:ext uri="{FF2B5EF4-FFF2-40B4-BE49-F238E27FC236}">
                  <a16:creationId xmlns:a16="http://schemas.microsoft.com/office/drawing/2014/main" id="{4908023D-181E-471F-F72C-04014AF78CB8}"/>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7183100" y="3276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251460</xdr:colOff>
      <xdr:row>15</xdr:row>
      <xdr:rowOff>129540</xdr:rowOff>
    </xdr:from>
    <xdr:to>
      <xdr:col>27</xdr:col>
      <xdr:colOff>464820</xdr:colOff>
      <xdr:row>29</xdr:row>
      <xdr:rowOff>36195</xdr:rowOff>
    </xdr:to>
    <mc:AlternateContent xmlns:mc="http://schemas.openxmlformats.org/markup-compatibility/2006" xmlns:a14="http://schemas.microsoft.com/office/drawing/2010/main">
      <mc:Choice Requires="a14">
        <xdr:graphicFrame macro="">
          <xdr:nvGraphicFramePr>
            <xdr:cNvPr id="6" name="Salesperson">
              <a:extLst>
                <a:ext uri="{FF2B5EF4-FFF2-40B4-BE49-F238E27FC236}">
                  <a16:creationId xmlns:a16="http://schemas.microsoft.com/office/drawing/2014/main" id="{57BD49CD-5221-43FA-40FE-1F4266F6797F}"/>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7343120" y="287274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83820</xdr:colOff>
      <xdr:row>16</xdr:row>
      <xdr:rowOff>106680</xdr:rowOff>
    </xdr:from>
    <xdr:to>
      <xdr:col>25</xdr:col>
      <xdr:colOff>121920</xdr:colOff>
      <xdr:row>30</xdr:row>
      <xdr:rowOff>13335</xdr:rowOff>
    </xdr:to>
    <mc:AlternateContent xmlns:mc="http://schemas.openxmlformats.org/markup-compatibility/2006" xmlns:a14="http://schemas.microsoft.com/office/drawing/2010/main">
      <mc:Choice Requires="a14">
        <xdr:graphicFrame macro="">
          <xdr:nvGraphicFramePr>
            <xdr:cNvPr id="7" name="ProductCategory">
              <a:extLst>
                <a:ext uri="{FF2B5EF4-FFF2-40B4-BE49-F238E27FC236}">
                  <a16:creationId xmlns:a16="http://schemas.microsoft.com/office/drawing/2014/main" id="{C120DAA7-A456-34C5-554E-EB35C9A22FEB}"/>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15384780" y="30327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76200</xdr:colOff>
      <xdr:row>2</xdr:row>
      <xdr:rowOff>15240</xdr:rowOff>
    </xdr:from>
    <xdr:to>
      <xdr:col>21</xdr:col>
      <xdr:colOff>350520</xdr:colOff>
      <xdr:row>15</xdr:row>
      <xdr:rowOff>104775</xdr:rowOff>
    </xdr:to>
    <mc:AlternateContent xmlns:mc="http://schemas.openxmlformats.org/markup-compatibility/2006" xmlns:a14="http://schemas.microsoft.com/office/drawing/2010/main">
      <mc:Choice Requires="a14">
        <xdr:graphicFrame macro="">
          <xdr:nvGraphicFramePr>
            <xdr:cNvPr id="8" name="CohortMonth">
              <a:extLst>
                <a:ext uri="{FF2B5EF4-FFF2-40B4-BE49-F238E27FC236}">
                  <a16:creationId xmlns:a16="http://schemas.microsoft.com/office/drawing/2014/main" id="{3735DD58-190C-FF14-7CF2-F64B40CA673D}"/>
                </a:ext>
              </a:extLst>
            </xdr:cNvPr>
            <xdr:cNvGraphicFramePr/>
          </xdr:nvGraphicFramePr>
          <xdr:xfrm>
            <a:off x="0" y="0"/>
            <a:ext cx="0" cy="0"/>
          </xdr:xfrm>
          <a:graphic>
            <a:graphicData uri="http://schemas.microsoft.com/office/drawing/2010/slicer">
              <sle:slicer xmlns:sle="http://schemas.microsoft.com/office/drawing/2010/slicer" name="CohortMonth"/>
            </a:graphicData>
          </a:graphic>
        </xdr:graphicFrame>
      </mc:Choice>
      <mc:Fallback xmlns="">
        <xdr:sp macro="" textlink="">
          <xdr:nvSpPr>
            <xdr:cNvPr id="0" name=""/>
            <xdr:cNvSpPr>
              <a:spLocks noTextEdit="1"/>
            </xdr:cNvSpPr>
          </xdr:nvSpPr>
          <xdr:spPr>
            <a:xfrm>
              <a:off x="12862560" y="38100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7</xdr:col>
      <xdr:colOff>247244</xdr:colOff>
      <xdr:row>6</xdr:row>
      <xdr:rowOff>88846</xdr:rowOff>
    </xdr:from>
    <xdr:to>
      <xdr:col>10</xdr:col>
      <xdr:colOff>344520</xdr:colOff>
      <xdr:row>10</xdr:row>
      <xdr:rowOff>96466</xdr:rowOff>
    </xdr:to>
    <xdr:sp macro="" textlink="">
      <xdr:nvSpPr>
        <xdr:cNvPr id="2" name="Rectangle: Rounded Corners 1">
          <a:extLst>
            <a:ext uri="{FF2B5EF4-FFF2-40B4-BE49-F238E27FC236}">
              <a16:creationId xmlns:a16="http://schemas.microsoft.com/office/drawing/2014/main" id="{BD4D8C96-0C81-D75B-1146-91E3C771E6A6}"/>
            </a:ext>
          </a:extLst>
        </xdr:cNvPr>
        <xdr:cNvSpPr/>
      </xdr:nvSpPr>
      <xdr:spPr>
        <a:xfrm>
          <a:off x="4361233" y="1183208"/>
          <a:ext cx="1860415" cy="737194"/>
        </a:xfrm>
        <a:prstGeom prst="roundRect">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bg1"/>
              </a:solidFill>
              <a:effectLst>
                <a:outerShdw blurRad="50800" dist="50800" dir="5400000" sx="1000" sy="1000" algn="ctr" rotWithShape="0">
                  <a:srgbClr val="000000">
                    <a:alpha val="43137"/>
                  </a:srgbClr>
                </a:outerShdw>
              </a:effectLst>
            </a:rPr>
            <a:t>Total gross profit</a:t>
          </a:r>
        </a:p>
        <a:p>
          <a:pPr algn="l"/>
          <a:r>
            <a:rPr lang="en-KE" sz="1800" b="0" i="0" u="none" strike="noStrike">
              <a:solidFill>
                <a:schemeClr val="bg1"/>
              </a:solidFill>
              <a:effectLst>
                <a:outerShdw blurRad="50800" dist="50800" dir="5400000" sx="1000" sy="1000" algn="ctr" rotWithShape="0">
                  <a:srgbClr val="000000">
                    <a:alpha val="43137"/>
                  </a:srgbClr>
                </a:outerShdw>
              </a:effectLst>
              <a:latin typeface="+mn-lt"/>
              <a:ea typeface="+mn-ea"/>
              <a:cs typeface="+mn-cs"/>
            </a:rPr>
            <a:t>3</a:t>
          </a:r>
          <a:r>
            <a:rPr lang="en-US" sz="1800" b="0" i="0" u="none" strike="noStrike">
              <a:solidFill>
                <a:schemeClr val="bg1"/>
              </a:solidFill>
              <a:effectLst>
                <a:outerShdw blurRad="50800" dist="50800" dir="5400000" sx="1000" sy="1000" algn="ctr" rotWithShape="0">
                  <a:srgbClr val="000000">
                    <a:alpha val="43137"/>
                  </a:srgbClr>
                </a:outerShdw>
              </a:effectLst>
              <a:latin typeface="+mn-lt"/>
              <a:ea typeface="+mn-ea"/>
              <a:cs typeface="+mn-cs"/>
            </a:rPr>
            <a:t>,</a:t>
          </a:r>
          <a:r>
            <a:rPr lang="en-KE" sz="1800" b="0" i="0" u="none" strike="noStrike">
              <a:solidFill>
                <a:schemeClr val="bg1"/>
              </a:solidFill>
              <a:effectLst>
                <a:outerShdw blurRad="50800" dist="50800" dir="5400000" sx="1000" sy="1000" algn="ctr" rotWithShape="0">
                  <a:srgbClr val="000000">
                    <a:alpha val="43137"/>
                  </a:srgbClr>
                </a:outerShdw>
              </a:effectLst>
              <a:latin typeface="+mn-lt"/>
              <a:ea typeface="+mn-ea"/>
              <a:cs typeface="+mn-cs"/>
            </a:rPr>
            <a:t>401</a:t>
          </a:r>
          <a:r>
            <a:rPr lang="en-US" sz="1800" b="0" i="0" u="none" strike="noStrike">
              <a:solidFill>
                <a:schemeClr val="bg1"/>
              </a:solidFill>
              <a:effectLst>
                <a:outerShdw blurRad="50800" dist="50800" dir="5400000" sx="1000" sy="1000" algn="ctr" rotWithShape="0">
                  <a:srgbClr val="000000">
                    <a:alpha val="43137"/>
                  </a:srgbClr>
                </a:outerShdw>
              </a:effectLst>
              <a:latin typeface="+mn-lt"/>
              <a:ea typeface="+mn-ea"/>
              <a:cs typeface="+mn-cs"/>
            </a:rPr>
            <a:t>,</a:t>
          </a:r>
          <a:r>
            <a:rPr lang="en-KE" sz="1800" b="0" i="0" u="none" strike="noStrike">
              <a:solidFill>
                <a:schemeClr val="bg1"/>
              </a:solidFill>
              <a:effectLst>
                <a:outerShdw blurRad="50800" dist="50800" dir="5400000" sx="1000" sy="1000" algn="ctr" rotWithShape="0">
                  <a:srgbClr val="000000">
                    <a:alpha val="43137"/>
                  </a:srgbClr>
                </a:outerShdw>
              </a:effectLst>
              <a:latin typeface="+mn-lt"/>
              <a:ea typeface="+mn-ea"/>
              <a:cs typeface="+mn-cs"/>
            </a:rPr>
            <a:t>098.0</a:t>
          </a:r>
          <a:r>
            <a:rPr lang="en-US" sz="1800" b="0" i="0" u="none" strike="noStrike">
              <a:solidFill>
                <a:schemeClr val="bg1"/>
              </a:solidFill>
              <a:effectLst>
                <a:outerShdw blurRad="50800" dist="50800" dir="5400000" sx="1000" sy="1000" algn="ctr" rotWithShape="0">
                  <a:srgbClr val="000000">
                    <a:alpha val="43137"/>
                  </a:srgbClr>
                </a:outerShdw>
              </a:effectLst>
              <a:latin typeface="+mn-lt"/>
              <a:ea typeface="+mn-ea"/>
              <a:cs typeface="+mn-cs"/>
            </a:rPr>
            <a:t>1</a:t>
          </a:r>
          <a:r>
            <a:rPr lang="en-KE" sz="1800">
              <a:solidFill>
                <a:schemeClr val="bg1"/>
              </a:solidFill>
              <a:effectLst>
                <a:outerShdw blurRad="50800" dist="50800" dir="5400000" sx="1000" sy="1000" algn="ctr" rotWithShape="0">
                  <a:srgbClr val="000000">
                    <a:alpha val="43137"/>
                  </a:srgbClr>
                </a:outerShdw>
              </a:effectLst>
            </a:rPr>
            <a:t> </a:t>
          </a:r>
        </a:p>
      </xdr:txBody>
    </xdr:sp>
    <xdr:clientData/>
  </xdr:twoCellAnchor>
  <xdr:twoCellAnchor>
    <xdr:from>
      <xdr:col>25</xdr:col>
      <xdr:colOff>563556</xdr:colOff>
      <xdr:row>5</xdr:row>
      <xdr:rowOff>169748</xdr:rowOff>
    </xdr:from>
    <xdr:to>
      <xdr:col>28</xdr:col>
      <xdr:colOff>425586</xdr:colOff>
      <xdr:row>10</xdr:row>
      <xdr:rowOff>20266</xdr:rowOff>
    </xdr:to>
    <xdr:sp macro="" textlink="">
      <xdr:nvSpPr>
        <xdr:cNvPr id="3" name="Rectangle: Rounded Corners 2">
          <a:extLst>
            <a:ext uri="{FF2B5EF4-FFF2-40B4-BE49-F238E27FC236}">
              <a16:creationId xmlns:a16="http://schemas.microsoft.com/office/drawing/2014/main" id="{B889A4E2-57F5-4299-8F30-7574A9CC0B43}"/>
            </a:ext>
          </a:extLst>
        </xdr:cNvPr>
        <xdr:cNvSpPr/>
      </xdr:nvSpPr>
      <xdr:spPr>
        <a:xfrm>
          <a:off x="14911854" y="1081716"/>
          <a:ext cx="2233147" cy="762486"/>
        </a:xfrm>
        <a:prstGeom prst="roundRect">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Total</a:t>
          </a:r>
          <a:r>
            <a:rPr lang="en-US" sz="1600" baseline="0"/>
            <a:t> Revenue </a:t>
          </a:r>
        </a:p>
        <a:p>
          <a:pPr algn="l"/>
          <a:r>
            <a:rPr lang="en-US" sz="1800" b="0" i="0" u="none" strike="noStrike">
              <a:solidFill>
                <a:schemeClr val="lt1"/>
              </a:solidFill>
              <a:effectLst/>
              <a:latin typeface="+mn-lt"/>
              <a:ea typeface="+mn-ea"/>
              <a:cs typeface="+mn-cs"/>
            </a:rPr>
            <a:t>Ksh. </a:t>
          </a:r>
          <a:r>
            <a:rPr lang="en-KE" sz="1800" b="0" i="0" u="none" strike="noStrike">
              <a:solidFill>
                <a:schemeClr val="lt1"/>
              </a:solidFill>
              <a:effectLst/>
              <a:latin typeface="+mn-lt"/>
              <a:ea typeface="+mn-ea"/>
              <a:cs typeface="+mn-cs"/>
            </a:rPr>
            <a:t>10</a:t>
          </a:r>
          <a:r>
            <a:rPr lang="en-US" sz="1800" b="0" i="0" u="none" strike="noStrike">
              <a:solidFill>
                <a:schemeClr val="lt1"/>
              </a:solidFill>
              <a:effectLst/>
              <a:latin typeface="+mn-lt"/>
              <a:ea typeface="+mn-ea"/>
              <a:cs typeface="+mn-cs"/>
            </a:rPr>
            <a:t>,</a:t>
          </a:r>
          <a:r>
            <a:rPr lang="en-KE" sz="1800" b="0" i="0" u="none" strike="noStrike">
              <a:solidFill>
                <a:schemeClr val="lt1"/>
              </a:solidFill>
              <a:effectLst/>
              <a:latin typeface="+mn-lt"/>
              <a:ea typeface="+mn-ea"/>
              <a:cs typeface="+mn-cs"/>
            </a:rPr>
            <a:t>928</a:t>
          </a:r>
          <a:r>
            <a:rPr lang="en-US" sz="1800" b="0" i="0" u="none" strike="noStrike">
              <a:solidFill>
                <a:schemeClr val="lt1"/>
              </a:solidFill>
              <a:effectLst/>
              <a:latin typeface="+mn-lt"/>
              <a:ea typeface="+mn-ea"/>
              <a:cs typeface="+mn-cs"/>
            </a:rPr>
            <a:t>,</a:t>
          </a:r>
          <a:r>
            <a:rPr lang="en-KE" sz="1800" b="0" i="0" u="none" strike="noStrike">
              <a:solidFill>
                <a:schemeClr val="lt1"/>
              </a:solidFill>
              <a:effectLst/>
              <a:latin typeface="+mn-lt"/>
              <a:ea typeface="+mn-ea"/>
              <a:cs typeface="+mn-cs"/>
            </a:rPr>
            <a:t>845.72</a:t>
          </a:r>
          <a:r>
            <a:rPr lang="en-KE" sz="1800">
              <a:effectLst/>
            </a:rPr>
            <a:t> </a:t>
          </a:r>
          <a:endParaRPr lang="en-KE" sz="1800"/>
        </a:p>
      </xdr:txBody>
    </xdr:sp>
    <xdr:clientData/>
  </xdr:twoCellAnchor>
  <xdr:twoCellAnchor>
    <xdr:from>
      <xdr:col>9</xdr:col>
      <xdr:colOff>385054</xdr:colOff>
      <xdr:row>1</xdr:row>
      <xdr:rowOff>60796</xdr:rowOff>
    </xdr:from>
    <xdr:to>
      <xdr:col>26</xdr:col>
      <xdr:colOff>972766</xdr:colOff>
      <xdr:row>5</xdr:row>
      <xdr:rowOff>98897</xdr:rowOff>
    </xdr:to>
    <xdr:sp macro="" textlink="">
      <xdr:nvSpPr>
        <xdr:cNvPr id="7" name="Rectangle: Rounded Corners 6">
          <a:extLst>
            <a:ext uri="{FF2B5EF4-FFF2-40B4-BE49-F238E27FC236}">
              <a16:creationId xmlns:a16="http://schemas.microsoft.com/office/drawing/2014/main" id="{87A28FAA-7852-49EE-807F-35C437164355}"/>
            </a:ext>
          </a:extLst>
        </xdr:cNvPr>
        <xdr:cNvSpPr/>
      </xdr:nvSpPr>
      <xdr:spPr>
        <a:xfrm>
          <a:off x="5674469" y="243190"/>
          <a:ext cx="10234308" cy="767675"/>
        </a:xfrm>
        <a:prstGeom prst="roundRect">
          <a:avLst/>
        </a:prstGeom>
        <a:solidFill>
          <a:schemeClr val="tx2">
            <a:lumMod val="60000"/>
            <a:lumOff val="40000"/>
          </a:schemeClr>
        </a:solidFill>
        <a:ln>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KE" sz="3600" b="1" cap="all" baseline="0"/>
            <a:t>Multi-Regional Sales Operations Dashboard</a:t>
          </a:r>
        </a:p>
      </xdr:txBody>
    </xdr:sp>
    <xdr:clientData/>
  </xdr:twoCellAnchor>
  <xdr:twoCellAnchor editAs="oneCell">
    <xdr:from>
      <xdr:col>1</xdr:col>
      <xdr:colOff>519075</xdr:colOff>
      <xdr:row>24</xdr:row>
      <xdr:rowOff>75842</xdr:rowOff>
    </xdr:from>
    <xdr:to>
      <xdr:col>4</xdr:col>
      <xdr:colOff>450496</xdr:colOff>
      <xdr:row>43</xdr:row>
      <xdr:rowOff>0</xdr:rowOff>
    </xdr:to>
    <mc:AlternateContent xmlns:mc="http://schemas.openxmlformats.org/markup-compatibility/2006">
      <mc:Choice xmlns:a14="http://schemas.microsoft.com/office/drawing/2010/main" Requires="a14">
        <xdr:graphicFrame macro="">
          <xdr:nvGraphicFramePr>
            <xdr:cNvPr id="8" name="Country 1">
              <a:extLst>
                <a:ext uri="{FF2B5EF4-FFF2-40B4-BE49-F238E27FC236}">
                  <a16:creationId xmlns:a16="http://schemas.microsoft.com/office/drawing/2014/main" id="{091A05D7-7387-4070-A5F4-CEE32959D0D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106788" y="4453289"/>
              <a:ext cx="1694559" cy="33896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576746</xdr:colOff>
      <xdr:row>11</xdr:row>
      <xdr:rowOff>159858</xdr:rowOff>
    </xdr:from>
    <xdr:to>
      <xdr:col>4</xdr:col>
      <xdr:colOff>508167</xdr:colOff>
      <xdr:row>23</xdr:row>
      <xdr:rowOff>165573</xdr:rowOff>
    </xdr:to>
    <mc:AlternateContent xmlns:mc="http://schemas.openxmlformats.org/markup-compatibility/2006">
      <mc:Choice xmlns:a14="http://schemas.microsoft.com/office/drawing/2010/main" Requires="a14">
        <xdr:graphicFrame macro="">
          <xdr:nvGraphicFramePr>
            <xdr:cNvPr id="9" name="Channel 1">
              <a:extLst>
                <a:ext uri="{FF2B5EF4-FFF2-40B4-BE49-F238E27FC236}">
                  <a16:creationId xmlns:a16="http://schemas.microsoft.com/office/drawing/2014/main" id="{3BCBF095-1ADF-4563-96E9-C66BE9371505}"/>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1164459" y="2166188"/>
              <a:ext cx="1694559" cy="2194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420</xdr:colOff>
      <xdr:row>11</xdr:row>
      <xdr:rowOff>147211</xdr:rowOff>
    </xdr:from>
    <xdr:to>
      <xdr:col>7</xdr:col>
      <xdr:colOff>519552</xdr:colOff>
      <xdr:row>23</xdr:row>
      <xdr:rowOff>152926</xdr:rowOff>
    </xdr:to>
    <mc:AlternateContent xmlns:mc="http://schemas.openxmlformats.org/markup-compatibility/2006">
      <mc:Choice xmlns:a14="http://schemas.microsoft.com/office/drawing/2010/main" Requires="a14">
        <xdr:graphicFrame macro="">
          <xdr:nvGraphicFramePr>
            <xdr:cNvPr id="10" name="Salesperson 1">
              <a:extLst>
                <a:ext uri="{FF2B5EF4-FFF2-40B4-BE49-F238E27FC236}">
                  <a16:creationId xmlns:a16="http://schemas.microsoft.com/office/drawing/2014/main" id="{72E54376-69CD-40D3-A3D4-5E85CD21D8E4}"/>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2938984" y="2153541"/>
              <a:ext cx="1694557" cy="2194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561279</xdr:colOff>
      <xdr:row>24</xdr:row>
      <xdr:rowOff>5176</xdr:rowOff>
    </xdr:from>
    <xdr:to>
      <xdr:col>7</xdr:col>
      <xdr:colOff>492698</xdr:colOff>
      <xdr:row>34</xdr:row>
      <xdr:rowOff>48846</xdr:rowOff>
    </xdr:to>
    <mc:AlternateContent xmlns:mc="http://schemas.openxmlformats.org/markup-compatibility/2006">
      <mc:Choice xmlns:a14="http://schemas.microsoft.com/office/drawing/2010/main" Requires="a14">
        <xdr:graphicFrame macro="">
          <xdr:nvGraphicFramePr>
            <xdr:cNvPr id="11" name="ProductCategory 1">
              <a:extLst>
                <a:ext uri="{FF2B5EF4-FFF2-40B4-BE49-F238E27FC236}">
                  <a16:creationId xmlns:a16="http://schemas.microsoft.com/office/drawing/2014/main" id="{5909360F-197E-4963-BCF5-35FD71A1ABB1}"/>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dr:sp macro="" textlink="">
          <xdr:nvSpPr>
            <xdr:cNvPr id="0" name=""/>
            <xdr:cNvSpPr>
              <a:spLocks noTextEdit="1"/>
            </xdr:cNvSpPr>
          </xdr:nvSpPr>
          <xdr:spPr>
            <a:xfrm>
              <a:off x="2912130" y="4382623"/>
              <a:ext cx="1694557" cy="18676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564849</xdr:colOff>
      <xdr:row>34</xdr:row>
      <xdr:rowOff>121598</xdr:rowOff>
    </xdr:from>
    <xdr:to>
      <xdr:col>7</xdr:col>
      <xdr:colOff>467156</xdr:colOff>
      <xdr:row>42</xdr:row>
      <xdr:rowOff>170443</xdr:rowOff>
    </xdr:to>
    <mc:AlternateContent xmlns:mc="http://schemas.openxmlformats.org/markup-compatibility/2006">
      <mc:Choice xmlns:a14="http://schemas.microsoft.com/office/drawing/2010/main" Requires="a14">
        <xdr:graphicFrame macro="">
          <xdr:nvGraphicFramePr>
            <xdr:cNvPr id="12" name="Standardized-o-date 1">
              <a:extLst>
                <a:ext uri="{FF2B5EF4-FFF2-40B4-BE49-F238E27FC236}">
                  <a16:creationId xmlns:a16="http://schemas.microsoft.com/office/drawing/2014/main" id="{2B94B370-114B-40EF-B6C1-3BDBEBA8B4AA}"/>
                </a:ext>
              </a:extLst>
            </xdr:cNvPr>
            <xdr:cNvGraphicFramePr/>
          </xdr:nvGraphicFramePr>
          <xdr:xfrm>
            <a:off x="0" y="0"/>
            <a:ext cx="0" cy="0"/>
          </xdr:xfrm>
          <a:graphic>
            <a:graphicData uri="http://schemas.microsoft.com/office/drawing/2010/slicer">
              <sle:slicer xmlns:sle="http://schemas.microsoft.com/office/drawing/2010/slicer" name="Standardized-o-date 1"/>
            </a:graphicData>
          </a:graphic>
        </xdr:graphicFrame>
      </mc:Choice>
      <mc:Fallback>
        <xdr:sp macro="" textlink="">
          <xdr:nvSpPr>
            <xdr:cNvPr id="0" name=""/>
            <xdr:cNvSpPr>
              <a:spLocks noTextEdit="1"/>
            </xdr:cNvSpPr>
          </xdr:nvSpPr>
          <xdr:spPr>
            <a:xfrm>
              <a:off x="2915700" y="6322981"/>
              <a:ext cx="1665445" cy="15079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554964</xdr:colOff>
      <xdr:row>5</xdr:row>
      <xdr:rowOff>174936</xdr:rowOff>
    </xdr:from>
    <xdr:to>
      <xdr:col>19</xdr:col>
      <xdr:colOff>516863</xdr:colOff>
      <xdr:row>10</xdr:row>
      <xdr:rowOff>45882</xdr:rowOff>
    </xdr:to>
    <xdr:sp macro="" textlink="">
      <xdr:nvSpPr>
        <xdr:cNvPr id="14" name="Rectangle: Rounded Corners 13">
          <a:extLst>
            <a:ext uri="{FF2B5EF4-FFF2-40B4-BE49-F238E27FC236}">
              <a16:creationId xmlns:a16="http://schemas.microsoft.com/office/drawing/2014/main" id="{158F8AB3-743C-4B09-A782-179DBAFB2BFF}"/>
            </a:ext>
          </a:extLst>
        </xdr:cNvPr>
        <xdr:cNvSpPr/>
      </xdr:nvSpPr>
      <xdr:spPr>
        <a:xfrm>
          <a:off x="9958368" y="1086904"/>
          <a:ext cx="1725038" cy="782914"/>
        </a:xfrm>
        <a:prstGeom prst="roundRect">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Total Margin </a:t>
          </a:r>
        </a:p>
        <a:p>
          <a:pPr algn="l"/>
          <a:r>
            <a:rPr lang="en-KE" sz="1800" b="0" i="0" u="none" strike="noStrike">
              <a:solidFill>
                <a:schemeClr val="lt1"/>
              </a:solidFill>
              <a:effectLst/>
              <a:latin typeface="+mn-lt"/>
              <a:ea typeface="+mn-ea"/>
              <a:cs typeface="+mn-cs"/>
            </a:rPr>
            <a:t>31.12</a:t>
          </a:r>
          <a:r>
            <a:rPr lang="en-KE" sz="1800">
              <a:effectLst/>
            </a:rPr>
            <a:t> </a:t>
          </a:r>
          <a:r>
            <a:rPr lang="en-US" sz="1800">
              <a:effectLst/>
            </a:rPr>
            <a:t>%</a:t>
          </a:r>
          <a:endParaRPr lang="en-KE" sz="1800"/>
        </a:p>
      </xdr:txBody>
    </xdr:sp>
    <xdr:clientData/>
  </xdr:twoCellAnchor>
  <xdr:twoCellAnchor>
    <xdr:from>
      <xdr:col>20</xdr:col>
      <xdr:colOff>212873</xdr:colOff>
      <xdr:row>6</xdr:row>
      <xdr:rowOff>7620</xdr:rowOff>
    </xdr:from>
    <xdr:to>
      <xdr:col>25</xdr:col>
      <xdr:colOff>202659</xdr:colOff>
      <xdr:row>10</xdr:row>
      <xdr:rowOff>60798</xdr:rowOff>
    </xdr:to>
    <xdr:sp macro="" textlink="">
      <xdr:nvSpPr>
        <xdr:cNvPr id="18" name="Rectangle: Rounded Corners 17">
          <a:extLst>
            <a:ext uri="{FF2B5EF4-FFF2-40B4-BE49-F238E27FC236}">
              <a16:creationId xmlns:a16="http://schemas.microsoft.com/office/drawing/2014/main" id="{04ED6823-9FE2-4D02-8D17-18AE104E3A15}"/>
            </a:ext>
          </a:extLst>
        </xdr:cNvPr>
        <xdr:cNvSpPr/>
      </xdr:nvSpPr>
      <xdr:spPr>
        <a:xfrm>
          <a:off x="11967128" y="1101982"/>
          <a:ext cx="2583829" cy="782752"/>
        </a:xfrm>
        <a:prstGeom prst="roundRect">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KE" sz="1600"/>
            <a:t>Average Order Value (AOV)</a:t>
          </a:r>
          <a:endParaRPr lang="en-US" sz="1600"/>
        </a:p>
        <a:p>
          <a:pPr algn="l"/>
          <a:r>
            <a:rPr lang="en-US" sz="1800" b="0" i="0" u="none" strike="noStrike">
              <a:solidFill>
                <a:schemeClr val="lt1"/>
              </a:solidFill>
              <a:effectLst/>
              <a:latin typeface="+mn-lt"/>
              <a:ea typeface="+mn-ea"/>
              <a:cs typeface="+mn-cs"/>
            </a:rPr>
            <a:t>Ksh. </a:t>
          </a:r>
          <a:r>
            <a:rPr lang="en-KE" sz="1800" b="0" i="0" u="none" strike="noStrike">
              <a:solidFill>
                <a:schemeClr val="lt1"/>
              </a:solidFill>
              <a:effectLst/>
              <a:latin typeface="+mn-lt"/>
              <a:ea typeface="+mn-ea"/>
              <a:cs typeface="+mn-cs"/>
            </a:rPr>
            <a:t>17</a:t>
          </a:r>
          <a:r>
            <a:rPr lang="en-US" sz="1800" b="0" i="0" u="none" strike="noStrike">
              <a:solidFill>
                <a:schemeClr val="lt1"/>
              </a:solidFill>
              <a:effectLst/>
              <a:latin typeface="+mn-lt"/>
              <a:ea typeface="+mn-ea"/>
              <a:cs typeface="+mn-cs"/>
            </a:rPr>
            <a:t>,</a:t>
          </a:r>
          <a:r>
            <a:rPr lang="en-KE" sz="1800" b="0" i="0" u="none" strike="noStrike">
              <a:solidFill>
                <a:schemeClr val="lt1"/>
              </a:solidFill>
              <a:effectLst/>
              <a:latin typeface="+mn-lt"/>
              <a:ea typeface="+mn-ea"/>
              <a:cs typeface="+mn-cs"/>
            </a:rPr>
            <a:t>292.4</a:t>
          </a:r>
          <a:r>
            <a:rPr lang="en-US" sz="1800" b="0" i="0" u="none" strike="noStrike">
              <a:solidFill>
                <a:schemeClr val="lt1"/>
              </a:solidFill>
              <a:effectLst/>
              <a:latin typeface="+mn-lt"/>
              <a:ea typeface="+mn-ea"/>
              <a:cs typeface="+mn-cs"/>
            </a:rPr>
            <a:t>8</a:t>
          </a:r>
          <a:endParaRPr lang="en-KE" sz="1800"/>
        </a:p>
      </xdr:txBody>
    </xdr:sp>
    <xdr:clientData/>
  </xdr:twoCellAnchor>
  <xdr:twoCellAnchor>
    <xdr:from>
      <xdr:col>11</xdr:col>
      <xdr:colOff>243192</xdr:colOff>
      <xdr:row>6</xdr:row>
      <xdr:rowOff>48314</xdr:rowOff>
    </xdr:from>
    <xdr:to>
      <xdr:col>16</xdr:col>
      <xdr:colOff>101330</xdr:colOff>
      <xdr:row>10</xdr:row>
      <xdr:rowOff>71174</xdr:rowOff>
    </xdr:to>
    <xdr:sp macro="" textlink="">
      <xdr:nvSpPr>
        <xdr:cNvPr id="19" name="Rectangle: Rounded Corners 18">
          <a:extLst>
            <a:ext uri="{FF2B5EF4-FFF2-40B4-BE49-F238E27FC236}">
              <a16:creationId xmlns:a16="http://schemas.microsoft.com/office/drawing/2014/main" id="{410FE2DF-3DA3-4B59-9CFC-6044A00FE30D}"/>
            </a:ext>
          </a:extLst>
        </xdr:cNvPr>
        <xdr:cNvSpPr/>
      </xdr:nvSpPr>
      <xdr:spPr>
        <a:xfrm>
          <a:off x="6708032" y="1142676"/>
          <a:ext cx="2796702" cy="752434"/>
        </a:xfrm>
        <a:prstGeom prst="roundRect">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KE" sz="1600"/>
            <a:t>On-Time % (LeadTime Days  7)</a:t>
          </a:r>
          <a:endParaRPr lang="en-US" sz="1600"/>
        </a:p>
        <a:p>
          <a:pPr algn="l"/>
          <a:r>
            <a:rPr lang="en-US" sz="1800" b="0" i="0" u="none" strike="noStrike">
              <a:solidFill>
                <a:schemeClr val="lt1"/>
              </a:solidFill>
              <a:effectLst/>
              <a:latin typeface="+mn-lt"/>
              <a:ea typeface="+mn-ea"/>
              <a:cs typeface="+mn-cs"/>
            </a:rPr>
            <a:t>22%</a:t>
          </a:r>
          <a:endParaRPr lang="en-KE" sz="1800"/>
        </a:p>
      </xdr:txBody>
    </xdr:sp>
    <xdr:clientData/>
  </xdr:twoCellAnchor>
  <xdr:twoCellAnchor>
    <xdr:from>
      <xdr:col>7</xdr:col>
      <xdr:colOff>571499</xdr:colOff>
      <xdr:row>11</xdr:row>
      <xdr:rowOff>106680</xdr:rowOff>
    </xdr:from>
    <xdr:to>
      <xdr:col>15</xdr:col>
      <xdr:colOff>243192</xdr:colOff>
      <xdr:row>26</xdr:row>
      <xdr:rowOff>106680</xdr:rowOff>
    </xdr:to>
    <xdr:graphicFrame macro="">
      <xdr:nvGraphicFramePr>
        <xdr:cNvPr id="20" name="Chart 19">
          <a:extLst>
            <a:ext uri="{FF2B5EF4-FFF2-40B4-BE49-F238E27FC236}">
              <a16:creationId xmlns:a16="http://schemas.microsoft.com/office/drawing/2014/main" id="{F85461DE-A9CA-4F31-B225-A805BB04D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320688</xdr:colOff>
      <xdr:row>11</xdr:row>
      <xdr:rowOff>73768</xdr:rowOff>
    </xdr:from>
    <xdr:to>
      <xdr:col>23</xdr:col>
      <xdr:colOff>15888</xdr:colOff>
      <xdr:row>26</xdr:row>
      <xdr:rowOff>73768</xdr:rowOff>
    </xdr:to>
    <xdr:graphicFrame macro="">
      <xdr:nvGraphicFramePr>
        <xdr:cNvPr id="21" name="Chart 20">
          <a:extLst>
            <a:ext uri="{FF2B5EF4-FFF2-40B4-BE49-F238E27FC236}">
              <a16:creationId xmlns:a16="http://schemas.microsoft.com/office/drawing/2014/main" id="{F30A6FB9-AF1F-4C89-842E-C2F79117D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505677</xdr:colOff>
      <xdr:row>27</xdr:row>
      <xdr:rowOff>147374</xdr:rowOff>
    </xdr:from>
    <xdr:to>
      <xdr:col>15</xdr:col>
      <xdr:colOff>200877</xdr:colOff>
      <xdr:row>42</xdr:row>
      <xdr:rowOff>147375</xdr:rowOff>
    </xdr:to>
    <xdr:graphicFrame macro="">
      <xdr:nvGraphicFramePr>
        <xdr:cNvPr id="22" name="Chart 21">
          <a:extLst>
            <a:ext uri="{FF2B5EF4-FFF2-40B4-BE49-F238E27FC236}">
              <a16:creationId xmlns:a16="http://schemas.microsoft.com/office/drawing/2014/main" id="{DCFD961F-2DEB-45B8-8360-854768A3B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452336</xdr:colOff>
      <xdr:row>27</xdr:row>
      <xdr:rowOff>175259</xdr:rowOff>
    </xdr:from>
    <xdr:to>
      <xdr:col>23</xdr:col>
      <xdr:colOff>147536</xdr:colOff>
      <xdr:row>42</xdr:row>
      <xdr:rowOff>175260</xdr:rowOff>
    </xdr:to>
    <xdr:graphicFrame macro="">
      <xdr:nvGraphicFramePr>
        <xdr:cNvPr id="23" name="Chart 22">
          <a:extLst>
            <a:ext uri="{FF2B5EF4-FFF2-40B4-BE49-F238E27FC236}">
              <a16:creationId xmlns:a16="http://schemas.microsoft.com/office/drawing/2014/main" id="{B343F5E5-ED82-43D5-B179-022BFA8DB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81713</xdr:colOff>
      <xdr:row>11</xdr:row>
      <xdr:rowOff>71174</xdr:rowOff>
    </xdr:from>
    <xdr:to>
      <xdr:col>30</xdr:col>
      <xdr:colOff>770107</xdr:colOff>
      <xdr:row>26</xdr:row>
      <xdr:rowOff>71174</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ED72EA25-F013-473D-9490-2FDBDFC73C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3599107" y="2077504"/>
              <a:ext cx="5471160" cy="273590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320040</xdr:colOff>
      <xdr:row>6</xdr:row>
      <xdr:rowOff>41910</xdr:rowOff>
    </xdr:from>
    <xdr:to>
      <xdr:col>11</xdr:col>
      <xdr:colOff>15240</xdr:colOff>
      <xdr:row>21</xdr:row>
      <xdr:rowOff>41910</xdr:rowOff>
    </xdr:to>
    <xdr:graphicFrame macro="">
      <xdr:nvGraphicFramePr>
        <xdr:cNvPr id="2" name="Chart 1">
          <a:extLst>
            <a:ext uri="{FF2B5EF4-FFF2-40B4-BE49-F238E27FC236}">
              <a16:creationId xmlns:a16="http://schemas.microsoft.com/office/drawing/2014/main" id="{437FCDB6-AE00-FE2D-BB63-DB844F4D80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464820</xdr:colOff>
      <xdr:row>2</xdr:row>
      <xdr:rowOff>30480</xdr:rowOff>
    </xdr:from>
    <xdr:to>
      <xdr:col>14</xdr:col>
      <xdr:colOff>464820</xdr:colOff>
      <xdr:row>15</xdr:row>
      <xdr:rowOff>120015</xdr:rowOff>
    </xdr:to>
    <mc:AlternateContent xmlns:mc="http://schemas.openxmlformats.org/markup-compatibility/2006" xmlns:a14="http://schemas.microsoft.com/office/drawing/2010/main">
      <mc:Choice Requires="a14">
        <xdr:graphicFrame macro="">
          <xdr:nvGraphicFramePr>
            <xdr:cNvPr id="3" name="Standardized-o-date 2">
              <a:extLst>
                <a:ext uri="{FF2B5EF4-FFF2-40B4-BE49-F238E27FC236}">
                  <a16:creationId xmlns:a16="http://schemas.microsoft.com/office/drawing/2014/main" id="{9F88B1FA-D51F-3AA5-C961-040329DE6483}"/>
                </a:ext>
              </a:extLst>
            </xdr:cNvPr>
            <xdr:cNvGraphicFramePr/>
          </xdr:nvGraphicFramePr>
          <xdr:xfrm>
            <a:off x="0" y="0"/>
            <a:ext cx="0" cy="0"/>
          </xdr:xfrm>
          <a:graphic>
            <a:graphicData uri="http://schemas.microsoft.com/office/drawing/2010/slicer">
              <sle:slicer xmlns:sle="http://schemas.microsoft.com/office/drawing/2010/slicer" name="Standardized-o-date 2"/>
            </a:graphicData>
          </a:graphic>
        </xdr:graphicFrame>
      </mc:Choice>
      <mc:Fallback xmlns="">
        <xdr:sp macro="" textlink="">
          <xdr:nvSpPr>
            <xdr:cNvPr id="0" name=""/>
            <xdr:cNvSpPr>
              <a:spLocks noTextEdit="1"/>
            </xdr:cNvSpPr>
          </xdr:nvSpPr>
          <xdr:spPr>
            <a:xfrm>
              <a:off x="8153400" y="39624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9</xdr:col>
      <xdr:colOff>350520</xdr:colOff>
      <xdr:row>2</xdr:row>
      <xdr:rowOff>57150</xdr:rowOff>
    </xdr:from>
    <xdr:to>
      <xdr:col>17</xdr:col>
      <xdr:colOff>45720</xdr:colOff>
      <xdr:row>17</xdr:row>
      <xdr:rowOff>57150</xdr:rowOff>
    </xdr:to>
    <xdr:graphicFrame macro="">
      <xdr:nvGraphicFramePr>
        <xdr:cNvPr id="2" name="Chart 1">
          <a:extLst>
            <a:ext uri="{FF2B5EF4-FFF2-40B4-BE49-F238E27FC236}">
              <a16:creationId xmlns:a16="http://schemas.microsoft.com/office/drawing/2014/main" id="{A2747209-02FF-8D7D-7757-700BA0CC02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60960</xdr:colOff>
      <xdr:row>16</xdr:row>
      <xdr:rowOff>7620</xdr:rowOff>
    </xdr:from>
    <xdr:to>
      <xdr:col>21</xdr:col>
      <xdr:colOff>60960</xdr:colOff>
      <xdr:row>29</xdr:row>
      <xdr:rowOff>97155</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726B2459-EB69-B3C6-3421-C7D46D2E255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839700" y="293370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30480</xdr:colOff>
      <xdr:row>2</xdr:row>
      <xdr:rowOff>53340</xdr:rowOff>
    </xdr:from>
    <xdr:to>
      <xdr:col>21</xdr:col>
      <xdr:colOff>30480</xdr:colOff>
      <xdr:row>15</xdr:row>
      <xdr:rowOff>142875</xdr:rowOff>
    </xdr:to>
    <mc:AlternateContent xmlns:mc="http://schemas.openxmlformats.org/markup-compatibility/2006" xmlns:a14="http://schemas.microsoft.com/office/drawing/2010/main">
      <mc:Choice Requires="a14">
        <xdr:graphicFrame macro="">
          <xdr:nvGraphicFramePr>
            <xdr:cNvPr id="4" name="Channel 2">
              <a:extLst>
                <a:ext uri="{FF2B5EF4-FFF2-40B4-BE49-F238E27FC236}">
                  <a16:creationId xmlns:a16="http://schemas.microsoft.com/office/drawing/2014/main" id="{213497F5-86A9-BB62-4369-2698B78887BB}"/>
                </a:ext>
              </a:extLst>
            </xdr:cNvPr>
            <xdr:cNvGraphicFramePr/>
          </xdr:nvGraphicFramePr>
          <xdr:xfrm>
            <a:off x="0" y="0"/>
            <a:ext cx="0" cy="0"/>
          </xdr:xfrm>
          <a:graphic>
            <a:graphicData uri="http://schemas.microsoft.com/office/drawing/2010/slicer">
              <sle:slicer xmlns:sle="http://schemas.microsoft.com/office/drawing/2010/slicer" name="Channel 2"/>
            </a:graphicData>
          </a:graphic>
        </xdr:graphicFrame>
      </mc:Choice>
      <mc:Fallback xmlns="">
        <xdr:sp macro="" textlink="">
          <xdr:nvSpPr>
            <xdr:cNvPr id="0" name=""/>
            <xdr:cNvSpPr>
              <a:spLocks noTextEdit="1"/>
            </xdr:cNvSpPr>
          </xdr:nvSpPr>
          <xdr:spPr>
            <a:xfrm>
              <a:off x="12809220" y="41910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342900</xdr:colOff>
      <xdr:row>3</xdr:row>
      <xdr:rowOff>19050</xdr:rowOff>
    </xdr:from>
    <xdr:to>
      <xdr:col>11</xdr:col>
      <xdr:colOff>38100</xdr:colOff>
      <xdr:row>18</xdr:row>
      <xdr:rowOff>19050</xdr:rowOff>
    </xdr:to>
    <xdr:graphicFrame macro="">
      <xdr:nvGraphicFramePr>
        <xdr:cNvPr id="2" name="Chart 1">
          <a:extLst>
            <a:ext uri="{FF2B5EF4-FFF2-40B4-BE49-F238E27FC236}">
              <a16:creationId xmlns:a16="http://schemas.microsoft.com/office/drawing/2014/main" id="{63DF4E71-6760-7713-F172-16D605237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259080</xdr:colOff>
      <xdr:row>3</xdr:row>
      <xdr:rowOff>129540</xdr:rowOff>
    </xdr:from>
    <xdr:to>
      <xdr:col>15</xdr:col>
      <xdr:colOff>259080</xdr:colOff>
      <xdr:row>17</xdr:row>
      <xdr:rowOff>36195</xdr:rowOff>
    </xdr:to>
    <mc:AlternateContent xmlns:mc="http://schemas.openxmlformats.org/markup-compatibility/2006" xmlns:a14="http://schemas.microsoft.com/office/drawing/2010/main">
      <mc:Choice Requires="a14">
        <xdr:graphicFrame macro="">
          <xdr:nvGraphicFramePr>
            <xdr:cNvPr id="3" name="SKU">
              <a:extLst>
                <a:ext uri="{FF2B5EF4-FFF2-40B4-BE49-F238E27FC236}">
                  <a16:creationId xmlns:a16="http://schemas.microsoft.com/office/drawing/2014/main" id="{40570439-BF07-B565-1BC4-13720313B8FD}"/>
                </a:ext>
              </a:extLst>
            </xdr:cNvPr>
            <xdr:cNvGraphicFramePr/>
          </xdr:nvGraphicFramePr>
          <xdr:xfrm>
            <a:off x="0" y="0"/>
            <a:ext cx="0" cy="0"/>
          </xdr:xfrm>
          <a:graphic>
            <a:graphicData uri="http://schemas.microsoft.com/office/drawing/2010/slicer">
              <sle:slicer xmlns:sle="http://schemas.microsoft.com/office/drawing/2010/slicer" name="SKU"/>
            </a:graphicData>
          </a:graphic>
        </xdr:graphicFrame>
      </mc:Choice>
      <mc:Fallback xmlns="">
        <xdr:sp macro="" textlink="">
          <xdr:nvSpPr>
            <xdr:cNvPr id="0" name=""/>
            <xdr:cNvSpPr>
              <a:spLocks noTextEdit="1"/>
            </xdr:cNvSpPr>
          </xdr:nvSpPr>
          <xdr:spPr>
            <a:xfrm>
              <a:off x="8557260" y="67818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42</xdr:col>
      <xdr:colOff>202097</xdr:colOff>
      <xdr:row>1</xdr:row>
      <xdr:rowOff>149089</xdr:rowOff>
    </xdr:from>
    <xdr:to>
      <xdr:col>49</xdr:col>
      <xdr:colOff>506897</xdr:colOff>
      <xdr:row>16</xdr:row>
      <xdr:rowOff>109332</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31CECAC6-BD2B-DF12-3A19-23636334C5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206097" y="339589"/>
              <a:ext cx="5638800" cy="281774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6.80967372685" createdVersion="8" refreshedVersion="8" minRefreshableVersion="3" recordCount="633" xr:uid="{0BADDC61-2D08-430A-B332-FF5C857AAF42}">
  <cacheSource type="worksheet">
    <worksheetSource ref="A1:AG634" sheet="Original"/>
  </cacheSource>
  <cacheFields count="26">
    <cacheField name="OrderID" numFmtId="0">
      <sharedItems containsBlank="1"/>
    </cacheField>
    <cacheField name="OrderDate" numFmtId="14">
      <sharedItems containsNonDate="0" containsDate="1" containsString="0" containsBlank="1" minDate="2023-01-02T00:00:00" maxDate="2025-09-16T00:00:00"/>
    </cacheField>
    <cacheField name="Quarter" numFmtId="14">
      <sharedItems containsBlank="1"/>
    </cacheField>
    <cacheField name="Standardized-o-date" numFmtId="14">
      <sharedItems containsBlank="1"/>
    </cacheField>
    <cacheField name="RequiredDate" numFmtId="14">
      <sharedItems containsNonDate="0" containsDate="1" containsString="0" containsBlank="1" minDate="2023-01-05T00:00:00" maxDate="2025-10-06T00:00:00"/>
    </cacheField>
    <cacheField name="LeadTimeDays" numFmtId="1">
      <sharedItems containsString="0" containsBlank="1" containsNumber="1" containsInteger="1" minValue="0" maxValue="30"/>
    </cacheField>
    <cacheField name="updated_reqdate" numFmtId="14">
      <sharedItems containsNonDate="0" containsDate="1" containsString="0" containsBlank="1" minDate="2023-01-05T00:00:00" maxDate="2025-10-06T00:00:00"/>
    </cacheField>
    <cacheField name="Region" numFmtId="0">
      <sharedItems containsBlank="1" count="5">
        <s v="Africa"/>
        <s v="Asia"/>
        <s v="Americas"/>
        <s v="Europe"/>
        <m/>
      </sharedItems>
    </cacheField>
    <cacheField name="Country" numFmtId="0">
      <sharedItems containsBlank="1" count="13">
        <s v="Kenya"/>
        <s v="Nigeria"/>
        <s v="Japan"/>
        <s v="Canada"/>
        <s v="India"/>
        <s v="Brazil"/>
        <s v="Germany"/>
        <s v="France"/>
        <s v="United Kingdom"/>
        <s v="China"/>
        <s v="USA"/>
        <s v="South Africa"/>
        <m/>
      </sharedItems>
    </cacheField>
    <cacheField name="City" numFmtId="0">
      <sharedItems containsBlank="1" count="41">
        <s v="Kisumu"/>
        <s v="Port Harcourt"/>
        <s v="Nairobi"/>
        <s v="Lagos"/>
        <s v="Osaka"/>
        <s v="Toronto"/>
        <s v="Bengaluru"/>
        <s v="Abuja"/>
        <s v="São Paulo"/>
        <s v="Berlin"/>
        <s v="Brasília"/>
        <s v="Marseille"/>
        <s v="Birmingham"/>
        <s v="Mombasa"/>
        <s v="Shenzhen"/>
        <s v="Chicago"/>
        <s v="Nakuru"/>
        <s v="Lyon"/>
        <s v="Delhi"/>
        <s v="Montreal"/>
        <s v="Johannesburg"/>
        <s v="London"/>
        <s v="Munich"/>
        <s v="Shanghai"/>
        <s v="San Francisco"/>
        <s v="Durban"/>
        <s v="Vancouver"/>
        <s v="Tokyo"/>
        <s v="Paris"/>
        <s v="Mumbai"/>
        <s v="Rio de Janeiro"/>
        <s v="Manchester"/>
        <s v="Nagoya"/>
        <s v="Cape Town"/>
        <s v="Hyderabad"/>
        <s v="unknown"/>
        <s v="Austin"/>
        <s v="Frankfurt"/>
        <s v="Beijing"/>
        <s v="New York"/>
        <m/>
      </sharedItems>
    </cacheField>
    <cacheField name="CustomerSegment" numFmtId="0">
      <sharedItems containsBlank="1"/>
    </cacheField>
    <cacheField name="Channel" numFmtId="0">
      <sharedItems containsBlank="1"/>
    </cacheField>
    <cacheField name="Salesperson" numFmtId="0">
      <sharedItems containsBlank="1"/>
    </cacheField>
    <cacheField name="ProductCategory" numFmtId="0">
      <sharedItems containsBlank="1" count="8">
        <s v="Components"/>
        <s v="Printers"/>
        <s v="Networking"/>
        <s v="Phones"/>
        <s v="Laptops"/>
        <s v="Monitors"/>
        <s v="Accessories"/>
        <m/>
      </sharedItems>
    </cacheField>
    <cacheField name="SKU" numFmtId="0">
      <sharedItems containsBlank="1"/>
    </cacheField>
    <cacheField name="UnitCost" numFmtId="164">
      <sharedItems containsString="0" containsBlank="1" containsNumber="1" minValue="5.34" maxValue="1495.79"/>
    </cacheField>
    <cacheField name="UnitPrice" numFmtId="164">
      <sharedItems containsString="0" containsBlank="1" containsNumber="1" minValue="4.22" maxValue="3661.07"/>
    </cacheField>
    <cacheField name="DiscountPct" numFmtId="10">
      <sharedItems containsString="0" containsBlank="1" containsNumber="1" minValue="0" maxValue="0.56499999999999995"/>
    </cacheField>
    <cacheField name="Quantity" numFmtId="2">
      <sharedItems containsString="0" containsBlank="1" containsNumber="1" containsInteger="1" minValue="2" maxValue="61"/>
    </cacheField>
    <cacheField name="Field20" caption="Field20" numFmtId="0">
      <sharedItems containsBlank="1"/>
    </cacheField>
    <cacheField name="diff(date)" numFmtId="0">
      <sharedItems containsSemiMixedTypes="0" containsString="0" containsNumber="1" minValue="-2" maxValue="30"/>
    </cacheField>
    <cacheField name="Absolute days diff" numFmtId="0">
      <sharedItems containsSemiMixedTypes="0" containsString="0" containsNumber="1" minValue="0" maxValue="30"/>
    </cacheField>
    <cacheField name="GrossRevenue" numFmtId="0">
      <sharedItems containsString="0" containsBlank="1" containsNumber="1" minValue="18.659839999999999" maxValue="139277.83032000001"/>
    </cacheField>
    <cacheField name="CostOfGoods" numFmtId="0">
      <sharedItems containsString="0" containsBlank="1" containsNumber="1" minValue="22" maxValue="83258.290000000008"/>
    </cacheField>
    <cacheField name="GrossProfit" numFmtId="0">
      <sharedItems containsString="0" containsBlank="1" containsNumber="1" minValue="-68355.013999999996" maxValue="65188.659999999996"/>
    </cacheField>
    <cacheField name="MarginPct" numFmtId="2">
      <sharedItems containsString="0" containsBlank="1" containsNumber="1" minValue="-250.39750756449047" maxValue="0.5967253121452894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7.956787962961" createdVersion="8" refreshedVersion="8" minRefreshableVersion="3" recordCount="634" xr:uid="{A7BC1BC4-D876-4D36-8247-A96ED55D5396}">
  <cacheSource type="worksheet">
    <worksheetSource ref="A1:AI1048576" sheet="Original"/>
  </cacheSource>
  <cacheFields count="35">
    <cacheField name="OrderID" numFmtId="0">
      <sharedItems containsBlank="1"/>
    </cacheField>
    <cacheField name="OrderDate" numFmtId="14">
      <sharedItems containsNonDate="0" containsDate="1" containsString="0" containsBlank="1" minDate="2023-01-02T00:00:00" maxDate="2025-09-16T00:00:00"/>
    </cacheField>
    <cacheField name="Quarter" numFmtId="14">
      <sharedItems containsBlank="1"/>
    </cacheField>
    <cacheField name="Standardized-o-date" numFmtId="14">
      <sharedItems containsBlank="1" count="34">
        <s v="Mar-2024"/>
        <s v="Oct-2024"/>
        <s v="Feb-2023"/>
        <s v="Mar-2025"/>
        <s v="Dec-2023"/>
        <s v="Jan-2023"/>
        <s v="Dec-2024"/>
        <s v="May-2024"/>
        <s v="May-2025"/>
        <s v="Jan-2024"/>
        <s v="Jan-2025"/>
        <s v="Sept-2025"/>
        <s v="Apr-2023"/>
        <s v="Jul-2025"/>
        <s v="Jul-2024"/>
        <s v="May-2023"/>
        <s v="Jun-2025"/>
        <s v="Jun-2024"/>
        <s v="Nov-2024"/>
        <s v="Apr-2025"/>
        <s v="Apr-2024"/>
        <s v="Aug-2024"/>
        <s v="Mar-2023"/>
        <s v="Jun-2023"/>
        <s v="Jul-2023"/>
        <s v="Aug-2023"/>
        <s v="Feb-2025"/>
        <s v="Sept-2023"/>
        <s v="Aug-2025"/>
        <s v="Sept-2024"/>
        <s v="Nov-2023"/>
        <s v="Feb-2024"/>
        <s v="Oct-2023"/>
        <m/>
      </sharedItems>
    </cacheField>
    <cacheField name="RequiredDate" numFmtId="14">
      <sharedItems containsNonDate="0" containsDate="1" containsString="0" containsBlank="1" minDate="2023-01-05T00:00:00" maxDate="2025-10-06T00:00:00"/>
    </cacheField>
    <cacheField name="LeadTimeDays" numFmtId="1">
      <sharedItems containsString="0" containsBlank="1" containsNumber="1" containsInteger="1" minValue="0" maxValue="30"/>
    </cacheField>
    <cacheField name="7Target" numFmtId="1">
      <sharedItems containsString="0" containsBlank="1" containsNumber="1" containsInteger="1" minValue="0" maxValue="1"/>
    </cacheField>
    <cacheField name="updated_reqdate" numFmtId="14">
      <sharedItems containsNonDate="0" containsDate="1" containsString="0" containsBlank="1" minDate="2023-01-05T00:00:00" maxDate="2025-10-06T00:00:00"/>
    </cacheField>
    <cacheField name="Region" numFmtId="0">
      <sharedItems containsBlank="1" count="5">
        <s v="Africa"/>
        <s v="Asia"/>
        <s v="Americas"/>
        <s v="Europe"/>
        <m/>
      </sharedItems>
    </cacheField>
    <cacheField name="Country" numFmtId="0">
      <sharedItems containsBlank="1" count="13">
        <s v="Kenya"/>
        <s v="Nigeria"/>
        <s v="Japan"/>
        <s v="Canada"/>
        <s v="India"/>
        <s v="Brazil"/>
        <s v="Germany"/>
        <s v="France"/>
        <s v="United Kingdom"/>
        <s v="China"/>
        <s v="USA"/>
        <s v="South Africa"/>
        <m/>
      </sharedItems>
    </cacheField>
    <cacheField name="City" numFmtId="0">
      <sharedItems containsBlank="1"/>
    </cacheField>
    <cacheField name="CustomerSegment" numFmtId="0">
      <sharedItems containsBlank="1"/>
    </cacheField>
    <cacheField name="Channel" numFmtId="0">
      <sharedItems containsBlank="1" count="7">
        <s v="Retail"/>
        <s v="Online"/>
        <s v="Marketplace"/>
        <s v="Distributor"/>
        <s v="Direct"/>
        <s v="unknown"/>
        <m/>
      </sharedItems>
    </cacheField>
    <cacheField name="Salesperson" numFmtId="0">
      <sharedItems containsBlank="1" count="17">
        <s v="C. Otieno"/>
        <s v="J. Njeri"/>
        <s v="I. Johnson"/>
        <s v="G. Dubois"/>
        <s v="L. Okafor"/>
        <s v="B. Chen"/>
        <s v="E. Garcia"/>
        <s v="O. Wang"/>
        <s v="A. Patel"/>
        <s v="F. Müller"/>
        <s v="H. Kim"/>
        <s v="K. Singh"/>
        <s v="M. Rossi"/>
        <s v="N. Brown"/>
        <s v="D. Smith"/>
        <s v="unknown"/>
        <m/>
      </sharedItems>
    </cacheField>
    <cacheField name="ProductCategory" numFmtId="0">
      <sharedItems containsBlank="1" count="8">
        <s v="Components"/>
        <s v="Printers"/>
        <s v="Networking"/>
        <s v="Phones"/>
        <s v="Laptops"/>
        <s v="Monitors"/>
        <s v="Accessories"/>
        <m/>
      </sharedItems>
    </cacheField>
    <cacheField name="PriceBand" numFmtId="0">
      <sharedItems containsBlank="1"/>
    </cacheField>
    <cacheField name="SKU" numFmtId="0">
      <sharedItems containsBlank="1" count="631">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m/>
      </sharedItems>
    </cacheField>
    <cacheField name="UnitCost" numFmtId="164">
      <sharedItems containsString="0" containsBlank="1" containsNumber="1" minValue="5.34" maxValue="1495.79"/>
    </cacheField>
    <cacheField name="UnitPrice" numFmtId="164">
      <sharedItems containsString="0" containsBlank="1" containsNumber="1" minValue="4.22" maxValue="3661.07"/>
    </cacheField>
    <cacheField name="DiscountPct" numFmtId="10">
      <sharedItems containsString="0" containsBlank="1" containsNumber="1" minValue="0" maxValue="0.56499999999999995"/>
    </cacheField>
    <cacheField name="DiscountFlag" numFmtId="1">
      <sharedItems containsString="0" containsBlank="1" containsNumber="1" containsInteger="1" minValue="0" maxValue="1"/>
    </cacheField>
    <cacheField name="Quantity" numFmtId="2">
      <sharedItems containsString="0" containsBlank="1" containsNumber="1" containsInteger="1" minValue="2" maxValue="61"/>
    </cacheField>
    <cacheField name="date_status" numFmtId="0">
      <sharedItems containsBlank="1"/>
    </cacheField>
    <cacheField name="diff(date)" numFmtId="0">
      <sharedItems containsString="0" containsBlank="1" containsNumber="1" minValue="-2" maxValue="30"/>
    </cacheField>
    <cacheField name="Absolute_days_diff" numFmtId="0">
      <sharedItems containsString="0" containsBlank="1" containsNumber="1" minValue="0" maxValue="30"/>
    </cacheField>
    <cacheField name="GrossRevenue" numFmtId="0">
      <sharedItems containsString="0" containsBlank="1" containsNumber="1" minValue="18.659839999999999" maxValue="139277.83032000001"/>
    </cacheField>
    <cacheField name="CostOfGoods" numFmtId="0">
      <sharedItems containsString="0" containsBlank="1" containsNumber="1" minValue="22" maxValue="83258.290000000008"/>
    </cacheField>
    <cacheField name="GrossProfit" numFmtId="0">
      <sharedItems containsString="0" containsBlank="1" containsNumber="1" minValue="-68355.013999999996" maxValue="65188.659999999996"/>
    </cacheField>
    <cacheField name="Q1" numFmtId="0">
      <sharedItems containsString="0" containsBlank="1" containsNumber="1" minValue="606.37750000000005" maxValue="606.37750000000005"/>
    </cacheField>
    <cacheField name="Q2" numFmtId="0">
      <sharedItems containsString="0" containsBlank="1" containsNumber="1" minValue="1193.865" maxValue="1193.865"/>
    </cacheField>
    <cacheField name="Q3" numFmtId="0">
      <sharedItems containsString="0" containsBlank="1" containsNumber="1" minValue="1912.0450000000001" maxValue="1912.0450000000001"/>
    </cacheField>
    <cacheField name="PriceBand2" numFmtId="0">
      <sharedItems containsBlank="1"/>
    </cacheField>
    <cacheField name="MarginPct" numFmtId="2">
      <sharedItems containsString="0" containsBlank="1" containsNumber="1" minValue="-250.39750756449047" maxValue="0.59672531214528945"/>
    </cacheField>
    <cacheField name="FirstCoutryOrderDate" numFmtId="14">
      <sharedItems containsNonDate="0" containsDate="1" containsString="0" containsBlank="1" minDate="2023-01-02T00:00:00" maxDate="2023-03-04T00:00:00"/>
    </cacheField>
    <cacheField name="CohortMonth" numFmtId="0">
      <sharedItems containsBlank="1" count="3">
        <s v="Jan-2023"/>
        <s v="Mar-2023"/>
        <m/>
      </sharedItems>
    </cacheField>
  </cacheFields>
  <extLst>
    <ext xmlns:x14="http://schemas.microsoft.com/office/spreadsheetml/2009/9/main" uri="{725AE2AE-9491-48be-B2B4-4EB974FC3084}">
      <x14:pivotCacheDefinition pivotCacheId="12415847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3">
  <r>
    <s v="ORD-2024-275203"/>
    <d v="2024-03-11T00:00:00"/>
    <s v="Q1-2024"/>
    <s v="Mar-2024"/>
    <d v="2024-04-06T00:00:00"/>
    <n v="26"/>
    <d v="2024-04-06T00:00:00"/>
    <x v="0"/>
    <x v="0"/>
    <x v="0"/>
    <s v="Corporate"/>
    <s v="Retail"/>
    <s v="C. Otieno"/>
    <x v="0"/>
    <s v="CMP-8270"/>
    <n v="279.24"/>
    <n v="608.9"/>
    <n v="0.112"/>
    <n v="9"/>
    <s v="ok"/>
    <n v="26"/>
    <n v="26"/>
    <n v="4866.3287999999993"/>
    <n v="2513.16"/>
    <n v="2353.1687999999995"/>
    <n v="0.48356140670149533"/>
  </r>
  <r>
    <s v="ORD-2024-358795"/>
    <d v="2024-10-23T00:00:00"/>
    <s v="Q4-2024"/>
    <s v="Oct-2024"/>
    <d v="2024-10-22T00:00:00"/>
    <n v="14"/>
    <d v="2024-11-06T00:00:00"/>
    <x v="0"/>
    <x v="1"/>
    <x v="1"/>
    <s v="Education"/>
    <s v="Online"/>
    <s v="J. Njeri"/>
    <x v="1"/>
    <s v="PRN-9322"/>
    <n v="1084.3900000000001"/>
    <n v="759.33"/>
    <n v="0.23699999999999999"/>
    <n v="31"/>
    <s v="sus"/>
    <n v="-1"/>
    <n v="1"/>
    <n v="17960.432489999999"/>
    <n v="33616.090000000004"/>
    <n v="-15655.657510000005"/>
    <n v="-0.87167486187856302"/>
  </r>
  <r>
    <s v="ORD-2023-373538"/>
    <d v="2023-02-28T00:00:00"/>
    <s v="Q1-2023"/>
    <s v="Feb-2023"/>
    <d v="2023-03-25T00:00:00"/>
    <n v="25"/>
    <d v="2023-03-25T00:00:00"/>
    <x v="0"/>
    <x v="0"/>
    <x v="2"/>
    <s v="Corporate"/>
    <s v="Retail"/>
    <s v="I. Johnson"/>
    <x v="2"/>
    <s v="NET-9666"/>
    <n v="1460.76"/>
    <n v="30.66"/>
    <n v="0.13100000000000001"/>
    <n v="12"/>
    <s v="ok"/>
    <n v="25"/>
    <n v="25"/>
    <n v="319.72248000000002"/>
    <n v="17529.12"/>
    <n v="-17209.397519999999"/>
    <n v="-53.826047890032626"/>
  </r>
  <r>
    <s v="ORD-2025-168148"/>
    <d v="2025-03-29T00:00:00"/>
    <s v="Q1-2025"/>
    <s v="Mar-2025"/>
    <d v="2025-04-02T00:00:00"/>
    <n v="4"/>
    <d v="2025-04-02T00:00:00"/>
    <x v="0"/>
    <x v="1"/>
    <x v="3"/>
    <s v="Non-Profit"/>
    <s v="Marketplace"/>
    <s v="G. Dubois"/>
    <x v="3"/>
    <s v="PHN-4556"/>
    <n v="259.93"/>
    <n v="255.94"/>
    <n v="7.1999999999999995E-2"/>
    <n v="22"/>
    <s v="ok"/>
    <n v="4"/>
    <n v="4"/>
    <n v="5225.2710400000005"/>
    <n v="5718.46"/>
    <n v="-493.1889599999995"/>
    <n v="-9.4385335463861311E-2"/>
  </r>
  <r>
    <s v="ORD-2023-824839"/>
    <d v="2023-12-06T00:00:00"/>
    <s v="Q4-2023"/>
    <s v="Dec-2023"/>
    <d v="2023-12-31T00:00:00"/>
    <n v="25"/>
    <d v="2023-12-31T00:00:00"/>
    <x v="1"/>
    <x v="2"/>
    <x v="4"/>
    <s v="Consumer"/>
    <s v="Retail"/>
    <s v="L. Okafor"/>
    <x v="1"/>
    <s v="PRN-8041"/>
    <n v="663.03"/>
    <n v="813.51"/>
    <n v="0.10199999999999999"/>
    <n v="15"/>
    <s v="ok"/>
    <n v="25"/>
    <n v="25"/>
    <n v="10957.9797"/>
    <n v="9945.4499999999989"/>
    <n v="1012.529700000001"/>
    <n v="9.2401129379715952E-2"/>
  </r>
  <r>
    <s v="ORD-2023-723587"/>
    <d v="2023-01-02T00:00:00"/>
    <s v="Q1-2023"/>
    <s v="Jan-2023"/>
    <d v="2023-01-05T00:00:00"/>
    <n v="3"/>
    <d v="2023-01-05T00:00:00"/>
    <x v="2"/>
    <x v="3"/>
    <x v="5"/>
    <s v="Corporate"/>
    <s v="Distributor"/>
    <s v="B. Chen"/>
    <x v="4"/>
    <s v="LAP-8555"/>
    <n v="315.87"/>
    <n v="591.67999999999995"/>
    <n v="0"/>
    <n v="7"/>
    <s v="ok"/>
    <n v="3"/>
    <n v="3"/>
    <n v="4141.7599999999993"/>
    <n v="2211.09"/>
    <n v="1930.6699999999992"/>
    <n v="0.46614724175229844"/>
  </r>
  <r>
    <s v="ORD-2024-336584"/>
    <d v="2024-12-27T00:00:00"/>
    <s v="Q4-2024"/>
    <s v="Dec-2024"/>
    <d v="2025-01-14T00:00:00"/>
    <n v="18"/>
    <d v="2025-01-14T00:00:00"/>
    <x v="1"/>
    <x v="4"/>
    <x v="6"/>
    <s v="Small Business"/>
    <s v="Marketplace"/>
    <s v="E. Garcia"/>
    <x v="5"/>
    <s v="MON-8629"/>
    <n v="586.07000000000005"/>
    <n v="845.97"/>
    <n v="0.14699999999999999"/>
    <n v="4"/>
    <s v="ok"/>
    <n v="18"/>
    <n v="18"/>
    <n v="2886.4496399999998"/>
    <n v="2344.2800000000002"/>
    <n v="542.16963999999962"/>
    <n v="0.18783270370862928"/>
  </r>
  <r>
    <s v="ORD-2023-112666"/>
    <d v="2023-01-15T00:00:00"/>
    <s v="Q1-2023"/>
    <s v="Jan-2023"/>
    <d v="2023-01-13T00:00:00"/>
    <n v="14"/>
    <d v="2023-01-29T00:00:00"/>
    <x v="0"/>
    <x v="1"/>
    <x v="7"/>
    <s v="Education"/>
    <s v="Online"/>
    <s v="O. Wang"/>
    <x v="1"/>
    <s v="PRN-6276"/>
    <n v="28.38"/>
    <n v="47.22"/>
    <n v="0.19400000000000001"/>
    <n v="18"/>
    <s v="sus"/>
    <n v="-2"/>
    <n v="2"/>
    <n v="685.06776000000002"/>
    <n v="510.84"/>
    <n v="174.22776000000005"/>
    <n v="0.25432193743871417"/>
  </r>
  <r>
    <s v="ORD-2024-589570"/>
    <d v="2024-05-04T00:00:00"/>
    <s v="Q2-2024"/>
    <s v="May-2024"/>
    <d v="2024-05-29T00:00:00"/>
    <n v="25"/>
    <d v="2024-05-29T00:00:00"/>
    <x v="0"/>
    <x v="1"/>
    <x v="7"/>
    <s v="Non-Profit"/>
    <s v="Marketplace"/>
    <s v="O. Wang"/>
    <x v="5"/>
    <s v="MON-6892"/>
    <n v="1295.3399999999999"/>
    <n v="2530.81"/>
    <n v="3.1E-2"/>
    <n v="6"/>
    <s v="ok"/>
    <n v="25"/>
    <n v="25"/>
    <n v="14714.12934"/>
    <n v="7772.0399999999991"/>
    <n v="6942.0893400000004"/>
    <n v="0.4717974933880798"/>
  </r>
  <r>
    <s v="ORD-2025-997421"/>
    <d v="2025-05-21T00:00:00"/>
    <s v="Q2-2025"/>
    <s v="May-2025"/>
    <d v="2025-06-09T00:00:00"/>
    <n v="19"/>
    <d v="2025-06-09T00:00:00"/>
    <x v="2"/>
    <x v="5"/>
    <x v="8"/>
    <s v="Non-Profit"/>
    <s v="Online"/>
    <s v="A. Patel"/>
    <x v="0"/>
    <s v="CMP-3731"/>
    <n v="1331.38"/>
    <n v="2309.56"/>
    <n v="0.14899999999999999"/>
    <n v="31"/>
    <s v="ok"/>
    <n v="19"/>
    <n v="19"/>
    <n v="60928.502359999999"/>
    <n v="41272.780000000006"/>
    <n v="19655.722359999992"/>
    <n v="0.32260307735553528"/>
  </r>
  <r>
    <s v="ORD-2024-210687"/>
    <d v="2024-01-28T00:00:00"/>
    <s v="Q1-2024"/>
    <s v="Jan-2024"/>
    <d v="2024-02-09T00:00:00"/>
    <n v="12"/>
    <d v="2024-02-09T00:00:00"/>
    <x v="3"/>
    <x v="6"/>
    <x v="9"/>
    <s v="Corporate"/>
    <s v="Online"/>
    <s v="G. Dubois"/>
    <x v="6"/>
    <s v="ACC-7938"/>
    <n v="644.16999999999996"/>
    <n v="700.12"/>
    <n v="6.0000000000000001E-3"/>
    <n v="23"/>
    <s v="ok"/>
    <n v="12"/>
    <n v="12"/>
    <n v="16006.14344"/>
    <n v="14815.91"/>
    <n v="1190.23344"/>
    <n v="7.436103796405813E-2"/>
  </r>
  <r>
    <s v="ORD-2025-515515"/>
    <d v="2025-01-03T00:00:00"/>
    <s v="Q1-2025"/>
    <s v="Jan-2025"/>
    <d v="2025-01-23T00:00:00"/>
    <n v="20"/>
    <d v="2025-01-23T00:00:00"/>
    <x v="1"/>
    <x v="2"/>
    <x v="4"/>
    <s v="Corporate"/>
    <s v="Distributor"/>
    <s v="F. Müller"/>
    <x v="3"/>
    <s v="PHN-7019"/>
    <n v="908.6"/>
    <n v="691.37"/>
    <n v="0.25"/>
    <n v="20"/>
    <s v="ok"/>
    <n v="20"/>
    <n v="20"/>
    <n v="10370.549999999999"/>
    <n v="18172"/>
    <n v="-7801.4500000000007"/>
    <n v="-0.75226964818645115"/>
  </r>
  <r>
    <s v="ORD-2025-487261"/>
    <d v="2025-03-06T00:00:00"/>
    <s v="Q1-2025"/>
    <s v="Mar-2025"/>
    <d v="2025-03-31T00:00:00"/>
    <n v="25"/>
    <d v="2025-03-31T00:00:00"/>
    <x v="2"/>
    <x v="5"/>
    <x v="10"/>
    <s v="Non-Profit"/>
    <s v="Online"/>
    <s v="J. Njeri"/>
    <x v="0"/>
    <s v="CMP-3693"/>
    <n v="331.57"/>
    <n v="548.4"/>
    <n v="9.4E-2"/>
    <n v="10"/>
    <s v="ok"/>
    <n v="25"/>
    <n v="25"/>
    <n v="4968.5039999999999"/>
    <n v="3315.7"/>
    <n v="1652.8040000000001"/>
    <n v="0.33265626836568918"/>
  </r>
  <r>
    <s v="ORD-2024-890180"/>
    <d v="2024-01-20T00:00:00"/>
    <s v="Q1-2024"/>
    <s v="Jan-2024"/>
    <d v="2024-02-13T00:00:00"/>
    <n v="24"/>
    <d v="2024-02-13T00:00:00"/>
    <x v="3"/>
    <x v="7"/>
    <x v="11"/>
    <s v="Corporate"/>
    <s v="Retail"/>
    <s v="H. Kim"/>
    <x v="1"/>
    <s v="PRN-8392"/>
    <n v="643.53"/>
    <n v="1439.01"/>
    <n v="0"/>
    <n v="15"/>
    <s v="ok"/>
    <n v="24"/>
    <n v="24"/>
    <n v="21585.15"/>
    <n v="9652.9499999999989"/>
    <n v="11932.200000000003"/>
    <n v="0.55279671440782208"/>
  </r>
  <r>
    <s v="ORD-2025-840976"/>
    <d v="2025-09-01T00:00:00"/>
    <s v="Q3-2025"/>
    <s v="Sept-2025"/>
    <d v="2025-09-30T00:00:00"/>
    <n v="29"/>
    <d v="2025-09-30T00:00:00"/>
    <x v="2"/>
    <x v="5"/>
    <x v="10"/>
    <s v="Education"/>
    <s v="Retail"/>
    <s v="K. Singh"/>
    <x v="6"/>
    <s v="ACC-1663"/>
    <n v="780.59"/>
    <n v="631.57000000000005"/>
    <n v="0"/>
    <n v="12"/>
    <s v="ok"/>
    <n v="29"/>
    <n v="29"/>
    <n v="7578.84"/>
    <n v="9367.08"/>
    <n v="-1788.2399999999998"/>
    <n v="-0.23595167598207639"/>
  </r>
  <r>
    <s v="ORD-2023-937291"/>
    <d v="2023-04-23T00:00:00"/>
    <s v="Q2-2023"/>
    <s v="Apr-2023"/>
    <d v="2023-04-22T00:00:00"/>
    <n v="14"/>
    <d v="2023-05-07T00:00:00"/>
    <x v="0"/>
    <x v="0"/>
    <x v="2"/>
    <s v="Small Business"/>
    <s v="Direct"/>
    <s v="E. Garcia"/>
    <x v="4"/>
    <s v="LAP-1698"/>
    <n v="756.51"/>
    <n v="850.8"/>
    <n v="7.3999999999999996E-2"/>
    <n v="9"/>
    <s v="sus"/>
    <n v="-1"/>
    <n v="1"/>
    <n v="7090.5672000000004"/>
    <n v="6808.59"/>
    <n v="281.97720000000027"/>
    <n v="3.9767932810791252E-2"/>
  </r>
  <r>
    <s v="ORD-2024-206081"/>
    <d v="2024-12-10T00:00:00"/>
    <s v="Q4-2024"/>
    <s v="Dec-2024"/>
    <d v="2025-01-08T00:00:00"/>
    <n v="29"/>
    <d v="2025-01-08T00:00:00"/>
    <x v="3"/>
    <x v="7"/>
    <x v="11"/>
    <s v="Small Business"/>
    <s v="Retail"/>
    <s v="K. Singh"/>
    <x v="1"/>
    <s v="PRN-6791"/>
    <n v="891.08"/>
    <n v="1040.0999999999999"/>
    <n v="0.109"/>
    <n v="28"/>
    <s v="ok"/>
    <n v="29"/>
    <n v="29"/>
    <n v="25948.414799999995"/>
    <n v="24950.240000000002"/>
    <n v="998.17479999999341"/>
    <n v="3.8467660074556598E-2"/>
  </r>
  <r>
    <s v="ORD-2025-233883"/>
    <d v="2025-09-08T00:00:00"/>
    <s v="Q3-2025"/>
    <s v="Sept-2025"/>
    <d v="2025-09-16T00:00:00"/>
    <n v="8"/>
    <d v="2025-09-16T00:00:00"/>
    <x v="1"/>
    <x v="2"/>
    <x v="4"/>
    <s v="Corporate"/>
    <s v="Distributor"/>
    <s v="C. Otieno"/>
    <x v="3"/>
    <s v="PHN-1197"/>
    <n v="1225.57"/>
    <n v="2705.57"/>
    <n v="0.183"/>
    <n v="16"/>
    <s v="ok"/>
    <n v="8"/>
    <n v="8"/>
    <n v="35367.211040000002"/>
    <n v="19609.12"/>
    <n v="15758.091040000003"/>
    <n v="0.44555650775453404"/>
  </r>
  <r>
    <s v="ORD-2025-843974"/>
    <d v="2025-07-20T00:00:00"/>
    <s v="Q3-2025"/>
    <s v="Jul-2025"/>
    <d v="2025-08-05T00:00:00"/>
    <n v="16"/>
    <d v="2025-08-05T00:00:00"/>
    <x v="2"/>
    <x v="5"/>
    <x v="10"/>
    <s v="Enterprise"/>
    <s v="Marketplace"/>
    <s v="G. Dubois"/>
    <x v="6"/>
    <s v="ACC-8098"/>
    <n v="1068.17"/>
    <n v="2375.37"/>
    <n v="0.109"/>
    <n v="18"/>
    <s v="ok"/>
    <n v="16"/>
    <n v="16"/>
    <n v="38096.18406"/>
    <n v="19227.060000000001"/>
    <n v="18869.124059999998"/>
    <n v="0.49530220744108822"/>
  </r>
  <r>
    <s v="ORD-2025-745263"/>
    <d v="2025-05-21T00:00:00"/>
    <s v="Q2-2025"/>
    <s v="May-2025"/>
    <d v="2025-05-19T00:00:00"/>
    <n v="14"/>
    <d v="2025-06-04T00:00:00"/>
    <x v="3"/>
    <x v="8"/>
    <x v="12"/>
    <s v="Enterprise"/>
    <s v="Online"/>
    <s v="M. Rossi"/>
    <x v="4"/>
    <s v="LAP-3385"/>
    <n v="1015.16"/>
    <n v="2148.14"/>
    <n v="3.7999999999999999E-2"/>
    <n v="19"/>
    <s v="sus"/>
    <n v="-2"/>
    <n v="2"/>
    <n v="39263.702919999996"/>
    <n v="19288.04"/>
    <n v="19975.662919999995"/>
    <n v="0.50875647059322227"/>
  </r>
  <r>
    <s v="ORD-2024-798002"/>
    <d v="2024-07-25T00:00:00"/>
    <s v="Q3-2024"/>
    <s v="Jul-2024"/>
    <d v="2024-07-24T00:00:00"/>
    <n v="14"/>
    <d v="2024-08-08T00:00:00"/>
    <x v="0"/>
    <x v="0"/>
    <x v="13"/>
    <s v="Non-Profit"/>
    <s v="Direct"/>
    <s v="J. Njeri"/>
    <x v="4"/>
    <s v="LAP-9815"/>
    <n v="1494.4"/>
    <n v="3661.07"/>
    <n v="7.1999999999999995E-2"/>
    <n v="7"/>
    <s v="sus"/>
    <n v="-1"/>
    <n v="1"/>
    <n v="23782.310720000001"/>
    <n v="10460.800000000001"/>
    <n v="13321.51072"/>
    <n v="0.56014366630897339"/>
  </r>
  <r>
    <s v="ORD-2023-867836"/>
    <d v="2023-05-11T00:00:00"/>
    <s v="Q2-2023"/>
    <s v="May-2023"/>
    <d v="2023-05-28T00:00:00"/>
    <n v="17"/>
    <d v="2023-05-28T00:00:00"/>
    <x v="1"/>
    <x v="9"/>
    <x v="14"/>
    <s v="Enterprise"/>
    <s v="Marketplace"/>
    <s v="E. Garcia"/>
    <x v="2"/>
    <s v="NET-3255"/>
    <n v="1331.19"/>
    <n v="2903.09"/>
    <n v="0.14299999999999999"/>
    <n v="8"/>
    <s v="ok"/>
    <n v="17"/>
    <n v="17"/>
    <n v="19903.585040000002"/>
    <n v="10649.52"/>
    <n v="9254.0650400000013"/>
    <n v="0.46494463290920784"/>
  </r>
  <r>
    <s v="ORD-2025-580047"/>
    <d v="2025-06-14T00:00:00"/>
    <s v="Q2-2025"/>
    <s v="Jun-2025"/>
    <d v="2025-06-29T00:00:00"/>
    <n v="15"/>
    <d v="2025-06-29T00:00:00"/>
    <x v="0"/>
    <x v="1"/>
    <x v="1"/>
    <s v="Consumer"/>
    <s v="Marketplace"/>
    <s v="M. Rossi"/>
    <x v="6"/>
    <s v="ACC-3961"/>
    <n v="730.99"/>
    <n v="1242.8399999999999"/>
    <n v="0.12"/>
    <n v="10"/>
    <s v="ok"/>
    <n v="15"/>
    <n v="15"/>
    <n v="10936.992"/>
    <n v="7309.9"/>
    <n v="3627.0920000000006"/>
    <n v="0.33163524303574515"/>
  </r>
  <r>
    <s v="ORD-2024-500109"/>
    <d v="2024-05-18T00:00:00"/>
    <s v="Q2-2024"/>
    <s v="May-2024"/>
    <d v="2024-05-23T00:00:00"/>
    <n v="5"/>
    <d v="2024-05-23T00:00:00"/>
    <x v="2"/>
    <x v="10"/>
    <x v="15"/>
    <s v="Enterprise"/>
    <s v="Retail"/>
    <s v="H. Kim"/>
    <x v="4"/>
    <s v="LAP-4987"/>
    <n v="1274.5899999999999"/>
    <n v="2553.69"/>
    <n v="0.01"/>
    <n v="8"/>
    <s v="ok"/>
    <n v="5"/>
    <n v="5"/>
    <n v="20225.2248"/>
    <n v="10196.719999999999"/>
    <n v="10028.504800000001"/>
    <n v="0.49584145042481803"/>
  </r>
  <r>
    <s v="ORD-2023-271836"/>
    <d v="2023-02-07T00:00:00"/>
    <s v="Q1-2023"/>
    <s v="Feb-2023"/>
    <d v="2023-02-12T00:00:00"/>
    <n v="5"/>
    <d v="2023-02-12T00:00:00"/>
    <x v="2"/>
    <x v="5"/>
    <x v="8"/>
    <s v="Education"/>
    <s v="Online"/>
    <s v="N. Brown"/>
    <x v="0"/>
    <s v="CMP-2693"/>
    <n v="948.55"/>
    <n v="2089.16"/>
    <n v="7.0000000000000001E-3"/>
    <n v="12"/>
    <s v="ok"/>
    <n v="5"/>
    <n v="5"/>
    <n v="24894.430559999997"/>
    <n v="11382.599999999999"/>
    <n v="13511.830559999999"/>
    <n v="0.54276519912492427"/>
  </r>
  <r>
    <s v="ORD-2024-215294"/>
    <d v="2024-06-30T00:00:00"/>
    <s v="Q2-2024"/>
    <s v="Jun-2024"/>
    <d v="2024-07-14T00:00:00"/>
    <n v="14"/>
    <d v="2024-07-14T00:00:00"/>
    <x v="2"/>
    <x v="5"/>
    <x v="10"/>
    <s v="Education"/>
    <s v="Retail"/>
    <s v="C. Otieno"/>
    <x v="6"/>
    <s v="ACC-8683"/>
    <n v="1491.85"/>
    <n v="2583.02"/>
    <n v="0.16800000000000001"/>
    <n v="4"/>
    <s v="ok"/>
    <n v="14"/>
    <n v="14"/>
    <n v="8596.2905599999995"/>
    <n v="5967.4"/>
    <n v="2628.8905599999998"/>
    <n v="0.30581685689321325"/>
  </r>
  <r>
    <s v="ORD-2024-788105"/>
    <d v="2024-11-30T00:00:00"/>
    <s v="Q4-2024"/>
    <s v="Nov-2024"/>
    <d v="2024-12-30T00:00:00"/>
    <n v="30"/>
    <d v="2024-12-30T00:00:00"/>
    <x v="3"/>
    <x v="7"/>
    <x v="11"/>
    <s v="Consumer"/>
    <s v="Marketplace"/>
    <s v="F. Müller"/>
    <x v="1"/>
    <s v="PRN-4170"/>
    <n v="117.64"/>
    <n v="175.67"/>
    <n v="0"/>
    <n v="10"/>
    <s v="ok"/>
    <n v="30"/>
    <n v="30"/>
    <n v="1756.6999999999998"/>
    <n v="1176.4000000000001"/>
    <n v="580.29999999999973"/>
    <n v="0.33033528775545046"/>
  </r>
  <r>
    <s v="ORD-2024-855073"/>
    <d v="2024-07-19T00:00:00"/>
    <s v="Q3-2024"/>
    <s v="Jul-2024"/>
    <d v="2024-07-19T00:00:00"/>
    <n v="0"/>
    <d v="2024-07-19T00:00:00"/>
    <x v="0"/>
    <x v="0"/>
    <x v="0"/>
    <s v="Small Business"/>
    <s v="Retail"/>
    <s v="A. Patel"/>
    <x v="3"/>
    <s v="PHN-6854"/>
    <n v="857.24"/>
    <n v="758.23"/>
    <n v="0.125"/>
    <n v="6"/>
    <s v="sus"/>
    <n v="0"/>
    <n v="0"/>
    <n v="3980.7075"/>
    <n v="5143.4400000000005"/>
    <n v="-1162.7325000000005"/>
    <n v="-0.29209192084572921"/>
  </r>
  <r>
    <s v="ORD-2023-897079"/>
    <d v="2023-04-14T00:00:00"/>
    <s v="Q2-2023"/>
    <s v="Apr-2023"/>
    <d v="2023-05-14T00:00:00"/>
    <n v="30"/>
    <d v="2023-05-14T00:00:00"/>
    <x v="0"/>
    <x v="0"/>
    <x v="16"/>
    <s v="Consumer"/>
    <s v="Marketplace"/>
    <s v="M. Rossi"/>
    <x v="3"/>
    <s v="PHN-1784"/>
    <n v="209.25"/>
    <n v="434.8"/>
    <n v="0"/>
    <n v="9"/>
    <s v="ok"/>
    <n v="30"/>
    <n v="30"/>
    <n v="3913.2000000000003"/>
    <n v="1883.25"/>
    <n v="2029.9500000000003"/>
    <n v="0.51874425022999082"/>
  </r>
  <r>
    <s v="ORD-2025-548982"/>
    <d v="2025-04-07T00:00:00"/>
    <s v="Q2-2025"/>
    <s v="Apr-2025"/>
    <d v="2025-04-11T00:00:00"/>
    <n v="4"/>
    <d v="2025-04-11T00:00:00"/>
    <x v="3"/>
    <x v="7"/>
    <x v="17"/>
    <s v="Education"/>
    <s v="Retail"/>
    <s v="E. Garcia"/>
    <x v="2"/>
    <s v="NET-9716"/>
    <n v="754.77"/>
    <n v="1666.18"/>
    <n v="0.13900000000000001"/>
    <n v="14"/>
    <s v="ok"/>
    <n v="4"/>
    <n v="4"/>
    <n v="20084.133720000002"/>
    <n v="10566.779999999999"/>
    <n v="9517.3537200000028"/>
    <n v="0.47387424584424653"/>
  </r>
  <r>
    <s v="ORD-2024-170313"/>
    <d v="2024-12-27T00:00:00"/>
    <s v="Q4-2024"/>
    <s v="Dec-2024"/>
    <d v="2025-01-15T00:00:00"/>
    <n v="19"/>
    <d v="2025-01-15T00:00:00"/>
    <x v="1"/>
    <x v="4"/>
    <x v="18"/>
    <s v="Non-Profit"/>
    <s v="Distributor"/>
    <s v="G. Dubois"/>
    <x v="0"/>
    <s v="CMP-6919"/>
    <n v="495.59"/>
    <n v="631.78"/>
    <n v="8.6999999999999994E-2"/>
    <n v="17"/>
    <s v="ok"/>
    <n v="19"/>
    <n v="19"/>
    <n v="9805.8573800000013"/>
    <n v="8425.0299999999988"/>
    <n v="1380.8273800000024"/>
    <n v="0.14081658813601899"/>
  </r>
  <r>
    <s v="ORD-2023-562894"/>
    <d v="2023-02-23T00:00:00"/>
    <s v="Q1-2023"/>
    <s v="Feb-2023"/>
    <d v="2023-03-25T00:00:00"/>
    <n v="30"/>
    <d v="2023-03-25T00:00:00"/>
    <x v="2"/>
    <x v="3"/>
    <x v="19"/>
    <s v="Enterprise"/>
    <s v="Online"/>
    <s v="D. Smith"/>
    <x v="3"/>
    <s v="PHN-4854"/>
    <n v="1242.6600000000001"/>
    <n v="1794.07"/>
    <n v="8.8999999999999996E-2"/>
    <n v="16"/>
    <s v="ok"/>
    <n v="30"/>
    <n v="30"/>
    <n v="26150.364320000001"/>
    <n v="19882.560000000001"/>
    <n v="6267.8043199999993"/>
    <n v="0.23968325042440553"/>
  </r>
  <r>
    <s v="ORD-2025-474710"/>
    <d v="2025-07-24T00:00:00"/>
    <s v="Q3-2025"/>
    <s v="Jul-2025"/>
    <d v="2025-08-06T00:00:00"/>
    <n v="13"/>
    <d v="2025-08-06T00:00:00"/>
    <x v="0"/>
    <x v="11"/>
    <x v="20"/>
    <s v="Education"/>
    <s v="Marketplace"/>
    <s v="D. Smith"/>
    <x v="2"/>
    <s v="NET-7966"/>
    <n v="1463.9"/>
    <n v="2633.02"/>
    <n v="8.4000000000000005E-2"/>
    <n v="4"/>
    <s v="ok"/>
    <n v="13"/>
    <n v="13"/>
    <n v="9647.3852800000004"/>
    <n v="5855.6"/>
    <n v="3791.7852800000001"/>
    <n v="0.39303761277791527"/>
  </r>
  <r>
    <s v="ORD-2024-629525"/>
    <d v="2024-04-18T00:00:00"/>
    <s v="Q2-2024"/>
    <s v="Apr-2024"/>
    <d v="2024-05-08T00:00:00"/>
    <n v="20"/>
    <d v="2024-05-08T00:00:00"/>
    <x v="3"/>
    <x v="8"/>
    <x v="21"/>
    <s v="Non-Profit"/>
    <s v="unknown"/>
    <s v="D. Smith"/>
    <x v="4"/>
    <s v="LAP-9932"/>
    <n v="645.33000000000004"/>
    <n v="1321.85"/>
    <n v="0"/>
    <n v="10"/>
    <s v="ok"/>
    <n v="20"/>
    <n v="20"/>
    <n v="13218.5"/>
    <n v="6453.3"/>
    <n v="6765.2"/>
    <n v="0.51179785906116426"/>
  </r>
  <r>
    <s v="ORD-2024-167215"/>
    <d v="2024-08-23T00:00:00"/>
    <s v="Q3-2024"/>
    <s v="Aug-2024"/>
    <d v="2024-08-21T00:00:00"/>
    <n v="14"/>
    <d v="2024-09-06T00:00:00"/>
    <x v="0"/>
    <x v="11"/>
    <x v="20"/>
    <s v="Education"/>
    <s v="Retail"/>
    <s v="E. Garcia"/>
    <x v="0"/>
    <s v="CMP-1559"/>
    <n v="1432.52"/>
    <n v="3036.87"/>
    <n v="0"/>
    <n v="9"/>
    <s v="sus"/>
    <n v="-2"/>
    <n v="2"/>
    <n v="27331.829999999998"/>
    <n v="12892.68"/>
    <n v="14439.149999999998"/>
    <n v="0.52829064135112791"/>
  </r>
  <r>
    <s v="ORD-2023-864121"/>
    <d v="2023-03-27T00:00:00"/>
    <s v="Q1-2023"/>
    <s v="Mar-2023"/>
    <d v="2023-04-22T00:00:00"/>
    <n v="26"/>
    <d v="2023-04-22T00:00:00"/>
    <x v="1"/>
    <x v="4"/>
    <x v="18"/>
    <s v="Non-Profit"/>
    <s v="Marketplace"/>
    <s v="J. Njeri"/>
    <x v="1"/>
    <s v="PRN-4506"/>
    <n v="178.53"/>
    <n v="199.37"/>
    <n v="0.10100000000000001"/>
    <n v="37"/>
    <s v="ok"/>
    <n v="26"/>
    <n v="26"/>
    <n v="6631.6443100000006"/>
    <n v="6605.61"/>
    <n v="26.034310000000914"/>
    <n v="3.9257699573457538E-3"/>
  </r>
  <r>
    <s v="ORD-2024-692673"/>
    <d v="2024-03-07T00:00:00"/>
    <s v="Q1-2024"/>
    <s v="Mar-2024"/>
    <d v="2024-03-25T00:00:00"/>
    <n v="18"/>
    <d v="2024-03-25T00:00:00"/>
    <x v="3"/>
    <x v="6"/>
    <x v="22"/>
    <s v="Corporate"/>
    <s v="Online"/>
    <s v="B. Chen"/>
    <x v="0"/>
    <s v="CMP-7617"/>
    <n v="712.84"/>
    <n v="927.51"/>
    <n v="0.24299999999999999"/>
    <n v="27"/>
    <s v="ok"/>
    <n v="18"/>
    <n v="18"/>
    <n v="18957.37689"/>
    <n v="19246.68"/>
    <n v="-289.30311000000074"/>
    <n v="-1.5260714163076427E-2"/>
  </r>
  <r>
    <s v="ORD-2025-718992"/>
    <d v="2025-06-24T00:00:00"/>
    <s v="Q2-2025"/>
    <s v="Jun-2025"/>
    <d v="2025-07-10T00:00:00"/>
    <n v="16"/>
    <d v="2025-07-10T00:00:00"/>
    <x v="1"/>
    <x v="9"/>
    <x v="23"/>
    <s v="Enterprise"/>
    <s v="Direct"/>
    <s v="N. Brown"/>
    <x v="0"/>
    <s v="CMP-8390"/>
    <n v="757.19"/>
    <n v="1735.41"/>
    <n v="0.13600000000000001"/>
    <n v="8"/>
    <s v="ok"/>
    <n v="16"/>
    <n v="16"/>
    <n v="11995.153920000001"/>
    <n v="6057.52"/>
    <n v="5937.6339200000002"/>
    <n v="0.4950027285685718"/>
  </r>
  <r>
    <s v="ORD-2024-599522"/>
    <d v="2024-04-19T00:00:00"/>
    <s v="Q2-2024"/>
    <s v="Apr-2024"/>
    <d v="2024-05-06T00:00:00"/>
    <n v="17"/>
    <d v="2024-05-06T00:00:00"/>
    <x v="0"/>
    <x v="1"/>
    <x v="1"/>
    <s v="Non-Profit"/>
    <s v="Online"/>
    <s v="A. Patel"/>
    <x v="1"/>
    <s v="PRN-7303"/>
    <n v="865.33"/>
    <n v="1395.64"/>
    <n v="0.17499999999999999"/>
    <n v="13"/>
    <s v="ok"/>
    <n v="17"/>
    <n v="17"/>
    <n v="14968.239"/>
    <n v="11249.29"/>
    <n v="3718.9489999999987"/>
    <n v="0.24845601409758347"/>
  </r>
  <r>
    <s v="ORD-2023-651638"/>
    <d v="2023-06-17T00:00:00"/>
    <s v="Q2-2023"/>
    <s v="Jun-2023"/>
    <d v="2023-06-24T00:00:00"/>
    <n v="7"/>
    <d v="2023-06-24T00:00:00"/>
    <x v="2"/>
    <x v="10"/>
    <x v="24"/>
    <s v="Corporate"/>
    <s v="Retail"/>
    <s v="I. Johnson"/>
    <x v="1"/>
    <s v="PRN-6536"/>
    <n v="313.99"/>
    <n v="454.42"/>
    <n v="0.129"/>
    <n v="9"/>
    <s v="ok"/>
    <n v="7"/>
    <n v="7"/>
    <n v="3562.1983800000003"/>
    <n v="2825.91"/>
    <n v="736.28838000000042"/>
    <n v="0.20669493988147858"/>
  </r>
  <r>
    <s v="ORD-2024-635626"/>
    <d v="2024-08-27T00:00:00"/>
    <s v="Q3-2024"/>
    <s v="Aug-2024"/>
    <d v="2024-09-19T00:00:00"/>
    <n v="23"/>
    <d v="2024-09-19T00:00:00"/>
    <x v="3"/>
    <x v="6"/>
    <x v="9"/>
    <s v="Small Business"/>
    <s v="Direct"/>
    <s v="D. Smith"/>
    <x v="5"/>
    <s v="MON-9967"/>
    <n v="1024.01"/>
    <n v="1580.97"/>
    <n v="3.6999999999999998E-2"/>
    <n v="27"/>
    <s v="ok"/>
    <n v="23"/>
    <n v="23"/>
    <n v="41106.800970000004"/>
    <n v="27648.27"/>
    <n v="13458.530970000003"/>
    <n v="0.3274039976942531"/>
  </r>
  <r>
    <s v="ORD-2024-296582"/>
    <d v="2024-01-11T00:00:00"/>
    <s v="Q1-2024"/>
    <s v="Jan-2024"/>
    <d v="2024-02-02T00:00:00"/>
    <n v="22"/>
    <d v="2024-02-02T00:00:00"/>
    <x v="0"/>
    <x v="11"/>
    <x v="25"/>
    <s v="Consumer"/>
    <s v="Online"/>
    <s v="K. Singh"/>
    <x v="2"/>
    <s v="NET-1412"/>
    <n v="1206.2"/>
    <n v="1759.79"/>
    <n v="0"/>
    <n v="6"/>
    <s v="ok"/>
    <n v="22"/>
    <n v="22"/>
    <n v="10558.74"/>
    <n v="7237.2000000000007"/>
    <n v="3321.5399999999991"/>
    <n v="0.31457730751964713"/>
  </r>
  <r>
    <s v="ORD-2024-998320"/>
    <d v="2024-10-25T00:00:00"/>
    <s v="Q4-2024"/>
    <s v="Oct-2024"/>
    <d v="2024-11-14T00:00:00"/>
    <n v="20"/>
    <d v="2024-11-14T00:00:00"/>
    <x v="0"/>
    <x v="0"/>
    <x v="13"/>
    <s v="Corporate"/>
    <s v="Direct"/>
    <s v="H. Kim"/>
    <x v="1"/>
    <s v="PRN-3143"/>
    <n v="1396.48"/>
    <n v="3204.5"/>
    <n v="0.318"/>
    <n v="14"/>
    <s v="ok"/>
    <n v="20"/>
    <n v="20"/>
    <n v="30596.565999999999"/>
    <n v="19550.72"/>
    <n v="11045.845999999998"/>
    <n v="0.36101587348070363"/>
  </r>
  <r>
    <s v="ORD-2025-820255"/>
    <d v="2025-05-29T00:00:00"/>
    <s v="Q2-2025"/>
    <s v="May-2025"/>
    <d v="2025-06-20T00:00:00"/>
    <n v="22"/>
    <d v="2025-06-20T00:00:00"/>
    <x v="3"/>
    <x v="6"/>
    <x v="9"/>
    <s v="Corporate"/>
    <s v="Direct"/>
    <s v="A. Patel"/>
    <x v="1"/>
    <s v="PRN-9787"/>
    <n v="483.47"/>
    <n v="1135.43"/>
    <n v="0.14599999999999999"/>
    <n v="11"/>
    <s v="ok"/>
    <n v="22"/>
    <n v="22"/>
    <n v="10666.229420000001"/>
    <n v="5318.17"/>
    <n v="5348.0594200000014"/>
    <n v="0.50140112399719983"/>
  </r>
  <r>
    <s v="ORD-2024-389336"/>
    <d v="2024-05-20T00:00:00"/>
    <s v="Q2-2024"/>
    <s v="May-2024"/>
    <d v="2024-06-02T00:00:00"/>
    <n v="13"/>
    <d v="2024-06-02T00:00:00"/>
    <x v="2"/>
    <x v="3"/>
    <x v="26"/>
    <s v="Enterprise"/>
    <s v="Marketplace"/>
    <s v="K. Singh"/>
    <x v="0"/>
    <s v="CMP-5946"/>
    <n v="675.43"/>
    <n v="996.36"/>
    <n v="0.182"/>
    <n v="22"/>
    <s v="ok"/>
    <n v="13"/>
    <n v="13"/>
    <n v="17930.494560000003"/>
    <n v="14859.46"/>
    <n v="3071.0345600000037"/>
    <n v="0.17127439233332575"/>
  </r>
  <r>
    <s v="ORD-2023-308124"/>
    <d v="2023-04-19T00:00:00"/>
    <s v="Q2-2023"/>
    <s v="Apr-2023"/>
    <d v="2023-04-30T00:00:00"/>
    <n v="11"/>
    <d v="2023-04-30T00:00:00"/>
    <x v="1"/>
    <x v="4"/>
    <x v="18"/>
    <s v="Small Business"/>
    <s v="Retail"/>
    <s v="A. Patel"/>
    <x v="2"/>
    <s v="NET-2062"/>
    <n v="826.55"/>
    <n v="1397.05"/>
    <n v="0.16900000000000001"/>
    <n v="28"/>
    <s v="ok"/>
    <n v="11"/>
    <n v="11"/>
    <n v="32506.559399999998"/>
    <n v="23143.399999999998"/>
    <n v="9363.1594000000005"/>
    <n v="0.28803907804527601"/>
  </r>
  <r>
    <s v="ORD-2023-128295"/>
    <d v="2023-06-23T00:00:00"/>
    <s v="Q2-2023"/>
    <s v="Jun-2023"/>
    <d v="2023-07-03T00:00:00"/>
    <n v="10"/>
    <d v="2023-07-03T00:00:00"/>
    <x v="0"/>
    <x v="1"/>
    <x v="7"/>
    <s v="Consumer"/>
    <s v="Online"/>
    <s v="J. Njeri"/>
    <x v="1"/>
    <s v="PRN-2542"/>
    <n v="337.75"/>
    <n v="548.89"/>
    <n v="0"/>
    <n v="13"/>
    <s v="ok"/>
    <n v="10"/>
    <n v="10"/>
    <n v="7135.57"/>
    <n v="4390.75"/>
    <n v="2744.8199999999997"/>
    <n v="0.38466723751571352"/>
  </r>
  <r>
    <s v="ORD-2024-548345"/>
    <d v="2024-05-14T00:00:00"/>
    <s v="Q2-2024"/>
    <s v="May-2024"/>
    <d v="2024-05-28T00:00:00"/>
    <n v="14"/>
    <d v="2024-05-28T00:00:00"/>
    <x v="3"/>
    <x v="8"/>
    <x v="12"/>
    <s v="Consumer"/>
    <s v="Retail"/>
    <s v="B. Chen"/>
    <x v="2"/>
    <s v="NET-2365"/>
    <n v="1421.14"/>
    <n v="3524"/>
    <n v="0"/>
    <n v="31"/>
    <s v="ok"/>
    <n v="14"/>
    <n v="14"/>
    <n v="109244"/>
    <n v="44055.340000000004"/>
    <n v="65188.659999999996"/>
    <n v="0.59672531214528945"/>
  </r>
  <r>
    <s v="ORD-2024-966651"/>
    <d v="2024-10-14T00:00:00"/>
    <s v="Q4-2024"/>
    <s v="Oct-2024"/>
    <d v="2024-11-08T00:00:00"/>
    <n v="25"/>
    <d v="2024-11-08T00:00:00"/>
    <x v="0"/>
    <x v="1"/>
    <x v="3"/>
    <s v="Enterprise"/>
    <s v="Online"/>
    <s v="O. Wang"/>
    <x v="2"/>
    <s v="NET-5268"/>
    <n v="859.35"/>
    <n v="1825.61"/>
    <n v="0.187"/>
    <n v="24"/>
    <s v="ok"/>
    <n v="25"/>
    <n v="25"/>
    <n v="35621.302319999995"/>
    <n v="20624.400000000001"/>
    <n v="14996.902319999994"/>
    <n v="0.42100937762681989"/>
  </r>
  <r>
    <s v="ORD-2023-292714"/>
    <d v="2023-07-10T00:00:00"/>
    <s v="Q3-2023"/>
    <s v="Jul-2023"/>
    <d v="2023-08-01T00:00:00"/>
    <n v="22"/>
    <d v="2023-08-01T00:00:00"/>
    <x v="3"/>
    <x v="7"/>
    <x v="11"/>
    <s v="Consumer"/>
    <s v="Marketplace"/>
    <s v="B. Chen"/>
    <x v="1"/>
    <s v="PRN-1504"/>
    <n v="1303.56"/>
    <n v="1791.37"/>
    <n v="0.126"/>
    <n v="22"/>
    <s v="ok"/>
    <n v="22"/>
    <n v="22"/>
    <n v="34444.462359999998"/>
    <n v="28678.32"/>
    <n v="5766.142359999998"/>
    <n v="0.16740404596055358"/>
  </r>
  <r>
    <s v="ORD-2024-468501"/>
    <d v="2024-11-06T00:00:00"/>
    <s v="Q4-2024"/>
    <s v="Nov-2024"/>
    <d v="2024-11-22T00:00:00"/>
    <n v="16"/>
    <d v="2024-11-22T00:00:00"/>
    <x v="2"/>
    <x v="3"/>
    <x v="5"/>
    <s v="Non-Profit"/>
    <s v="Distributor"/>
    <s v="D. Smith"/>
    <x v="6"/>
    <s v="ACC-6348"/>
    <n v="1454.11"/>
    <n v="2629.75"/>
    <n v="0.29199999999999998"/>
    <n v="8"/>
    <s v="ok"/>
    <n v="16"/>
    <n v="16"/>
    <n v="14894.903999999999"/>
    <n v="11632.88"/>
    <n v="3262.0239999999994"/>
    <n v="0.21900268709351867"/>
  </r>
  <r>
    <s v="ORD-2024-260775"/>
    <d v="2024-10-17T00:00:00"/>
    <s v="Q4-2024"/>
    <s v="Oct-2024"/>
    <d v="2024-11-06T00:00:00"/>
    <n v="20"/>
    <d v="2024-11-06T00:00:00"/>
    <x v="1"/>
    <x v="4"/>
    <x v="6"/>
    <s v="Enterprise"/>
    <s v="Distributor"/>
    <s v="O. Wang"/>
    <x v="5"/>
    <s v="MON-4330"/>
    <n v="72.94"/>
    <n v="106.3"/>
    <n v="0.29499999999999998"/>
    <n v="8"/>
    <s v="ok"/>
    <n v="20"/>
    <n v="20"/>
    <n v="599.53200000000004"/>
    <n v="583.52"/>
    <n v="16.012000000000057"/>
    <n v="2.6707498515508857E-2"/>
  </r>
  <r>
    <s v="ORD-2023-419187"/>
    <d v="2023-03-31T00:00:00"/>
    <s v="Q1-2023"/>
    <s v="Mar-2023"/>
    <d v="2023-04-05T00:00:00"/>
    <n v="5"/>
    <d v="2023-04-05T00:00:00"/>
    <x v="0"/>
    <x v="0"/>
    <x v="16"/>
    <s v="Education"/>
    <s v="Marketplace"/>
    <s v="B. Chen"/>
    <x v="4"/>
    <s v="LAP-7819"/>
    <n v="533.26"/>
    <n v="385.72"/>
    <n v="0"/>
    <n v="15"/>
    <s v="ok"/>
    <n v="5"/>
    <n v="5"/>
    <n v="5785.8"/>
    <n v="7998.9"/>
    <n v="-2213.0999999999995"/>
    <n v="-0.38250544436378708"/>
  </r>
  <r>
    <s v="ORD-2025-578007"/>
    <d v="2025-01-21T00:00:00"/>
    <s v="Q1-2025"/>
    <s v="Jan-2025"/>
    <d v="2025-02-16T00:00:00"/>
    <n v="26"/>
    <d v="2025-02-16T00:00:00"/>
    <x v="3"/>
    <x v="7"/>
    <x v="17"/>
    <s v="Corporate"/>
    <s v="Distributor"/>
    <s v="O. Wang"/>
    <x v="4"/>
    <s v="LAP-3779"/>
    <n v="204.11"/>
    <n v="236.87"/>
    <n v="0.182"/>
    <n v="13"/>
    <s v="ok"/>
    <n v="26"/>
    <n v="26"/>
    <n v="2518.8755800000004"/>
    <n v="2653.4300000000003"/>
    <n v="-134.55441999999994"/>
    <n v="-5.3418446337075494E-2"/>
  </r>
  <r>
    <s v="ORD-2023-235230"/>
    <d v="2023-08-30T00:00:00"/>
    <s v="Q3-2023"/>
    <s v="Aug-2023"/>
    <d v="2023-09-01T00:00:00"/>
    <n v="2"/>
    <d v="2023-09-01T00:00:00"/>
    <x v="3"/>
    <x v="6"/>
    <x v="22"/>
    <s v="Corporate"/>
    <s v="Direct"/>
    <s v="N. Brown"/>
    <x v="2"/>
    <s v="NET-9989"/>
    <n v="44.42"/>
    <n v="41.9"/>
    <n v="0.14399999999999999"/>
    <n v="6"/>
    <s v="ok"/>
    <n v="2"/>
    <n v="2"/>
    <n v="215.19839999999996"/>
    <n v="266.52"/>
    <n v="-51.321600000000018"/>
    <n v="-0.23848504449847224"/>
  </r>
  <r>
    <s v="ORD-2025-765220"/>
    <d v="2025-04-06T00:00:00"/>
    <s v="Q2-2025"/>
    <s v="Apr-2025"/>
    <d v="2025-04-30T00:00:00"/>
    <n v="24"/>
    <d v="2025-04-30T00:00:00"/>
    <x v="2"/>
    <x v="5"/>
    <x v="10"/>
    <s v="Education"/>
    <s v="Online"/>
    <s v="K. Singh"/>
    <x v="5"/>
    <s v="MON-4925"/>
    <n v="855.78"/>
    <n v="977.38"/>
    <n v="0.14699999999999999"/>
    <n v="38"/>
    <s v="ok"/>
    <n v="24"/>
    <n v="24"/>
    <n v="31680.795320000001"/>
    <n v="32519.64"/>
    <n v="-838.84467999999833"/>
    <n v="-2.6478018355506307E-2"/>
  </r>
  <r>
    <s v="ORD-2025-931538"/>
    <d v="2025-02-09T00:00:00"/>
    <s v="Q1-2025"/>
    <s v="Feb-2025"/>
    <d v="2025-03-01T00:00:00"/>
    <n v="20"/>
    <d v="2025-03-01T00:00:00"/>
    <x v="2"/>
    <x v="5"/>
    <x v="8"/>
    <s v="Corporate"/>
    <s v="Distributor"/>
    <s v="B. Chen"/>
    <x v="4"/>
    <s v="LAP-6989"/>
    <n v="1154.6400000000001"/>
    <n v="2794.13"/>
    <n v="3.5000000000000003E-2"/>
    <n v="11"/>
    <s v="ok"/>
    <n v="20"/>
    <n v="20"/>
    <n v="29659.68995"/>
    <n v="12701.04"/>
    <n v="16958.649949999999"/>
    <n v="0.57177435025749479"/>
  </r>
  <r>
    <s v="ORD-2024-289089"/>
    <d v="2024-12-17T00:00:00"/>
    <s v="Q4-2024"/>
    <s v="Dec-2024"/>
    <d v="2024-12-18T00:00:00"/>
    <n v="1"/>
    <d v="2024-12-18T00:00:00"/>
    <x v="3"/>
    <x v="6"/>
    <x v="22"/>
    <s v="Education"/>
    <s v="Retail"/>
    <s v="L. Okafor"/>
    <x v="6"/>
    <s v="ACC-5780"/>
    <n v="346.82"/>
    <n v="701.95"/>
    <n v="0.14699999999999999"/>
    <n v="8"/>
    <s v="ok"/>
    <n v="1"/>
    <n v="1"/>
    <n v="4790.1068000000005"/>
    <n v="2774.56"/>
    <n v="2015.5468000000005"/>
    <n v="0.42077283120284509"/>
  </r>
  <r>
    <s v="ORD-2025-639542"/>
    <d v="2025-06-09T00:00:00"/>
    <s v="Q2-2025"/>
    <s v="Jun-2025"/>
    <d v="2025-06-18T00:00:00"/>
    <n v="9"/>
    <d v="2025-06-18T00:00:00"/>
    <x v="3"/>
    <x v="7"/>
    <x v="11"/>
    <s v="Small Business"/>
    <s v="Marketplace"/>
    <s v="H. Kim"/>
    <x v="6"/>
    <s v="ACC-1770"/>
    <n v="1225.5"/>
    <n v="5.27"/>
    <n v="7.4999999999999997E-2"/>
    <n v="56"/>
    <s v="ok"/>
    <n v="9"/>
    <n v="9"/>
    <n v="272.98599999999999"/>
    <n v="68628"/>
    <n v="-68355.013999999996"/>
    <n v="-250.39750756449047"/>
  </r>
  <r>
    <s v="ORD-2025-762301"/>
    <d v="2025-05-02T00:00:00"/>
    <s v="Q2-2025"/>
    <s v="May-2025"/>
    <d v="2025-05-13T00:00:00"/>
    <n v="11"/>
    <d v="2025-05-13T00:00:00"/>
    <x v="0"/>
    <x v="0"/>
    <x v="16"/>
    <s v="Small Business"/>
    <s v="Online"/>
    <s v="A. Patel"/>
    <x v="6"/>
    <s v="ACC-2252"/>
    <n v="1057.5999999999999"/>
    <n v="1437.06"/>
    <n v="0.20499999999999999"/>
    <n v="4"/>
    <s v="ok"/>
    <n v="11"/>
    <n v="11"/>
    <n v="4569.8508000000002"/>
    <n v="4230.3999999999996"/>
    <n v="339.45080000000053"/>
    <n v="7.4280499485891424E-2"/>
  </r>
  <r>
    <s v="ORD-2024-906395"/>
    <d v="2024-03-10T00:00:00"/>
    <s v="Q1-2024"/>
    <s v="Mar-2024"/>
    <d v="2024-04-09T00:00:00"/>
    <n v="30"/>
    <d v="2024-04-09T00:00:00"/>
    <x v="3"/>
    <x v="7"/>
    <x v="17"/>
    <s v="Corporate"/>
    <s v="Direct"/>
    <s v="I. Johnson"/>
    <x v="0"/>
    <s v="CMP-8002"/>
    <n v="1176.56"/>
    <n v="1911.89"/>
    <n v="0.11899999999999999"/>
    <n v="20"/>
    <s v="ok"/>
    <n v="30"/>
    <n v="30"/>
    <n v="33687.501800000005"/>
    <n v="23531.199999999997"/>
    <n v="10156.301800000008"/>
    <n v="0.30148575160892477"/>
  </r>
  <r>
    <s v="ORD-2025-779574"/>
    <d v="2025-09-10T00:00:00"/>
    <s v="Q3-2025"/>
    <s v="Sept-2025"/>
    <d v="2025-09-12T00:00:00"/>
    <n v="2"/>
    <d v="2025-09-12T00:00:00"/>
    <x v="1"/>
    <x v="2"/>
    <x v="27"/>
    <s v="Consumer"/>
    <s v="Online"/>
    <s v="O. Wang"/>
    <x v="0"/>
    <s v="CMP-6971"/>
    <n v="1470.15"/>
    <n v="2593.7800000000002"/>
    <n v="0.11"/>
    <n v="12"/>
    <s v="ok"/>
    <n v="2"/>
    <n v="2"/>
    <n v="27701.570400000001"/>
    <n v="17641.800000000003"/>
    <n v="10059.770399999998"/>
    <n v="0.36314801849645306"/>
  </r>
  <r>
    <s v="ORD-2025-526650"/>
    <d v="2025-04-27T00:00:00"/>
    <s v="Q2-2025"/>
    <s v="Apr-2025"/>
    <d v="2025-05-25T00:00:00"/>
    <n v="28"/>
    <d v="2025-05-25T00:00:00"/>
    <x v="3"/>
    <x v="7"/>
    <x v="28"/>
    <s v="Small Business"/>
    <s v="Marketplace"/>
    <s v="I. Johnson"/>
    <x v="3"/>
    <s v="PHN-8350"/>
    <n v="603.45000000000005"/>
    <n v="1244.08"/>
    <n v="0.2"/>
    <n v="11"/>
    <s v="ok"/>
    <n v="28"/>
    <n v="28"/>
    <n v="10947.904"/>
    <n v="6637.9500000000007"/>
    <n v="4309.9539999999997"/>
    <n v="0.39367846119220623"/>
  </r>
  <r>
    <s v="ORD-2024-247979"/>
    <d v="2024-11-02T00:00:00"/>
    <s v="Q4-2024"/>
    <s v="Nov-2024"/>
    <d v="2024-11-18T00:00:00"/>
    <n v="16"/>
    <d v="2024-11-18T00:00:00"/>
    <x v="1"/>
    <x v="4"/>
    <x v="29"/>
    <s v="Small Business"/>
    <s v="Distributor"/>
    <s v="O. Wang"/>
    <x v="5"/>
    <s v="MON-5188"/>
    <n v="1233.58"/>
    <n v="1912.51"/>
    <n v="0.255"/>
    <n v="51"/>
    <s v="ok"/>
    <n v="16"/>
    <n v="16"/>
    <n v="72665.817450000002"/>
    <n v="62912.579999999994"/>
    <n v="9753.2374500000078"/>
    <n v="0.134220432553601"/>
  </r>
  <r>
    <s v="ORD-2023-480975"/>
    <d v="2023-02-15T00:00:00"/>
    <s v="Q1-2023"/>
    <s v="Feb-2023"/>
    <d v="2023-02-26T00:00:00"/>
    <n v="11"/>
    <d v="2023-02-26T00:00:00"/>
    <x v="0"/>
    <x v="11"/>
    <x v="20"/>
    <s v="Non-Profit"/>
    <s v="Retail"/>
    <s v="K. Singh"/>
    <x v="4"/>
    <s v="LAP-3393"/>
    <n v="498.5"/>
    <n v="755.87"/>
    <n v="0.13"/>
    <n v="40"/>
    <s v="ok"/>
    <n v="11"/>
    <n v="11"/>
    <n v="26304.275999999998"/>
    <n v="19940"/>
    <n v="6364.275999999998"/>
    <n v="0.24194834330357537"/>
  </r>
  <r>
    <s v="ORD-2023-239789"/>
    <d v="2023-12-03T00:00:00"/>
    <s v="Q4-2023"/>
    <s v="Dec-2023"/>
    <d v="2023-12-26T00:00:00"/>
    <n v="23"/>
    <d v="2023-12-26T00:00:00"/>
    <x v="2"/>
    <x v="5"/>
    <x v="30"/>
    <s v="Education"/>
    <s v="Retail"/>
    <s v="O. Wang"/>
    <x v="3"/>
    <s v="PHN-4644"/>
    <n v="1303.1099999999999"/>
    <n v="1145.67"/>
    <n v="0.184"/>
    <n v="13"/>
    <s v="ok"/>
    <n v="23"/>
    <n v="23"/>
    <n v="12153.267360000002"/>
    <n v="16940.43"/>
    <n v="-4787.1626399999986"/>
    <n v="-0.39389922875851208"/>
  </r>
  <r>
    <s v="ORD-2023-548874"/>
    <d v="2023-03-19T00:00:00"/>
    <s v="Q1-2023"/>
    <s v="Mar-2023"/>
    <d v="2023-04-09T00:00:00"/>
    <n v="21"/>
    <d v="2023-04-09T00:00:00"/>
    <x v="3"/>
    <x v="8"/>
    <x v="31"/>
    <s v="Consumer"/>
    <s v="Retail"/>
    <s v="L. Okafor"/>
    <x v="6"/>
    <s v="ACC-9150"/>
    <n v="1082.17"/>
    <n v="1234.0999999999999"/>
    <n v="0.189"/>
    <n v="16"/>
    <s v="ok"/>
    <n v="21"/>
    <n v="21"/>
    <n v="16013.681599999998"/>
    <n v="17314.72"/>
    <n v="-1301.0384000000031"/>
    <n v="-8.124542703534228E-2"/>
  </r>
  <r>
    <s v="ORD-2024-347736"/>
    <d v="2024-05-22T00:00:00"/>
    <s v="Q2-2024"/>
    <s v="May-2024"/>
    <d v="2024-06-06T00:00:00"/>
    <n v="15"/>
    <d v="2024-06-06T00:00:00"/>
    <x v="1"/>
    <x v="2"/>
    <x v="32"/>
    <s v="Corporate"/>
    <s v="Distributor"/>
    <s v="C. Otieno"/>
    <x v="5"/>
    <s v="MON-6870"/>
    <n v="673.88"/>
    <n v="1228.01"/>
    <n v="0.105"/>
    <n v="13"/>
    <s v="ok"/>
    <n v="15"/>
    <n v="15"/>
    <n v="14287.896349999999"/>
    <n v="8760.44"/>
    <n v="5527.4563499999986"/>
    <n v="0.38686285332689996"/>
  </r>
  <r>
    <s v="ORD-2023-749324"/>
    <d v="2023-08-19T00:00:00"/>
    <s v="Q3-2023"/>
    <s v="Aug-2023"/>
    <d v="2023-09-07T00:00:00"/>
    <n v="19"/>
    <d v="2023-09-07T00:00:00"/>
    <x v="0"/>
    <x v="11"/>
    <x v="20"/>
    <s v="Enterprise"/>
    <s v="Retail"/>
    <s v="D. Smith"/>
    <x v="5"/>
    <s v="MON-2296"/>
    <n v="494.61"/>
    <n v="605.23"/>
    <n v="0.20399999999999999"/>
    <n v="18"/>
    <s v="ok"/>
    <n v="19"/>
    <n v="19"/>
    <n v="8671.7354400000004"/>
    <n v="8902.98"/>
    <n v="-231.24455999999918"/>
    <n v="-2.6666468505639647E-2"/>
  </r>
  <r>
    <s v="ORD-2023-809913"/>
    <d v="2023-04-21T00:00:00"/>
    <s v="Q2-2023"/>
    <s v="Apr-2023"/>
    <d v="2023-05-10T00:00:00"/>
    <n v="19"/>
    <d v="2023-05-10T00:00:00"/>
    <x v="1"/>
    <x v="9"/>
    <x v="23"/>
    <s v="Corporate"/>
    <s v="Retail"/>
    <s v="A. Patel"/>
    <x v="0"/>
    <s v="CMP-7371"/>
    <n v="882.33"/>
    <n v="1880.15"/>
    <n v="0.05"/>
    <n v="5"/>
    <s v="ok"/>
    <n v="19"/>
    <n v="19"/>
    <n v="8930.7124999999996"/>
    <n v="4411.6500000000005"/>
    <n v="4519.0624999999991"/>
    <n v="0.50601365792482955"/>
  </r>
  <r>
    <s v="ORD-2024-287210"/>
    <d v="2024-03-18T00:00:00"/>
    <s v="Q1-2024"/>
    <s v="Mar-2024"/>
    <d v="2024-03-21T00:00:00"/>
    <n v="3"/>
    <d v="2024-03-21T00:00:00"/>
    <x v="3"/>
    <x v="6"/>
    <x v="22"/>
    <s v="Small Business"/>
    <s v="Online"/>
    <s v="M. Rossi"/>
    <x v="6"/>
    <s v="ACC-2761"/>
    <n v="910.63"/>
    <n v="1269.4000000000001"/>
    <n v="6.8000000000000005E-2"/>
    <n v="9"/>
    <s v="ok"/>
    <n v="3"/>
    <n v="3"/>
    <n v="10647.727199999999"/>
    <n v="8195.67"/>
    <n v="2452.0571999999993"/>
    <n v="0.23028925834989455"/>
  </r>
  <r>
    <s v="ORD-2025-640677"/>
    <d v="2025-04-09T00:00:00"/>
    <s v="Q2-2025"/>
    <s v="Apr-2025"/>
    <d v="2025-05-06T00:00:00"/>
    <n v="27"/>
    <d v="2025-05-06T00:00:00"/>
    <x v="2"/>
    <x v="5"/>
    <x v="10"/>
    <s v="Enterprise"/>
    <s v="Marketplace"/>
    <s v="F. Müller"/>
    <x v="4"/>
    <s v="LAP-4517"/>
    <n v="264.19"/>
    <n v="620.92999999999995"/>
    <n v="0.14199999999999999"/>
    <n v="12"/>
    <s v="ok"/>
    <n v="27"/>
    <n v="27"/>
    <n v="6393.0952799999995"/>
    <n v="3170.2799999999997"/>
    <n v="3222.8152799999998"/>
    <n v="0.50410875152794532"/>
  </r>
  <r>
    <s v="ORD-2024-939873"/>
    <d v="2024-04-12T00:00:00"/>
    <s v="Q2-2024"/>
    <s v="Apr-2024"/>
    <d v="2024-05-07T00:00:00"/>
    <n v="25"/>
    <d v="2024-05-07T00:00:00"/>
    <x v="0"/>
    <x v="11"/>
    <x v="20"/>
    <s v="Education"/>
    <s v="Distributor"/>
    <s v="A. Patel"/>
    <x v="4"/>
    <s v="LAP-8489"/>
    <n v="1376.51"/>
    <n v="1455.91"/>
    <n v="0.185"/>
    <n v="17"/>
    <s v="ok"/>
    <n v="25"/>
    <n v="25"/>
    <n v="20171.63305"/>
    <n v="23400.67"/>
    <n v="-3229.0369499999979"/>
    <n v="-0.1600781127634085"/>
  </r>
  <r>
    <s v="ORD-2024-800947"/>
    <d v="2024-12-15T00:00:00"/>
    <s v="Q4-2024"/>
    <s v="Dec-2024"/>
    <d v="2024-12-20T00:00:00"/>
    <n v="5"/>
    <d v="2024-12-20T00:00:00"/>
    <x v="1"/>
    <x v="9"/>
    <x v="14"/>
    <s v="Small Business"/>
    <s v="Direct"/>
    <s v="J. Njeri"/>
    <x v="2"/>
    <s v="NET-1846"/>
    <n v="717.55"/>
    <n v="546.42999999999995"/>
    <n v="4.7E-2"/>
    <n v="18"/>
    <s v="ok"/>
    <n v="5"/>
    <n v="5"/>
    <n v="9373.460219999999"/>
    <n v="12915.9"/>
    <n v="-3542.4397800000006"/>
    <n v="-0.37792231437026369"/>
  </r>
  <r>
    <s v="ORD-2023-382272"/>
    <d v="2023-05-20T00:00:00"/>
    <s v="Q2-2023"/>
    <s v="May-2023"/>
    <d v="2023-05-18T00:00:00"/>
    <n v="14"/>
    <d v="2023-06-03T00:00:00"/>
    <x v="0"/>
    <x v="11"/>
    <x v="25"/>
    <s v="Corporate"/>
    <s v="Distributor"/>
    <s v="A. Patel"/>
    <x v="0"/>
    <s v="CMP-5208"/>
    <n v="917.88"/>
    <n v="1347.92"/>
    <n v="0.34300000000000003"/>
    <n v="5"/>
    <s v="sus"/>
    <n v="-2"/>
    <n v="2"/>
    <n v="4427.9172000000008"/>
    <n v="4589.3999999999996"/>
    <n v="-161.48279999999886"/>
    <n v="-3.6469245630880096E-2"/>
  </r>
  <r>
    <s v="ORD-2023-722117"/>
    <d v="2023-09-18T00:00:00"/>
    <s v="Q3-2023"/>
    <s v="Sept-2023"/>
    <d v="2023-10-08T00:00:00"/>
    <n v="20"/>
    <d v="2023-10-08T00:00:00"/>
    <x v="1"/>
    <x v="4"/>
    <x v="18"/>
    <s v="Small Business"/>
    <s v="Direct"/>
    <s v="B. Chen"/>
    <x v="0"/>
    <s v="CMP-1009"/>
    <n v="825.64"/>
    <n v="1108.43"/>
    <n v="0.114"/>
    <n v="7"/>
    <s v="ok"/>
    <n v="20"/>
    <n v="20"/>
    <n v="6874.4828600000001"/>
    <n v="5779.48"/>
    <n v="1095.0028600000005"/>
    <n v="0.15928512475773349"/>
  </r>
  <r>
    <s v="ORD-2024-446699"/>
    <d v="2024-08-28T00:00:00"/>
    <s v="Q3-2024"/>
    <s v="Aug-2024"/>
    <d v="2024-09-25T00:00:00"/>
    <n v="28"/>
    <d v="2024-09-25T00:00:00"/>
    <x v="2"/>
    <x v="5"/>
    <x v="30"/>
    <s v="Non-Profit"/>
    <s v="Online"/>
    <s v="unknown"/>
    <x v="6"/>
    <s v="ACC-4490"/>
    <n v="1394.65"/>
    <n v="3144.1"/>
    <n v="0.13400000000000001"/>
    <n v="13"/>
    <s v="ok"/>
    <n v="28"/>
    <n v="28"/>
    <n v="35396.277799999996"/>
    <n v="18130.45"/>
    <n v="17265.827799999995"/>
    <n v="0.4877865378263021"/>
  </r>
  <r>
    <s v="ORD-2024-451005"/>
    <d v="2024-06-30T00:00:00"/>
    <s v="Q2-2024"/>
    <s v="Jun-2024"/>
    <d v="2024-06-28T00:00:00"/>
    <n v="14"/>
    <d v="2024-07-14T00:00:00"/>
    <x v="2"/>
    <x v="5"/>
    <x v="30"/>
    <s v="Small Business"/>
    <s v="Direct"/>
    <s v="L. Okafor"/>
    <x v="6"/>
    <s v="ACC-9162"/>
    <n v="1112.98"/>
    <n v="2095.73"/>
    <n v="7.1999999999999995E-2"/>
    <n v="17"/>
    <s v="sus"/>
    <n v="-2"/>
    <n v="2"/>
    <n v="33062.236480000007"/>
    <n v="18920.66"/>
    <n v="14141.576480000007"/>
    <n v="0.42772594916724777"/>
  </r>
  <r>
    <s v="ORD-2023-290279"/>
    <d v="2023-06-14T00:00:00"/>
    <s v="Q2-2023"/>
    <s v="Jun-2023"/>
    <d v="2023-06-16T00:00:00"/>
    <n v="2"/>
    <d v="2023-06-16T00:00:00"/>
    <x v="3"/>
    <x v="8"/>
    <x v="31"/>
    <s v="Non-Profit"/>
    <s v="Direct"/>
    <s v="K. Singh"/>
    <x v="0"/>
    <s v="CMP-5820"/>
    <n v="357.36"/>
    <n v="703.62"/>
    <n v="0.25700000000000001"/>
    <n v="20"/>
    <s v="ok"/>
    <n v="2"/>
    <n v="2"/>
    <n v="10455.7932"/>
    <n v="7147.2000000000007"/>
    <n v="3308.5931999999993"/>
    <n v="0.31643636563125593"/>
  </r>
  <r>
    <s v="ORD-2024-192263"/>
    <d v="2024-11-21T00:00:00"/>
    <s v="Q4-2024"/>
    <s v="Nov-2024"/>
    <d v="2024-12-21T00:00:00"/>
    <n v="30"/>
    <d v="2024-12-21T00:00:00"/>
    <x v="3"/>
    <x v="7"/>
    <x v="11"/>
    <s v="Small Business"/>
    <s v="Direct"/>
    <s v="I. Johnson"/>
    <x v="5"/>
    <s v="MON-7943"/>
    <n v="1122.68"/>
    <n v="1997.19"/>
    <n v="0.186"/>
    <n v="3"/>
    <s v="ok"/>
    <n v="30"/>
    <n v="30"/>
    <n v="4877.1379800000004"/>
    <n v="3368.04"/>
    <n v="1509.0979800000005"/>
    <n v="0.30942285951073306"/>
  </r>
  <r>
    <s v="ORD-2023-159379"/>
    <d v="2023-02-08T00:00:00"/>
    <s v="Q1-2023"/>
    <s v="Feb-2023"/>
    <d v="2023-02-11T00:00:00"/>
    <n v="3"/>
    <d v="2023-02-11T00:00:00"/>
    <x v="0"/>
    <x v="11"/>
    <x v="33"/>
    <s v="Corporate"/>
    <s v="Direct"/>
    <s v="M. Rossi"/>
    <x v="2"/>
    <s v="NET-5018"/>
    <n v="1410.05"/>
    <n v="2763.95"/>
    <n v="0.161"/>
    <n v="26"/>
    <s v="ok"/>
    <n v="3"/>
    <n v="3"/>
    <n v="60292.805299999993"/>
    <n v="36661.299999999996"/>
    <n v="23631.505299999997"/>
    <n v="0.39194569206750779"/>
  </r>
  <r>
    <s v="ORD-2023-343322"/>
    <d v="2023-08-19T00:00:00"/>
    <s v="Q3-2023"/>
    <s v="Aug-2023"/>
    <d v="2023-09-12T00:00:00"/>
    <n v="24"/>
    <d v="2023-09-12T00:00:00"/>
    <x v="2"/>
    <x v="3"/>
    <x v="26"/>
    <s v="Enterprise"/>
    <s v="Retail"/>
    <s v="I. Johnson"/>
    <x v="1"/>
    <s v="PRN-9669"/>
    <n v="1183.95"/>
    <n v="1503.53"/>
    <n v="0.24099999999999999"/>
    <n v="16"/>
    <s v="ok"/>
    <n v="24"/>
    <n v="24"/>
    <n v="18258.868320000001"/>
    <n v="18943.2"/>
    <n v="-684.33167999999932"/>
    <n v="-3.7479413729623705E-2"/>
  </r>
  <r>
    <s v="ORD-2025-114382"/>
    <d v="2025-05-14T00:00:00"/>
    <s v="Q2-2025"/>
    <s v="May-2025"/>
    <d v="2025-05-24T00:00:00"/>
    <n v="10"/>
    <d v="2025-05-24T00:00:00"/>
    <x v="3"/>
    <x v="7"/>
    <x v="28"/>
    <s v="Small Business"/>
    <s v="Marketplace"/>
    <s v="K. Singh"/>
    <x v="0"/>
    <s v="CMP-2865"/>
    <n v="170.39"/>
    <n v="388.04"/>
    <n v="8.4000000000000005E-2"/>
    <n v="15"/>
    <s v="ok"/>
    <n v="10"/>
    <n v="10"/>
    <n v="5331.6696000000002"/>
    <n v="2555.85"/>
    <n v="2775.8196000000003"/>
    <n v="0.52062858508711796"/>
  </r>
  <r>
    <s v="ORD-2025-488349"/>
    <d v="2025-04-23T00:00:00"/>
    <s v="Q2-2025"/>
    <s v="Apr-2025"/>
    <d v="2025-04-22T00:00:00"/>
    <n v="14"/>
    <d v="2025-05-07T00:00:00"/>
    <x v="2"/>
    <x v="10"/>
    <x v="24"/>
    <s v="Non-Profit"/>
    <s v="Distributor"/>
    <s v="D. Smith"/>
    <x v="5"/>
    <s v="MON-3371"/>
    <n v="23.24"/>
    <n v="44.57"/>
    <n v="0.215"/>
    <n v="15"/>
    <s v="sus"/>
    <n v="-1"/>
    <n v="1"/>
    <n v="524.81174999999996"/>
    <n v="348.59999999999997"/>
    <n v="176.21174999999999"/>
    <n v="0.33576182316802167"/>
  </r>
  <r>
    <s v="ORD-2025-330203"/>
    <d v="2025-03-25T00:00:00"/>
    <s v="Q1-2025"/>
    <s v="Mar-2025"/>
    <d v="2025-04-17T00:00:00"/>
    <n v="23"/>
    <d v="2025-04-17T00:00:00"/>
    <x v="3"/>
    <x v="8"/>
    <x v="21"/>
    <s v="Consumer"/>
    <s v="Retail"/>
    <s v="H. Kim"/>
    <x v="2"/>
    <s v="NET-7166"/>
    <n v="1421.19"/>
    <n v="1808.26"/>
    <n v="0.104"/>
    <n v="13"/>
    <s v="ok"/>
    <n v="23"/>
    <n v="23"/>
    <n v="21062.61248"/>
    <n v="18475.47"/>
    <n v="2587.1424799999986"/>
    <n v="0.12283103449093123"/>
  </r>
  <r>
    <s v="ORD-2023-841426"/>
    <d v="2023-12-22T00:00:00"/>
    <s v="Q4-2023"/>
    <s v="Dec-2023"/>
    <d v="2023-12-23T00:00:00"/>
    <n v="1"/>
    <d v="2023-12-23T00:00:00"/>
    <x v="0"/>
    <x v="11"/>
    <x v="33"/>
    <s v="Non-Profit"/>
    <s v="Marketplace"/>
    <s v="D. Smith"/>
    <x v="0"/>
    <s v="CMP-4531"/>
    <n v="1186.18"/>
    <n v="1285.0899999999999"/>
    <n v="7.0000000000000007E-2"/>
    <n v="11"/>
    <s v="ok"/>
    <n v="1"/>
    <n v="1"/>
    <n v="13146.470699999998"/>
    <n v="13047.980000000001"/>
    <n v="98.49069999999665"/>
    <n v="7.4917977796121861E-3"/>
  </r>
  <r>
    <s v="ORD-2024-594592"/>
    <d v="2024-04-06T00:00:00"/>
    <s v="Q2-2024"/>
    <s v="Apr-2024"/>
    <d v="2024-04-25T00:00:00"/>
    <n v="19"/>
    <d v="2024-04-25T00:00:00"/>
    <x v="1"/>
    <x v="9"/>
    <x v="23"/>
    <s v="Corporate"/>
    <s v="Retail"/>
    <s v="K. Singh"/>
    <x v="0"/>
    <s v="CMP-8196"/>
    <n v="1366.48"/>
    <n v="1678.14"/>
    <n v="0.154"/>
    <n v="10"/>
    <s v="ok"/>
    <n v="19"/>
    <n v="19"/>
    <n v="14197.064400000001"/>
    <n v="13664.8"/>
    <n v="532.26440000000184"/>
    <n v="3.7491159087790132E-2"/>
  </r>
  <r>
    <s v="ORD-2025-863978"/>
    <d v="2025-08-07T00:00:00"/>
    <s v="Q3-2025"/>
    <s v="Aug-2025"/>
    <d v="2025-08-19T00:00:00"/>
    <n v="12"/>
    <d v="2025-08-19T00:00:00"/>
    <x v="0"/>
    <x v="0"/>
    <x v="16"/>
    <s v="Corporate"/>
    <s v="unknown"/>
    <s v="M. Rossi"/>
    <x v="0"/>
    <s v="CMP-2854"/>
    <n v="601.51"/>
    <n v="679.35"/>
    <n v="0.188"/>
    <n v="3"/>
    <s v="ok"/>
    <n v="12"/>
    <n v="12"/>
    <n v="1654.8966000000003"/>
    <n v="1804.53"/>
    <n v="-149.63339999999971"/>
    <n v="-9.0418579626062243E-2"/>
  </r>
  <r>
    <s v="ORD-2024-604471"/>
    <d v="2024-01-21T00:00:00"/>
    <s v="Q1-2024"/>
    <s v="Jan-2024"/>
    <d v="2024-01-25T00:00:00"/>
    <n v="4"/>
    <d v="2024-01-25T00:00:00"/>
    <x v="1"/>
    <x v="4"/>
    <x v="18"/>
    <s v="Consumer"/>
    <s v="Direct"/>
    <s v="C. Otieno"/>
    <x v="5"/>
    <s v="MON-8973"/>
    <n v="523.70000000000005"/>
    <n v="1109.92"/>
    <n v="0.03"/>
    <n v="11"/>
    <s v="ok"/>
    <n v="4"/>
    <n v="4"/>
    <n v="11842.8464"/>
    <n v="5760.7000000000007"/>
    <n v="6082.1463999999996"/>
    <n v="0.51357133197302973"/>
  </r>
  <r>
    <s v="ORD-2023-258768"/>
    <d v="2023-06-29T00:00:00"/>
    <s v="Q2-2023"/>
    <s v="Jun-2023"/>
    <d v="2023-07-02T00:00:00"/>
    <n v="3"/>
    <d v="2023-07-02T00:00:00"/>
    <x v="1"/>
    <x v="2"/>
    <x v="32"/>
    <s v="Education"/>
    <s v="Marketplace"/>
    <s v="F. Müller"/>
    <x v="5"/>
    <s v="MON-2990"/>
    <n v="55.65"/>
    <n v="83.57"/>
    <n v="6.6000000000000003E-2"/>
    <n v="8"/>
    <s v="ok"/>
    <n v="3"/>
    <n v="3"/>
    <n v="624.43503999999996"/>
    <n v="445.2"/>
    <n v="179.23503999999997"/>
    <n v="0.2870355257449998"/>
  </r>
  <r>
    <s v="ORD-2025-626047"/>
    <d v="2025-04-28T00:00:00"/>
    <s v="Q2-2025"/>
    <s v="Apr-2025"/>
    <d v="2025-05-15T00:00:00"/>
    <n v="17"/>
    <d v="2025-05-15T00:00:00"/>
    <x v="1"/>
    <x v="2"/>
    <x v="32"/>
    <s v="Education"/>
    <s v="Direct"/>
    <s v="N. Brown"/>
    <x v="2"/>
    <s v="NET-1966"/>
    <n v="691.19"/>
    <n v="1284.3"/>
    <n v="7.3999999999999996E-2"/>
    <n v="7"/>
    <s v="ok"/>
    <n v="17"/>
    <n v="17"/>
    <n v="8324.8326000000015"/>
    <n v="4838.33"/>
    <n v="3486.5026000000016"/>
    <n v="0.41880753253825198"/>
  </r>
  <r>
    <s v="ORD-2025-526752"/>
    <d v="2025-06-09T00:00:00"/>
    <s v="Q2-2025"/>
    <s v="Jun-2025"/>
    <d v="2025-06-25T00:00:00"/>
    <n v="16"/>
    <d v="2025-06-25T00:00:00"/>
    <x v="1"/>
    <x v="4"/>
    <x v="34"/>
    <s v="Enterprise"/>
    <s v="Distributor"/>
    <s v="M. Rossi"/>
    <x v="3"/>
    <s v="PHN-3482"/>
    <n v="527.33000000000004"/>
    <n v="911.72"/>
    <n v="0.14399999999999999"/>
    <n v="25"/>
    <s v="ok"/>
    <n v="16"/>
    <n v="16"/>
    <n v="19510.808000000001"/>
    <n v="13183.250000000002"/>
    <n v="6327.5579999999991"/>
    <n v="0.32431040272652978"/>
  </r>
  <r>
    <s v="ORD-2023-374486"/>
    <d v="2023-06-24T00:00:00"/>
    <s v="Q2-2023"/>
    <s v="Jun-2023"/>
    <d v="2023-06-23T00:00:00"/>
    <n v="14"/>
    <d v="2023-07-08T00:00:00"/>
    <x v="2"/>
    <x v="5"/>
    <x v="30"/>
    <s v="Non-Profit"/>
    <s v="Retail"/>
    <s v="E. Garcia"/>
    <x v="1"/>
    <s v="PRN-6490"/>
    <n v="804.01"/>
    <n v="1405.07"/>
    <n v="9.6000000000000002E-2"/>
    <n v="8"/>
    <s v="sus"/>
    <n v="-1"/>
    <n v="1"/>
    <n v="10161.46624"/>
    <n v="6432.08"/>
    <n v="3729.3862399999998"/>
    <n v="0.36701260939287439"/>
  </r>
  <r>
    <s v="ORD-2024-997336"/>
    <d v="2024-10-04T00:00:00"/>
    <s v="Q4-2024"/>
    <s v="Oct-2024"/>
    <d v="2024-11-02T00:00:00"/>
    <n v="29"/>
    <d v="2024-11-02T00:00:00"/>
    <x v="0"/>
    <x v="1"/>
    <x v="7"/>
    <s v="Corporate"/>
    <s v="Distributor"/>
    <s v="F. Müller"/>
    <x v="6"/>
    <s v="ACC-9038"/>
    <n v="412.09"/>
    <n v="968.94"/>
    <n v="9.9000000000000005E-2"/>
    <n v="23"/>
    <s v="ok"/>
    <n v="29"/>
    <n v="29"/>
    <n v="20079.343620000003"/>
    <n v="9478.07"/>
    <n v="10601.273620000004"/>
    <n v="0.52796913189137418"/>
  </r>
  <r>
    <s v="ORD-2025-725646"/>
    <d v="2025-09-10T00:00:00"/>
    <s v="Q3-2025"/>
    <s v="Sept-2025"/>
    <d v="2025-09-30T00:00:00"/>
    <n v="20"/>
    <d v="2025-09-30T00:00:00"/>
    <x v="0"/>
    <x v="0"/>
    <x v="13"/>
    <s v="Corporate"/>
    <s v="Direct"/>
    <s v="L. Okafor"/>
    <x v="3"/>
    <s v="PHN-6954"/>
    <n v="1009.48"/>
    <n v="1088.81"/>
    <n v="0.16"/>
    <n v="6"/>
    <s v="ok"/>
    <n v="20"/>
    <n v="20"/>
    <n v="5487.6023999999998"/>
    <n v="6056.88"/>
    <n v="-569.27760000000035"/>
    <n v="-0.10373885688219693"/>
  </r>
  <r>
    <s v="ORD-2023-868734"/>
    <d v="2023-04-06T00:00:00"/>
    <s v="Q2-2023"/>
    <s v="Apr-2023"/>
    <d v="2023-04-27T00:00:00"/>
    <n v="21"/>
    <d v="2023-04-27T00:00:00"/>
    <x v="3"/>
    <x v="8"/>
    <x v="31"/>
    <s v="Enterprise"/>
    <s v="Distributor"/>
    <s v="I. Johnson"/>
    <x v="1"/>
    <s v="PRN-8970"/>
    <n v="1084.79"/>
    <n v="2484.9899999999998"/>
    <n v="3.4000000000000002E-2"/>
    <n v="18"/>
    <s v="ok"/>
    <n v="21"/>
    <n v="21"/>
    <n v="43209.006119999991"/>
    <n v="19526.22"/>
    <n v="23682.78611999999"/>
    <n v="0.54809837685755114"/>
  </r>
  <r>
    <s v="ORD-2025-262491"/>
    <d v="2025-08-01T00:00:00"/>
    <s v="Q3-2025"/>
    <s v="Aug-2025"/>
    <d v="2025-08-16T00:00:00"/>
    <n v="15"/>
    <d v="2025-08-16T00:00:00"/>
    <x v="1"/>
    <x v="4"/>
    <x v="35"/>
    <s v="Enterprise"/>
    <s v="Direct"/>
    <s v="O. Wang"/>
    <x v="5"/>
    <s v="MON-1822"/>
    <n v="24.44"/>
    <n v="28.69"/>
    <n v="0.14599999999999999"/>
    <n v="6"/>
    <s v="ok"/>
    <n v="15"/>
    <n v="15"/>
    <n v="147.00756000000001"/>
    <n v="146.64000000000001"/>
    <n v="0.36755999999999744"/>
    <n v="2.5002795774584476E-3"/>
  </r>
  <r>
    <s v="ORD-2024-638884"/>
    <d v="2024-05-28T00:00:00"/>
    <s v="Q2-2024"/>
    <s v="May-2024"/>
    <d v="2024-05-26T00:00:00"/>
    <n v="14"/>
    <d v="2024-06-11T00:00:00"/>
    <x v="0"/>
    <x v="1"/>
    <x v="7"/>
    <s v="Enterprise"/>
    <s v="Online"/>
    <s v="F. Müller"/>
    <x v="6"/>
    <s v="ACC-5177"/>
    <n v="1227.08"/>
    <n v="1896.62"/>
    <n v="0"/>
    <n v="18"/>
    <s v="sus"/>
    <n v="-2"/>
    <n v="2"/>
    <n v="34139.159999999996"/>
    <n v="22087.439999999999"/>
    <n v="12051.719999999998"/>
    <n v="0.353017473189147"/>
  </r>
  <r>
    <s v="ORD-2025-541501"/>
    <d v="2025-07-22T00:00:00"/>
    <s v="Q3-2025"/>
    <s v="Jul-2025"/>
    <d v="2025-08-18T00:00:00"/>
    <n v="27"/>
    <d v="2025-08-18T00:00:00"/>
    <x v="1"/>
    <x v="9"/>
    <x v="14"/>
    <s v="Non-Profit"/>
    <s v="Marketplace"/>
    <s v="M. Rossi"/>
    <x v="2"/>
    <s v="NET-1804"/>
    <n v="547.32000000000005"/>
    <n v="419.17"/>
    <n v="9.1999999999999998E-2"/>
    <n v="14"/>
    <s v="ok"/>
    <n v="27"/>
    <n v="27"/>
    <n v="5328.4890400000004"/>
    <n v="7662.4800000000005"/>
    <n v="-2333.9909600000001"/>
    <n v="-0.43802116181137907"/>
  </r>
  <r>
    <s v="ORD-2023-422918"/>
    <d v="2023-02-28T00:00:00"/>
    <s v="Q1-2023"/>
    <s v="Feb-2023"/>
    <d v="2023-03-20T00:00:00"/>
    <n v="20"/>
    <d v="2023-03-20T00:00:00"/>
    <x v="3"/>
    <x v="6"/>
    <x v="9"/>
    <s v="Small Business"/>
    <s v="Direct"/>
    <s v="H. Kim"/>
    <x v="4"/>
    <s v="LAP-3679"/>
    <n v="1200.78"/>
    <n v="2001.17"/>
    <n v="0.29199999999999998"/>
    <n v="18"/>
    <s v="ok"/>
    <n v="20"/>
    <n v="20"/>
    <n v="25502.910479999999"/>
    <n v="21614.04"/>
    <n v="3888.8704799999978"/>
    <n v="0.15248732034132906"/>
  </r>
  <r>
    <s v="ORD-2025-328504"/>
    <d v="2025-01-27T00:00:00"/>
    <s v="Q1-2025"/>
    <s v="Jan-2025"/>
    <d v="2025-02-15T00:00:00"/>
    <n v="19"/>
    <d v="2025-02-15T00:00:00"/>
    <x v="1"/>
    <x v="9"/>
    <x v="14"/>
    <s v="Non-Profit"/>
    <s v="Direct"/>
    <s v="L. Okafor"/>
    <x v="3"/>
    <s v="PHN-8368"/>
    <n v="1253.22"/>
    <n v="3104.71"/>
    <n v="0"/>
    <n v="17"/>
    <s v="ok"/>
    <n v="19"/>
    <n v="19"/>
    <n v="52780.07"/>
    <n v="21304.74"/>
    <n v="31475.329999999998"/>
    <n v="0.59634877331538205"/>
  </r>
  <r>
    <s v="ORD-2024-851883"/>
    <d v="2024-01-13T00:00:00"/>
    <s v="Q1-2024"/>
    <s v="Jan-2024"/>
    <d v="2024-01-22T00:00:00"/>
    <n v="9"/>
    <d v="2024-01-22T00:00:00"/>
    <x v="1"/>
    <x v="4"/>
    <x v="29"/>
    <s v="Enterprise"/>
    <s v="Marketplace"/>
    <s v="J. Njeri"/>
    <x v="0"/>
    <s v="CMP-8141"/>
    <n v="313.60000000000002"/>
    <n v="334.28"/>
    <n v="0.14000000000000001"/>
    <n v="22"/>
    <s v="ok"/>
    <n v="9"/>
    <n v="9"/>
    <n v="6324.5775999999996"/>
    <n v="6899.2000000000007"/>
    <n v="-574.62240000000111"/>
    <n v="-9.0855458868905517E-2"/>
  </r>
  <r>
    <s v="ORD-2025-662997"/>
    <d v="2025-03-31T00:00:00"/>
    <s v="Q1-2025"/>
    <s v="Mar-2025"/>
    <d v="2025-04-04T00:00:00"/>
    <n v="4"/>
    <d v="2025-04-04T00:00:00"/>
    <x v="0"/>
    <x v="0"/>
    <x v="16"/>
    <s v="Corporate"/>
    <s v="Direct"/>
    <s v="C. Otieno"/>
    <x v="4"/>
    <s v="LAP-7136"/>
    <n v="862.08"/>
    <n v="1952.83"/>
    <n v="0"/>
    <n v="7"/>
    <s v="ok"/>
    <n v="4"/>
    <n v="4"/>
    <n v="13669.81"/>
    <n v="6034.56"/>
    <n v="7635.2499999999991"/>
    <n v="0.5585483631447693"/>
  </r>
  <r>
    <s v="ORD-2024-478165"/>
    <d v="2024-12-05T00:00:00"/>
    <s v="Q4-2024"/>
    <s v="Dec-2024"/>
    <d v="2024-12-28T00:00:00"/>
    <n v="23"/>
    <d v="2024-12-28T00:00:00"/>
    <x v="2"/>
    <x v="3"/>
    <x v="26"/>
    <s v="Corporate"/>
    <s v="Direct"/>
    <s v="F. Müller"/>
    <x v="6"/>
    <s v="ACC-2386"/>
    <n v="107.03"/>
    <n v="242.29"/>
    <n v="0.18"/>
    <n v="30"/>
    <s v="ok"/>
    <n v="23"/>
    <n v="23"/>
    <n v="5960.3340000000007"/>
    <n v="3210.9"/>
    <n v="2749.4340000000007"/>
    <n v="0.46128857879440988"/>
  </r>
  <r>
    <s v="ORD-2024-771210"/>
    <d v="2024-09-14T00:00:00"/>
    <s v="Q3-2024"/>
    <s v="Sept-2024"/>
    <d v="2024-10-05T00:00:00"/>
    <n v="21"/>
    <d v="2024-10-05T00:00:00"/>
    <x v="1"/>
    <x v="9"/>
    <x v="23"/>
    <s v="Small Business"/>
    <s v="Online"/>
    <s v="H. Kim"/>
    <x v="4"/>
    <s v="LAP-5150"/>
    <n v="1405.56"/>
    <n v="2968.87"/>
    <n v="0.16900000000000001"/>
    <n v="5"/>
    <s v="ok"/>
    <n v="21"/>
    <n v="21"/>
    <n v="12335.654849999999"/>
    <n v="7027.7999999999993"/>
    <n v="5307.8548499999997"/>
    <n v="0.4302856163327235"/>
  </r>
  <r>
    <s v="ORD-2024-155337"/>
    <d v="2024-05-21T00:00:00"/>
    <s v="Q2-2024"/>
    <s v="May-2024"/>
    <d v="2024-05-27T00:00:00"/>
    <n v="6"/>
    <d v="2024-05-27T00:00:00"/>
    <x v="0"/>
    <x v="11"/>
    <x v="20"/>
    <s v="Non-Profit"/>
    <s v="Online"/>
    <s v="M. Rossi"/>
    <x v="0"/>
    <s v="CMP-8101"/>
    <n v="1157.51"/>
    <n v="1394.3"/>
    <n v="0.27800000000000002"/>
    <n v="12"/>
    <s v="ok"/>
    <n v="6"/>
    <n v="6"/>
    <n v="12080.215199999999"/>
    <n v="13890.119999999999"/>
    <n v="-1809.9048000000003"/>
    <n v="-0.14982388724333326"/>
  </r>
  <r>
    <s v="ORD-2023-251563"/>
    <d v="2023-05-11T00:00:00"/>
    <s v="Q2-2023"/>
    <s v="May-2023"/>
    <d v="2023-06-07T00:00:00"/>
    <n v="27"/>
    <d v="2023-06-07T00:00:00"/>
    <x v="0"/>
    <x v="0"/>
    <x v="13"/>
    <s v="Corporate"/>
    <s v="Online"/>
    <s v="J. Njeri"/>
    <x v="3"/>
    <s v="PHN-8970"/>
    <n v="12.85"/>
    <n v="15.41"/>
    <n v="0.13700000000000001"/>
    <n v="39"/>
    <s v="ok"/>
    <n v="27"/>
    <n v="27"/>
    <n v="518.65436999999997"/>
    <n v="501.15"/>
    <n v="17.504369999999994"/>
    <n v="3.3749585489851353E-2"/>
  </r>
  <r>
    <s v="ORD-2024-286833"/>
    <d v="2024-08-14T00:00:00"/>
    <s v="Q3-2024"/>
    <s v="Aug-2024"/>
    <d v="2024-09-04T00:00:00"/>
    <n v="21"/>
    <d v="2024-09-04T00:00:00"/>
    <x v="3"/>
    <x v="8"/>
    <x v="31"/>
    <s v="Non-Profit"/>
    <s v="Online"/>
    <s v="J. Njeri"/>
    <x v="3"/>
    <s v="PHN-2341"/>
    <n v="1138.8"/>
    <n v="2250.81"/>
    <n v="0.123"/>
    <n v="12"/>
    <s v="ok"/>
    <n v="21"/>
    <n v="21"/>
    <n v="23687.524440000001"/>
    <n v="13665.599999999999"/>
    <n v="10021.924440000003"/>
    <n v="0.42308872188756258"/>
  </r>
  <r>
    <s v="ORD-2024-792558"/>
    <d v="2024-10-16T00:00:00"/>
    <s v="Q4-2024"/>
    <s v="Oct-2024"/>
    <d v="2024-11-08T00:00:00"/>
    <n v="23"/>
    <d v="2024-11-08T00:00:00"/>
    <x v="1"/>
    <x v="2"/>
    <x v="4"/>
    <s v="Small Business"/>
    <s v="Retail"/>
    <s v="J. Njeri"/>
    <x v="2"/>
    <s v="NET-6387"/>
    <n v="82.14"/>
    <n v="166.04"/>
    <n v="0"/>
    <n v="10"/>
    <s v="ok"/>
    <n v="23"/>
    <n v="23"/>
    <n v="1660.3999999999999"/>
    <n v="821.4"/>
    <n v="838.99999999999989"/>
    <n v="0.50529992772825827"/>
  </r>
  <r>
    <s v="ORD-2024-166150"/>
    <d v="2024-06-02T00:00:00"/>
    <s v="Q2-2024"/>
    <s v="Jun-2024"/>
    <d v="2024-06-08T00:00:00"/>
    <n v="6"/>
    <d v="2024-06-08T00:00:00"/>
    <x v="0"/>
    <x v="0"/>
    <x v="0"/>
    <s v="Consumer"/>
    <s v="Marketplace"/>
    <s v="A. Patel"/>
    <x v="6"/>
    <s v="ACC-9820"/>
    <n v="292.94"/>
    <n v="356.55"/>
    <n v="0.22900000000000001"/>
    <n v="2"/>
    <s v="ok"/>
    <n v="6"/>
    <n v="6"/>
    <n v="549.80010000000004"/>
    <n v="585.88"/>
    <n v="-36.079899999999952"/>
    <n v="-6.5623669402751925E-2"/>
  </r>
  <r>
    <s v="ORD-2024-909942"/>
    <d v="2024-06-09T00:00:00"/>
    <s v="Q2-2024"/>
    <s v="Jun-2024"/>
    <d v="2024-07-07T00:00:00"/>
    <n v="28"/>
    <d v="2024-07-07T00:00:00"/>
    <x v="1"/>
    <x v="9"/>
    <x v="14"/>
    <s v="Corporate"/>
    <s v="Online"/>
    <s v="J. Njeri"/>
    <x v="0"/>
    <s v="CMP-6392"/>
    <n v="550.22"/>
    <n v="1025.05"/>
    <n v="0"/>
    <n v="27"/>
    <s v="ok"/>
    <n v="28"/>
    <n v="28"/>
    <n v="27676.35"/>
    <n v="14855.94"/>
    <n v="12820.409999999998"/>
    <n v="0.46322618408858102"/>
  </r>
  <r>
    <s v="ORD-2024-223618"/>
    <d v="2024-06-10T00:00:00"/>
    <s v="Q2-2024"/>
    <s v="Jun-2024"/>
    <d v="2024-06-11T00:00:00"/>
    <n v="1"/>
    <d v="2024-06-11T00:00:00"/>
    <x v="3"/>
    <x v="8"/>
    <x v="12"/>
    <s v="Small Business"/>
    <s v="Marketplace"/>
    <s v="M. Rossi"/>
    <x v="4"/>
    <s v="LAP-9230"/>
    <n v="1187.1300000000001"/>
    <n v="1795.17"/>
    <n v="1.2E-2"/>
    <n v="17"/>
    <s v="ok"/>
    <n v="1"/>
    <n v="1"/>
    <n v="30151.675319999998"/>
    <n v="20181.210000000003"/>
    <n v="9970.4653199999957"/>
    <n v="0.33067699271046663"/>
  </r>
  <r>
    <s v="ORD-2024-919471"/>
    <d v="2024-06-29T00:00:00"/>
    <s v="Q2-2024"/>
    <s v="Jun-2024"/>
    <d v="2024-07-26T00:00:00"/>
    <n v="27"/>
    <d v="2024-07-26T00:00:00"/>
    <x v="0"/>
    <x v="11"/>
    <x v="25"/>
    <s v="Enterprise"/>
    <s v="Distributor"/>
    <s v="B. Chen"/>
    <x v="2"/>
    <s v="NET-4241"/>
    <n v="5.36"/>
    <n v="4.37"/>
    <n v="0.11799999999999999"/>
    <n v="9"/>
    <s v="ok"/>
    <n v="27"/>
    <n v="27"/>
    <n v="34.689059999999998"/>
    <n v="48.24"/>
    <n v="-13.550940000000004"/>
    <n v="-0.39064016148030545"/>
  </r>
  <r>
    <s v="ORD-2025-649239"/>
    <d v="2025-01-17T00:00:00"/>
    <s v="Q1-2025"/>
    <s v="Jan-2025"/>
    <d v="2025-01-24T00:00:00"/>
    <n v="7"/>
    <d v="2025-01-24T00:00:00"/>
    <x v="2"/>
    <x v="10"/>
    <x v="36"/>
    <s v="Enterprise"/>
    <s v="Online"/>
    <s v="G. Dubois"/>
    <x v="6"/>
    <s v="ACC-4511"/>
    <n v="142.09"/>
    <n v="218.5"/>
    <n v="0.11899999999999999"/>
    <n v="11"/>
    <s v="ok"/>
    <n v="7"/>
    <n v="7"/>
    <n v="2117.4834999999998"/>
    <n v="1562.99"/>
    <n v="554.49349999999981"/>
    <n v="0.26186437816398561"/>
  </r>
  <r>
    <s v="ORD-2023-975863"/>
    <d v="2023-11-20T00:00:00"/>
    <s v="Q4-2023"/>
    <s v="Nov-2023"/>
    <d v="2023-12-05T00:00:00"/>
    <n v="15"/>
    <d v="2023-12-05T00:00:00"/>
    <x v="1"/>
    <x v="2"/>
    <x v="27"/>
    <s v="Enterprise"/>
    <s v="Retail"/>
    <s v="L. Okafor"/>
    <x v="2"/>
    <s v="NET-3033"/>
    <n v="354.24"/>
    <n v="249.87"/>
    <n v="0"/>
    <n v="6"/>
    <s v="ok"/>
    <n v="15"/>
    <n v="15"/>
    <n v="1499.22"/>
    <n v="2125.44"/>
    <n v="-626.22"/>
    <n v="-0.41769720254532355"/>
  </r>
  <r>
    <s v="ORD-2023-869884"/>
    <d v="2023-03-02T00:00:00"/>
    <s v="Q1-2023"/>
    <s v="Mar-2023"/>
    <d v="2023-03-05T00:00:00"/>
    <n v="3"/>
    <d v="2023-03-05T00:00:00"/>
    <x v="2"/>
    <x v="5"/>
    <x v="10"/>
    <s v="Enterprise"/>
    <s v="Direct"/>
    <s v="G. Dubois"/>
    <x v="5"/>
    <s v="MON-2828"/>
    <n v="1473.58"/>
    <n v="3436.52"/>
    <n v="0.108"/>
    <n v="8"/>
    <s v="ok"/>
    <n v="3"/>
    <n v="3"/>
    <n v="24523.006720000001"/>
    <n v="11788.64"/>
    <n v="12734.366720000002"/>
    <n v="0.51928243813652564"/>
  </r>
  <r>
    <s v="ORD-2025-698069"/>
    <d v="2025-06-03T00:00:00"/>
    <s v="Q2-2025"/>
    <s v="Jun-2025"/>
    <d v="2025-06-10T00:00:00"/>
    <n v="7"/>
    <d v="2025-06-10T00:00:00"/>
    <x v="2"/>
    <x v="3"/>
    <x v="5"/>
    <s v="Consumer"/>
    <s v="Distributor"/>
    <s v="O. Wang"/>
    <x v="1"/>
    <s v="PRN-6429"/>
    <n v="75.180000000000007"/>
    <n v="53.45"/>
    <n v="0.157"/>
    <n v="17"/>
    <s v="ok"/>
    <n v="7"/>
    <n v="7"/>
    <n v="765.99195000000009"/>
    <n v="1278.0600000000002"/>
    <n v="-512.06805000000008"/>
    <n v="-0.66850317421743144"/>
  </r>
  <r>
    <s v="ORD-2024-474999"/>
    <d v="2024-12-27T00:00:00"/>
    <s v="Q4-2024"/>
    <s v="Dec-2024"/>
    <d v="2025-01-02T00:00:00"/>
    <n v="6"/>
    <d v="2025-01-02T00:00:00"/>
    <x v="3"/>
    <x v="6"/>
    <x v="37"/>
    <s v="Education"/>
    <s v="Direct"/>
    <s v="F. Müller"/>
    <x v="4"/>
    <s v="LAP-8214"/>
    <n v="1391.99"/>
    <n v="3469.7"/>
    <n v="0.184"/>
    <n v="23"/>
    <s v="ok"/>
    <n v="6"/>
    <n v="6"/>
    <n v="65119.329599999997"/>
    <n v="32015.77"/>
    <n v="33103.559599999993"/>
    <n v="0.50835227886006973"/>
  </r>
  <r>
    <s v="ORD-2023-427304"/>
    <d v="2023-06-09T00:00:00"/>
    <s v="Q2-2023"/>
    <s v="Jun-2023"/>
    <d v="2023-06-19T00:00:00"/>
    <n v="10"/>
    <d v="2023-06-19T00:00:00"/>
    <x v="1"/>
    <x v="9"/>
    <x v="38"/>
    <s v="Enterprise"/>
    <s v="Retail"/>
    <s v="F. Müller"/>
    <x v="5"/>
    <s v="MON-9194"/>
    <n v="339.61"/>
    <n v="621.02"/>
    <n v="7.0999999999999994E-2"/>
    <n v="10"/>
    <s v="ok"/>
    <n v="10"/>
    <n v="10"/>
    <n v="5769.2758000000003"/>
    <n v="3396.1000000000004"/>
    <n v="2373.1758"/>
    <n v="0.41134726129750981"/>
  </r>
  <r>
    <s v="ORD-2025-956101"/>
    <d v="2025-07-09T00:00:00"/>
    <s v="Q3-2025"/>
    <s v="Jul-2025"/>
    <d v="2025-07-18T00:00:00"/>
    <n v="9"/>
    <d v="2025-07-18T00:00:00"/>
    <x v="2"/>
    <x v="3"/>
    <x v="26"/>
    <s v="Education"/>
    <s v="Distributor"/>
    <s v="I. Johnson"/>
    <x v="4"/>
    <s v="LAP-2218"/>
    <n v="57.96"/>
    <n v="88.51"/>
    <n v="4.2999999999999997E-2"/>
    <n v="7"/>
    <s v="ok"/>
    <n v="9"/>
    <n v="9"/>
    <n v="592.92849000000001"/>
    <n v="405.72"/>
    <n v="187.20848999999998"/>
    <n v="0.3157353595877978"/>
  </r>
  <r>
    <s v="ORD-2025-184082"/>
    <d v="2025-06-19T00:00:00"/>
    <s v="Q2-2025"/>
    <s v="Jun-2025"/>
    <d v="2025-07-12T00:00:00"/>
    <n v="23"/>
    <d v="2025-07-12T00:00:00"/>
    <x v="3"/>
    <x v="8"/>
    <x v="35"/>
    <s v="Non-Profit"/>
    <s v="Direct"/>
    <s v="unknown"/>
    <x v="2"/>
    <s v="NET-6370"/>
    <n v="801.24"/>
    <n v="1959.09"/>
    <n v="0.123"/>
    <n v="23"/>
    <s v="ok"/>
    <n v="23"/>
    <n v="23"/>
    <n v="39516.804389999998"/>
    <n v="18428.52"/>
    <n v="21088.284389999997"/>
    <n v="0.53365358650651762"/>
  </r>
  <r>
    <s v="ORD-2023-576840"/>
    <d v="2023-11-19T00:00:00"/>
    <s v="Q4-2023"/>
    <s v="Nov-2023"/>
    <d v="2023-12-13T00:00:00"/>
    <n v="24"/>
    <d v="2023-12-13T00:00:00"/>
    <x v="3"/>
    <x v="7"/>
    <x v="17"/>
    <s v="Non-Profit"/>
    <s v="Direct"/>
    <s v="H. Kim"/>
    <x v="5"/>
    <s v="MON-3745"/>
    <n v="1297.42"/>
    <n v="2742.97"/>
    <n v="6.9000000000000006E-2"/>
    <n v="9"/>
    <s v="ok"/>
    <n v="24"/>
    <n v="24"/>
    <n v="22983.34563"/>
    <n v="11676.78"/>
    <n v="11306.565629999999"/>
    <n v="0.49194602961727291"/>
  </r>
  <r>
    <s v="ORD-2023-178249"/>
    <d v="2023-12-29T00:00:00"/>
    <s v="Q4-2023"/>
    <s v="Dec-2023"/>
    <d v="2024-01-20T00:00:00"/>
    <n v="22"/>
    <d v="2024-01-20T00:00:00"/>
    <x v="0"/>
    <x v="0"/>
    <x v="0"/>
    <s v="Corporate"/>
    <s v="Direct"/>
    <s v="L. Okafor"/>
    <x v="3"/>
    <s v="PHN-7924"/>
    <n v="1395.49"/>
    <n v="1679.42"/>
    <n v="0.20300000000000001"/>
    <n v="12"/>
    <s v="ok"/>
    <n v="22"/>
    <n v="22"/>
    <n v="16061.972879999999"/>
    <n v="16745.88"/>
    <n v="-683.90712000000167"/>
    <n v="-4.2579272490964493E-2"/>
  </r>
  <r>
    <s v="ORD-2024-588972"/>
    <d v="2024-11-02T00:00:00"/>
    <s v="Q4-2024"/>
    <s v="Nov-2024"/>
    <d v="2024-11-29T00:00:00"/>
    <n v="27"/>
    <d v="2024-11-29T00:00:00"/>
    <x v="2"/>
    <x v="5"/>
    <x v="10"/>
    <s v="Small Business"/>
    <s v="Direct"/>
    <s v="I. Johnson"/>
    <x v="2"/>
    <s v="NET-8561"/>
    <n v="1363.51"/>
    <n v="1433.9"/>
    <n v="5.7000000000000002E-2"/>
    <n v="8"/>
    <s v="ok"/>
    <n v="27"/>
    <n v="27"/>
    <n v="10817.3416"/>
    <n v="10908.08"/>
    <n v="-90.738400000000183"/>
    <n v="-8.3882346842037592E-3"/>
  </r>
  <r>
    <s v="ORD-2023-603238"/>
    <d v="2023-08-21T00:00:00"/>
    <s v="Q3-2023"/>
    <s v="Aug-2023"/>
    <d v="2023-09-04T00:00:00"/>
    <n v="14"/>
    <d v="2023-09-04T00:00:00"/>
    <x v="2"/>
    <x v="3"/>
    <x v="19"/>
    <s v="Education"/>
    <s v="Distributor"/>
    <s v="F. Müller"/>
    <x v="0"/>
    <s v="CMP-2136"/>
    <n v="178.19"/>
    <n v="284.43"/>
    <n v="8.8999999999999996E-2"/>
    <n v="8"/>
    <s v="ok"/>
    <n v="14"/>
    <n v="14"/>
    <n v="2072.9258400000003"/>
    <n v="1425.52"/>
    <n v="647.40584000000035"/>
    <n v="0.31231500302972742"/>
  </r>
  <r>
    <s v="ORD-2023-883066"/>
    <d v="2023-08-12T00:00:00"/>
    <s v="Q3-2023"/>
    <s v="Aug-2023"/>
    <d v="2023-09-06T00:00:00"/>
    <n v="25"/>
    <d v="2023-09-06T00:00:00"/>
    <x v="1"/>
    <x v="9"/>
    <x v="23"/>
    <s v="Small Business"/>
    <s v="Retail"/>
    <s v="B. Chen"/>
    <x v="0"/>
    <s v="CMP-6352"/>
    <n v="950.77"/>
    <n v="694.78"/>
    <n v="8.4000000000000005E-2"/>
    <n v="14"/>
    <s v="ok"/>
    <n v="25"/>
    <n v="25"/>
    <n v="8909.8587200000002"/>
    <n v="13310.779999999999"/>
    <n v="-4400.9212799999987"/>
    <n v="-0.49393839097821279"/>
  </r>
  <r>
    <s v="ORD-2024-584090"/>
    <d v="2024-06-07T00:00:00"/>
    <s v="Q2-2024"/>
    <s v="Jun-2024"/>
    <d v="2024-06-26T00:00:00"/>
    <n v="19"/>
    <d v="2024-06-26T00:00:00"/>
    <x v="3"/>
    <x v="6"/>
    <x v="9"/>
    <s v="Non-Profit"/>
    <s v="Marketplace"/>
    <s v="M. Rossi"/>
    <x v="0"/>
    <s v="CMP-2040"/>
    <n v="1064.32"/>
    <n v="1848.39"/>
    <n v="7.2999999999999995E-2"/>
    <n v="38"/>
    <s v="ok"/>
    <n v="19"/>
    <n v="19"/>
    <n v="65111.38614000001"/>
    <n v="40444.159999999996"/>
    <n v="24667.226140000013"/>
    <n v="0.3788465827921631"/>
  </r>
  <r>
    <s v="ORD-2025-537785"/>
    <d v="2025-08-05T00:00:00"/>
    <s v="Q3-2025"/>
    <s v="Aug-2025"/>
    <d v="2025-08-14T00:00:00"/>
    <n v="9"/>
    <d v="2025-08-14T00:00:00"/>
    <x v="3"/>
    <x v="8"/>
    <x v="21"/>
    <s v="Non-Profit"/>
    <s v="Direct"/>
    <s v="E. Garcia"/>
    <x v="0"/>
    <s v="CMP-6346"/>
    <n v="41.76"/>
    <n v="45.19"/>
    <n v="0.17899999999999999"/>
    <n v="23"/>
    <s v="ok"/>
    <n v="9"/>
    <n v="9"/>
    <n v="853.32276999999988"/>
    <n v="960.4799999999999"/>
    <n v="-107.15723000000003"/>
    <n v="-0.12557643340514638"/>
  </r>
  <r>
    <s v="ORD-2024-605518"/>
    <d v="2024-05-30T00:00:00"/>
    <s v="Q2-2024"/>
    <s v="May-2024"/>
    <d v="2024-06-13T00:00:00"/>
    <n v="14"/>
    <d v="2024-06-13T00:00:00"/>
    <x v="2"/>
    <x v="10"/>
    <x v="24"/>
    <s v="Small Business"/>
    <s v="Retail"/>
    <s v="F. Müller"/>
    <x v="3"/>
    <s v="PHN-4356"/>
    <n v="157.78"/>
    <n v="361.1"/>
    <n v="0.187"/>
    <n v="9"/>
    <s v="ok"/>
    <n v="14"/>
    <n v="14"/>
    <n v="2642.1686999999997"/>
    <n v="1420.02"/>
    <n v="1222.1486999999997"/>
    <n v="0.46255513510549112"/>
  </r>
  <r>
    <s v="ORD-2023-521818"/>
    <d v="2023-01-22T00:00:00"/>
    <s v="Q1-2023"/>
    <s v="Jan-2023"/>
    <d v="2023-01-30T00:00:00"/>
    <n v="8"/>
    <d v="2023-01-30T00:00:00"/>
    <x v="2"/>
    <x v="10"/>
    <x v="24"/>
    <s v="Small Business"/>
    <s v="Online"/>
    <s v="A. Patel"/>
    <x v="2"/>
    <s v="NET-4155"/>
    <n v="413.52"/>
    <n v="1004.34"/>
    <n v="0.111"/>
    <n v="18"/>
    <s v="ok"/>
    <n v="8"/>
    <n v="8"/>
    <n v="16071.44868"/>
    <n v="7443.36"/>
    <n v="8628.0886800000007"/>
    <n v="0.53685817948304593"/>
  </r>
  <r>
    <s v="ORD-2025-650719"/>
    <d v="2025-02-12T00:00:00"/>
    <s v="Q1-2025"/>
    <s v="Feb-2025"/>
    <d v="2025-02-28T00:00:00"/>
    <n v="16"/>
    <d v="2025-02-28T00:00:00"/>
    <x v="2"/>
    <x v="5"/>
    <x v="8"/>
    <s v="Non-Profit"/>
    <s v="Direct"/>
    <s v="B. Chen"/>
    <x v="5"/>
    <s v="MON-5179"/>
    <n v="414.95"/>
    <n v="1027.73"/>
    <n v="6.3E-2"/>
    <n v="8"/>
    <s v="ok"/>
    <n v="16"/>
    <n v="16"/>
    <n v="7703.8640800000003"/>
    <n v="3319.6"/>
    <n v="4384.2640800000008"/>
    <n v="0.56909935513815568"/>
  </r>
  <r>
    <s v="ORD-2025-501927"/>
    <d v="2025-03-03T00:00:00"/>
    <s v="Q1-2025"/>
    <s v="Mar-2025"/>
    <d v="2025-03-24T00:00:00"/>
    <n v="21"/>
    <d v="2025-03-24T00:00:00"/>
    <x v="0"/>
    <x v="1"/>
    <x v="7"/>
    <s v="Enterprise"/>
    <s v="Direct"/>
    <s v="H. Kim"/>
    <x v="6"/>
    <s v="ACC-4056"/>
    <n v="555.95000000000005"/>
    <n v="468.09"/>
    <n v="0.14199999999999999"/>
    <n v="11"/>
    <s v="ok"/>
    <n v="21"/>
    <n v="21"/>
    <n v="4417.8334199999999"/>
    <n v="6115.4500000000007"/>
    <n v="-1697.6165800000008"/>
    <n v="-0.38426450674095375"/>
  </r>
  <r>
    <s v="ORD-2023-430904"/>
    <d v="2023-01-27T00:00:00"/>
    <s v="Q1-2023"/>
    <s v="Jan-2023"/>
    <d v="2023-01-31T00:00:00"/>
    <n v="4"/>
    <d v="2023-01-31T00:00:00"/>
    <x v="3"/>
    <x v="8"/>
    <x v="31"/>
    <s v="Enterprise"/>
    <s v="Online"/>
    <s v="N. Brown"/>
    <x v="4"/>
    <s v="LAP-9782"/>
    <n v="941.2"/>
    <n v="668.02"/>
    <n v="0.22"/>
    <n v="16"/>
    <s v="ok"/>
    <n v="4"/>
    <n v="4"/>
    <n v="8336.8896000000004"/>
    <n v="15059.2"/>
    <n v="-6722.3104000000003"/>
    <n v="-0.80633314371825193"/>
  </r>
  <r>
    <s v="ORD-2025-354346"/>
    <d v="2025-01-09T00:00:00"/>
    <s v="Q1-2025"/>
    <s v="Jan-2025"/>
    <d v="2025-01-15T00:00:00"/>
    <n v="6"/>
    <d v="2025-01-15T00:00:00"/>
    <x v="1"/>
    <x v="9"/>
    <x v="38"/>
    <s v="Education"/>
    <s v="Online"/>
    <s v="C. Otieno"/>
    <x v="3"/>
    <s v="PHN-2875"/>
    <n v="304.77999999999997"/>
    <n v="537.27"/>
    <n v="0.187"/>
    <n v="8"/>
    <s v="ok"/>
    <n v="6"/>
    <n v="6"/>
    <n v="3494.4040799999998"/>
    <n v="2438.2399999999998"/>
    <n v="1056.16408"/>
    <n v="0.3022444044307549"/>
  </r>
  <r>
    <s v="ORD-2024-164288"/>
    <d v="2024-12-21T00:00:00"/>
    <s v="Q4-2024"/>
    <s v="Dec-2024"/>
    <d v="2024-12-26T00:00:00"/>
    <n v="5"/>
    <d v="2024-12-26T00:00:00"/>
    <x v="2"/>
    <x v="10"/>
    <x v="24"/>
    <s v="Consumer"/>
    <s v="Marketplace"/>
    <s v="M. Rossi"/>
    <x v="1"/>
    <s v="PRN-4788"/>
    <n v="699.57"/>
    <n v="572.71"/>
    <n v="0.192"/>
    <n v="26"/>
    <s v="ok"/>
    <n v="5"/>
    <n v="5"/>
    <n v="12031.491680000001"/>
    <n v="18188.82"/>
    <n v="-6157.3283199999987"/>
    <n v="-0.51176765805651114"/>
  </r>
  <r>
    <s v="ORD-2023-867285"/>
    <d v="2023-04-12T00:00:00"/>
    <s v="Q2-2023"/>
    <s v="Apr-2023"/>
    <d v="2023-04-17T00:00:00"/>
    <n v="5"/>
    <d v="2023-04-17T00:00:00"/>
    <x v="3"/>
    <x v="7"/>
    <x v="17"/>
    <s v="Enterprise"/>
    <s v="Direct"/>
    <s v="E. Garcia"/>
    <x v="5"/>
    <s v="MON-3043"/>
    <n v="1087.81"/>
    <n v="2323.87"/>
    <n v="9.4E-2"/>
    <n v="13"/>
    <s v="ok"/>
    <n v="5"/>
    <n v="5"/>
    <n v="27370.540859999997"/>
    <n v="14141.529999999999"/>
    <n v="13229.010859999999"/>
    <n v="0.48333026839572651"/>
  </r>
  <r>
    <s v="ORD-2024-836421"/>
    <d v="2024-12-14T00:00:00"/>
    <s v="Q4-2024"/>
    <s v="Dec-2024"/>
    <d v="2025-01-12T00:00:00"/>
    <n v="29"/>
    <d v="2025-01-12T00:00:00"/>
    <x v="1"/>
    <x v="9"/>
    <x v="14"/>
    <s v="Education"/>
    <s v="Online"/>
    <s v="J. Njeri"/>
    <x v="0"/>
    <s v="CMP-3720"/>
    <n v="1412.15"/>
    <n v="1631.04"/>
    <n v="8.9999999999999993E-3"/>
    <n v="6"/>
    <s v="ok"/>
    <n v="29"/>
    <n v="29"/>
    <n v="9698.1638399999993"/>
    <n v="8472.9000000000015"/>
    <n v="1225.2638399999978"/>
    <n v="0.12633977526203535"/>
  </r>
  <r>
    <s v="ORD-2023-613287"/>
    <d v="2023-03-31T00:00:00"/>
    <s v="Q1-2023"/>
    <s v="Mar-2023"/>
    <d v="2023-04-12T00:00:00"/>
    <n v="12"/>
    <d v="2023-04-12T00:00:00"/>
    <x v="0"/>
    <x v="0"/>
    <x v="13"/>
    <s v="Small Business"/>
    <s v="Online"/>
    <s v="C. Otieno"/>
    <x v="3"/>
    <s v="PHN-8014"/>
    <n v="304.22000000000003"/>
    <n v="393.31"/>
    <n v="0.26500000000000001"/>
    <n v="15"/>
    <s v="ok"/>
    <n v="12"/>
    <n v="12"/>
    <n v="4336.2427499999994"/>
    <n v="4563.3"/>
    <n v="-227.05725000000075"/>
    <n v="-5.2362670424759034E-2"/>
  </r>
  <r>
    <s v="ORD-2024-783321"/>
    <d v="2024-11-20T00:00:00"/>
    <s v="Q4-2024"/>
    <s v="Nov-2024"/>
    <d v="2024-12-15T00:00:00"/>
    <n v="25"/>
    <d v="2024-12-15T00:00:00"/>
    <x v="3"/>
    <x v="7"/>
    <x v="28"/>
    <s v="Corporate"/>
    <s v="Online"/>
    <s v="G. Dubois"/>
    <x v="1"/>
    <s v="PRN-4911"/>
    <n v="1203.58"/>
    <n v="1856.16"/>
    <n v="0.129"/>
    <n v="22"/>
    <s v="ok"/>
    <n v="25"/>
    <n v="25"/>
    <n v="35567.737920000007"/>
    <n v="26478.76"/>
    <n v="9088.9779200000085"/>
    <n v="0.25553994860295032"/>
  </r>
  <r>
    <s v="ORD-2024-232632"/>
    <d v="2024-02-14T00:00:00"/>
    <s v="Q1-2024"/>
    <s v="Feb-2024"/>
    <d v="2024-02-14T00:00:00"/>
    <n v="0"/>
    <d v="2024-02-14T00:00:00"/>
    <x v="1"/>
    <x v="9"/>
    <x v="38"/>
    <s v="Corporate"/>
    <s v="Distributor"/>
    <s v="L. Okafor"/>
    <x v="6"/>
    <s v="ACC-1021"/>
    <n v="65.930000000000007"/>
    <n v="84.9"/>
    <n v="0.25900000000000001"/>
    <n v="23"/>
    <s v="sus"/>
    <n v="0"/>
    <n v="0"/>
    <n v="1446.9507000000001"/>
    <n v="1516.39"/>
    <n v="-69.439300000000003"/>
    <n v="-4.7990093926489688E-2"/>
  </r>
  <r>
    <s v="ORD-2023-906481"/>
    <d v="2023-05-02T00:00:00"/>
    <s v="Q2-2023"/>
    <s v="May-2023"/>
    <d v="2023-05-18T00:00:00"/>
    <n v="16"/>
    <d v="2023-05-18T00:00:00"/>
    <x v="1"/>
    <x v="4"/>
    <x v="18"/>
    <s v="Small Business"/>
    <s v="Marketplace"/>
    <s v="K. Singh"/>
    <x v="5"/>
    <s v="MON-2266"/>
    <n v="1463.92"/>
    <n v="2252.2399999999998"/>
    <n v="0.11799999999999999"/>
    <n v="44"/>
    <s v="ok"/>
    <n v="16"/>
    <n v="16"/>
    <n v="87404.929919999995"/>
    <n v="64412.480000000003"/>
    <n v="22992.449919999992"/>
    <n v="0.26305667130040061"/>
  </r>
  <r>
    <s v="ORD-2024-902741"/>
    <d v="2024-12-23T00:00:00"/>
    <s v="Q4-2024"/>
    <s v="Dec-2024"/>
    <d v="2025-01-11T00:00:00"/>
    <n v="19"/>
    <d v="2025-01-11T00:00:00"/>
    <x v="3"/>
    <x v="6"/>
    <x v="9"/>
    <s v="Education"/>
    <s v="Retail"/>
    <s v="K. Singh"/>
    <x v="3"/>
    <s v="PHN-8057"/>
    <n v="501.81"/>
    <n v="921.62"/>
    <n v="0.01"/>
    <n v="9"/>
    <s v="ok"/>
    <n v="19"/>
    <n v="19"/>
    <n v="8211.6342000000004"/>
    <n v="4516.29"/>
    <n v="3695.3442000000005"/>
    <n v="0.45001325071202031"/>
  </r>
  <r>
    <s v="ORD-2023-912395"/>
    <d v="2023-07-26T00:00:00"/>
    <s v="Q3-2023"/>
    <s v="Jul-2023"/>
    <d v="2023-08-25T00:00:00"/>
    <n v="30"/>
    <d v="2023-08-25T00:00:00"/>
    <x v="2"/>
    <x v="10"/>
    <x v="39"/>
    <s v="Consumer"/>
    <s v="Retail"/>
    <s v="M. Rossi"/>
    <x v="6"/>
    <s v="ACC-7078"/>
    <n v="1261.48"/>
    <n v="1643.18"/>
    <n v="0.151"/>
    <n v="23"/>
    <s v="ok"/>
    <n v="30"/>
    <n v="30"/>
    <n v="32086.37586"/>
    <n v="29014.04"/>
    <n v="3072.3358599999992"/>
    <n v="9.5752037357079045E-2"/>
  </r>
  <r>
    <s v="ORD-2024-389102"/>
    <d v="2024-06-15T00:00:00"/>
    <s v="Q2-2024"/>
    <s v="Jun-2024"/>
    <d v="2024-07-06T00:00:00"/>
    <n v="21"/>
    <d v="2024-07-06T00:00:00"/>
    <x v="2"/>
    <x v="3"/>
    <x v="5"/>
    <s v="Enterprise"/>
    <s v="Distributor"/>
    <s v="L. Okafor"/>
    <x v="1"/>
    <s v="PRN-4453"/>
    <n v="817.23"/>
    <n v="1467.17"/>
    <n v="0.245"/>
    <n v="9"/>
    <s v="ok"/>
    <n v="21"/>
    <n v="21"/>
    <n v="9969.4201499999999"/>
    <n v="7355.07"/>
    <n v="2614.3501500000002"/>
    <n v="0.26223693160328893"/>
  </r>
  <r>
    <s v="ORD-2023-309373"/>
    <d v="2023-07-05T00:00:00"/>
    <s v="Q3-2023"/>
    <s v="Jul-2023"/>
    <d v="2023-07-14T00:00:00"/>
    <n v="9"/>
    <d v="2023-07-14T00:00:00"/>
    <x v="2"/>
    <x v="5"/>
    <x v="10"/>
    <s v="Enterprise"/>
    <s v="Direct"/>
    <s v="B. Chen"/>
    <x v="2"/>
    <s v="NET-2394"/>
    <n v="578.85"/>
    <n v="998.76"/>
    <n v="8.2000000000000003E-2"/>
    <n v="28"/>
    <s v="ok"/>
    <n v="9"/>
    <n v="9"/>
    <n v="25672.127039999999"/>
    <n v="16207.800000000001"/>
    <n v="9464.3270399999983"/>
    <n v="0.36866158480960831"/>
  </r>
  <r>
    <s v="ORD-2023-825495"/>
    <d v="2023-11-30T00:00:00"/>
    <s v="Q4-2023"/>
    <s v="Nov-2023"/>
    <d v="2023-11-29T00:00:00"/>
    <n v="14"/>
    <d v="2023-12-14T00:00:00"/>
    <x v="0"/>
    <x v="11"/>
    <x v="25"/>
    <s v="Small Business"/>
    <s v="Marketplace"/>
    <s v="E. Garcia"/>
    <x v="4"/>
    <s v="LAP-1525"/>
    <n v="275.56"/>
    <n v="630.72"/>
    <n v="0.107"/>
    <n v="23"/>
    <s v="sus"/>
    <n v="-1"/>
    <n v="1"/>
    <n v="12954.358080000002"/>
    <n v="6337.88"/>
    <n v="6616.4780800000017"/>
    <n v="0.5107530638831933"/>
  </r>
  <r>
    <s v="ORD-2025-244832"/>
    <d v="2025-09-11T00:00:00"/>
    <s v="Q3-2025"/>
    <s v="Sept-2025"/>
    <d v="2025-09-28T00:00:00"/>
    <n v="17"/>
    <d v="2025-09-28T00:00:00"/>
    <x v="0"/>
    <x v="0"/>
    <x v="2"/>
    <s v="Non-Profit"/>
    <s v="Distributor"/>
    <s v="J. Njeri"/>
    <x v="4"/>
    <s v="LAP-3278"/>
    <n v="891.46"/>
    <n v="728.61"/>
    <n v="0.185"/>
    <n v="6"/>
    <s v="ok"/>
    <n v="17"/>
    <n v="17"/>
    <n v="3562.9028999999996"/>
    <n v="5348.76"/>
    <n v="-1785.8571000000006"/>
    <n v="-0.50123653383874167"/>
  </r>
  <r>
    <s v="ORD-2024-211453"/>
    <d v="2024-04-04T00:00:00"/>
    <s v="Q2-2024"/>
    <s v="Apr-2024"/>
    <d v="2024-04-24T00:00:00"/>
    <n v="20"/>
    <d v="2024-04-24T00:00:00"/>
    <x v="3"/>
    <x v="6"/>
    <x v="37"/>
    <s v="Non-Profit"/>
    <s v="Direct"/>
    <s v="O. Wang"/>
    <x v="6"/>
    <s v="ACC-6543"/>
    <n v="683.42"/>
    <n v="951.51"/>
    <n v="0"/>
    <n v="14"/>
    <s v="ok"/>
    <n v="20"/>
    <n v="20"/>
    <n v="13321.14"/>
    <n v="9567.8799999999992"/>
    <n v="3753.26"/>
    <n v="0.28175216235247136"/>
  </r>
  <r>
    <s v="ORD-2023-192324"/>
    <d v="2023-09-14T00:00:00"/>
    <s v="Q3-2023"/>
    <s v="Sept-2023"/>
    <d v="2023-09-16T00:00:00"/>
    <n v="2"/>
    <d v="2023-09-16T00:00:00"/>
    <x v="3"/>
    <x v="7"/>
    <x v="17"/>
    <s v="Non-Profit"/>
    <s v="Direct"/>
    <s v="B. Chen"/>
    <x v="1"/>
    <s v="PRN-4432"/>
    <n v="376.83"/>
    <n v="732.88"/>
    <n v="0.188"/>
    <n v="25"/>
    <s v="ok"/>
    <n v="2"/>
    <n v="2"/>
    <n v="14877.464000000002"/>
    <n v="9420.75"/>
    <n v="5456.7140000000018"/>
    <n v="0.36677716040852132"/>
  </r>
  <r>
    <s v="ORD-2024-438404"/>
    <d v="2024-09-23T00:00:00"/>
    <s v="Q3-2024"/>
    <s v="Sept-2024"/>
    <d v="2024-10-18T00:00:00"/>
    <n v="25"/>
    <d v="2024-10-18T00:00:00"/>
    <x v="2"/>
    <x v="3"/>
    <x v="26"/>
    <s v="Small Business"/>
    <s v="Online"/>
    <s v="N. Brown"/>
    <x v="3"/>
    <s v="PHN-4568"/>
    <n v="1297"/>
    <n v="2411.52"/>
    <n v="2.1000000000000001E-2"/>
    <n v="18"/>
    <s v="ok"/>
    <n v="25"/>
    <n v="25"/>
    <n v="42495.805439999996"/>
    <n v="23346"/>
    <n v="19149.805439999996"/>
    <n v="0.45062813239385913"/>
  </r>
  <r>
    <s v="ORD-2025-246470"/>
    <d v="2025-04-16T00:00:00"/>
    <s v="Q2-2025"/>
    <s v="Apr-2025"/>
    <d v="2025-05-16T00:00:00"/>
    <n v="30"/>
    <d v="2025-05-16T00:00:00"/>
    <x v="2"/>
    <x v="3"/>
    <x v="19"/>
    <s v="Enterprise"/>
    <s v="Distributor"/>
    <s v="K. Singh"/>
    <x v="1"/>
    <s v="PRN-6178"/>
    <n v="763.32"/>
    <n v="568.29"/>
    <n v="0.13100000000000001"/>
    <n v="16"/>
    <s v="ok"/>
    <n v="30"/>
    <n v="30"/>
    <n v="7901.5041599999995"/>
    <n v="12213.12"/>
    <n v="-4311.6158400000013"/>
    <n v="-0.54567026134426555"/>
  </r>
  <r>
    <s v="ORD-2023-497686"/>
    <d v="2023-07-03T00:00:00"/>
    <s v="Q3-2023"/>
    <s v="Jul-2023"/>
    <d v="2023-07-23T00:00:00"/>
    <n v="20"/>
    <d v="2023-07-23T00:00:00"/>
    <x v="0"/>
    <x v="11"/>
    <x v="20"/>
    <s v="Small Business"/>
    <s v="Distributor"/>
    <s v="F. Müller"/>
    <x v="4"/>
    <s v="LAP-6342"/>
    <n v="1001.96"/>
    <n v="1254.95"/>
    <n v="4.4999999999999998E-2"/>
    <n v="18"/>
    <s v="ok"/>
    <n v="20"/>
    <n v="20"/>
    <n v="21572.590500000002"/>
    <n v="18035.28"/>
    <n v="3537.3105000000032"/>
    <n v="0.16397244920585699"/>
  </r>
  <r>
    <s v="ORD-2023-596758"/>
    <d v="2023-12-07T00:00:00"/>
    <s v="Q4-2023"/>
    <s v="Dec-2023"/>
    <d v="2023-12-05T00:00:00"/>
    <n v="14"/>
    <d v="2023-12-21T00:00:00"/>
    <x v="1"/>
    <x v="2"/>
    <x v="27"/>
    <s v="Non-Profit"/>
    <s v="Marketplace"/>
    <s v="H. Kim"/>
    <x v="1"/>
    <s v="PRN-8175"/>
    <n v="1097.5899999999999"/>
    <n v="845.55"/>
    <n v="0.184"/>
    <n v="6"/>
    <s v="sus"/>
    <n v="-2"/>
    <n v="2"/>
    <n v="4139.8127999999997"/>
    <n v="6585.5399999999991"/>
    <n v="-2445.7271999999994"/>
    <n v="-0.59078207594314402"/>
  </r>
  <r>
    <s v="ORD-2024-201376"/>
    <d v="2024-02-18T00:00:00"/>
    <s v="Q1-2024"/>
    <s v="Feb-2024"/>
    <d v="2024-03-04T00:00:00"/>
    <n v="15"/>
    <d v="2024-03-04T00:00:00"/>
    <x v="0"/>
    <x v="0"/>
    <x v="0"/>
    <s v="Education"/>
    <s v="Direct"/>
    <s v="K. Singh"/>
    <x v="1"/>
    <s v="PRN-7089"/>
    <n v="928.68"/>
    <n v="2145.17"/>
    <n v="0.13600000000000001"/>
    <n v="16"/>
    <s v="ok"/>
    <n v="15"/>
    <n v="15"/>
    <n v="29654.83008"/>
    <n v="14858.88"/>
    <n v="14795.950080000001"/>
    <n v="0.49893896003062177"/>
  </r>
  <r>
    <s v="ORD-2023-842488"/>
    <d v="2023-10-31T00:00:00"/>
    <s v="Q4-2023"/>
    <s v="Oct-2023"/>
    <d v="2023-11-02T00:00:00"/>
    <n v="2"/>
    <d v="2023-11-02T00:00:00"/>
    <x v="0"/>
    <x v="0"/>
    <x v="0"/>
    <s v="Education"/>
    <s v="Retail"/>
    <s v="O. Wang"/>
    <x v="6"/>
    <s v="ACC-4124"/>
    <n v="867.89"/>
    <n v="1349.94"/>
    <n v="0.184"/>
    <n v="10"/>
    <s v="ok"/>
    <n v="2"/>
    <n v="2"/>
    <n v="11015.510400000003"/>
    <n v="8678.9"/>
    <n v="2336.6104000000032"/>
    <n v="0.21212003031652557"/>
  </r>
  <r>
    <s v="ORD-2024-136321"/>
    <d v="2024-08-07T00:00:00"/>
    <s v="Q3-2024"/>
    <s v="Aug-2024"/>
    <d v="2024-08-17T00:00:00"/>
    <n v="10"/>
    <d v="2024-08-17T00:00:00"/>
    <x v="1"/>
    <x v="2"/>
    <x v="4"/>
    <s v="Consumer"/>
    <s v="Online"/>
    <s v="K. Singh"/>
    <x v="2"/>
    <s v="NET-7924"/>
    <n v="436.58"/>
    <n v="527.48"/>
    <n v="0.111"/>
    <n v="19"/>
    <s v="ok"/>
    <n v="10"/>
    <n v="10"/>
    <n v="8909.6646800000017"/>
    <n v="8295.02"/>
    <n v="614.64468000000124"/>
    <n v="6.8986286473802644E-2"/>
  </r>
  <r>
    <s v="ORD-2024-764468"/>
    <d v="2024-02-01T00:00:00"/>
    <s v="Q1-2024"/>
    <s v="Feb-2024"/>
    <d v="2024-02-21T00:00:00"/>
    <n v="20"/>
    <d v="2024-02-21T00:00:00"/>
    <x v="3"/>
    <x v="7"/>
    <x v="28"/>
    <s v="Small Business"/>
    <s v="Marketplace"/>
    <s v="A. Patel"/>
    <x v="2"/>
    <s v="NET-8761"/>
    <n v="656.2"/>
    <n v="1467.17"/>
    <n v="1.7999999999999999E-2"/>
    <n v="5"/>
    <s v="ok"/>
    <n v="20"/>
    <n v="20"/>
    <n v="7203.8047000000006"/>
    <n v="3281"/>
    <n v="3922.8047000000006"/>
    <n v="0.54454623124360946"/>
  </r>
  <r>
    <s v="ORD-2024-553449"/>
    <d v="2024-08-27T00:00:00"/>
    <s v="Q3-2024"/>
    <s v="Aug-2024"/>
    <d v="2024-09-18T00:00:00"/>
    <n v="22"/>
    <d v="2024-09-18T00:00:00"/>
    <x v="1"/>
    <x v="4"/>
    <x v="18"/>
    <s v="Consumer"/>
    <s v="Direct"/>
    <s v="B. Chen"/>
    <x v="0"/>
    <s v="CMP-3875"/>
    <n v="896.75"/>
    <n v="1651.14"/>
    <n v="2.5000000000000001E-2"/>
    <n v="15"/>
    <s v="ok"/>
    <n v="22"/>
    <n v="22"/>
    <n v="24147.922500000001"/>
    <n v="13451.25"/>
    <n v="10696.672500000001"/>
    <n v="0.44296450346815552"/>
  </r>
  <r>
    <s v="ORD-2025-766923"/>
    <d v="2025-02-15T00:00:00"/>
    <s v="Q1-2025"/>
    <s v="Feb-2025"/>
    <d v="2025-02-15T00:00:00"/>
    <n v="0"/>
    <d v="2025-02-15T00:00:00"/>
    <x v="3"/>
    <x v="6"/>
    <x v="37"/>
    <s v="Small Business"/>
    <s v="Marketplace"/>
    <s v="L. Okafor"/>
    <x v="6"/>
    <s v="ACC-3989"/>
    <n v="815.83"/>
    <n v="1982.18"/>
    <n v="0.127"/>
    <n v="6"/>
    <s v="sus"/>
    <n v="0"/>
    <n v="0"/>
    <n v="10382.65884"/>
    <n v="4894.9800000000005"/>
    <n v="5487.6788399999996"/>
    <n v="0.52854272923408507"/>
  </r>
  <r>
    <s v="ORD-2025-418232"/>
    <d v="2025-08-01T00:00:00"/>
    <s v="Q3-2025"/>
    <s v="Aug-2025"/>
    <d v="2025-08-21T00:00:00"/>
    <n v="20"/>
    <d v="2025-08-21T00:00:00"/>
    <x v="1"/>
    <x v="9"/>
    <x v="23"/>
    <s v="Corporate"/>
    <s v="Direct"/>
    <s v="I. Johnson"/>
    <x v="3"/>
    <s v="PHN-9234"/>
    <n v="1220.4100000000001"/>
    <n v="2552.2199999999998"/>
    <n v="0.18099999999999999"/>
    <n v="14"/>
    <s v="ok"/>
    <n v="20"/>
    <n v="20"/>
    <n v="29263.754519999995"/>
    <n v="17085.740000000002"/>
    <n v="12178.014519999993"/>
    <n v="0.41614668793360271"/>
  </r>
  <r>
    <s v="ORD-2023-848013"/>
    <d v="2023-02-20T00:00:00"/>
    <s v="Q1-2023"/>
    <s v="Feb-2023"/>
    <d v="2023-03-04T00:00:00"/>
    <n v="12"/>
    <d v="2023-03-04T00:00:00"/>
    <x v="1"/>
    <x v="4"/>
    <x v="18"/>
    <s v="Consumer"/>
    <s v="Distributor"/>
    <s v="M. Rossi"/>
    <x v="5"/>
    <s v="MON-9906"/>
    <n v="299.75"/>
    <n v="523.01"/>
    <n v="0.157"/>
    <n v="50"/>
    <s v="ok"/>
    <n v="12"/>
    <n v="12"/>
    <n v="22044.871499999997"/>
    <n v="14987.5"/>
    <n v="7057.3714999999975"/>
    <n v="0.32013665854210122"/>
  </r>
  <r>
    <s v="ORD-2024-357368"/>
    <d v="2024-10-30T00:00:00"/>
    <s v="Q4-2024"/>
    <s v="Oct-2024"/>
    <d v="2024-11-24T00:00:00"/>
    <n v="25"/>
    <d v="2024-11-24T00:00:00"/>
    <x v="1"/>
    <x v="9"/>
    <x v="14"/>
    <s v="Small Business"/>
    <s v="Online"/>
    <s v="E. Garcia"/>
    <x v="0"/>
    <s v="CMP-4610"/>
    <n v="811.05"/>
    <n v="1217.71"/>
    <n v="7.1999999999999995E-2"/>
    <n v="5"/>
    <s v="ok"/>
    <n v="25"/>
    <n v="25"/>
    <n v="5650.1744000000008"/>
    <n v="4055.25"/>
    <n v="1594.9244000000008"/>
    <n v="0.28227879125288602"/>
  </r>
  <r>
    <s v="ORD-2024-219735"/>
    <d v="2024-04-03T00:00:00"/>
    <s v="Q2-2024"/>
    <s v="Apr-2024"/>
    <d v="2024-04-07T00:00:00"/>
    <n v="4"/>
    <d v="2024-04-07T00:00:00"/>
    <x v="2"/>
    <x v="5"/>
    <x v="10"/>
    <s v="Non-Profit"/>
    <s v="Direct"/>
    <s v="N. Brown"/>
    <x v="3"/>
    <s v="PHN-5445"/>
    <n v="1023.27"/>
    <n v="1343.64"/>
    <n v="0.13300000000000001"/>
    <n v="7"/>
    <s v="ok"/>
    <n v="4"/>
    <n v="4"/>
    <n v="8154.5511600000009"/>
    <n v="7162.8899999999994"/>
    <n v="991.66116000000147"/>
    <n v="0.12160830688810116"/>
  </r>
  <r>
    <s v="ORD-2023-240507"/>
    <d v="2023-03-25T00:00:00"/>
    <s v="Q1-2023"/>
    <s v="Mar-2023"/>
    <d v="2023-03-26T00:00:00"/>
    <n v="1"/>
    <d v="2023-03-26T00:00:00"/>
    <x v="1"/>
    <x v="2"/>
    <x v="4"/>
    <s v="Small Business"/>
    <s v="Distributor"/>
    <s v="I. Johnson"/>
    <x v="5"/>
    <s v="MON-9227"/>
    <n v="135.12"/>
    <n v="301.7"/>
    <n v="0.14000000000000001"/>
    <n v="47"/>
    <s v="ok"/>
    <n v="1"/>
    <n v="1"/>
    <n v="12194.714"/>
    <n v="6350.64"/>
    <n v="5844.0739999999996"/>
    <n v="0.47923009920527859"/>
  </r>
  <r>
    <s v="ORD-2024-134084"/>
    <d v="2024-06-04T00:00:00"/>
    <s v="Q2-2024"/>
    <s v="Jun-2024"/>
    <d v="2024-06-16T00:00:00"/>
    <n v="12"/>
    <d v="2024-06-16T00:00:00"/>
    <x v="1"/>
    <x v="9"/>
    <x v="23"/>
    <s v="Corporate"/>
    <s v="Retail"/>
    <s v="J. Njeri"/>
    <x v="1"/>
    <s v="PRN-4097"/>
    <n v="918.42"/>
    <n v="1511.71"/>
    <n v="0.02"/>
    <n v="8"/>
    <s v="ok"/>
    <n v="12"/>
    <n v="12"/>
    <n v="11851.806399999999"/>
    <n v="7347.36"/>
    <n v="4504.4463999999998"/>
    <n v="0.38006412254590999"/>
  </r>
  <r>
    <s v="ORD-2023-884625"/>
    <d v="2023-02-19T00:00:00"/>
    <s v="Q1-2023"/>
    <s v="Feb-2023"/>
    <d v="2023-03-12T00:00:00"/>
    <n v="21"/>
    <d v="2023-03-12T00:00:00"/>
    <x v="3"/>
    <x v="6"/>
    <x v="9"/>
    <s v="Small Business"/>
    <s v="Direct"/>
    <s v="L. Okafor"/>
    <x v="5"/>
    <s v="MON-6699"/>
    <n v="1234.81"/>
    <n v="2055.2399999999998"/>
    <n v="5.2999999999999999E-2"/>
    <n v="44"/>
    <s v="ok"/>
    <n v="21"/>
    <n v="21"/>
    <n v="85637.740319999997"/>
    <n v="54331.64"/>
    <n v="31306.100319999998"/>
    <n v="0.36556429680441616"/>
  </r>
  <r>
    <s v="ORD-2023-157993"/>
    <d v="2023-04-18T00:00:00"/>
    <s v="Q2-2023"/>
    <s v="Apr-2023"/>
    <d v="2023-05-18T00:00:00"/>
    <n v="30"/>
    <d v="2023-05-18T00:00:00"/>
    <x v="1"/>
    <x v="9"/>
    <x v="14"/>
    <s v="Non-Profit"/>
    <s v="Retail"/>
    <s v="H. Kim"/>
    <x v="4"/>
    <s v="LAP-1482"/>
    <n v="329.03"/>
    <n v="391.15"/>
    <n v="0.19700000000000001"/>
    <n v="46"/>
    <s v="ok"/>
    <n v="30"/>
    <n v="30"/>
    <n v="14448.298699999998"/>
    <n v="15135.38"/>
    <n v="-687.08130000000165"/>
    <n v="-4.7554477815440081E-2"/>
  </r>
  <r>
    <s v="ORD-2024-329104"/>
    <d v="2024-05-23T00:00:00"/>
    <s v="Q2-2024"/>
    <s v="May-2024"/>
    <d v="2024-06-14T00:00:00"/>
    <n v="22"/>
    <d v="2024-06-14T00:00:00"/>
    <x v="3"/>
    <x v="7"/>
    <x v="11"/>
    <s v="Small Business"/>
    <s v="Online"/>
    <s v="N. Brown"/>
    <x v="5"/>
    <s v="MON-2100"/>
    <n v="1481.74"/>
    <n v="1848.97"/>
    <n v="0.254"/>
    <n v="9"/>
    <s v="ok"/>
    <n v="22"/>
    <n v="22"/>
    <n v="12413.98458"/>
    <n v="13335.66"/>
    <n v="-921.67541999999958"/>
    <n v="-7.4244930309072407E-2"/>
  </r>
  <r>
    <s v="ORD-2023-304451"/>
    <d v="2023-10-07T00:00:00"/>
    <s v="Q4-2023"/>
    <s v="Oct-2023"/>
    <d v="2023-10-23T00:00:00"/>
    <n v="16"/>
    <d v="2023-10-23T00:00:00"/>
    <x v="1"/>
    <x v="4"/>
    <x v="34"/>
    <s v="Consumer"/>
    <s v="Retail"/>
    <s v="G. Dubois"/>
    <x v="5"/>
    <s v="MON-7602"/>
    <n v="906.81"/>
    <n v="1395.56"/>
    <n v="0.185"/>
    <n v="6"/>
    <s v="ok"/>
    <n v="16"/>
    <n v="16"/>
    <n v="6824.2884000000004"/>
    <n v="5440.86"/>
    <n v="1383.4284000000007"/>
    <n v="0.20272126834498974"/>
  </r>
  <r>
    <s v="ORD-2024-942981"/>
    <d v="2024-10-09T00:00:00"/>
    <s v="Q4-2024"/>
    <s v="Oct-2024"/>
    <d v="2024-11-08T00:00:00"/>
    <n v="30"/>
    <d v="2024-11-08T00:00:00"/>
    <x v="3"/>
    <x v="8"/>
    <x v="31"/>
    <s v="Small Business"/>
    <s v="Distributor"/>
    <s v="J. Njeri"/>
    <x v="0"/>
    <s v="CMP-1072"/>
    <n v="343.85"/>
    <n v="538.04"/>
    <n v="0.13900000000000001"/>
    <n v="5"/>
    <s v="ok"/>
    <n v="30"/>
    <n v="30"/>
    <n v="2316.2621999999997"/>
    <n v="1719.25"/>
    <n v="597.01219999999967"/>
    <n v="0.25774810813732563"/>
  </r>
  <r>
    <s v="ORD-2024-605629"/>
    <d v="2024-07-15T00:00:00"/>
    <s v="Q3-2024"/>
    <s v="Jul-2024"/>
    <d v="2024-07-15T00:00:00"/>
    <n v="0"/>
    <d v="2024-07-15T00:00:00"/>
    <x v="1"/>
    <x v="2"/>
    <x v="27"/>
    <s v="Small Business"/>
    <s v="Marketplace"/>
    <s v="G. Dubois"/>
    <x v="6"/>
    <s v="ACC-2735"/>
    <n v="801.77"/>
    <n v="1218.92"/>
    <n v="0.254"/>
    <n v="16"/>
    <s v="sus"/>
    <n v="0"/>
    <n v="0"/>
    <n v="14549.029120000001"/>
    <n v="12828.32"/>
    <n v="1720.7091200000013"/>
    <n v="0.11826968698788344"/>
  </r>
  <r>
    <s v="ORD-2023-450877"/>
    <d v="2023-09-21T00:00:00"/>
    <s v="Q3-2023"/>
    <s v="Sept-2023"/>
    <d v="2023-10-10T00:00:00"/>
    <n v="19"/>
    <d v="2023-10-10T00:00:00"/>
    <x v="1"/>
    <x v="2"/>
    <x v="27"/>
    <s v="Education"/>
    <s v="Online"/>
    <s v="D. Smith"/>
    <x v="0"/>
    <s v="CMP-5211"/>
    <n v="845.63"/>
    <n v="2062.12"/>
    <n v="0.13400000000000001"/>
    <n v="5"/>
    <s v="ok"/>
    <n v="19"/>
    <n v="19"/>
    <n v="8928.9795999999988"/>
    <n v="4228.1499999999996"/>
    <n v="4700.8295999999991"/>
    <n v="0.52646884757133949"/>
  </r>
  <r>
    <s v="ORD-2023-286994"/>
    <d v="2023-02-24T00:00:00"/>
    <s v="Q1-2023"/>
    <s v="Feb-2023"/>
    <d v="2023-03-09T00:00:00"/>
    <n v="13"/>
    <d v="2023-03-09T00:00:00"/>
    <x v="2"/>
    <x v="10"/>
    <x v="39"/>
    <s v="Enterprise"/>
    <s v="Online"/>
    <s v="M. Rossi"/>
    <x v="0"/>
    <s v="CMP-1632"/>
    <n v="6.85"/>
    <n v="10.18"/>
    <n v="4.7E-2"/>
    <n v="10"/>
    <s v="ok"/>
    <n v="13"/>
    <n v="13"/>
    <n v="97.0154"/>
    <n v="68.5"/>
    <n v="28.5154"/>
    <n v="0.2939265312517394"/>
  </r>
  <r>
    <s v="ORD-2025-700847"/>
    <d v="2025-05-21T00:00:00"/>
    <s v="Q2-2025"/>
    <s v="May-2025"/>
    <d v="2025-05-19T00:00:00"/>
    <n v="14"/>
    <d v="2025-06-04T00:00:00"/>
    <x v="0"/>
    <x v="11"/>
    <x v="20"/>
    <s v="Non-Profit"/>
    <s v="Distributor"/>
    <s v="O. Wang"/>
    <x v="4"/>
    <s v="LAP-7099"/>
    <n v="1263.8399999999999"/>
    <n v="2281.7199999999998"/>
    <n v="7.8E-2"/>
    <n v="15"/>
    <s v="sus"/>
    <n v="-2"/>
    <n v="2"/>
    <n v="31556.187599999997"/>
    <n v="18957.599999999999"/>
    <n v="12598.587599999999"/>
    <n v="0.39924301882398494"/>
  </r>
  <r>
    <s v="ORD-2024-970848"/>
    <d v="2024-05-23T00:00:00"/>
    <s v="Q2-2024"/>
    <s v="May-2024"/>
    <d v="2024-06-03T00:00:00"/>
    <n v="11"/>
    <d v="2024-06-03T00:00:00"/>
    <x v="0"/>
    <x v="11"/>
    <x v="20"/>
    <s v="Small Business"/>
    <s v="Distributor"/>
    <s v="F. Müller"/>
    <x v="1"/>
    <s v="PRN-3785"/>
    <n v="180.89"/>
    <n v="249.57"/>
    <n v="2.1999999999999999E-2"/>
    <n v="8"/>
    <s v="ok"/>
    <n v="11"/>
    <n v="11"/>
    <n v="1952.6356799999999"/>
    <n v="1447.12"/>
    <n v="505.51567999999997"/>
    <n v="0.25888888806948362"/>
  </r>
  <r>
    <s v="ORD-2025-845715"/>
    <d v="2025-04-14T00:00:00"/>
    <s v="Q2-2025"/>
    <s v="Apr-2025"/>
    <d v="2025-05-04T00:00:00"/>
    <n v="20"/>
    <d v="2025-05-04T00:00:00"/>
    <x v="3"/>
    <x v="8"/>
    <x v="12"/>
    <s v="Enterprise"/>
    <s v="Marketplace"/>
    <s v="K. Singh"/>
    <x v="5"/>
    <s v="MON-6962"/>
    <n v="1413.87"/>
    <n v="3275"/>
    <n v="0.255"/>
    <n v="38"/>
    <s v="ok"/>
    <n v="20"/>
    <n v="20"/>
    <n v="92715.25"/>
    <n v="53727.06"/>
    <n v="38988.19"/>
    <n v="0.42051539525590453"/>
  </r>
  <r>
    <s v="ORD-2023-664749"/>
    <d v="2023-08-27T00:00:00"/>
    <s v="Q3-2023"/>
    <s v="Aug-2023"/>
    <d v="2023-09-11T00:00:00"/>
    <n v="15"/>
    <d v="2023-09-11T00:00:00"/>
    <x v="3"/>
    <x v="8"/>
    <x v="21"/>
    <s v="Consumer"/>
    <s v="Marketplace"/>
    <s v="N. Brown"/>
    <x v="1"/>
    <s v="PRN-5107"/>
    <n v="943.79"/>
    <n v="1913.76"/>
    <n v="9.0999999999999998E-2"/>
    <n v="9"/>
    <s v="ok"/>
    <n v="15"/>
    <n v="15"/>
    <n v="15656.47056"/>
    <n v="8494.11"/>
    <n v="7162.3605599999992"/>
    <n v="0.45746967891338081"/>
  </r>
  <r>
    <s v="ORD-2024-960952"/>
    <d v="2024-02-03T00:00:00"/>
    <s v="Q1-2024"/>
    <s v="Feb-2024"/>
    <d v="2024-02-21T00:00:00"/>
    <n v="18"/>
    <d v="2024-02-21T00:00:00"/>
    <x v="3"/>
    <x v="6"/>
    <x v="37"/>
    <s v="Corporate"/>
    <s v="Retail"/>
    <s v="H. Kim"/>
    <x v="0"/>
    <s v="CMP-9264"/>
    <n v="39.229999999999997"/>
    <n v="30.09"/>
    <n v="0.17699999999999999"/>
    <n v="13"/>
    <s v="ok"/>
    <n v="18"/>
    <n v="18"/>
    <n v="321.93290999999999"/>
    <n v="509.98999999999995"/>
    <n v="-188.05708999999996"/>
    <n v="-0.58414993981199359"/>
  </r>
  <r>
    <s v="ORD-2023-987700"/>
    <d v="2023-04-05T00:00:00"/>
    <s v="Q2-2023"/>
    <s v="Apr-2023"/>
    <d v="2023-04-16T00:00:00"/>
    <n v="11"/>
    <d v="2023-04-16T00:00:00"/>
    <x v="2"/>
    <x v="3"/>
    <x v="26"/>
    <s v="Non-Profit"/>
    <s v="Online"/>
    <s v="O. Wang"/>
    <x v="5"/>
    <s v="MON-5259"/>
    <n v="213.1"/>
    <n v="501.31"/>
    <n v="5.6000000000000001E-2"/>
    <n v="15"/>
    <s v="ok"/>
    <n v="11"/>
    <n v="11"/>
    <n v="7098.5495999999994"/>
    <n v="3196.5"/>
    <n v="3902.0495999999994"/>
    <n v="0.54969674368409005"/>
  </r>
  <r>
    <s v="ORD-2025-652467"/>
    <d v="2025-08-21T00:00:00"/>
    <s v="Q3-2025"/>
    <s v="Aug-2025"/>
    <d v="2025-09-12T00:00:00"/>
    <n v="22"/>
    <d v="2025-09-12T00:00:00"/>
    <x v="1"/>
    <x v="9"/>
    <x v="14"/>
    <s v="Education"/>
    <s v="Retail"/>
    <s v="B. Chen"/>
    <x v="1"/>
    <s v="PRN-8137"/>
    <n v="352.66"/>
    <n v="411.18"/>
    <n v="0.17299999999999999"/>
    <n v="13"/>
    <s v="ok"/>
    <n v="22"/>
    <n v="22"/>
    <n v="4420.5961799999995"/>
    <n v="4584.58"/>
    <n v="-163.98382000000038"/>
    <n v="-3.7095408248758066E-2"/>
  </r>
  <r>
    <s v="ORD-2025-667201"/>
    <d v="2025-09-15T00:00:00"/>
    <s v="Q3-2025"/>
    <s v="Sept-2025"/>
    <d v="2025-09-18T00:00:00"/>
    <n v="3"/>
    <d v="2025-09-18T00:00:00"/>
    <x v="2"/>
    <x v="5"/>
    <x v="30"/>
    <s v="Non-Profit"/>
    <s v="Direct"/>
    <s v="L. Okafor"/>
    <x v="6"/>
    <s v="ACC-6777"/>
    <n v="5.5"/>
    <n v="5.92"/>
    <n v="0.21199999999999999"/>
    <n v="4"/>
    <s v="ok"/>
    <n v="3"/>
    <n v="3"/>
    <n v="18.659839999999999"/>
    <n v="22"/>
    <n v="-3.3401600000000009"/>
    <n v="-0.17900260666758133"/>
  </r>
  <r>
    <s v="ORD-2024-237478"/>
    <d v="2024-10-03T00:00:00"/>
    <s v="Q4-2024"/>
    <s v="Oct-2024"/>
    <d v="2024-10-11T00:00:00"/>
    <n v="8"/>
    <d v="2024-10-11T00:00:00"/>
    <x v="1"/>
    <x v="9"/>
    <x v="38"/>
    <s v="Enterprise"/>
    <s v="Direct"/>
    <s v="B. Chen"/>
    <x v="3"/>
    <s v="PHN-7488"/>
    <n v="1132.6099999999999"/>
    <n v="2206.63"/>
    <n v="6.3E-2"/>
    <n v="20"/>
    <s v="ok"/>
    <n v="8"/>
    <n v="8"/>
    <n v="41352.246200000009"/>
    <n v="22652.199999999997"/>
    <n v="18700.046200000012"/>
    <n v="0.45221355351671338"/>
  </r>
  <r>
    <s v="ORD-2025-898843"/>
    <d v="2025-02-02T00:00:00"/>
    <s v="Q1-2025"/>
    <s v="Feb-2025"/>
    <d v="2025-03-04T00:00:00"/>
    <n v="30"/>
    <d v="2025-03-04T00:00:00"/>
    <x v="1"/>
    <x v="2"/>
    <x v="4"/>
    <s v="Education"/>
    <s v="Distributor"/>
    <s v="L. Okafor"/>
    <x v="6"/>
    <s v="ACC-9591"/>
    <n v="766.59"/>
    <n v="1912.8"/>
    <n v="0.19600000000000001"/>
    <n v="5"/>
    <s v="ok"/>
    <n v="30"/>
    <n v="30"/>
    <n v="7689.4560000000001"/>
    <n v="3832.9500000000003"/>
    <n v="3856.5059999999999"/>
    <n v="0.50153170783472845"/>
  </r>
  <r>
    <s v="ORD-2023-334213"/>
    <d v="2023-08-19T00:00:00"/>
    <s v="Q3-2023"/>
    <s v="Aug-2023"/>
    <d v="2023-08-23T00:00:00"/>
    <n v="4"/>
    <d v="2023-08-23T00:00:00"/>
    <x v="0"/>
    <x v="1"/>
    <x v="7"/>
    <s v="Small Business"/>
    <s v="Online"/>
    <s v="J. Njeri"/>
    <x v="5"/>
    <s v="MON-5517"/>
    <n v="790.63"/>
    <n v="1382.31"/>
    <n v="0.10100000000000001"/>
    <n v="7"/>
    <s v="ok"/>
    <n v="4"/>
    <n v="4"/>
    <n v="8698.8768300000011"/>
    <n v="5534.41"/>
    <n v="3164.4668300000012"/>
    <n v="0.36377878338116448"/>
  </r>
  <r>
    <s v="ORD-2024-640340"/>
    <d v="2024-10-22T00:00:00"/>
    <s v="Q4-2024"/>
    <s v="Oct-2024"/>
    <d v="2024-10-29T00:00:00"/>
    <n v="7"/>
    <d v="2024-10-29T00:00:00"/>
    <x v="0"/>
    <x v="1"/>
    <x v="1"/>
    <s v="Enterprise"/>
    <s v="Distributor"/>
    <s v="M. Rossi"/>
    <x v="5"/>
    <s v="MON-8758"/>
    <n v="1023.06"/>
    <n v="1355.61"/>
    <n v="0.153"/>
    <n v="23"/>
    <s v="ok"/>
    <n v="7"/>
    <n v="7"/>
    <n v="26408.63841"/>
    <n v="23530.379999999997"/>
    <n v="2878.2584100000022"/>
    <n v="0.10898927711888809"/>
  </r>
  <r>
    <s v="ORD-2023-399631"/>
    <d v="2023-06-22T00:00:00"/>
    <s v="Q2-2023"/>
    <s v="Jun-2023"/>
    <d v="2023-07-21T00:00:00"/>
    <n v="29"/>
    <d v="2023-07-21T00:00:00"/>
    <x v="3"/>
    <x v="7"/>
    <x v="17"/>
    <s v="Corporate"/>
    <s v="Retail"/>
    <s v="J. Njeri"/>
    <x v="6"/>
    <s v="ACC-3385"/>
    <n v="734.34"/>
    <n v="887.9"/>
    <n v="2.5000000000000001E-2"/>
    <n v="12"/>
    <s v="ok"/>
    <n v="29"/>
    <n v="29"/>
    <n v="10388.429999999998"/>
    <n v="8812.08"/>
    <n v="1576.3499999999985"/>
    <n v="0.15174092716608753"/>
  </r>
  <r>
    <s v="ORD-2025-542939"/>
    <d v="2025-01-13T00:00:00"/>
    <s v="Q1-2025"/>
    <s v="Jan-2025"/>
    <d v="2025-02-08T00:00:00"/>
    <n v="26"/>
    <d v="2025-02-08T00:00:00"/>
    <x v="3"/>
    <x v="7"/>
    <x v="28"/>
    <s v="Non-Profit"/>
    <s v="unknown"/>
    <s v="E. Garcia"/>
    <x v="5"/>
    <s v="MON-1593"/>
    <n v="594.74"/>
    <n v="1020.69"/>
    <n v="0.21099999999999999"/>
    <n v="6"/>
    <s v="ok"/>
    <n v="26"/>
    <n v="26"/>
    <n v="4831.9464600000001"/>
    <n v="3568.44"/>
    <n v="1263.5064600000001"/>
    <n v="0.26149016146176424"/>
  </r>
  <r>
    <s v="ORD-2023-521818"/>
    <d v="2023-01-29T00:00:00"/>
    <s v="Q1-2023"/>
    <s v="Jan-2023"/>
    <d v="2023-02-28T00:00:00"/>
    <n v="30"/>
    <d v="2023-02-28T00:00:00"/>
    <x v="1"/>
    <x v="4"/>
    <x v="6"/>
    <s v="Non-Profit"/>
    <s v="Retail"/>
    <s v="B. Chen"/>
    <x v="6"/>
    <s v="ACC-4631"/>
    <n v="1262.0999999999999"/>
    <n v="1395.53"/>
    <n v="0.23300000000000001"/>
    <n v="25"/>
    <s v="ok"/>
    <n v="30"/>
    <n v="30"/>
    <n v="26759.28775"/>
    <n v="31552.499999999996"/>
    <n v="-4793.2122499999969"/>
    <n v="-0.17912331205452198"/>
  </r>
  <r>
    <s v="ORD-2023-825836"/>
    <d v="2023-07-19T00:00:00"/>
    <s v="Q3-2023"/>
    <s v="Jul-2023"/>
    <d v="2023-07-31T00:00:00"/>
    <n v="12"/>
    <d v="2023-07-31T00:00:00"/>
    <x v="2"/>
    <x v="5"/>
    <x v="30"/>
    <s v="Corporate"/>
    <s v="Retail"/>
    <s v="C. Otieno"/>
    <x v="5"/>
    <s v="MON-7869"/>
    <n v="1334.64"/>
    <n v="2273.42"/>
    <n v="0.11799999999999999"/>
    <n v="14"/>
    <s v="ok"/>
    <n v="12"/>
    <n v="12"/>
    <n v="28072.190160000002"/>
    <n v="18684.960000000003"/>
    <n v="9387.2301599999992"/>
    <n v="0.33439607335575267"/>
  </r>
  <r>
    <s v="ORD-2024-503082"/>
    <d v="2024-05-19T00:00:00"/>
    <s v="Q2-2024"/>
    <s v="May-2024"/>
    <d v="2024-06-08T00:00:00"/>
    <n v="20"/>
    <d v="2024-06-08T00:00:00"/>
    <x v="2"/>
    <x v="5"/>
    <x v="10"/>
    <s v="Small Business"/>
    <s v="Retail"/>
    <s v="E. Garcia"/>
    <x v="5"/>
    <s v="MON-4271"/>
    <n v="1075.9000000000001"/>
    <n v="1242.1500000000001"/>
    <n v="1.2E-2"/>
    <n v="7"/>
    <s v="ok"/>
    <n v="20"/>
    <n v="20"/>
    <n v="8590.7094000000016"/>
    <n v="7531.3000000000011"/>
    <n v="1059.4094000000005"/>
    <n v="0.12332036280961853"/>
  </r>
  <r>
    <s v="ORD-2024-760799"/>
    <d v="2024-02-03T00:00:00"/>
    <s v="Q1-2024"/>
    <s v="Feb-2024"/>
    <d v="2024-02-19T00:00:00"/>
    <n v="16"/>
    <d v="2024-02-19T00:00:00"/>
    <x v="1"/>
    <x v="9"/>
    <x v="14"/>
    <s v="Small Business"/>
    <s v="Online"/>
    <s v="H. Kim"/>
    <x v="4"/>
    <s v="LAP-5531"/>
    <n v="993.75"/>
    <n v="1310.29"/>
    <n v="0.215"/>
    <n v="19"/>
    <s v="ok"/>
    <n v="16"/>
    <n v="16"/>
    <n v="19542.975350000001"/>
    <n v="18881.25"/>
    <n v="661.72535000000062"/>
    <n v="3.3860010471742245E-2"/>
  </r>
  <r>
    <s v="ORD-2023-197661"/>
    <d v="2023-08-08T00:00:00"/>
    <s v="Q3-2023"/>
    <s v="Aug-2023"/>
    <d v="2023-08-22T00:00:00"/>
    <n v="14"/>
    <d v="2023-08-22T00:00:00"/>
    <x v="3"/>
    <x v="8"/>
    <x v="12"/>
    <s v="Non-Profit"/>
    <s v="Direct"/>
    <s v="N. Brown"/>
    <x v="5"/>
    <s v="MON-7511"/>
    <n v="446.69"/>
    <n v="967.25"/>
    <n v="9.4E-2"/>
    <n v="10"/>
    <s v="ok"/>
    <n v="14"/>
    <n v="14"/>
    <n v="8763.2849999999999"/>
    <n v="4466.8999999999996"/>
    <n v="4296.3850000000002"/>
    <n v="0.49027105702941309"/>
  </r>
  <r>
    <s v="ORD-2024-212990"/>
    <d v="2024-08-12T00:00:00"/>
    <s v="Q3-2024"/>
    <s v="Aug-2024"/>
    <d v="2024-09-03T00:00:00"/>
    <n v="22"/>
    <d v="2024-09-03T00:00:00"/>
    <x v="2"/>
    <x v="10"/>
    <x v="36"/>
    <s v="Consumer"/>
    <s v="Distributor"/>
    <s v="I. Johnson"/>
    <x v="4"/>
    <s v="LAP-7979"/>
    <n v="797.8"/>
    <n v="886.22"/>
    <n v="0.23599999999999999"/>
    <n v="36"/>
    <s v="ok"/>
    <n v="22"/>
    <n v="22"/>
    <n v="24374.594880000001"/>
    <n v="28720.799999999999"/>
    <n v="-4346.2051199999987"/>
    <n v="-0.17830881462428633"/>
  </r>
  <r>
    <s v="ORD-2023-925146"/>
    <d v="2023-10-15T00:00:00"/>
    <s v="Q4-2023"/>
    <s v="Oct-2023"/>
    <d v="2023-11-13T00:00:00"/>
    <n v="29"/>
    <d v="2023-11-13T00:00:00"/>
    <x v="1"/>
    <x v="9"/>
    <x v="14"/>
    <s v="Non-Profit"/>
    <s v="Distributor"/>
    <s v="J. Njeri"/>
    <x v="1"/>
    <s v="PRN-4983"/>
    <n v="986.44"/>
    <n v="790.61"/>
    <n v="7.1999999999999995E-2"/>
    <n v="6"/>
    <s v="ok"/>
    <n v="29"/>
    <n v="29"/>
    <n v="4402.1164799999997"/>
    <n v="5918.64"/>
    <n v="-1516.5235200000006"/>
    <n v="-0.34449872621271499"/>
  </r>
  <r>
    <s v="ORD-2023-177794"/>
    <d v="2023-05-04T00:00:00"/>
    <s v="Q2-2023"/>
    <s v="May-2023"/>
    <d v="2023-05-26T00:00:00"/>
    <n v="22"/>
    <d v="2023-05-26T00:00:00"/>
    <x v="2"/>
    <x v="10"/>
    <x v="24"/>
    <s v="Enterprise"/>
    <s v="Online"/>
    <s v="J. Njeri"/>
    <x v="2"/>
    <s v="NET-5941"/>
    <n v="249.71"/>
    <n v="361.33"/>
    <n v="9.4E-2"/>
    <n v="12"/>
    <s v="ok"/>
    <n v="22"/>
    <n v="22"/>
    <n v="3928.3797600000003"/>
    <n v="2996.52"/>
    <n v="931.85976000000028"/>
    <n v="0.23721223937881206"/>
  </r>
  <r>
    <s v="ORD-2024-444710"/>
    <d v="2024-09-22T00:00:00"/>
    <s v="Q3-2024"/>
    <s v="Sept-2024"/>
    <d v="2024-10-01T00:00:00"/>
    <n v="9"/>
    <d v="2024-10-01T00:00:00"/>
    <x v="2"/>
    <x v="5"/>
    <x v="8"/>
    <s v="Non-Profit"/>
    <s v="Online"/>
    <s v="K. Singh"/>
    <x v="5"/>
    <s v="MON-6341"/>
    <n v="1378.8"/>
    <n v="1952.04"/>
    <n v="0.159"/>
    <n v="19"/>
    <s v="ok"/>
    <n v="9"/>
    <n v="9"/>
    <n v="31191.64716"/>
    <n v="26197.200000000001"/>
    <n v="4994.4471599999997"/>
    <n v="0.16012130216723058"/>
  </r>
  <r>
    <s v="ORD-2024-668926"/>
    <d v="2024-10-23T00:00:00"/>
    <s v="Q4-2024"/>
    <s v="Oct-2024"/>
    <d v="2024-11-14T00:00:00"/>
    <n v="22"/>
    <d v="2024-11-14T00:00:00"/>
    <x v="1"/>
    <x v="2"/>
    <x v="4"/>
    <s v="Non-Profit"/>
    <s v="Direct"/>
    <s v="B. Chen"/>
    <x v="3"/>
    <s v="PHN-9789"/>
    <n v="1406.4"/>
    <n v="1564.76"/>
    <n v="0.185"/>
    <n v="17"/>
    <s v="ok"/>
    <n v="22"/>
    <n v="22"/>
    <n v="21679.749799999998"/>
    <n v="23908.800000000003"/>
    <n v="-2229.0502000000051"/>
    <n v="-0.10281715520536151"/>
  </r>
  <r>
    <s v="ORD-2024-968374"/>
    <d v="2024-02-11T00:00:00"/>
    <s v="Q1-2024"/>
    <s v="Feb-2024"/>
    <d v="2024-03-03T00:00:00"/>
    <n v="21"/>
    <d v="2024-03-03T00:00:00"/>
    <x v="0"/>
    <x v="0"/>
    <x v="0"/>
    <s v="Enterprise"/>
    <s v="Online"/>
    <s v="B. Chen"/>
    <x v="3"/>
    <s v="PHN-5082"/>
    <n v="516.86"/>
    <n v="852.54"/>
    <n v="5.0999999999999997E-2"/>
    <n v="14"/>
    <s v="ok"/>
    <n v="21"/>
    <n v="21"/>
    <n v="11326.846439999999"/>
    <n v="7236.04"/>
    <n v="4090.8064399999994"/>
    <n v="0.36116022775355994"/>
  </r>
  <r>
    <s v="ORD-2023-575584"/>
    <d v="2023-01-30T00:00:00"/>
    <s v="Q1-2023"/>
    <s v="Jan-2023"/>
    <d v="2023-02-21T00:00:00"/>
    <n v="22"/>
    <d v="2023-02-21T00:00:00"/>
    <x v="3"/>
    <x v="6"/>
    <x v="22"/>
    <s v="Small Business"/>
    <s v="Marketplace"/>
    <s v="G. Dubois"/>
    <x v="2"/>
    <s v="NET-3460"/>
    <n v="1142.8800000000001"/>
    <n v="1465.29"/>
    <n v="0.186"/>
    <n v="7"/>
    <s v="ok"/>
    <n v="22"/>
    <n v="22"/>
    <n v="8349.2224200000001"/>
    <n v="8000.1600000000008"/>
    <n v="349.06241999999929"/>
    <n v="4.1807775915017401E-2"/>
  </r>
  <r>
    <s v="ORD-2023-701153"/>
    <d v="2023-04-14T00:00:00"/>
    <s v="Q2-2023"/>
    <s v="Apr-2023"/>
    <d v="2023-05-13T00:00:00"/>
    <n v="29"/>
    <d v="2023-05-13T00:00:00"/>
    <x v="3"/>
    <x v="6"/>
    <x v="37"/>
    <s v="Consumer"/>
    <s v="Direct"/>
    <s v="J. Njeri"/>
    <x v="1"/>
    <s v="PRN-7019"/>
    <n v="1320.33"/>
    <n v="2645.23"/>
    <n v="0.155"/>
    <n v="25"/>
    <s v="ok"/>
    <n v="29"/>
    <n v="29"/>
    <n v="55880.483749999999"/>
    <n v="33008.25"/>
    <n v="22872.233749999999"/>
    <n v="0.40930629470436536"/>
  </r>
  <r>
    <s v="ORD-2023-382017"/>
    <d v="2023-01-13T00:00:00"/>
    <s v="Q1-2023"/>
    <s v="Jan-2023"/>
    <d v="2023-01-19T00:00:00"/>
    <n v="6"/>
    <d v="2023-01-19T00:00:00"/>
    <x v="2"/>
    <x v="10"/>
    <x v="15"/>
    <s v="Corporate"/>
    <s v="Direct"/>
    <s v="H. Kim"/>
    <x v="3"/>
    <s v="PHN-3159"/>
    <n v="833.57"/>
    <n v="881.57"/>
    <n v="5.7000000000000002E-2"/>
    <n v="18"/>
    <s v="ok"/>
    <n v="6"/>
    <n v="6"/>
    <n v="14963.769179999999"/>
    <n v="15004.26"/>
    <n v="-40.490820000000895"/>
    <n v="-2.7059238560107821E-3"/>
  </r>
  <r>
    <s v="ORD-2024-999607"/>
    <d v="2024-01-12T00:00:00"/>
    <s v="Q1-2024"/>
    <s v="Jan-2024"/>
    <d v="2024-01-29T00:00:00"/>
    <n v="17"/>
    <d v="2024-01-29T00:00:00"/>
    <x v="2"/>
    <x v="10"/>
    <x v="15"/>
    <s v="Education"/>
    <s v="Distributor"/>
    <s v="A. Patel"/>
    <x v="1"/>
    <s v="PRN-8604"/>
    <n v="493.76"/>
    <n v="625.04"/>
    <n v="0.25800000000000001"/>
    <n v="10"/>
    <s v="ok"/>
    <n v="17"/>
    <n v="17"/>
    <n v="4637.7968000000001"/>
    <n v="4937.6000000000004"/>
    <n v="-299.80320000000029"/>
    <n v="-6.464345311549663E-2"/>
  </r>
  <r>
    <s v="ORD-2023-133848"/>
    <d v="2023-08-15T00:00:00"/>
    <s v="Q3-2023"/>
    <s v="Aug-2023"/>
    <d v="2023-09-07T00:00:00"/>
    <n v="23"/>
    <d v="2023-09-07T00:00:00"/>
    <x v="2"/>
    <x v="10"/>
    <x v="39"/>
    <s v="Enterprise"/>
    <s v="Online"/>
    <s v="K. Singh"/>
    <x v="3"/>
    <s v="PHN-2013"/>
    <n v="590.33000000000004"/>
    <n v="973.04"/>
    <n v="0"/>
    <n v="26"/>
    <s v="ok"/>
    <n v="23"/>
    <n v="23"/>
    <n v="25299.040000000001"/>
    <n v="15348.580000000002"/>
    <n v="9950.4599999999991"/>
    <n v="0.39331373838691108"/>
  </r>
  <r>
    <s v="ORD-2023-586275"/>
    <d v="2023-01-20T00:00:00"/>
    <s v="Q1-2023"/>
    <s v="Jan-2023"/>
    <d v="2023-02-03T00:00:00"/>
    <n v="14"/>
    <d v="2023-02-03T00:00:00"/>
    <x v="0"/>
    <x v="0"/>
    <x v="0"/>
    <s v="Corporate"/>
    <s v="Retail"/>
    <s v="M. Rossi"/>
    <x v="2"/>
    <s v="NET-6036"/>
    <n v="884.36"/>
    <n v="1545.34"/>
    <n v="0.24299999999999999"/>
    <n v="41"/>
    <s v="ok"/>
    <n v="14"/>
    <n v="14"/>
    <n v="47962.717579999997"/>
    <n v="36258.76"/>
    <n v="11703.957579999995"/>
    <n v="0.24402198562827965"/>
  </r>
  <r>
    <s v="ORD-2025-964661"/>
    <d v="2025-02-04T00:00:00"/>
    <s v="Q1-2025"/>
    <s v="Feb-2025"/>
    <d v="2025-02-25T00:00:00"/>
    <n v="21"/>
    <d v="2025-02-25T00:00:00"/>
    <x v="3"/>
    <x v="8"/>
    <x v="12"/>
    <s v="Corporate"/>
    <s v="Marketplace"/>
    <s v="D. Smith"/>
    <x v="5"/>
    <s v="MON-4959"/>
    <n v="1016.32"/>
    <n v="2253.42"/>
    <n v="5.5E-2"/>
    <n v="12"/>
    <s v="ok"/>
    <n v="21"/>
    <n v="21"/>
    <n v="25553.782800000001"/>
    <n v="12195.84"/>
    <n v="13357.942800000001"/>
    <n v="0.52273837124419797"/>
  </r>
  <r>
    <s v="ORD-2023-390998"/>
    <d v="2023-04-19T00:00:00"/>
    <s v="Q2-2023"/>
    <s v="Apr-2023"/>
    <d v="2023-04-28T00:00:00"/>
    <n v="9"/>
    <d v="2023-04-28T00:00:00"/>
    <x v="3"/>
    <x v="6"/>
    <x v="9"/>
    <s v="Education"/>
    <s v="Online"/>
    <s v="E. Garcia"/>
    <x v="5"/>
    <s v="MON-1663"/>
    <n v="1178.42"/>
    <n v="2446.56"/>
    <n v="2.9000000000000001E-2"/>
    <n v="11"/>
    <s v="ok"/>
    <n v="9"/>
    <n v="9"/>
    <n v="26131.70736"/>
    <n v="12962.62"/>
    <n v="13169.08736"/>
    <n v="0.5039505141618883"/>
  </r>
  <r>
    <s v="ORD-2023-920483"/>
    <d v="2023-07-02T00:00:00"/>
    <s v="Q3-2023"/>
    <s v="Jul-2023"/>
    <d v="2023-08-01T00:00:00"/>
    <n v="30"/>
    <d v="2023-08-01T00:00:00"/>
    <x v="3"/>
    <x v="8"/>
    <x v="12"/>
    <s v="Small Business"/>
    <s v="Retail"/>
    <s v="B. Chen"/>
    <x v="0"/>
    <s v="CMP-7256"/>
    <n v="137.46"/>
    <n v="188.3"/>
    <n v="3.7999999999999999E-2"/>
    <n v="37"/>
    <s v="ok"/>
    <n v="30"/>
    <n v="30"/>
    <n v="6702.3501999999999"/>
    <n v="5086.0200000000004"/>
    <n v="1616.3301999999994"/>
    <n v="0.24115872071262398"/>
  </r>
  <r>
    <s v="ORD-2025-146850"/>
    <d v="2025-01-21T00:00:00"/>
    <s v="Q1-2025"/>
    <s v="Jan-2025"/>
    <d v="2025-02-14T00:00:00"/>
    <n v="24"/>
    <d v="2025-02-14T00:00:00"/>
    <x v="0"/>
    <x v="0"/>
    <x v="2"/>
    <s v="Small Business"/>
    <s v="Retail"/>
    <s v="J. Njeri"/>
    <x v="6"/>
    <s v="ACC-1659"/>
    <n v="1030.44"/>
    <n v="2562.84"/>
    <n v="0.14799999999999999"/>
    <n v="13"/>
    <s v="ok"/>
    <n v="24"/>
    <n v="24"/>
    <n v="28386.015839999996"/>
    <n v="13395.720000000001"/>
    <n v="14990.295839999995"/>
    <n v="0.52808734852027039"/>
  </r>
  <r>
    <s v="ORD-2024-687100"/>
    <d v="2024-09-10T00:00:00"/>
    <s v="Q3-2024"/>
    <s v="Sept-2024"/>
    <d v="2024-10-07T00:00:00"/>
    <n v="27"/>
    <d v="2024-10-07T00:00:00"/>
    <x v="0"/>
    <x v="0"/>
    <x v="0"/>
    <s v="Consumer"/>
    <s v="Retail"/>
    <s v="L. Okafor"/>
    <x v="1"/>
    <s v="PRN-6068"/>
    <n v="1248.3900000000001"/>
    <n v="1805.11"/>
    <n v="0.20300000000000001"/>
    <n v="11"/>
    <s v="ok"/>
    <n v="27"/>
    <n v="27"/>
    <n v="15825.399369999997"/>
    <n v="13732.29"/>
    <n v="2093.1093699999965"/>
    <n v="0.13226265707820786"/>
  </r>
  <r>
    <s v="ORD-2025-629393"/>
    <d v="2025-07-21T00:00:00"/>
    <s v="Q3-2025"/>
    <s v="Jul-2025"/>
    <d v="2025-08-07T00:00:00"/>
    <n v="17"/>
    <d v="2025-08-07T00:00:00"/>
    <x v="0"/>
    <x v="1"/>
    <x v="3"/>
    <s v="Enterprise"/>
    <s v="Direct"/>
    <s v="M. Rossi"/>
    <x v="6"/>
    <s v="ACC-8999"/>
    <n v="1204.95"/>
    <n v="2065.73"/>
    <n v="0.13600000000000001"/>
    <n v="10"/>
    <s v="ok"/>
    <n v="17"/>
    <n v="17"/>
    <n v="17847.907199999998"/>
    <n v="12049.5"/>
    <n v="5798.4071999999978"/>
    <n v="0.32487882949100039"/>
  </r>
  <r>
    <s v="ORD-2024-686712"/>
    <d v="2024-10-02T00:00:00"/>
    <s v="Q4-2024"/>
    <s v="Oct-2024"/>
    <d v="2024-10-23T00:00:00"/>
    <n v="21"/>
    <d v="2024-10-23T00:00:00"/>
    <x v="0"/>
    <x v="11"/>
    <x v="25"/>
    <s v="Corporate"/>
    <s v="Marketplace"/>
    <s v="A. Patel"/>
    <x v="0"/>
    <s v="CMP-3978"/>
    <n v="1095.6099999999999"/>
    <n v="2366.5100000000002"/>
    <n v="0.152"/>
    <n v="9"/>
    <s v="ok"/>
    <n v="21"/>
    <n v="21"/>
    <n v="18061.204320000004"/>
    <n v="9860.49"/>
    <n v="8200.7143200000046"/>
    <n v="0.4540513564158607"/>
  </r>
  <r>
    <s v="ORD-2025-586799"/>
    <d v="2025-07-14T00:00:00"/>
    <s v="Q3-2025"/>
    <s v="Jul-2025"/>
    <d v="2025-08-04T00:00:00"/>
    <n v="21"/>
    <d v="2025-08-04T00:00:00"/>
    <x v="2"/>
    <x v="3"/>
    <x v="19"/>
    <s v="Consumer"/>
    <s v="Online"/>
    <s v="H. Kim"/>
    <x v="5"/>
    <s v="MON-7868"/>
    <n v="90.3"/>
    <n v="131.76"/>
    <n v="0.10199999999999999"/>
    <n v="15"/>
    <s v="ok"/>
    <n v="21"/>
    <n v="21"/>
    <n v="1774.8072"/>
    <n v="1354.5"/>
    <n v="420.30719999999997"/>
    <n v="0.23681851189244668"/>
  </r>
  <r>
    <s v="ORD-2024-988736"/>
    <d v="2024-09-09T00:00:00"/>
    <s v="Q3-2024"/>
    <s v="Sept-2024"/>
    <d v="2024-10-01T00:00:00"/>
    <n v="22"/>
    <d v="2024-10-01T00:00:00"/>
    <x v="1"/>
    <x v="9"/>
    <x v="14"/>
    <s v="Consumer"/>
    <s v="Direct"/>
    <s v="L. Okafor"/>
    <x v="1"/>
    <s v="PRN-3014"/>
    <n v="1166.18"/>
    <n v="1335.02"/>
    <n v="0.128"/>
    <n v="6"/>
    <s v="ok"/>
    <n v="22"/>
    <n v="22"/>
    <n v="6984.8246399999998"/>
    <n v="6997.08"/>
    <n v="-12.25536000000011"/>
    <n v="-1.7545694604582242E-3"/>
  </r>
  <r>
    <s v="ORD-2025-564184"/>
    <d v="2025-01-29T00:00:00"/>
    <s v="Q1-2025"/>
    <s v="Jan-2025"/>
    <d v="2025-02-06T00:00:00"/>
    <n v="8"/>
    <d v="2025-02-06T00:00:00"/>
    <x v="0"/>
    <x v="0"/>
    <x v="0"/>
    <s v="Education"/>
    <s v="Retail"/>
    <s v="B. Chen"/>
    <x v="3"/>
    <s v="PHN-1671"/>
    <n v="1445.27"/>
    <n v="2691.45"/>
    <n v="0"/>
    <n v="9"/>
    <s v="ok"/>
    <n v="8"/>
    <n v="8"/>
    <n v="24223.05"/>
    <n v="13007.43"/>
    <n v="11215.619999999999"/>
    <n v="0.46301436028906351"/>
  </r>
  <r>
    <s v="ORD-2023-653343"/>
    <d v="2023-11-10T00:00:00"/>
    <s v="Q4-2023"/>
    <s v="Nov-2023"/>
    <d v="2023-11-28T00:00:00"/>
    <n v="18"/>
    <d v="2023-11-28T00:00:00"/>
    <x v="2"/>
    <x v="5"/>
    <x v="10"/>
    <s v="Education"/>
    <s v="Marketplace"/>
    <s v="L. Okafor"/>
    <x v="6"/>
    <s v="ACC-5260"/>
    <n v="388.51"/>
    <n v="776.46"/>
    <n v="0.157"/>
    <n v="12"/>
    <s v="ok"/>
    <n v="18"/>
    <n v="18"/>
    <n v="7854.6693599999999"/>
    <n v="4662.12"/>
    <n v="3192.54936"/>
    <n v="0.40645241876864946"/>
  </r>
  <r>
    <s v="ORD-2024-197852"/>
    <d v="2024-02-29T00:00:00"/>
    <s v="Q1-2024"/>
    <s v="Feb-2024"/>
    <d v="2024-03-30T00:00:00"/>
    <n v="30"/>
    <d v="2024-03-30T00:00:00"/>
    <x v="1"/>
    <x v="2"/>
    <x v="32"/>
    <s v="Small Business"/>
    <s v="Direct"/>
    <s v="I. Johnson"/>
    <x v="2"/>
    <s v="NET-7588"/>
    <n v="231.11"/>
    <n v="318.17"/>
    <n v="0.20100000000000001"/>
    <n v="60"/>
    <s v="ok"/>
    <n v="30"/>
    <n v="30"/>
    <n v="15253.069799999999"/>
    <n v="13866.6"/>
    <n v="1386.4697999999989"/>
    <n v="9.0897754889969692E-2"/>
  </r>
  <r>
    <s v="ORD-2023-431328"/>
    <d v="2023-12-20T00:00:00"/>
    <s v="Q4-2023"/>
    <s v="Dec-2023"/>
    <d v="2024-01-14T00:00:00"/>
    <n v="25"/>
    <d v="2024-01-14T00:00:00"/>
    <x v="1"/>
    <x v="4"/>
    <x v="29"/>
    <s v="Non-Profit"/>
    <s v="Marketplace"/>
    <s v="L. Okafor"/>
    <x v="5"/>
    <s v="MON-1572"/>
    <n v="1085.6099999999999"/>
    <n v="1246.4100000000001"/>
    <n v="0.113"/>
    <n v="7"/>
    <s v="ok"/>
    <n v="25"/>
    <n v="25"/>
    <n v="7738.9596900000006"/>
    <n v="7599.2699999999995"/>
    <n v="139.68969000000106"/>
    <n v="1.8050189637310417E-2"/>
  </r>
  <r>
    <s v="ORD-2023-613317"/>
    <d v="2023-01-22T00:00:00"/>
    <s v="Q1-2023"/>
    <s v="Jan-2023"/>
    <d v="2023-01-21T00:00:00"/>
    <n v="14"/>
    <d v="2023-02-05T00:00:00"/>
    <x v="3"/>
    <x v="6"/>
    <x v="22"/>
    <s v="Corporate"/>
    <s v="Direct"/>
    <s v="F. Müller"/>
    <x v="5"/>
    <s v="MON-2537"/>
    <n v="150.86000000000001"/>
    <n v="346.96"/>
    <n v="0.19600000000000001"/>
    <n v="8"/>
    <s v="sus"/>
    <n v="-1"/>
    <n v="1"/>
    <n v="2231.6467200000002"/>
    <n v="1206.8800000000001"/>
    <n v="1024.7667200000001"/>
    <n v="0.45919755614365343"/>
  </r>
  <r>
    <s v="ORD-2024-720756"/>
    <d v="2024-10-11T00:00:00"/>
    <s v="Q4-2024"/>
    <s v="Oct-2024"/>
    <d v="2024-11-09T00:00:00"/>
    <n v="29"/>
    <d v="2024-11-09T00:00:00"/>
    <x v="1"/>
    <x v="9"/>
    <x v="23"/>
    <s v="Non-Profit"/>
    <s v="Online"/>
    <s v="F. Müller"/>
    <x v="1"/>
    <s v="PRN-5666"/>
    <n v="391.64"/>
    <n v="504.76"/>
    <n v="4.0000000000000001E-3"/>
    <n v="13"/>
    <s v="ok"/>
    <n v="29"/>
    <n v="29"/>
    <n v="6535.6324800000002"/>
    <n v="5091.32"/>
    <n v="1444.3124800000005"/>
    <n v="0.22099046793402319"/>
  </r>
  <r>
    <s v="ORD-2024-777623"/>
    <d v="2024-09-19T00:00:00"/>
    <s v="Q3-2024"/>
    <s v="Sept-2024"/>
    <d v="2024-10-14T00:00:00"/>
    <n v="25"/>
    <d v="2024-10-14T00:00:00"/>
    <x v="2"/>
    <x v="5"/>
    <x v="30"/>
    <s v="Small Business"/>
    <s v="Retail"/>
    <s v="K. Singh"/>
    <x v="1"/>
    <s v="PRN-2749"/>
    <n v="386.96"/>
    <n v="937.46"/>
    <n v="0.26600000000000001"/>
    <n v="41"/>
    <s v="ok"/>
    <n v="25"/>
    <n v="25"/>
    <n v="28211.92124"/>
    <n v="15865.359999999999"/>
    <n v="12346.561240000001"/>
    <n v="0.43763631462626335"/>
  </r>
  <r>
    <s v="ORD-2025-762212"/>
    <d v="2025-08-25T00:00:00"/>
    <s v="Q3-2025"/>
    <s v="Aug-2025"/>
    <d v="2025-09-24T00:00:00"/>
    <n v="30"/>
    <d v="2025-09-24T00:00:00"/>
    <x v="0"/>
    <x v="0"/>
    <x v="2"/>
    <s v="Consumer"/>
    <s v="Direct"/>
    <s v="B. Chen"/>
    <x v="0"/>
    <s v="CMP-4970"/>
    <n v="589.14"/>
    <n v="1300.58"/>
    <n v="5.5E-2"/>
    <n v="11"/>
    <s v="ok"/>
    <n v="30"/>
    <n v="30"/>
    <n v="13519.529099999998"/>
    <n v="6480.54"/>
    <n v="7038.989099999998"/>
    <n v="0.52065342275863724"/>
  </r>
  <r>
    <s v="ORD-2023-271918"/>
    <d v="2023-09-25T00:00:00"/>
    <s v="Q3-2023"/>
    <s v="Sept-2023"/>
    <d v="2023-10-02T00:00:00"/>
    <n v="7"/>
    <d v="2023-10-02T00:00:00"/>
    <x v="2"/>
    <x v="10"/>
    <x v="39"/>
    <s v="Education"/>
    <s v="Marketplace"/>
    <s v="I. Johnson"/>
    <x v="6"/>
    <s v="ACC-3551"/>
    <n v="145.58000000000001"/>
    <n v="228.15"/>
    <n v="0.20399999999999999"/>
    <n v="5"/>
    <s v="ok"/>
    <n v="7"/>
    <n v="7"/>
    <n v="908.03700000000003"/>
    <n v="727.90000000000009"/>
    <n v="180.13699999999994"/>
    <n v="0.19838068272548359"/>
  </r>
  <r>
    <s v="ORD-2023-713375"/>
    <d v="2023-08-26T00:00:00"/>
    <s v="Q3-2023"/>
    <s v="Aug-2023"/>
    <d v="2023-09-10T00:00:00"/>
    <n v="15"/>
    <d v="2023-09-10T00:00:00"/>
    <x v="0"/>
    <x v="11"/>
    <x v="33"/>
    <s v="Non-Profit"/>
    <s v="Direct"/>
    <s v="N. Brown"/>
    <x v="0"/>
    <s v="CMP-7063"/>
    <n v="241.14"/>
    <n v="496.52"/>
    <n v="9.2999999999999999E-2"/>
    <n v="10"/>
    <s v="ok"/>
    <n v="15"/>
    <n v="15"/>
    <n v="4503.4363999999996"/>
    <n v="2411.3999999999996"/>
    <n v="2092.0364"/>
    <n v="0.46454223268257994"/>
  </r>
  <r>
    <s v="ORD-2025-678688"/>
    <d v="2025-07-16T00:00:00"/>
    <s v="Q3-2025"/>
    <s v="Jul-2025"/>
    <d v="2025-07-17T00:00:00"/>
    <n v="1"/>
    <d v="2025-07-17T00:00:00"/>
    <x v="0"/>
    <x v="11"/>
    <x v="25"/>
    <s v="Small Business"/>
    <s v="Distributor"/>
    <s v="B. Chen"/>
    <x v="2"/>
    <s v="NET-1612"/>
    <n v="1198.9000000000001"/>
    <n v="2941.2"/>
    <n v="5.0999999999999997E-2"/>
    <n v="24"/>
    <s v="ok"/>
    <n v="1"/>
    <n v="1"/>
    <n v="66988.771199999988"/>
    <n v="28773.600000000002"/>
    <n v="38215.171199999982"/>
    <n v="0.57047129713583977"/>
  </r>
  <r>
    <s v="ORD-2023-501220"/>
    <d v="2023-04-19T00:00:00"/>
    <s v="Q2-2023"/>
    <s v="Apr-2023"/>
    <d v="2023-05-07T00:00:00"/>
    <n v="18"/>
    <d v="2023-05-07T00:00:00"/>
    <x v="3"/>
    <x v="8"/>
    <x v="12"/>
    <s v="Enterprise"/>
    <s v="Retail"/>
    <s v="N. Brown"/>
    <x v="4"/>
    <s v="LAP-9766"/>
    <n v="1089.1500000000001"/>
    <n v="1088.2"/>
    <n v="5.0999999999999997E-2"/>
    <n v="15"/>
    <s v="ok"/>
    <n v="18"/>
    <n v="18"/>
    <n v="15490.527"/>
    <n v="16337.250000000002"/>
    <n v="-846.72300000000178"/>
    <n v="-5.4660696824582002E-2"/>
  </r>
  <r>
    <s v="ORD-2023-195665"/>
    <d v="2023-12-19T00:00:00"/>
    <s v="Q4-2023"/>
    <s v="Dec-2023"/>
    <d v="2023-12-20T00:00:00"/>
    <n v="1"/>
    <d v="2023-12-20T00:00:00"/>
    <x v="2"/>
    <x v="5"/>
    <x v="30"/>
    <s v="Consumer"/>
    <s v="Distributor"/>
    <s v="J. Njeri"/>
    <x v="3"/>
    <s v="PHN-7274"/>
    <n v="1080.43"/>
    <n v="2529.15"/>
    <n v="0.14699999999999999"/>
    <n v="10"/>
    <s v="ok"/>
    <n v="1"/>
    <n v="1"/>
    <n v="21573.6495"/>
    <n v="10804.300000000001"/>
    <n v="10769.349499999998"/>
    <n v="0.49918997247081437"/>
  </r>
  <r>
    <s v="ORD-2023-290237"/>
    <d v="2023-07-30T00:00:00"/>
    <s v="Q3-2023"/>
    <s v="Jul-2023"/>
    <d v="2023-08-07T00:00:00"/>
    <n v="8"/>
    <d v="2023-08-07T00:00:00"/>
    <x v="1"/>
    <x v="2"/>
    <x v="32"/>
    <s v="Education"/>
    <s v="Marketplace"/>
    <s v="A. Patel"/>
    <x v="2"/>
    <s v="NET-1645"/>
    <n v="1352.44"/>
    <n v="2698.01"/>
    <n v="0.13100000000000001"/>
    <n v="13"/>
    <s v="ok"/>
    <n v="8"/>
    <n v="8"/>
    <n v="30479.418970000002"/>
    <n v="17581.72"/>
    <n v="12897.698970000001"/>
    <n v="0.42316091992090887"/>
  </r>
  <r>
    <s v="ORD-2023-302041"/>
    <d v="2023-10-04T00:00:00"/>
    <s v="Q4-2023"/>
    <s v="Oct-2023"/>
    <d v="2023-10-29T00:00:00"/>
    <n v="25"/>
    <d v="2023-10-29T00:00:00"/>
    <x v="2"/>
    <x v="10"/>
    <x v="24"/>
    <s v="Small Business"/>
    <s v="Distributor"/>
    <s v="O. Wang"/>
    <x v="6"/>
    <s v="ACC-5079"/>
    <n v="1239.8399999999999"/>
    <n v="1482.75"/>
    <n v="6.7000000000000004E-2"/>
    <n v="4"/>
    <s v="ok"/>
    <n v="25"/>
    <n v="25"/>
    <n v="5533.6230000000005"/>
    <n v="4959.3599999999997"/>
    <n v="574.26300000000083"/>
    <n v="0.10377703721413634"/>
  </r>
  <r>
    <s v="ORD-2025-289139"/>
    <d v="2025-08-10T00:00:00"/>
    <s v="Q3-2025"/>
    <s v="Aug-2025"/>
    <d v="2025-08-30T00:00:00"/>
    <n v="20"/>
    <d v="2025-08-30T00:00:00"/>
    <x v="2"/>
    <x v="10"/>
    <x v="24"/>
    <s v="Corporate"/>
    <s v="Marketplace"/>
    <s v="K. Singh"/>
    <x v="1"/>
    <s v="PRN-2098"/>
    <n v="933.29"/>
    <n v="1456.81"/>
    <n v="0.123"/>
    <n v="13"/>
    <s v="ok"/>
    <n v="20"/>
    <n v="20"/>
    <n v="16609.090809999998"/>
    <n v="12132.77"/>
    <n v="4476.3208099999974"/>
    <n v="0.26951028573489977"/>
  </r>
  <r>
    <s v="ORD-2023-949710"/>
    <d v="2023-03-07T00:00:00"/>
    <s v="Q1-2023"/>
    <s v="Mar-2023"/>
    <d v="2023-04-01T00:00:00"/>
    <n v="25"/>
    <d v="2023-04-01T00:00:00"/>
    <x v="0"/>
    <x v="0"/>
    <x v="2"/>
    <s v="Consumer"/>
    <s v="Marketplace"/>
    <s v="D. Smith"/>
    <x v="1"/>
    <s v="PRN-7049"/>
    <n v="1024.0999999999999"/>
    <n v="918.19"/>
    <n v="0.189"/>
    <n v="10"/>
    <s v="ok"/>
    <n v="25"/>
    <n v="25"/>
    <n v="7446.5209000000004"/>
    <n v="10241"/>
    <n v="-2794.4790999999996"/>
    <n v="-0.37527311579827827"/>
  </r>
  <r>
    <s v="ORD-2023-603650"/>
    <d v="2023-05-23T00:00:00"/>
    <s v="Q2-2023"/>
    <s v="May-2023"/>
    <d v="2023-06-10T00:00:00"/>
    <n v="18"/>
    <d v="2023-06-10T00:00:00"/>
    <x v="1"/>
    <x v="9"/>
    <x v="23"/>
    <s v="Corporate"/>
    <s v="Distributor"/>
    <s v="E. Garcia"/>
    <x v="0"/>
    <s v="CMP-6925"/>
    <n v="54.62"/>
    <n v="48.94"/>
    <n v="0.14799999999999999"/>
    <n v="16"/>
    <s v="ok"/>
    <n v="18"/>
    <n v="18"/>
    <n v="667.15008"/>
    <n v="873.92"/>
    <n v="-206.76991999999996"/>
    <n v="-0.3099301434543783"/>
  </r>
  <r>
    <s v="ORD-2025-757957"/>
    <d v="2025-04-24T00:00:00"/>
    <s v="Q2-2025"/>
    <s v="Apr-2025"/>
    <d v="2025-05-06T00:00:00"/>
    <n v="12"/>
    <d v="2025-05-06T00:00:00"/>
    <x v="2"/>
    <x v="5"/>
    <x v="10"/>
    <s v="Consumer"/>
    <s v="Online"/>
    <s v="C. Otieno"/>
    <x v="3"/>
    <s v="PHN-2787"/>
    <n v="394.13"/>
    <n v="932.29"/>
    <n v="0.109"/>
    <n v="7"/>
    <s v="ok"/>
    <n v="12"/>
    <n v="12"/>
    <n v="5814.6927299999998"/>
    <n v="2758.91"/>
    <n v="3055.7827299999999"/>
    <n v="0.5255278089303268"/>
  </r>
  <r>
    <s v="ORD-2024-423853"/>
    <d v="2024-09-03T00:00:00"/>
    <s v="Q3-2024"/>
    <s v="Sept-2024"/>
    <d v="2024-09-08T00:00:00"/>
    <n v="5"/>
    <d v="2024-09-08T00:00:00"/>
    <x v="0"/>
    <x v="1"/>
    <x v="3"/>
    <s v="Small Business"/>
    <s v="Direct"/>
    <s v="K. Singh"/>
    <x v="1"/>
    <s v="PRN-1141"/>
    <n v="197.63"/>
    <n v="325.79000000000002"/>
    <n v="0.11600000000000001"/>
    <n v="10"/>
    <s v="ok"/>
    <n v="5"/>
    <n v="5"/>
    <n v="2879.9836"/>
    <n v="1976.3"/>
    <n v="903.68360000000007"/>
    <n v="0.31378081458519419"/>
  </r>
  <r>
    <s v="ORD-2024-569164"/>
    <d v="2024-09-05T00:00:00"/>
    <s v="Q3-2024"/>
    <s v="Sept-2024"/>
    <d v="2024-09-25T00:00:00"/>
    <n v="20"/>
    <d v="2024-09-25T00:00:00"/>
    <x v="1"/>
    <x v="2"/>
    <x v="4"/>
    <s v="Enterprise"/>
    <s v="Distributor"/>
    <s v="D. Smith"/>
    <x v="5"/>
    <s v="MON-5249"/>
    <n v="195.54"/>
    <n v="405.97"/>
    <n v="0.187"/>
    <n v="16"/>
    <s v="ok"/>
    <n v="20"/>
    <n v="20"/>
    <n v="5280.8577599999999"/>
    <n v="3128.64"/>
    <n v="2152.21776"/>
    <n v="0.40755079152141377"/>
  </r>
  <r>
    <s v="ORD-2023-946143"/>
    <d v="2023-03-14T00:00:00"/>
    <s v="Q1-2023"/>
    <s v="Mar-2023"/>
    <d v="2023-03-30T00:00:00"/>
    <n v="16"/>
    <d v="2023-03-30T00:00:00"/>
    <x v="0"/>
    <x v="11"/>
    <x v="33"/>
    <s v="Consumer"/>
    <s v="Distributor"/>
    <s v="K. Singh"/>
    <x v="0"/>
    <s v="CMP-8230"/>
    <n v="1309.77"/>
    <n v="1589.07"/>
    <n v="0.10199999999999999"/>
    <n v="10"/>
    <s v="ok"/>
    <n v="16"/>
    <n v="16"/>
    <n v="14269.848599999999"/>
    <n v="13097.7"/>
    <n v="1172.1485999999986"/>
    <n v="8.2141628328137886E-2"/>
  </r>
  <r>
    <s v="ORD-2024-281211"/>
    <d v="2024-01-11T00:00:00"/>
    <s v="Q1-2024"/>
    <s v="Jan-2024"/>
    <d v="2024-02-02T00:00:00"/>
    <n v="22"/>
    <d v="2024-02-02T00:00:00"/>
    <x v="1"/>
    <x v="2"/>
    <x v="32"/>
    <s v="Small Business"/>
    <s v="Online"/>
    <s v="unknown"/>
    <x v="1"/>
    <s v="PRN-7816"/>
    <n v="1237.68"/>
    <n v="1432.8"/>
    <n v="6.8000000000000005E-2"/>
    <n v="13"/>
    <s v="ok"/>
    <n v="22"/>
    <n v="22"/>
    <n v="17359.804799999998"/>
    <n v="16089.84"/>
    <n v="1269.9647999999979"/>
    <n v="7.315547695559331E-2"/>
  </r>
  <r>
    <s v="ORD-2024-805860"/>
    <d v="2024-09-13T00:00:00"/>
    <s v="Q3-2024"/>
    <s v="Sept-2024"/>
    <d v="2024-10-02T00:00:00"/>
    <n v="19"/>
    <d v="2024-10-02T00:00:00"/>
    <x v="0"/>
    <x v="0"/>
    <x v="13"/>
    <s v="Small Business"/>
    <s v="Retail"/>
    <s v="M. Rossi"/>
    <x v="3"/>
    <s v="PHN-8804"/>
    <n v="1338.99"/>
    <n v="1765.76"/>
    <n v="0.126"/>
    <n v="24"/>
    <s v="ok"/>
    <n v="19"/>
    <n v="19"/>
    <n v="37038.581760000001"/>
    <n v="32135.760000000002"/>
    <n v="4902.8217599999989"/>
    <n v="0.1323706666677725"/>
  </r>
  <r>
    <s v="ORD-2025-132174"/>
    <d v="2025-07-17T00:00:00"/>
    <s v="Q3-2025"/>
    <s v="Jul-2025"/>
    <d v="2025-07-23T00:00:00"/>
    <n v="6"/>
    <d v="2025-07-23T00:00:00"/>
    <x v="2"/>
    <x v="3"/>
    <x v="26"/>
    <s v="Consumer"/>
    <s v="Online"/>
    <s v="H. Kim"/>
    <x v="0"/>
    <s v="CMP-8851"/>
    <n v="1364.89"/>
    <n v="2757.54"/>
    <n v="0.17199999999999999"/>
    <n v="61"/>
    <s v="ok"/>
    <n v="6"/>
    <n v="6"/>
    <n v="139277.83032000001"/>
    <n v="83258.290000000008"/>
    <n v="56019.54032"/>
    <n v="0.4022143379983118"/>
  </r>
  <r>
    <s v="ORD-2023-964434"/>
    <d v="2023-11-28T00:00:00"/>
    <s v="Q4-2023"/>
    <s v="Nov-2023"/>
    <d v="2023-12-07T00:00:00"/>
    <n v="9"/>
    <d v="2023-12-07T00:00:00"/>
    <x v="1"/>
    <x v="4"/>
    <x v="18"/>
    <s v="Enterprise"/>
    <s v="Marketplace"/>
    <s v="L. Okafor"/>
    <x v="3"/>
    <s v="PHN-2447"/>
    <n v="699.33"/>
    <n v="873.75"/>
    <n v="0.23499999999999999"/>
    <n v="10"/>
    <s v="ok"/>
    <n v="9"/>
    <n v="9"/>
    <n v="6684.1875"/>
    <n v="6993.3"/>
    <n v="-309.11250000000018"/>
    <n v="-4.6245336475076469E-2"/>
  </r>
  <r>
    <s v="ORD-2024-897622"/>
    <d v="2024-03-30T00:00:00"/>
    <s v="Q1-2024"/>
    <s v="Mar-2024"/>
    <d v="2024-04-24T00:00:00"/>
    <n v="25"/>
    <d v="2024-04-24T00:00:00"/>
    <x v="2"/>
    <x v="10"/>
    <x v="36"/>
    <s v="Non-Profit"/>
    <s v="Online"/>
    <s v="G. Dubois"/>
    <x v="4"/>
    <s v="LAP-2846"/>
    <n v="160.82"/>
    <n v="258.52"/>
    <n v="0.13"/>
    <n v="17"/>
    <s v="ok"/>
    <n v="25"/>
    <n v="25"/>
    <n v="3823.5108"/>
    <n v="2733.94"/>
    <n v="1089.5708"/>
    <n v="0.28496605789631874"/>
  </r>
  <r>
    <s v="ORD-2023-517216"/>
    <d v="2023-09-19T00:00:00"/>
    <s v="Q3-2023"/>
    <s v="Sept-2023"/>
    <d v="2023-10-08T00:00:00"/>
    <n v="19"/>
    <d v="2023-10-08T00:00:00"/>
    <x v="1"/>
    <x v="4"/>
    <x v="6"/>
    <s v="Education"/>
    <s v="Direct"/>
    <s v="J. Njeri"/>
    <x v="1"/>
    <s v="PRN-5005"/>
    <n v="385.32"/>
    <n v="606.76"/>
    <n v="8.5999999999999993E-2"/>
    <n v="8"/>
    <s v="ok"/>
    <n v="19"/>
    <n v="19"/>
    <n v="4436.6291200000005"/>
    <n v="3082.56"/>
    <n v="1354.0691200000006"/>
    <n v="0.30520223425842735"/>
  </r>
  <r>
    <s v="ORD-2025-509940"/>
    <d v="2025-05-16T00:00:00"/>
    <s v="Q2-2025"/>
    <s v="May-2025"/>
    <d v="2025-05-27T00:00:00"/>
    <n v="11"/>
    <d v="2025-05-27T00:00:00"/>
    <x v="1"/>
    <x v="9"/>
    <x v="38"/>
    <s v="Enterprise"/>
    <s v="Online"/>
    <s v="F. Müller"/>
    <x v="3"/>
    <s v="PHN-3800"/>
    <n v="918.12"/>
    <n v="1337.69"/>
    <n v="9.5000000000000001E-2"/>
    <n v="8"/>
    <s v="ok"/>
    <n v="11"/>
    <n v="11"/>
    <n v="9684.8756000000012"/>
    <n v="7344.96"/>
    <n v="2339.9156000000012"/>
    <n v="0.24160512707050164"/>
  </r>
  <r>
    <s v="ORD-2025-646342"/>
    <d v="2025-08-02T00:00:00"/>
    <s v="Q3-2025"/>
    <s v="Aug-2025"/>
    <d v="2025-08-08T00:00:00"/>
    <n v="6"/>
    <d v="2025-08-08T00:00:00"/>
    <x v="1"/>
    <x v="2"/>
    <x v="4"/>
    <s v="Consumer"/>
    <s v="Direct"/>
    <s v="N. Brown"/>
    <x v="4"/>
    <s v="LAP-4828"/>
    <n v="1225.94"/>
    <n v="1793.08"/>
    <n v="0.13600000000000001"/>
    <n v="22"/>
    <s v="ok"/>
    <n v="6"/>
    <n v="6"/>
    <n v="34082.864639999993"/>
    <n v="26970.68"/>
    <n v="7112.1846399999922"/>
    <n v="0.20867332353434462"/>
  </r>
  <r>
    <s v="ORD-2024-866535"/>
    <d v="2024-12-04T00:00:00"/>
    <s v="Q4-2024"/>
    <s v="Dec-2024"/>
    <d v="2024-12-12T00:00:00"/>
    <n v="8"/>
    <d v="2024-12-12T00:00:00"/>
    <x v="3"/>
    <x v="6"/>
    <x v="37"/>
    <s v="Enterprise"/>
    <s v="Marketplace"/>
    <s v="B. Chen"/>
    <x v="1"/>
    <s v="PRN-5492"/>
    <n v="72.06"/>
    <n v="122.74"/>
    <n v="0.23799999999999999"/>
    <n v="8"/>
    <s v="ok"/>
    <n v="8"/>
    <n v="8"/>
    <n v="748.22303999999997"/>
    <n v="576.48"/>
    <n v="171.74303999999995"/>
    <n v="0.22953455162246802"/>
  </r>
  <r>
    <s v="ORD-2023-747341"/>
    <d v="2023-04-19T00:00:00"/>
    <s v="Q2-2023"/>
    <s v="Apr-2023"/>
    <d v="2023-04-28T00:00:00"/>
    <n v="9"/>
    <d v="2023-04-28T00:00:00"/>
    <x v="2"/>
    <x v="5"/>
    <x v="30"/>
    <s v="Corporate"/>
    <s v="Distributor"/>
    <s v="M. Rossi"/>
    <x v="3"/>
    <s v="PHN-7132"/>
    <n v="1013.54"/>
    <n v="927.93"/>
    <n v="0.17499999999999999"/>
    <n v="16"/>
    <s v="ok"/>
    <n v="9"/>
    <n v="9"/>
    <n v="12248.675999999999"/>
    <n v="16216.64"/>
    <n v="-3967.9639999999999"/>
    <n v="-0.32395044166406234"/>
  </r>
  <r>
    <s v="ORD-2024-853298"/>
    <d v="2024-03-06T00:00:00"/>
    <s v="Q1-2024"/>
    <s v="Mar-2024"/>
    <d v="2024-03-26T00:00:00"/>
    <n v="20"/>
    <d v="2024-03-26T00:00:00"/>
    <x v="0"/>
    <x v="1"/>
    <x v="1"/>
    <s v="Consumer"/>
    <s v="Marketplace"/>
    <s v="I. Johnson"/>
    <x v="3"/>
    <s v="PHN-4741"/>
    <n v="65.64"/>
    <n v="151.88"/>
    <n v="0.16700000000000001"/>
    <n v="23"/>
    <s v="ok"/>
    <n v="20"/>
    <n v="20"/>
    <n v="2909.8689199999999"/>
    <n v="1509.72"/>
    <n v="1400.1489199999999"/>
    <n v="0.48117250587356353"/>
  </r>
  <r>
    <s v="ORD-2024-544865"/>
    <d v="2024-02-16T00:00:00"/>
    <s v="Q1-2024"/>
    <s v="Feb-2024"/>
    <d v="2024-03-04T00:00:00"/>
    <n v="17"/>
    <d v="2024-03-04T00:00:00"/>
    <x v="2"/>
    <x v="3"/>
    <x v="19"/>
    <s v="Non-Profit"/>
    <s v="Retail"/>
    <s v="D. Smith"/>
    <x v="4"/>
    <s v="LAP-2774"/>
    <n v="1350.98"/>
    <n v="2210.4"/>
    <n v="0.26300000000000001"/>
    <n v="6"/>
    <s v="ok"/>
    <n v="17"/>
    <n v="17"/>
    <n v="9774.3888000000006"/>
    <n v="8105.88"/>
    <n v="1668.5088000000005"/>
    <n v="0.17070211080615091"/>
  </r>
  <r>
    <s v="ORD-2025-946490"/>
    <d v="2025-04-22T00:00:00"/>
    <s v="Q2-2025"/>
    <s v="Apr-2025"/>
    <d v="2025-05-02T00:00:00"/>
    <n v="10"/>
    <d v="2025-05-02T00:00:00"/>
    <x v="3"/>
    <x v="6"/>
    <x v="9"/>
    <s v="Corporate"/>
    <s v="Marketplace"/>
    <s v="C. Otieno"/>
    <x v="5"/>
    <s v="MON-2842"/>
    <n v="20.149999999999999"/>
    <n v="39.74"/>
    <n v="0.151"/>
    <n v="18"/>
    <s v="ok"/>
    <n v="10"/>
    <n v="10"/>
    <n v="607.30668000000003"/>
    <n v="362.7"/>
    <n v="244.60668000000004"/>
    <n v="0.4027729120318585"/>
  </r>
  <r>
    <s v="ORD-2024-320972"/>
    <d v="2024-11-08T00:00:00"/>
    <s v="Q4-2024"/>
    <s v="Nov-2024"/>
    <d v="2024-11-08T00:00:00"/>
    <n v="0"/>
    <d v="2024-11-08T00:00:00"/>
    <x v="0"/>
    <x v="0"/>
    <x v="16"/>
    <s v="Enterprise"/>
    <s v="Marketplace"/>
    <s v="M. Rossi"/>
    <x v="2"/>
    <s v="NET-2628"/>
    <n v="803.28"/>
    <n v="1009"/>
    <n v="0.11"/>
    <n v="4"/>
    <s v="sus"/>
    <n v="0"/>
    <n v="0"/>
    <n v="3592.04"/>
    <n v="3213.12"/>
    <n v="378.92000000000007"/>
    <n v="0.10548880302001093"/>
  </r>
  <r>
    <s v="ORD-2025-248586"/>
    <d v="2025-09-12T00:00:00"/>
    <s v="Q3-2025"/>
    <s v="Sept-2025"/>
    <d v="2025-09-30T00:00:00"/>
    <n v="18"/>
    <d v="2025-09-30T00:00:00"/>
    <x v="1"/>
    <x v="2"/>
    <x v="32"/>
    <s v="Non-Profit"/>
    <s v="Marketplace"/>
    <s v="F. Müller"/>
    <x v="5"/>
    <s v="MON-2998"/>
    <n v="1212.99"/>
    <n v="1653.64"/>
    <n v="0.107"/>
    <n v="8"/>
    <s v="ok"/>
    <n v="18"/>
    <n v="18"/>
    <n v="11813.604160000001"/>
    <n v="9703.92"/>
    <n v="2109.6841600000007"/>
    <n v="0.17858090819931455"/>
  </r>
  <r>
    <s v="ORD-2024-664046"/>
    <d v="2024-09-02T00:00:00"/>
    <s v="Q3-2024"/>
    <s v="Sept-2024"/>
    <d v="2024-09-08T00:00:00"/>
    <n v="6"/>
    <d v="2024-09-08T00:00:00"/>
    <x v="2"/>
    <x v="10"/>
    <x v="36"/>
    <s v="Consumer"/>
    <s v="Direct"/>
    <s v="H. Kim"/>
    <x v="0"/>
    <s v="CMP-7563"/>
    <n v="462.94"/>
    <n v="1015.7"/>
    <n v="0.14299999999999999"/>
    <n v="14"/>
    <s v="ok"/>
    <n v="6"/>
    <n v="6"/>
    <n v="12186.368600000002"/>
    <n v="6481.16"/>
    <n v="5705.2086000000018"/>
    <n v="0.46816314090483041"/>
  </r>
  <r>
    <s v="ORD-2023-276806"/>
    <d v="2023-03-04T00:00:00"/>
    <s v="Q1-2023"/>
    <s v="Mar-2023"/>
    <d v="2023-03-24T00:00:00"/>
    <n v="20"/>
    <d v="2023-03-24T00:00:00"/>
    <x v="2"/>
    <x v="3"/>
    <x v="19"/>
    <s v="Consumer"/>
    <s v="Distributor"/>
    <s v="I. Johnson"/>
    <x v="4"/>
    <s v="LAP-6160"/>
    <n v="481.71"/>
    <n v="912.45"/>
    <n v="0.20300000000000001"/>
    <n v="24"/>
    <s v="ok"/>
    <n v="20"/>
    <n v="20"/>
    <n v="17453.3436"/>
    <n v="11561.039999999999"/>
    <n v="5892.3036000000011"/>
    <n v="0.33760313983619739"/>
  </r>
  <r>
    <s v="ORD-2024-220234"/>
    <d v="2024-03-15T00:00:00"/>
    <s v="Q1-2024"/>
    <s v="Mar-2024"/>
    <d v="2024-04-09T00:00:00"/>
    <n v="25"/>
    <d v="2024-04-09T00:00:00"/>
    <x v="2"/>
    <x v="3"/>
    <x v="26"/>
    <s v="Consumer"/>
    <s v="Online"/>
    <s v="F. Müller"/>
    <x v="5"/>
    <s v="MON-4361"/>
    <n v="648.64"/>
    <n v="815.19"/>
    <n v="0.22500000000000001"/>
    <n v="28"/>
    <s v="ok"/>
    <n v="25"/>
    <n v="25"/>
    <n v="17689.623"/>
    <n v="18161.919999999998"/>
    <n v="-472.29699999999866"/>
    <n v="-2.6699099240272032E-2"/>
  </r>
  <r>
    <s v="ORD-2024-301260"/>
    <d v="2024-07-29T00:00:00"/>
    <s v="Q3-2024"/>
    <s v="Jul-2024"/>
    <d v="2024-07-31T00:00:00"/>
    <n v="2"/>
    <d v="2024-07-31T00:00:00"/>
    <x v="2"/>
    <x v="10"/>
    <x v="39"/>
    <s v="Education"/>
    <s v="Marketplace"/>
    <s v="I. Johnson"/>
    <x v="1"/>
    <s v="PRN-2829"/>
    <n v="798.97"/>
    <n v="1814.06"/>
    <n v="0.122"/>
    <n v="16"/>
    <s v="ok"/>
    <n v="2"/>
    <n v="2"/>
    <n v="25483.91488"/>
    <n v="12783.52"/>
    <n v="12700.39488"/>
    <n v="0.49836906691159061"/>
  </r>
  <r>
    <s v="ORD-2024-350100"/>
    <d v="2024-10-27T00:00:00"/>
    <s v="Q4-2024"/>
    <s v="Oct-2024"/>
    <d v="2024-11-20T00:00:00"/>
    <n v="24"/>
    <d v="2024-11-20T00:00:00"/>
    <x v="1"/>
    <x v="2"/>
    <x v="32"/>
    <s v="Non-Profit"/>
    <s v="Online"/>
    <s v="H. Kim"/>
    <x v="5"/>
    <s v="MON-8939"/>
    <n v="317.25"/>
    <n v="758.92"/>
    <n v="5.2999999999999999E-2"/>
    <n v="9"/>
    <s v="ok"/>
    <n v="24"/>
    <n v="24"/>
    <n v="6468.2751599999992"/>
    <n v="2855.25"/>
    <n v="3613.0251599999992"/>
    <n v="0.5585762928489888"/>
  </r>
  <r>
    <s v="ORD-2024-855600"/>
    <d v="2024-04-29T00:00:00"/>
    <s v="Q2-2024"/>
    <s v="Apr-2024"/>
    <d v="2024-05-19T00:00:00"/>
    <n v="20"/>
    <d v="2024-05-19T00:00:00"/>
    <x v="3"/>
    <x v="6"/>
    <x v="37"/>
    <s v="Enterprise"/>
    <s v="Marketplace"/>
    <s v="C. Otieno"/>
    <x v="4"/>
    <s v="LAP-5009"/>
    <n v="668.97"/>
    <n v="1667.44"/>
    <n v="3.4000000000000002E-2"/>
    <n v="15"/>
    <s v="ok"/>
    <n v="20"/>
    <n v="20"/>
    <n v="24161.205600000001"/>
    <n v="10034.550000000001"/>
    <n v="14126.6556"/>
    <n v="0.58468339013679016"/>
  </r>
  <r>
    <s v="ORD-2023-474313"/>
    <d v="2023-10-05T00:00:00"/>
    <s v="Q4-2023"/>
    <s v="Oct-2023"/>
    <d v="2023-10-06T00:00:00"/>
    <n v="1"/>
    <d v="2023-10-06T00:00:00"/>
    <x v="1"/>
    <x v="4"/>
    <x v="6"/>
    <s v="Non-Profit"/>
    <s v="Online"/>
    <s v="I. Johnson"/>
    <x v="0"/>
    <s v="CMP-4807"/>
    <n v="1470.26"/>
    <n v="2562.5500000000002"/>
    <n v="0.17299999999999999"/>
    <n v="9"/>
    <s v="ok"/>
    <n v="1"/>
    <n v="1"/>
    <n v="19073.059649999999"/>
    <n v="13232.34"/>
    <n v="5840.7196499999991"/>
    <n v="0.30622877279157462"/>
  </r>
  <r>
    <s v="ORD-2023-256951"/>
    <d v="2023-04-19T00:00:00"/>
    <s v="Q2-2023"/>
    <s v="Apr-2023"/>
    <d v="2023-05-07T00:00:00"/>
    <n v="18"/>
    <d v="2023-05-07T00:00:00"/>
    <x v="3"/>
    <x v="8"/>
    <x v="21"/>
    <s v="Non-Profit"/>
    <s v="Direct"/>
    <s v="H. Kim"/>
    <x v="2"/>
    <s v="NET-2439"/>
    <n v="516.96"/>
    <n v="745.38"/>
    <n v="0.19700000000000001"/>
    <n v="4"/>
    <s v="ok"/>
    <n v="18"/>
    <n v="18"/>
    <n v="2394.1605599999998"/>
    <n v="2067.84"/>
    <n v="326.32055999999966"/>
    <n v="0.13629852794835101"/>
  </r>
  <r>
    <s v="ORD-2025-184754"/>
    <d v="2025-06-27T00:00:00"/>
    <s v="Q2-2025"/>
    <s v="Jun-2025"/>
    <d v="2025-07-05T00:00:00"/>
    <n v="8"/>
    <d v="2025-07-05T00:00:00"/>
    <x v="3"/>
    <x v="6"/>
    <x v="22"/>
    <s v="Small Business"/>
    <s v="Direct"/>
    <s v="G. Dubois"/>
    <x v="5"/>
    <s v="MON-7626"/>
    <n v="314.93"/>
    <n v="687.95"/>
    <n v="0.20499999999999999"/>
    <n v="8"/>
    <s v="ok"/>
    <n v="8"/>
    <n v="8"/>
    <n v="4375.3620000000001"/>
    <n v="2519.44"/>
    <n v="1855.922"/>
    <n v="0.424175645352316"/>
  </r>
  <r>
    <s v="ORD-2023-888140"/>
    <d v="2023-10-11T00:00:00"/>
    <s v="Q4-2023"/>
    <s v="Oct-2023"/>
    <d v="2023-10-13T00:00:00"/>
    <n v="2"/>
    <d v="2023-10-13T00:00:00"/>
    <x v="2"/>
    <x v="5"/>
    <x v="10"/>
    <s v="Consumer"/>
    <s v="Distributor"/>
    <s v="unknown"/>
    <x v="6"/>
    <s v="ACC-3567"/>
    <n v="715.94"/>
    <n v="550.07000000000005"/>
    <n v="0.14000000000000001"/>
    <n v="16"/>
    <s v="ok"/>
    <n v="2"/>
    <n v="2"/>
    <n v="7568.9632000000001"/>
    <n v="11455.04"/>
    <n v="-3886.0768000000007"/>
    <n v="-0.51342260456491595"/>
  </r>
  <r>
    <s v="ORD-2023-638181"/>
    <d v="2023-05-20T00:00:00"/>
    <s v="Q2-2023"/>
    <s v="May-2023"/>
    <d v="2023-06-07T00:00:00"/>
    <n v="18"/>
    <d v="2023-06-07T00:00:00"/>
    <x v="0"/>
    <x v="1"/>
    <x v="1"/>
    <s v="Enterprise"/>
    <s v="Distributor"/>
    <s v="E. Garcia"/>
    <x v="0"/>
    <s v="CMP-4630"/>
    <n v="1120.06"/>
    <n v="2068.21"/>
    <n v="7.8E-2"/>
    <n v="12"/>
    <s v="ok"/>
    <n v="18"/>
    <n v="18"/>
    <n v="22882.675440000003"/>
    <n v="13440.72"/>
    <n v="9441.9554400000034"/>
    <n v="0.41262462795303284"/>
  </r>
  <r>
    <s v="ORD-2023-521280"/>
    <d v="2023-05-27T00:00:00"/>
    <s v="Q2-2023"/>
    <s v="May-2023"/>
    <d v="2023-06-19T00:00:00"/>
    <n v="23"/>
    <d v="2023-06-19T00:00:00"/>
    <x v="3"/>
    <x v="6"/>
    <x v="9"/>
    <s v="Education"/>
    <s v="Retail"/>
    <s v="O. Wang"/>
    <x v="6"/>
    <s v="ACC-1882"/>
    <n v="1471.58"/>
    <n v="2576.65"/>
    <n v="4.0000000000000001E-3"/>
    <n v="7"/>
    <s v="ok"/>
    <n v="23"/>
    <n v="23"/>
    <n v="17964.4038"/>
    <n v="10301.06"/>
    <n v="7663.3438000000006"/>
    <n v="0.4265849223451546"/>
  </r>
  <r>
    <s v="ORD-2023-630430"/>
    <d v="2023-08-04T00:00:00"/>
    <s v="Q3-2023"/>
    <s v="Aug-2023"/>
    <d v="2023-08-24T00:00:00"/>
    <n v="20"/>
    <d v="2023-08-24T00:00:00"/>
    <x v="2"/>
    <x v="5"/>
    <x v="10"/>
    <s v="Non-Profit"/>
    <s v="Direct"/>
    <s v="unknown"/>
    <x v="2"/>
    <s v="NET-9125"/>
    <n v="582.88"/>
    <n v="1044.1400000000001"/>
    <n v="0.216"/>
    <n v="10"/>
    <s v="ok"/>
    <n v="20"/>
    <n v="20"/>
    <n v="8186.057600000001"/>
    <n v="5828.8"/>
    <n v="2357.2576000000008"/>
    <n v="0.28796005539956138"/>
  </r>
  <r>
    <s v="ORD-2025-908258"/>
    <d v="2025-06-21T00:00:00"/>
    <s v="Q2-2025"/>
    <s v="Jun-2025"/>
    <d v="2025-06-27T00:00:00"/>
    <n v="6"/>
    <d v="2025-06-27T00:00:00"/>
    <x v="0"/>
    <x v="11"/>
    <x v="25"/>
    <s v="Enterprise"/>
    <s v="Distributor"/>
    <s v="N. Brown"/>
    <x v="3"/>
    <s v="PHN-3819"/>
    <n v="93.91"/>
    <n v="99.04"/>
    <n v="5.7000000000000002E-2"/>
    <n v="6"/>
    <s v="ok"/>
    <n v="6"/>
    <n v="6"/>
    <n v="560.36831999999993"/>
    <n v="563.46"/>
    <n v="-3.0916800000001103"/>
    <n v="-5.5172283829323376E-3"/>
  </r>
  <r>
    <s v="ORD-2025-440093"/>
    <d v="2025-04-16T00:00:00"/>
    <s v="Q2-2025"/>
    <s v="Apr-2025"/>
    <d v="2025-04-26T00:00:00"/>
    <n v="10"/>
    <d v="2025-04-26T00:00:00"/>
    <x v="0"/>
    <x v="1"/>
    <x v="1"/>
    <s v="Enterprise"/>
    <s v="Marketplace"/>
    <s v="F. Müller"/>
    <x v="4"/>
    <s v="LAP-3490"/>
    <n v="1457.44"/>
    <n v="1996.81"/>
    <n v="0.126"/>
    <n v="23"/>
    <s v="ok"/>
    <n v="10"/>
    <n v="10"/>
    <n v="40139.874619999995"/>
    <n v="33521.120000000003"/>
    <n v="6618.7546199999924"/>
    <n v="0.16489225944672353"/>
  </r>
  <r>
    <s v="ORD-2025-898022"/>
    <d v="2025-09-02T00:00:00"/>
    <s v="Q3-2025"/>
    <s v="Sept-2025"/>
    <d v="2025-09-11T00:00:00"/>
    <n v="9"/>
    <d v="2025-09-11T00:00:00"/>
    <x v="2"/>
    <x v="3"/>
    <x v="5"/>
    <s v="Corporate"/>
    <s v="Distributor"/>
    <s v="M. Rossi"/>
    <x v="1"/>
    <s v="PRN-1276"/>
    <n v="1207.6300000000001"/>
    <n v="921.68"/>
    <n v="0.19600000000000001"/>
    <n v="17"/>
    <s v="ok"/>
    <n v="9"/>
    <n v="9"/>
    <n v="12597.52224"/>
    <n v="20529.710000000003"/>
    <n v="-7932.1877600000025"/>
    <n v="-0.62966253274897988"/>
  </r>
  <r>
    <s v="ORD-2024-500511"/>
    <d v="2024-10-08T00:00:00"/>
    <s v="Q4-2024"/>
    <s v="Oct-2024"/>
    <d v="2024-10-08T00:00:00"/>
    <n v="0"/>
    <d v="2024-10-08T00:00:00"/>
    <x v="3"/>
    <x v="8"/>
    <x v="21"/>
    <s v="Corporate"/>
    <s v="Online"/>
    <s v="E. Garcia"/>
    <x v="5"/>
    <s v="MON-9733"/>
    <n v="1108.1099999999999"/>
    <n v="2503.79"/>
    <n v="0.184"/>
    <n v="19"/>
    <s v="sus"/>
    <n v="0"/>
    <n v="0"/>
    <n v="38818.760160000005"/>
    <n v="21054.089999999997"/>
    <n v="17764.670160000009"/>
    <n v="0.45763105485025896"/>
  </r>
  <r>
    <s v="ORD-2023-632893"/>
    <d v="2023-05-07T00:00:00"/>
    <s v="Q2-2023"/>
    <s v="May-2023"/>
    <d v="2023-05-05T00:00:00"/>
    <n v="14"/>
    <d v="2023-05-21T00:00:00"/>
    <x v="0"/>
    <x v="1"/>
    <x v="1"/>
    <s v="Non-Profit"/>
    <s v="Marketplace"/>
    <s v="A. Patel"/>
    <x v="0"/>
    <s v="CMP-9392"/>
    <n v="1269.6500000000001"/>
    <n v="2462.77"/>
    <n v="0.107"/>
    <n v="8"/>
    <s v="sus"/>
    <n v="-2"/>
    <n v="2"/>
    <n v="17594.028880000002"/>
    <n v="10157.200000000001"/>
    <n v="7436.8288800000009"/>
    <n v="0.42269050089225502"/>
  </r>
  <r>
    <s v="ORD-2023-967239"/>
    <d v="2023-12-24T00:00:00"/>
    <s v="Q4-2023"/>
    <s v="Dec-2023"/>
    <d v="2024-01-01T00:00:00"/>
    <n v="8"/>
    <d v="2024-01-01T00:00:00"/>
    <x v="2"/>
    <x v="5"/>
    <x v="8"/>
    <s v="Education"/>
    <s v="Direct"/>
    <s v="C. Otieno"/>
    <x v="3"/>
    <s v="PHN-3014"/>
    <n v="526.49"/>
    <n v="496.2"/>
    <n v="0"/>
    <n v="14"/>
    <s v="ok"/>
    <n v="8"/>
    <n v="8"/>
    <n v="6946.8"/>
    <n v="7370.8600000000006"/>
    <n v="-424.0600000000004"/>
    <n v="-6.1043933897621985E-2"/>
  </r>
  <r>
    <s v="ORD-2024-885858"/>
    <d v="2024-01-10T00:00:00"/>
    <s v="Q1-2024"/>
    <s v="Jan-2024"/>
    <d v="2024-01-23T00:00:00"/>
    <n v="13"/>
    <d v="2024-01-23T00:00:00"/>
    <x v="3"/>
    <x v="7"/>
    <x v="11"/>
    <s v="Corporate"/>
    <s v="Direct"/>
    <s v="A. Patel"/>
    <x v="1"/>
    <s v="PRN-6776"/>
    <n v="720"/>
    <n v="907.59"/>
    <n v="0.154"/>
    <n v="10"/>
    <s v="ok"/>
    <n v="13"/>
    <n v="13"/>
    <n v="7678.2113999999992"/>
    <n v="7200"/>
    <n v="478.21139999999923"/>
    <n v="6.2281614179052078E-2"/>
  </r>
  <r>
    <s v="ORD-2023-253245"/>
    <d v="2023-08-03T00:00:00"/>
    <s v="Q3-2023"/>
    <s v="Aug-2023"/>
    <d v="2023-08-14T00:00:00"/>
    <n v="11"/>
    <d v="2023-08-14T00:00:00"/>
    <x v="2"/>
    <x v="5"/>
    <x v="10"/>
    <s v="Corporate"/>
    <s v="Direct"/>
    <s v="J. Njeri"/>
    <x v="6"/>
    <s v="ACC-3951"/>
    <n v="232.73"/>
    <n v="334.19"/>
    <n v="0.13400000000000001"/>
    <n v="25"/>
    <s v="ok"/>
    <n v="11"/>
    <n v="11"/>
    <n v="7235.2134999999998"/>
    <n v="5818.25"/>
    <n v="1416.9634999999998"/>
    <n v="0.1958426658729559"/>
  </r>
  <r>
    <s v="ORD-2025-484073"/>
    <d v="2025-02-19T00:00:00"/>
    <s v="Q1-2025"/>
    <s v="Feb-2025"/>
    <d v="2025-03-09T00:00:00"/>
    <n v="18"/>
    <d v="2025-03-09T00:00:00"/>
    <x v="1"/>
    <x v="4"/>
    <x v="18"/>
    <s v="Small Business"/>
    <s v="Direct"/>
    <s v="O. Wang"/>
    <x v="5"/>
    <s v="MON-1436"/>
    <n v="325.87"/>
    <n v="538.79"/>
    <n v="0.17399999999999999"/>
    <n v="16"/>
    <s v="ok"/>
    <n v="18"/>
    <n v="18"/>
    <n v="7120.6486400000003"/>
    <n v="5213.92"/>
    <n v="1906.7286400000003"/>
    <n v="0.26777457172778013"/>
  </r>
  <r>
    <s v="ORD-2024-745822"/>
    <d v="2024-03-31T00:00:00"/>
    <s v="Q1-2024"/>
    <s v="Mar-2024"/>
    <d v="2024-04-17T00:00:00"/>
    <n v="17"/>
    <d v="2024-04-17T00:00:00"/>
    <x v="3"/>
    <x v="6"/>
    <x v="37"/>
    <s v="Education"/>
    <s v="Direct"/>
    <s v="H. Kim"/>
    <x v="5"/>
    <s v="MON-8651"/>
    <n v="1025.51"/>
    <n v="1436.54"/>
    <n v="0.13900000000000001"/>
    <n v="28"/>
    <s v="ok"/>
    <n v="17"/>
    <n v="17"/>
    <n v="34632.106319999999"/>
    <n v="28714.28"/>
    <n v="5917.8263200000001"/>
    <n v="0.17087688127656453"/>
  </r>
  <r>
    <s v="ORD-2023-369160"/>
    <d v="2023-07-24T00:00:00"/>
    <s v="Q3-2023"/>
    <s v="Jul-2023"/>
    <d v="2023-08-13T00:00:00"/>
    <n v="20"/>
    <d v="2023-08-13T00:00:00"/>
    <x v="2"/>
    <x v="3"/>
    <x v="19"/>
    <s v="Education"/>
    <s v="Direct"/>
    <s v="C. Otieno"/>
    <x v="5"/>
    <s v="MON-3307"/>
    <n v="1082.3800000000001"/>
    <n v="1766.55"/>
    <n v="0.16400000000000001"/>
    <n v="20"/>
    <s v="ok"/>
    <n v="20"/>
    <n v="20"/>
    <n v="29536.716"/>
    <n v="21647.600000000002"/>
    <n v="7889.1159999999982"/>
    <n v="0.26709523157550752"/>
  </r>
  <r>
    <s v="ORD-2024-834983"/>
    <d v="2024-03-16T00:00:00"/>
    <s v="Q1-2024"/>
    <s v="Mar-2024"/>
    <d v="2024-04-13T00:00:00"/>
    <n v="28"/>
    <d v="2024-04-13T00:00:00"/>
    <x v="3"/>
    <x v="7"/>
    <x v="28"/>
    <s v="Small Business"/>
    <s v="Online"/>
    <s v="K. Singh"/>
    <x v="1"/>
    <s v="PRN-8758"/>
    <n v="287.61"/>
    <n v="628.54"/>
    <n v="0.13500000000000001"/>
    <n v="21"/>
    <s v="ok"/>
    <n v="28"/>
    <n v="28"/>
    <n v="11417.429099999999"/>
    <n v="6039.81"/>
    <n v="5377.619099999999"/>
    <n v="0.47100087531964613"/>
  </r>
  <r>
    <s v="ORD-2024-499009"/>
    <d v="2024-01-25T00:00:00"/>
    <s v="Q1-2024"/>
    <s v="Jan-2024"/>
    <d v="2024-01-27T00:00:00"/>
    <n v="2"/>
    <d v="2024-01-27T00:00:00"/>
    <x v="2"/>
    <x v="5"/>
    <x v="8"/>
    <s v="Non-Profit"/>
    <s v="Marketplace"/>
    <s v="N. Brown"/>
    <x v="4"/>
    <s v="LAP-7056"/>
    <n v="1410.97"/>
    <n v="1650.75"/>
    <n v="0.13500000000000001"/>
    <n v="6"/>
    <s v="ok"/>
    <n v="2"/>
    <n v="2"/>
    <n v="8567.3924999999999"/>
    <n v="8465.82"/>
    <n v="101.57250000000022"/>
    <n v="1.1855707556295596E-2"/>
  </r>
  <r>
    <s v="ORD-2024-948800"/>
    <d v="2024-03-27T00:00:00"/>
    <s v="Q1-2024"/>
    <s v="Mar-2024"/>
    <d v="2024-04-11T00:00:00"/>
    <n v="15"/>
    <d v="2024-04-11T00:00:00"/>
    <x v="2"/>
    <x v="10"/>
    <x v="24"/>
    <s v="Small Business"/>
    <s v="Direct"/>
    <s v="O. Wang"/>
    <x v="2"/>
    <s v="NET-5523"/>
    <n v="1338.35"/>
    <n v="2247.14"/>
    <n v="0.115"/>
    <n v="40"/>
    <s v="ok"/>
    <n v="15"/>
    <n v="15"/>
    <n v="79548.755999999994"/>
    <n v="53534"/>
    <n v="26014.755999999994"/>
    <n v="0.32702907384246205"/>
  </r>
  <r>
    <s v="ORD-2025-678328"/>
    <d v="2025-06-24T00:00:00"/>
    <s v="Q2-2025"/>
    <s v="Jun-2025"/>
    <d v="2025-07-14T00:00:00"/>
    <n v="20"/>
    <d v="2025-07-14T00:00:00"/>
    <x v="3"/>
    <x v="6"/>
    <x v="9"/>
    <s v="Corporate"/>
    <s v="Direct"/>
    <s v="O. Wang"/>
    <x v="6"/>
    <s v="ACC-8094"/>
    <n v="385.08"/>
    <n v="893.19"/>
    <n v="0.151"/>
    <n v="8"/>
    <s v="ok"/>
    <n v="20"/>
    <n v="20"/>
    <n v="6066.54648"/>
    <n v="3080.64"/>
    <n v="2985.9064800000001"/>
    <n v="0.49219213762621666"/>
  </r>
  <r>
    <s v="ORD-2024-580808"/>
    <d v="2024-06-16T00:00:00"/>
    <s v="Q2-2024"/>
    <s v="Jun-2024"/>
    <d v="2024-07-03T00:00:00"/>
    <n v="17"/>
    <d v="2024-07-03T00:00:00"/>
    <x v="0"/>
    <x v="11"/>
    <x v="20"/>
    <s v="Enterprise"/>
    <s v="Marketplace"/>
    <s v="F. Müller"/>
    <x v="3"/>
    <s v="PHN-6832"/>
    <n v="1173.83"/>
    <n v="2328.9"/>
    <n v="0.12"/>
    <n v="17"/>
    <s v="ok"/>
    <n v="17"/>
    <n v="17"/>
    <n v="34840.344000000005"/>
    <n v="19955.11"/>
    <n v="14885.234000000004"/>
    <n v="0.42724130393201637"/>
  </r>
  <r>
    <s v="ORD-2023-211715"/>
    <d v="2023-10-30T00:00:00"/>
    <s v="Q4-2023"/>
    <s v="Oct-2023"/>
    <d v="2023-11-14T00:00:00"/>
    <n v="15"/>
    <d v="2023-11-14T00:00:00"/>
    <x v="1"/>
    <x v="4"/>
    <x v="6"/>
    <s v="Corporate"/>
    <s v="Online"/>
    <s v="F. Müller"/>
    <x v="4"/>
    <s v="LAP-2378"/>
    <n v="953.46"/>
    <n v="2066.75"/>
    <n v="0.13800000000000001"/>
    <n v="5"/>
    <s v="ok"/>
    <n v="15"/>
    <n v="15"/>
    <n v="8907.6924999999992"/>
    <n v="4767.3"/>
    <n v="4140.392499999999"/>
    <n v="0.46481089238318446"/>
  </r>
  <r>
    <s v="ORD-2023-715175"/>
    <d v="2023-06-15T00:00:00"/>
    <s v="Q2-2023"/>
    <s v="Jun-2023"/>
    <d v="2023-06-23T00:00:00"/>
    <n v="8"/>
    <d v="2023-06-23T00:00:00"/>
    <x v="2"/>
    <x v="10"/>
    <x v="24"/>
    <s v="Consumer"/>
    <s v="Distributor"/>
    <s v="O. Wang"/>
    <x v="5"/>
    <s v="MON-5424"/>
    <n v="1097.0899999999999"/>
    <n v="2182.31"/>
    <n v="0.112"/>
    <n v="9"/>
    <s v="ok"/>
    <n v="8"/>
    <n v="8"/>
    <n v="17441.021520000002"/>
    <n v="9873.81"/>
    <n v="7567.2115200000026"/>
    <n v="0.43387432962699546"/>
  </r>
  <r>
    <s v="ORD-2025-685236"/>
    <d v="2025-03-14T00:00:00"/>
    <s v="Q1-2025"/>
    <s v="Mar-2025"/>
    <d v="2025-03-29T00:00:00"/>
    <n v="15"/>
    <d v="2025-03-29T00:00:00"/>
    <x v="1"/>
    <x v="2"/>
    <x v="27"/>
    <s v="Non-Profit"/>
    <s v="Direct"/>
    <s v="H. Kim"/>
    <x v="2"/>
    <s v="NET-8430"/>
    <n v="1106.96"/>
    <n v="2726.62"/>
    <n v="0.317"/>
    <n v="7"/>
    <s v="ok"/>
    <n v="15"/>
    <n v="15"/>
    <n v="13035.970220000001"/>
    <n v="7748.72"/>
    <n v="5287.2502200000008"/>
    <n v="0.40558931408789306"/>
  </r>
  <r>
    <s v="ORD-2023-274037"/>
    <d v="2023-08-15T00:00:00"/>
    <s v="Q3-2023"/>
    <s v="Aug-2023"/>
    <d v="2023-08-25T00:00:00"/>
    <n v="10"/>
    <d v="2023-08-25T00:00:00"/>
    <x v="0"/>
    <x v="0"/>
    <x v="2"/>
    <s v="Small Business"/>
    <s v="Retail"/>
    <s v="N. Brown"/>
    <x v="3"/>
    <s v="PHN-1234"/>
    <n v="91.85"/>
    <n v="111.29"/>
    <n v="0"/>
    <n v="6"/>
    <s v="ok"/>
    <n v="10"/>
    <n v="10"/>
    <n v="667.74"/>
    <n v="551.09999999999991"/>
    <n v="116.6400000000001"/>
    <n v="0.17467876718483258"/>
  </r>
  <r>
    <s v="ORD-2025-983096"/>
    <d v="2025-05-17T00:00:00"/>
    <s v="Q2-2025"/>
    <s v="May-2025"/>
    <d v="2025-05-28T00:00:00"/>
    <n v="11"/>
    <d v="2025-05-28T00:00:00"/>
    <x v="1"/>
    <x v="4"/>
    <x v="6"/>
    <s v="Corporate"/>
    <s v="Distributor"/>
    <s v="B. Chen"/>
    <x v="4"/>
    <s v="LAP-9016"/>
    <n v="623.4"/>
    <n v="1100.0899999999999"/>
    <n v="0.114"/>
    <n v="12"/>
    <s v="ok"/>
    <n v="11"/>
    <n v="11"/>
    <n v="11696.156879999999"/>
    <n v="7480.7999999999993"/>
    <n v="4215.3568799999994"/>
    <n v="0.36040529579490388"/>
  </r>
  <r>
    <s v="ORD-2024-366010"/>
    <d v="2024-01-13T00:00:00"/>
    <s v="Q1-2024"/>
    <s v="Jan-2024"/>
    <d v="2024-02-05T00:00:00"/>
    <n v="23"/>
    <d v="2024-02-05T00:00:00"/>
    <x v="3"/>
    <x v="6"/>
    <x v="37"/>
    <s v="Education"/>
    <s v="Direct"/>
    <s v="B. Chen"/>
    <x v="4"/>
    <s v="LAP-9931"/>
    <n v="1017.93"/>
    <n v="1529.14"/>
    <n v="0.155"/>
    <n v="12"/>
    <s v="ok"/>
    <n v="23"/>
    <n v="23"/>
    <n v="15505.479600000001"/>
    <n v="12215.16"/>
    <n v="3290.3196000000007"/>
    <n v="0.21220366508366503"/>
  </r>
  <r>
    <s v="ORD-2023-610470"/>
    <d v="2023-06-24T00:00:00"/>
    <s v="Q2-2023"/>
    <s v="Jun-2023"/>
    <d v="2023-07-21T00:00:00"/>
    <n v="27"/>
    <d v="2023-07-21T00:00:00"/>
    <x v="1"/>
    <x v="2"/>
    <x v="32"/>
    <s v="Consumer"/>
    <s v="Marketplace"/>
    <s v="J. Njeri"/>
    <x v="3"/>
    <s v="PHN-6818"/>
    <n v="554.76"/>
    <n v="728.69"/>
    <n v="0.22"/>
    <n v="7"/>
    <s v="ok"/>
    <n v="27"/>
    <n v="27"/>
    <n v="3978.6474000000003"/>
    <n v="3883.3199999999997"/>
    <n v="95.32740000000058"/>
    <n v="2.395975074343119E-2"/>
  </r>
  <r>
    <s v="ORD-2025-541048"/>
    <d v="2025-04-04T00:00:00"/>
    <s v="Q2-2025"/>
    <s v="Apr-2025"/>
    <d v="2025-04-13T00:00:00"/>
    <n v="9"/>
    <d v="2025-04-13T00:00:00"/>
    <x v="3"/>
    <x v="6"/>
    <x v="22"/>
    <s v="Consumer"/>
    <s v="Marketplace"/>
    <s v="F. Müller"/>
    <x v="3"/>
    <s v="PHN-3803"/>
    <n v="7.02"/>
    <n v="6.28"/>
    <n v="0.13400000000000001"/>
    <n v="14"/>
    <s v="ok"/>
    <n v="9"/>
    <n v="9"/>
    <n v="76.138720000000006"/>
    <n v="98.28"/>
    <n v="-22.141279999999995"/>
    <n v="-0.29080184169106066"/>
  </r>
  <r>
    <s v="ORD-2024-862371"/>
    <d v="2024-09-07T00:00:00"/>
    <s v="Q3-2024"/>
    <s v="Sept-2024"/>
    <d v="2024-09-07T00:00:00"/>
    <n v="0"/>
    <d v="2024-09-07T00:00:00"/>
    <x v="1"/>
    <x v="4"/>
    <x v="29"/>
    <s v="Education"/>
    <s v="Distributor"/>
    <s v="B. Chen"/>
    <x v="2"/>
    <s v="NET-9835"/>
    <n v="1066.6500000000001"/>
    <n v="2569.77"/>
    <n v="0.13400000000000001"/>
    <n v="9"/>
    <s v="sus"/>
    <n v="0"/>
    <n v="0"/>
    <n v="20028.787380000002"/>
    <n v="9599.85"/>
    <n v="10428.937380000001"/>
    <n v="0.52069739331368348"/>
  </r>
  <r>
    <s v="ORD-2024-277241"/>
    <d v="2024-01-28T00:00:00"/>
    <s v="Q1-2024"/>
    <s v="Jan-2024"/>
    <d v="2024-01-30T00:00:00"/>
    <n v="2"/>
    <d v="2024-01-30T00:00:00"/>
    <x v="0"/>
    <x v="11"/>
    <x v="33"/>
    <s v="Consumer"/>
    <s v="Direct"/>
    <s v="F. Müller"/>
    <x v="6"/>
    <s v="ACC-6223"/>
    <n v="798.45"/>
    <n v="1592.02"/>
    <n v="6.6000000000000003E-2"/>
    <n v="18"/>
    <s v="ok"/>
    <n v="2"/>
    <n v="2"/>
    <n v="26765.040239999998"/>
    <n v="14372.1"/>
    <n v="12392.940239999998"/>
    <n v="0.46302714768494585"/>
  </r>
  <r>
    <s v="ORD-2023-369150"/>
    <d v="2023-07-18T00:00:00"/>
    <s v="Q3-2023"/>
    <s v="Jul-2023"/>
    <d v="2023-08-10T00:00:00"/>
    <n v="23"/>
    <d v="2023-08-10T00:00:00"/>
    <x v="0"/>
    <x v="11"/>
    <x v="20"/>
    <s v="Small Business"/>
    <s v="Retail"/>
    <s v="L. Okafor"/>
    <x v="0"/>
    <s v="CMP-8659"/>
    <n v="1271.56"/>
    <n v="995.47"/>
    <n v="0.192"/>
    <n v="13"/>
    <s v="ok"/>
    <n v="23"/>
    <n v="23"/>
    <n v="10456.416880000001"/>
    <n v="16530.28"/>
    <n v="-6073.8631199999982"/>
    <n v="-0.58087423155607754"/>
  </r>
  <r>
    <s v="ORD-2025-922513"/>
    <d v="2025-08-28T00:00:00"/>
    <s v="Q3-2025"/>
    <s v="Aug-2025"/>
    <d v="2025-08-26T00:00:00"/>
    <n v="14"/>
    <d v="2025-09-11T00:00:00"/>
    <x v="0"/>
    <x v="1"/>
    <x v="1"/>
    <s v="Small Business"/>
    <s v="Retail"/>
    <s v="A. Patel"/>
    <x v="6"/>
    <s v="ACC-4483"/>
    <n v="521.05999999999995"/>
    <n v="1240.31"/>
    <n v="0.14599999999999999"/>
    <n v="18"/>
    <s v="sus"/>
    <n v="-2"/>
    <n v="2"/>
    <n v="19066.045319999997"/>
    <n v="9379.0799999999981"/>
    <n v="9686.9653199999993"/>
    <n v="0.50807417885650974"/>
  </r>
  <r>
    <s v="ORD-2025-752845"/>
    <d v="2025-03-30T00:00:00"/>
    <s v="Q1-2025"/>
    <s v="Mar-2025"/>
    <d v="2025-04-07T00:00:00"/>
    <n v="8"/>
    <d v="2025-04-07T00:00:00"/>
    <x v="2"/>
    <x v="5"/>
    <x v="8"/>
    <s v="Non-Profit"/>
    <s v="Direct"/>
    <s v="L. Okafor"/>
    <x v="1"/>
    <s v="PRN-8763"/>
    <n v="71.62"/>
    <n v="118.37"/>
    <n v="0.156"/>
    <n v="11"/>
    <s v="ok"/>
    <n v="8"/>
    <n v="8"/>
    <n v="1098.9470800000001"/>
    <n v="787.82"/>
    <n v="311.12708000000009"/>
    <n v="0.28311379652603474"/>
  </r>
  <r>
    <s v="ORD-2023-667815"/>
    <d v="2023-10-21T00:00:00"/>
    <s v="Q4-2023"/>
    <s v="Oct-2023"/>
    <d v="2023-11-09T00:00:00"/>
    <n v="19"/>
    <d v="2023-11-09T00:00:00"/>
    <x v="3"/>
    <x v="8"/>
    <x v="21"/>
    <s v="Non-Profit"/>
    <s v="Direct"/>
    <s v="A. Patel"/>
    <x v="6"/>
    <s v="ACC-8557"/>
    <n v="1142.48"/>
    <n v="2105.5300000000002"/>
    <n v="0.20699999999999999"/>
    <n v="14"/>
    <s v="ok"/>
    <n v="19"/>
    <n v="19"/>
    <n v="23375.594060000003"/>
    <n v="15994.720000000001"/>
    <n v="7380.8740600000019"/>
    <n v="0.31575129346680658"/>
  </r>
  <r>
    <s v="ORD-2023-375011"/>
    <d v="2023-08-23T00:00:00"/>
    <s v="Q3-2023"/>
    <s v="Aug-2023"/>
    <d v="2023-09-22T00:00:00"/>
    <n v="30"/>
    <d v="2023-09-22T00:00:00"/>
    <x v="3"/>
    <x v="8"/>
    <x v="21"/>
    <s v="Consumer"/>
    <s v="Distributor"/>
    <s v="O. Wang"/>
    <x v="6"/>
    <s v="ACC-1492"/>
    <n v="209.81"/>
    <n v="523"/>
    <n v="5.8999999999999997E-2"/>
    <n v="15"/>
    <s v="ok"/>
    <n v="30"/>
    <n v="30"/>
    <n v="7382.1450000000004"/>
    <n v="3147.15"/>
    <n v="4234.9950000000008"/>
    <n v="0.57368082041195356"/>
  </r>
  <r>
    <s v="ORD-2025-487025"/>
    <d v="2025-04-11T00:00:00"/>
    <s v="Q2-2025"/>
    <s v="Apr-2025"/>
    <d v="2025-05-04T00:00:00"/>
    <n v="23"/>
    <d v="2025-05-04T00:00:00"/>
    <x v="1"/>
    <x v="2"/>
    <x v="4"/>
    <s v="Small Business"/>
    <s v="Online"/>
    <s v="M. Rossi"/>
    <x v="0"/>
    <s v="CMP-3743"/>
    <n v="786.2"/>
    <n v="1075.3"/>
    <n v="0.08"/>
    <n v="9"/>
    <s v="ok"/>
    <n v="23"/>
    <n v="23"/>
    <n v="8903.4839999999986"/>
    <n v="7075.8"/>
    <n v="1827.6839999999984"/>
    <n v="0.20527739478163815"/>
  </r>
  <r>
    <s v="ORD-2025-398335"/>
    <d v="2025-06-01T00:00:00"/>
    <s v="Q2-2025"/>
    <s v="Jun-2025"/>
    <d v="2025-06-27T00:00:00"/>
    <n v="26"/>
    <d v="2025-06-27T00:00:00"/>
    <x v="3"/>
    <x v="6"/>
    <x v="22"/>
    <s v="Consumer"/>
    <s v="Distributor"/>
    <s v="E. Garcia"/>
    <x v="4"/>
    <s v="LAP-1619"/>
    <n v="1362.31"/>
    <n v="3294.57"/>
    <n v="0.113"/>
    <n v="7"/>
    <s v="ok"/>
    <n v="26"/>
    <n v="26"/>
    <n v="20455.985130000001"/>
    <n v="9536.17"/>
    <n v="10919.815130000001"/>
    <n v="0.5338200561157721"/>
  </r>
  <r>
    <s v="ORD-2024-792137"/>
    <d v="2024-03-02T00:00:00"/>
    <s v="Q1-2024"/>
    <s v="Mar-2024"/>
    <d v="2024-03-16T00:00:00"/>
    <n v="14"/>
    <d v="2024-03-16T00:00:00"/>
    <x v="2"/>
    <x v="3"/>
    <x v="26"/>
    <s v="Non-Profit"/>
    <s v="Direct"/>
    <s v="O. Wang"/>
    <x v="1"/>
    <s v="PRN-7976"/>
    <n v="248.24"/>
    <n v="464.05"/>
    <n v="0.16900000000000001"/>
    <n v="11"/>
    <s v="ok"/>
    <n v="14"/>
    <n v="14"/>
    <n v="4241.88105"/>
    <n v="2730.6400000000003"/>
    <n v="1511.2410499999996"/>
    <n v="0.3562667203975462"/>
  </r>
  <r>
    <s v="ORD-2023-602648"/>
    <d v="2023-06-20T00:00:00"/>
    <s v="Q2-2023"/>
    <s v="Jun-2023"/>
    <d v="2023-07-08T00:00:00"/>
    <n v="18"/>
    <d v="2023-07-08T00:00:00"/>
    <x v="2"/>
    <x v="10"/>
    <x v="36"/>
    <s v="Non-Profit"/>
    <s v="Direct"/>
    <s v="F. Müller"/>
    <x v="5"/>
    <s v="MON-4326"/>
    <n v="337"/>
    <n v="511.03"/>
    <n v="0.108"/>
    <n v="7"/>
    <s v="ok"/>
    <n v="18"/>
    <n v="18"/>
    <n v="3190.8713200000002"/>
    <n v="2359"/>
    <n v="831.8713200000002"/>
    <n v="0.26070349963219458"/>
  </r>
  <r>
    <s v="ORD-2024-207096"/>
    <d v="2024-03-26T00:00:00"/>
    <s v="Q1-2024"/>
    <s v="Mar-2024"/>
    <d v="2024-04-05T00:00:00"/>
    <n v="10"/>
    <d v="2024-04-05T00:00:00"/>
    <x v="2"/>
    <x v="10"/>
    <x v="36"/>
    <s v="Consumer"/>
    <s v="Direct"/>
    <s v="J. Njeri"/>
    <x v="5"/>
    <s v="MON-5444"/>
    <n v="5.66"/>
    <n v="4.22"/>
    <n v="0.11899999999999999"/>
    <n v="18"/>
    <s v="ok"/>
    <n v="10"/>
    <n v="10"/>
    <n v="66.920760000000001"/>
    <n v="101.88"/>
    <n v="-34.959239999999994"/>
    <n v="-0.52239753403876454"/>
  </r>
  <r>
    <s v="ORD-2025-939953"/>
    <d v="2025-01-22T00:00:00"/>
    <s v="Q1-2025"/>
    <s v="Jan-2025"/>
    <d v="2025-01-22T00:00:00"/>
    <n v="0"/>
    <d v="2025-01-22T00:00:00"/>
    <x v="3"/>
    <x v="7"/>
    <x v="17"/>
    <s v="Small Business"/>
    <s v="Online"/>
    <s v="B. Chen"/>
    <x v="6"/>
    <s v="ACC-5422"/>
    <n v="591.72"/>
    <n v="577.24"/>
    <n v="0"/>
    <n v="22"/>
    <s v="sus"/>
    <n v="0"/>
    <n v="0"/>
    <n v="12699.28"/>
    <n v="13017.84"/>
    <n v="-318.55999999999949"/>
    <n v="-2.5084886702238195E-2"/>
  </r>
  <r>
    <s v="ORD-2025-191328"/>
    <d v="2025-05-10T00:00:00"/>
    <s v="Q2-2025"/>
    <s v="May-2025"/>
    <d v="2025-05-27T00:00:00"/>
    <n v="17"/>
    <d v="2025-05-27T00:00:00"/>
    <x v="2"/>
    <x v="3"/>
    <x v="26"/>
    <s v="Education"/>
    <s v="Direct"/>
    <s v="C. Otieno"/>
    <x v="0"/>
    <s v="CMP-9307"/>
    <n v="862.89"/>
    <n v="1426.03"/>
    <n v="5.6000000000000001E-2"/>
    <n v="19"/>
    <s v="ok"/>
    <n v="17"/>
    <n v="17"/>
    <n v="25577.274079999999"/>
    <n v="16394.91"/>
    <n v="9182.3640799999994"/>
    <n v="0.35900479665188778"/>
  </r>
  <r>
    <s v="ORD-2023-166668"/>
    <d v="2023-10-05T00:00:00"/>
    <s v="Q4-2023"/>
    <s v="Oct-2023"/>
    <d v="2023-10-31T00:00:00"/>
    <n v="26"/>
    <d v="2023-10-31T00:00:00"/>
    <x v="1"/>
    <x v="9"/>
    <x v="23"/>
    <s v="Consumer"/>
    <s v="unknown"/>
    <s v="J. Njeri"/>
    <x v="1"/>
    <s v="PRN-6520"/>
    <n v="649.91"/>
    <n v="1360.12"/>
    <n v="0.19400000000000001"/>
    <n v="9"/>
    <s v="ok"/>
    <n v="26"/>
    <n v="26"/>
    <n v="9866.3104799999983"/>
    <n v="5849.19"/>
    <n v="4017.1204799999987"/>
    <n v="0.40715528749506769"/>
  </r>
  <r>
    <s v="ORD-2023-594700"/>
    <d v="2023-07-18T00:00:00"/>
    <s v="Q3-2023"/>
    <s v="Jul-2023"/>
    <d v="2023-07-22T00:00:00"/>
    <n v="4"/>
    <d v="2023-07-22T00:00:00"/>
    <x v="2"/>
    <x v="5"/>
    <x v="8"/>
    <s v="Consumer"/>
    <s v="Direct"/>
    <s v="F. Müller"/>
    <x v="2"/>
    <s v="NET-1699"/>
    <n v="1269.55"/>
    <n v="2071.1"/>
    <n v="0.129"/>
    <n v="22"/>
    <s v="ok"/>
    <n v="4"/>
    <n v="4"/>
    <n v="39686.4182"/>
    <n v="27930.1"/>
    <n v="11756.318200000002"/>
    <n v="0.29623026549672354"/>
  </r>
  <r>
    <s v="ORD-2025-278048"/>
    <d v="2025-06-22T00:00:00"/>
    <s v="Q2-2025"/>
    <s v="Jun-2025"/>
    <d v="2025-07-08T00:00:00"/>
    <n v="16"/>
    <d v="2025-07-08T00:00:00"/>
    <x v="3"/>
    <x v="8"/>
    <x v="21"/>
    <s v="Education"/>
    <s v="Direct"/>
    <s v="A. Patel"/>
    <x v="3"/>
    <s v="PHN-5316"/>
    <n v="892.73"/>
    <n v="979.84"/>
    <n v="0.17399999999999999"/>
    <n v="10"/>
    <s v="ok"/>
    <n v="16"/>
    <n v="16"/>
    <n v="8093.4784"/>
    <n v="8927.2999999999993"/>
    <n v="-833.82159999999931"/>
    <n v="-0.10302388649112838"/>
  </r>
  <r>
    <s v="ORD-2024-878493"/>
    <d v="2024-06-19T00:00:00"/>
    <s v="Q2-2024"/>
    <s v="Jun-2024"/>
    <d v="2024-06-20T00:00:00"/>
    <n v="1"/>
    <d v="2024-06-20T00:00:00"/>
    <x v="0"/>
    <x v="0"/>
    <x v="0"/>
    <s v="Small Business"/>
    <s v="Direct"/>
    <s v="J. Njeri"/>
    <x v="4"/>
    <s v="LAP-4607"/>
    <n v="231.63"/>
    <n v="537.39"/>
    <n v="0.08"/>
    <n v="12"/>
    <s v="ok"/>
    <n v="1"/>
    <n v="1"/>
    <n v="5932.7856000000002"/>
    <n v="2779.56"/>
    <n v="3153.2256000000002"/>
    <n v="0.53149158129024587"/>
  </r>
  <r>
    <s v="ORD-2025-138578"/>
    <d v="2025-04-09T00:00:00"/>
    <s v="Q2-2025"/>
    <s v="Apr-2025"/>
    <d v="2025-04-12T00:00:00"/>
    <n v="3"/>
    <d v="2025-04-12T00:00:00"/>
    <x v="3"/>
    <x v="7"/>
    <x v="17"/>
    <s v="Small Business"/>
    <s v="Distributor"/>
    <s v="H. Kim"/>
    <x v="5"/>
    <s v="MON-5276"/>
    <n v="86.68"/>
    <n v="213.32"/>
    <n v="3.7999999999999999E-2"/>
    <n v="8"/>
    <s v="ok"/>
    <n v="3"/>
    <n v="3"/>
    <n v="1641.7107199999998"/>
    <n v="693.44"/>
    <n v="948.27071999999976"/>
    <n v="0.57761133459614611"/>
  </r>
  <r>
    <s v="ORD-2025-944081"/>
    <d v="2025-03-25T00:00:00"/>
    <s v="Q1-2025"/>
    <s v="Mar-2025"/>
    <d v="2025-03-26T00:00:00"/>
    <n v="1"/>
    <d v="2025-03-26T00:00:00"/>
    <x v="0"/>
    <x v="1"/>
    <x v="3"/>
    <s v="Education"/>
    <s v="Distributor"/>
    <s v="G. Dubois"/>
    <x v="6"/>
    <s v="ACC-9533"/>
    <n v="1450.43"/>
    <n v="1994.67"/>
    <n v="0.1"/>
    <n v="24"/>
    <s v="ok"/>
    <n v="1"/>
    <n v="1"/>
    <n v="43084.872000000003"/>
    <n v="34810.32"/>
    <n v="8274.5520000000033"/>
    <n v="0.19205237513529116"/>
  </r>
  <r>
    <s v="ORD-2025-364852"/>
    <d v="2025-05-18T00:00:00"/>
    <s v="Q2-2025"/>
    <s v="May-2025"/>
    <d v="2025-06-09T00:00:00"/>
    <n v="22"/>
    <d v="2025-06-09T00:00:00"/>
    <x v="2"/>
    <x v="10"/>
    <x v="39"/>
    <s v="Consumer"/>
    <s v="Retail"/>
    <s v="H. Kim"/>
    <x v="2"/>
    <s v="NET-3749"/>
    <n v="382.96"/>
    <n v="552.84"/>
    <n v="0.17599999999999999"/>
    <n v="8"/>
    <s v="ok"/>
    <n v="22"/>
    <n v="22"/>
    <n v="3644.3212800000006"/>
    <n v="3063.68"/>
    <n v="580.64128000000073"/>
    <n v="0.15932768693763483"/>
  </r>
  <r>
    <s v="ORD-2025-415018"/>
    <d v="2025-01-22T00:00:00"/>
    <s v="Q1-2025"/>
    <s v="Jan-2025"/>
    <d v="2025-02-04T00:00:00"/>
    <n v="13"/>
    <d v="2025-02-04T00:00:00"/>
    <x v="1"/>
    <x v="2"/>
    <x v="27"/>
    <s v="Small Business"/>
    <s v="Distributor"/>
    <s v="L. Okafor"/>
    <x v="1"/>
    <s v="PRN-2991"/>
    <n v="122.29"/>
    <n v="224.95"/>
    <n v="0.153"/>
    <n v="28"/>
    <s v="ok"/>
    <n v="13"/>
    <n v="13"/>
    <n v="5334.9141999999993"/>
    <n v="3424.1200000000003"/>
    <n v="1910.7941999999989"/>
    <n v="0.3581677471026618"/>
  </r>
  <r>
    <s v="ORD-2023-884192"/>
    <d v="2023-01-10T00:00:00"/>
    <s v="Q1-2023"/>
    <s v="Jan-2023"/>
    <d v="2023-01-29T00:00:00"/>
    <n v="19"/>
    <d v="2023-01-29T00:00:00"/>
    <x v="3"/>
    <x v="7"/>
    <x v="17"/>
    <s v="Non-Profit"/>
    <s v="Direct"/>
    <s v="D. Smith"/>
    <x v="4"/>
    <s v="LAP-4551"/>
    <n v="401.66"/>
    <n v="772.09"/>
    <n v="8.8999999999999996E-2"/>
    <n v="14"/>
    <s v="ok"/>
    <n v="19"/>
    <n v="19"/>
    <n v="9847.2358600000007"/>
    <n v="5623.2400000000007"/>
    <n v="4223.99586"/>
    <n v="0.42895244107619046"/>
  </r>
  <r>
    <s v="ORD-2024-165942"/>
    <d v="2024-12-29T00:00:00"/>
    <s v="Q4-2024"/>
    <s v="Dec-2024"/>
    <d v="2025-01-12T00:00:00"/>
    <n v="14"/>
    <d v="2025-01-12T00:00:00"/>
    <x v="3"/>
    <x v="8"/>
    <x v="31"/>
    <s v="Corporate"/>
    <s v="Direct"/>
    <s v="B. Chen"/>
    <x v="5"/>
    <s v="MON-6310"/>
    <n v="1399.72"/>
    <n v="3149.21"/>
    <n v="0.185"/>
    <n v="12"/>
    <s v="ok"/>
    <n v="14"/>
    <n v="14"/>
    <n v="30799.273800000003"/>
    <n v="16796.64"/>
    <n v="14002.633800000003"/>
    <n v="0.45464168703873797"/>
  </r>
  <r>
    <s v="ORD-2024-403664"/>
    <d v="2024-05-23T00:00:00"/>
    <s v="Q2-2024"/>
    <s v="May-2024"/>
    <d v="2024-06-06T00:00:00"/>
    <n v="14"/>
    <d v="2024-06-06T00:00:00"/>
    <x v="2"/>
    <x v="5"/>
    <x v="30"/>
    <s v="Non-Profit"/>
    <s v="Online"/>
    <s v="I. Johnson"/>
    <x v="2"/>
    <s v="NET-1166"/>
    <n v="51.13"/>
    <n v="57.53"/>
    <n v="4.4999999999999998E-2"/>
    <n v="16"/>
    <s v="ok"/>
    <n v="14"/>
    <n v="14"/>
    <n v="879.05840000000001"/>
    <n v="818.08"/>
    <n v="60.978399999999965"/>
    <n v="6.9367859973808302E-2"/>
  </r>
  <r>
    <s v="ORD-2023-890605"/>
    <d v="2023-06-24T00:00:00"/>
    <s v="Q2-2023"/>
    <s v="Jun-2023"/>
    <d v="2023-06-22T00:00:00"/>
    <n v="14"/>
    <d v="2023-07-08T00:00:00"/>
    <x v="2"/>
    <x v="3"/>
    <x v="5"/>
    <s v="Non-Profit"/>
    <s v="Retail"/>
    <s v="M. Rossi"/>
    <x v="6"/>
    <s v="ACC-2903"/>
    <n v="471.42"/>
    <n v="824.81"/>
    <n v="8.7999999999999995E-2"/>
    <n v="15"/>
    <s v="sus"/>
    <n v="-2"/>
    <n v="2"/>
    <n v="11283.400799999999"/>
    <n v="7071.3"/>
    <n v="4212.1007999999993"/>
    <n v="0.37330064531608231"/>
  </r>
  <r>
    <s v="ORD-2024-925626"/>
    <d v="2024-11-04T00:00:00"/>
    <s v="Q4-2024"/>
    <s v="Nov-2024"/>
    <d v="2024-11-05T00:00:00"/>
    <n v="1"/>
    <d v="2024-11-05T00:00:00"/>
    <x v="3"/>
    <x v="8"/>
    <x v="21"/>
    <s v="Corporate"/>
    <s v="Retail"/>
    <s v="M. Rossi"/>
    <x v="1"/>
    <s v="PRN-2293"/>
    <n v="840.68"/>
    <n v="1493.53"/>
    <n v="0"/>
    <n v="27"/>
    <s v="ok"/>
    <n v="1"/>
    <n v="1"/>
    <n v="40325.31"/>
    <n v="22698.359999999997"/>
    <n v="17626.95"/>
    <n v="0.43711877230454027"/>
  </r>
  <r>
    <s v="ORD-2024-427031"/>
    <d v="2024-06-08T00:00:00"/>
    <s v="Q2-2024"/>
    <s v="Jun-2024"/>
    <d v="2024-06-24T00:00:00"/>
    <n v="16"/>
    <d v="2024-06-24T00:00:00"/>
    <x v="0"/>
    <x v="11"/>
    <x v="25"/>
    <s v="Education"/>
    <s v="Distributor"/>
    <s v="H. Kim"/>
    <x v="5"/>
    <s v="MON-1389"/>
    <n v="597.85"/>
    <n v="741.92"/>
    <n v="3.1E-2"/>
    <n v="7"/>
    <s v="ok"/>
    <n v="16"/>
    <n v="16"/>
    <n v="5032.4433599999993"/>
    <n v="4184.95"/>
    <n v="847.49335999999948"/>
    <n v="0.16840594108544515"/>
  </r>
  <r>
    <s v="ORD-2025-231184"/>
    <d v="2025-06-01T00:00:00"/>
    <s v="Q2-2025"/>
    <s v="Jun-2025"/>
    <d v="2025-06-06T00:00:00"/>
    <n v="5"/>
    <d v="2025-06-06T00:00:00"/>
    <x v="3"/>
    <x v="7"/>
    <x v="28"/>
    <s v="Consumer"/>
    <s v="Distributor"/>
    <s v="G. Dubois"/>
    <x v="0"/>
    <s v="CMP-4093"/>
    <n v="379.45"/>
    <n v="742.23"/>
    <n v="0.09"/>
    <n v="13"/>
    <s v="ok"/>
    <n v="5"/>
    <n v="5"/>
    <n v="8780.5809000000008"/>
    <n v="4932.8499999999995"/>
    <n v="3847.7309000000014"/>
    <n v="0.43820915083192286"/>
  </r>
  <r>
    <s v="ORD-2023-363031"/>
    <d v="2023-05-06T00:00:00"/>
    <s v="Q2-2023"/>
    <s v="May-2023"/>
    <d v="2023-05-14T00:00:00"/>
    <n v="8"/>
    <d v="2023-05-14T00:00:00"/>
    <x v="1"/>
    <x v="2"/>
    <x v="4"/>
    <s v="Enterprise"/>
    <s v="Marketplace"/>
    <s v="B. Chen"/>
    <x v="3"/>
    <s v="PHN-6131"/>
    <n v="291.18"/>
    <n v="479.54"/>
    <n v="0.14099999999999999"/>
    <n v="22"/>
    <s v="ok"/>
    <n v="8"/>
    <n v="8"/>
    <n v="9062.34692"/>
    <n v="6405.96"/>
    <n v="2656.3869199999999"/>
    <n v="0.29312350801066001"/>
  </r>
  <r>
    <s v="ORD-2023-619570"/>
    <d v="2023-11-14T00:00:00"/>
    <s v="Q4-2023"/>
    <s v="Nov-2023"/>
    <d v="2023-11-30T00:00:00"/>
    <n v="16"/>
    <d v="2023-11-30T00:00:00"/>
    <x v="2"/>
    <x v="5"/>
    <x v="8"/>
    <s v="Enterprise"/>
    <s v="Direct"/>
    <s v="K. Singh"/>
    <x v="2"/>
    <s v="NET-4104"/>
    <n v="1017.92"/>
    <n v="1175.25"/>
    <n v="7.4999999999999997E-2"/>
    <n v="15"/>
    <s v="ok"/>
    <n v="16"/>
    <n v="16"/>
    <n v="16306.59375"/>
    <n v="15268.8"/>
    <n v="1037.7937500000007"/>
    <n v="6.3642583234159542E-2"/>
  </r>
  <r>
    <s v="ORD-2025-861401"/>
    <d v="2025-04-01T00:00:00"/>
    <s v="Q2-2025"/>
    <s v="Apr-2025"/>
    <d v="2025-04-27T00:00:00"/>
    <n v="26"/>
    <d v="2025-04-27T00:00:00"/>
    <x v="2"/>
    <x v="10"/>
    <x v="24"/>
    <s v="Corporate"/>
    <s v="Direct"/>
    <s v="I. Johnson"/>
    <x v="5"/>
    <s v="MON-9319"/>
    <n v="156.55000000000001"/>
    <n v="227.45"/>
    <n v="1.4E-2"/>
    <n v="13"/>
    <s v="ok"/>
    <n v="26"/>
    <n v="26"/>
    <n v="2915.4540999999999"/>
    <n v="2035.15"/>
    <n v="880.30409999999983"/>
    <n v="0.3019440779396938"/>
  </r>
  <r>
    <s v="ORD-2023-835010"/>
    <d v="2023-03-23T00:00:00"/>
    <s v="Q1-2023"/>
    <s v="Mar-2023"/>
    <d v="2023-04-15T00:00:00"/>
    <n v="23"/>
    <d v="2023-04-15T00:00:00"/>
    <x v="0"/>
    <x v="0"/>
    <x v="13"/>
    <s v="Small Business"/>
    <s v="Retail"/>
    <s v="C. Otieno"/>
    <x v="6"/>
    <s v="ACC-2988"/>
    <n v="875.36"/>
    <n v="1178.6199999999999"/>
    <n v="0.151"/>
    <n v="53"/>
    <s v="ok"/>
    <n v="23"/>
    <n v="23"/>
    <n v="53034.364139999991"/>
    <n v="46394.080000000002"/>
    <n v="6640.2841399999888"/>
    <n v="0.12520719815685888"/>
  </r>
  <r>
    <s v="ORD-2024-819979"/>
    <d v="2024-05-28T00:00:00"/>
    <s v="Q2-2024"/>
    <s v="May-2024"/>
    <d v="2024-06-18T00:00:00"/>
    <n v="21"/>
    <d v="2024-06-18T00:00:00"/>
    <x v="3"/>
    <x v="6"/>
    <x v="37"/>
    <s v="Small Business"/>
    <s v="Online"/>
    <s v="E. Garcia"/>
    <x v="3"/>
    <s v="PHN-9399"/>
    <n v="986.85"/>
    <n v="2422.1"/>
    <n v="7.5999999999999998E-2"/>
    <n v="10"/>
    <s v="ok"/>
    <n v="21"/>
    <n v="21"/>
    <n v="22380.204000000002"/>
    <n v="9868.5"/>
    <n v="12511.704000000002"/>
    <n v="0.55905227673527913"/>
  </r>
  <r>
    <s v="ORD-2024-719055"/>
    <d v="2024-01-02T00:00:00"/>
    <s v="Q1-2024"/>
    <s v="Jan-2024"/>
    <d v="2024-01-01T00:00:00"/>
    <n v="14"/>
    <d v="2024-01-16T00:00:00"/>
    <x v="2"/>
    <x v="10"/>
    <x v="15"/>
    <s v="Education"/>
    <s v="Marketplace"/>
    <s v="B. Chen"/>
    <x v="2"/>
    <s v="NET-4554"/>
    <n v="404.77"/>
    <n v="433.88"/>
    <n v="0.215"/>
    <n v="22"/>
    <s v="sus"/>
    <n v="-1"/>
    <n v="1"/>
    <n v="7493.1076000000012"/>
    <n v="8904.9399999999987"/>
    <n v="-1411.8323999999975"/>
    <n v="-0.18841747314558746"/>
  </r>
  <r>
    <s v="ORD-2023-888245"/>
    <d v="2023-02-28T00:00:00"/>
    <s v="Q1-2023"/>
    <s v="Feb-2023"/>
    <d v="2023-02-27T00:00:00"/>
    <n v="14"/>
    <d v="2023-03-14T00:00:00"/>
    <x v="3"/>
    <x v="7"/>
    <x v="11"/>
    <s v="Corporate"/>
    <s v="Retail"/>
    <s v="K. Singh"/>
    <x v="2"/>
    <s v="NET-5195"/>
    <n v="1299.81"/>
    <n v="3149.13"/>
    <n v="0.10299999999999999"/>
    <n v="14"/>
    <s v="sus"/>
    <n v="-1"/>
    <n v="1"/>
    <n v="39546.774539999999"/>
    <n v="18197.34"/>
    <n v="21349.434539999998"/>
    <n v="0.53985273864511729"/>
  </r>
  <r>
    <s v="ORD-2024-206121"/>
    <d v="2024-02-18T00:00:00"/>
    <s v="Q1-2024"/>
    <s v="Feb-2024"/>
    <d v="2024-03-11T00:00:00"/>
    <n v="22"/>
    <d v="2024-03-11T00:00:00"/>
    <x v="2"/>
    <x v="5"/>
    <x v="8"/>
    <s v="Consumer"/>
    <s v="Online"/>
    <s v="A. Patel"/>
    <x v="0"/>
    <s v="CMP-9801"/>
    <n v="80.48"/>
    <n v="65.650000000000006"/>
    <n v="0.17599999999999999"/>
    <n v="13"/>
    <s v="ok"/>
    <n v="22"/>
    <n v="22"/>
    <n v="703.2428000000001"/>
    <n v="1046.24"/>
    <n v="-342.99719999999991"/>
    <n v="-0.48773652570634191"/>
  </r>
  <r>
    <s v="ORD-2024-500890"/>
    <d v="2024-09-09T00:00:00"/>
    <s v="Q3-2024"/>
    <s v="Sept-2024"/>
    <d v="2024-10-08T00:00:00"/>
    <n v="29"/>
    <d v="2024-10-08T00:00:00"/>
    <x v="2"/>
    <x v="5"/>
    <x v="8"/>
    <s v="Education"/>
    <s v="Direct"/>
    <s v="J. Njeri"/>
    <x v="0"/>
    <s v="CMP-3093"/>
    <n v="1010.33"/>
    <n v="2492.14"/>
    <n v="5.0999999999999997E-2"/>
    <n v="11"/>
    <s v="ok"/>
    <n v="29"/>
    <n v="29"/>
    <n v="26015.449459999996"/>
    <n v="11113.630000000001"/>
    <n v="14901.819459999995"/>
    <n v="0.57280653493656752"/>
  </r>
  <r>
    <s v="ORD-2023-144816"/>
    <d v="2023-05-07T00:00:00"/>
    <s v="Q2-2023"/>
    <s v="May-2023"/>
    <d v="2023-05-29T00:00:00"/>
    <n v="22"/>
    <d v="2023-05-29T00:00:00"/>
    <x v="0"/>
    <x v="11"/>
    <x v="25"/>
    <s v="Education"/>
    <s v="Distributor"/>
    <s v="K. Singh"/>
    <x v="6"/>
    <s v="ACC-2364"/>
    <n v="653.86"/>
    <n v="931.84"/>
    <n v="0.121"/>
    <n v="12"/>
    <s v="ok"/>
    <n v="22"/>
    <n v="22"/>
    <n v="9829.0483199999999"/>
    <n v="7846.32"/>
    <n v="1982.7283200000002"/>
    <n v="0.20172129136506273"/>
  </r>
  <r>
    <s v="ORD-2024-153053"/>
    <d v="2024-01-12T00:00:00"/>
    <s v="Q1-2024"/>
    <s v="Jan-2024"/>
    <d v="2024-01-29T00:00:00"/>
    <n v="17"/>
    <d v="2024-01-29T00:00:00"/>
    <x v="1"/>
    <x v="4"/>
    <x v="34"/>
    <s v="Small Business"/>
    <s v="Direct"/>
    <s v="B. Chen"/>
    <x v="0"/>
    <s v="CMP-5138"/>
    <n v="310.02"/>
    <n v="619.51"/>
    <n v="4.2000000000000003E-2"/>
    <n v="4"/>
    <s v="ok"/>
    <n v="17"/>
    <n v="17"/>
    <n v="2373.9623200000001"/>
    <n v="1240.08"/>
    <n v="1133.8823200000002"/>
    <n v="0.47763282106347843"/>
  </r>
  <r>
    <s v="ORD-2023-536542"/>
    <d v="2023-06-10T00:00:00"/>
    <s v="Q2-2023"/>
    <s v="Jun-2023"/>
    <d v="2023-06-18T00:00:00"/>
    <n v="8"/>
    <d v="2023-06-18T00:00:00"/>
    <x v="0"/>
    <x v="0"/>
    <x v="16"/>
    <s v="Enterprise"/>
    <s v="Direct"/>
    <s v="H. Kim"/>
    <x v="3"/>
    <s v="PHN-2337"/>
    <n v="894.23"/>
    <n v="1421.55"/>
    <n v="0.109"/>
    <n v="3"/>
    <s v="ok"/>
    <n v="8"/>
    <n v="8"/>
    <n v="3799.8031499999997"/>
    <n v="2682.69"/>
    <n v="1117.1131499999997"/>
    <n v="0.29399237431549574"/>
  </r>
  <r>
    <s v="ORD-2025-779530"/>
    <d v="2025-05-19T00:00:00"/>
    <s v="Q2-2025"/>
    <s v="May-2025"/>
    <d v="2025-05-17T00:00:00"/>
    <n v="14"/>
    <d v="2025-06-02T00:00:00"/>
    <x v="2"/>
    <x v="5"/>
    <x v="8"/>
    <s v="Small Business"/>
    <s v="Distributor"/>
    <s v="L. Okafor"/>
    <x v="5"/>
    <s v="MON-2993"/>
    <n v="383.77"/>
    <n v="952.56"/>
    <n v="0.34599999999999997"/>
    <n v="10"/>
    <s v="sus"/>
    <n v="-2"/>
    <n v="2"/>
    <n v="6229.7423999999992"/>
    <n v="3837.7"/>
    <n v="2392.0423999999994"/>
    <n v="0.38397131797937578"/>
  </r>
  <r>
    <s v="ORD-2023-163610"/>
    <d v="2023-10-22T00:00:00"/>
    <s v="Q4-2023"/>
    <s v="Oct-2023"/>
    <d v="2023-11-16T00:00:00"/>
    <n v="25"/>
    <d v="2023-11-16T00:00:00"/>
    <x v="2"/>
    <x v="3"/>
    <x v="5"/>
    <s v="Small Business"/>
    <s v="Marketplace"/>
    <s v="I. Johnson"/>
    <x v="4"/>
    <s v="LAP-9024"/>
    <n v="1373.31"/>
    <n v="3154.14"/>
    <n v="0.2"/>
    <n v="11"/>
    <s v="ok"/>
    <n v="25"/>
    <n v="25"/>
    <n v="27756.432000000001"/>
    <n v="15106.41"/>
    <n v="12650.022000000001"/>
    <n v="0.45575101295440279"/>
  </r>
  <r>
    <s v="ORD-2025-653781"/>
    <d v="2025-01-11T00:00:00"/>
    <s v="Q1-2025"/>
    <s v="Jan-2025"/>
    <d v="2025-01-23T00:00:00"/>
    <n v="12"/>
    <d v="2025-01-23T00:00:00"/>
    <x v="2"/>
    <x v="10"/>
    <x v="36"/>
    <s v="Consumer"/>
    <s v="Distributor"/>
    <s v="H. Kim"/>
    <x v="3"/>
    <s v="PHN-6307"/>
    <n v="100.69"/>
    <n v="226.14"/>
    <n v="6.5000000000000002E-2"/>
    <n v="12"/>
    <s v="ok"/>
    <n v="12"/>
    <n v="12"/>
    <n v="2537.2908000000002"/>
    <n v="1208.28"/>
    <n v="1329.0108000000002"/>
    <n v="0.52379128162999689"/>
  </r>
  <r>
    <s v="ORD-2025-737787"/>
    <d v="2025-09-14T00:00:00"/>
    <s v="Q3-2025"/>
    <s v="Sept-2025"/>
    <d v="2025-09-26T00:00:00"/>
    <n v="12"/>
    <d v="2025-09-26T00:00:00"/>
    <x v="3"/>
    <x v="8"/>
    <x v="21"/>
    <s v="Small Business"/>
    <s v="Direct"/>
    <s v="N. Brown"/>
    <x v="2"/>
    <s v="NET-9003"/>
    <n v="425.15"/>
    <n v="885.92"/>
    <n v="0.23899999999999999"/>
    <n v="13"/>
    <s v="ok"/>
    <n v="12"/>
    <n v="12"/>
    <n v="8764.4065599999994"/>
    <n v="5526.95"/>
    <n v="3237.4565599999996"/>
    <n v="0.3693868532725848"/>
  </r>
  <r>
    <s v="ORD-2023-944052"/>
    <d v="2023-08-30T00:00:00"/>
    <s v="Q3-2023"/>
    <s v="Aug-2023"/>
    <d v="2023-09-03T00:00:00"/>
    <n v="4"/>
    <d v="2023-09-03T00:00:00"/>
    <x v="1"/>
    <x v="4"/>
    <x v="18"/>
    <s v="Small Business"/>
    <s v="Marketplace"/>
    <s v="L. Okafor"/>
    <x v="6"/>
    <s v="ACC-3068"/>
    <n v="1082.25"/>
    <n v="2433.34"/>
    <n v="0.27"/>
    <n v="4"/>
    <s v="ok"/>
    <n v="4"/>
    <n v="4"/>
    <n v="7105.3528000000006"/>
    <n v="4329"/>
    <n v="2776.3528000000006"/>
    <n v="0.3907410199251472"/>
  </r>
  <r>
    <s v="ORD-2023-181257"/>
    <d v="2023-11-15T00:00:00"/>
    <s v="Q4-2023"/>
    <s v="Nov-2023"/>
    <d v="2023-12-06T00:00:00"/>
    <n v="21"/>
    <d v="2023-12-06T00:00:00"/>
    <x v="3"/>
    <x v="8"/>
    <x v="31"/>
    <s v="Education"/>
    <s v="Direct"/>
    <s v="H. Kim"/>
    <x v="6"/>
    <s v="ACC-1060"/>
    <n v="1184.99"/>
    <n v="1154.3399999999999"/>
    <n v="2.8000000000000001E-2"/>
    <n v="5"/>
    <s v="ok"/>
    <n v="21"/>
    <n v="21"/>
    <n v="5610.0923999999995"/>
    <n v="5924.95"/>
    <n v="-314.85760000000028"/>
    <n v="-5.6123424990290764E-2"/>
  </r>
  <r>
    <s v="ORD-2025-323492"/>
    <d v="2025-04-27T00:00:00"/>
    <s v="Q2-2025"/>
    <s v="Apr-2025"/>
    <d v="2025-05-27T00:00:00"/>
    <n v="30"/>
    <d v="2025-05-27T00:00:00"/>
    <x v="1"/>
    <x v="4"/>
    <x v="35"/>
    <s v="Enterprise"/>
    <s v="Marketplace"/>
    <s v="H. Kim"/>
    <x v="3"/>
    <s v="PHN-3854"/>
    <n v="481.32"/>
    <n v="1135.99"/>
    <n v="0.14499999999999999"/>
    <n v="5"/>
    <s v="ok"/>
    <n v="30"/>
    <n v="30"/>
    <n v="4856.35725"/>
    <n v="2406.6"/>
    <n v="2449.7572500000001"/>
    <n v="0.50444337677175621"/>
  </r>
  <r>
    <s v="ORD-2024-332076"/>
    <d v="2024-04-09T00:00:00"/>
    <s v="Q2-2024"/>
    <s v="Apr-2024"/>
    <d v="2024-04-18T00:00:00"/>
    <n v="9"/>
    <d v="2024-04-18T00:00:00"/>
    <x v="3"/>
    <x v="7"/>
    <x v="17"/>
    <s v="Consumer"/>
    <s v="Online"/>
    <s v="E. Garcia"/>
    <x v="1"/>
    <s v="PRN-1086"/>
    <n v="1288.8499999999999"/>
    <n v="2751.84"/>
    <n v="0.158"/>
    <n v="7"/>
    <s v="ok"/>
    <n v="9"/>
    <n v="9"/>
    <n v="16219.34496"/>
    <n v="9021.9499999999989"/>
    <n v="7197.3949600000014"/>
    <n v="0.44375373837538756"/>
  </r>
  <r>
    <s v="ORD-2024-571797"/>
    <d v="2024-07-11T00:00:00"/>
    <s v="Q3-2024"/>
    <s v="Jul-2024"/>
    <d v="2024-07-31T00:00:00"/>
    <n v="20"/>
    <d v="2024-07-31T00:00:00"/>
    <x v="1"/>
    <x v="9"/>
    <x v="14"/>
    <s v="Consumer"/>
    <s v="Online"/>
    <s v="G. Dubois"/>
    <x v="3"/>
    <s v="PHN-7815"/>
    <n v="647.26"/>
    <n v="1374.72"/>
    <n v="6.6000000000000003E-2"/>
    <n v="22"/>
    <s v="ok"/>
    <n v="20"/>
    <n v="20"/>
    <n v="28247.74656"/>
    <n v="14239.72"/>
    <n v="14008.02656"/>
    <n v="0.49589890401508901"/>
  </r>
  <r>
    <s v="ORD-2024-129345"/>
    <d v="2024-02-18T00:00:00"/>
    <s v="Q1-2024"/>
    <s v="Feb-2024"/>
    <d v="2024-03-03T00:00:00"/>
    <n v="14"/>
    <d v="2024-03-03T00:00:00"/>
    <x v="2"/>
    <x v="5"/>
    <x v="35"/>
    <s v="Enterprise"/>
    <s v="Distributor"/>
    <s v="A. Patel"/>
    <x v="1"/>
    <s v="PRN-5384"/>
    <n v="624.23"/>
    <n v="1318.37"/>
    <n v="0.21"/>
    <n v="37"/>
    <s v="ok"/>
    <n v="14"/>
    <n v="14"/>
    <n v="38535.955099999999"/>
    <n v="23096.510000000002"/>
    <n v="15439.445099999997"/>
    <n v="0.40065038118128793"/>
  </r>
  <r>
    <s v="ORD-2023-660608"/>
    <d v="2023-07-25T00:00:00"/>
    <s v="Q3-2023"/>
    <s v="Jul-2023"/>
    <d v="2023-08-10T00:00:00"/>
    <n v="16"/>
    <d v="2023-08-10T00:00:00"/>
    <x v="0"/>
    <x v="1"/>
    <x v="1"/>
    <s v="Corporate"/>
    <s v="Distributor"/>
    <s v="I. Johnson"/>
    <x v="6"/>
    <s v="ACC-8178"/>
    <n v="506.83"/>
    <n v="441.74"/>
    <n v="0.24"/>
    <n v="9"/>
    <s v="ok"/>
    <n v="16"/>
    <n v="16"/>
    <n v="3021.5016000000001"/>
    <n v="4561.47"/>
    <n v="-1539.9684000000002"/>
    <n v="-0.50966989393618067"/>
  </r>
  <r>
    <s v="ORD-2023-825084"/>
    <d v="2023-07-14T00:00:00"/>
    <s v="Q3-2023"/>
    <s v="Jul-2023"/>
    <d v="2023-07-21T00:00:00"/>
    <n v="7"/>
    <d v="2023-07-21T00:00:00"/>
    <x v="0"/>
    <x v="11"/>
    <x v="25"/>
    <s v="Enterprise"/>
    <s v="Marketplace"/>
    <s v="unknown"/>
    <x v="5"/>
    <s v="MON-1018"/>
    <n v="620.74"/>
    <n v="1330.07"/>
    <n v="0.29899999999999999"/>
    <n v="28"/>
    <s v="ok"/>
    <n v="7"/>
    <n v="7"/>
    <n v="26106.613960000002"/>
    <n v="17380.72"/>
    <n v="8725.8939600000012"/>
    <n v="0.33424073965967516"/>
  </r>
  <r>
    <s v="ORD-2023-261081"/>
    <d v="2023-07-24T00:00:00"/>
    <s v="Q3-2023"/>
    <s v="Jul-2023"/>
    <d v="2023-08-19T00:00:00"/>
    <n v="26"/>
    <d v="2023-08-19T00:00:00"/>
    <x v="0"/>
    <x v="0"/>
    <x v="2"/>
    <s v="Enterprise"/>
    <s v="Distributor"/>
    <s v="M. Rossi"/>
    <x v="6"/>
    <s v="ACC-1238"/>
    <n v="661.45"/>
    <n v="1634.86"/>
    <n v="0.56499999999999995"/>
    <n v="24"/>
    <s v="ok"/>
    <n v="26"/>
    <n v="26"/>
    <n v="17067.938400000003"/>
    <n v="15874.800000000001"/>
    <n v="1193.1384000000016"/>
    <n v="6.9905244092045793E-2"/>
  </r>
  <r>
    <s v="ORD-2023-766015"/>
    <d v="2023-04-13T00:00:00"/>
    <s v="Q2-2023"/>
    <s v="Apr-2023"/>
    <d v="2023-04-11T00:00:00"/>
    <n v="14"/>
    <d v="2023-04-27T00:00:00"/>
    <x v="2"/>
    <x v="10"/>
    <x v="24"/>
    <s v="Education"/>
    <s v="Marketplace"/>
    <s v="G. Dubois"/>
    <x v="2"/>
    <s v="NET-1816"/>
    <n v="32.1"/>
    <n v="70.599999999999994"/>
    <n v="0.28199999999999997"/>
    <n v="22"/>
    <s v="sus"/>
    <n v="-2"/>
    <n v="2"/>
    <n v="1115.1975999999997"/>
    <n v="706.2"/>
    <n v="408.99759999999969"/>
    <n v="0.36674899587301818"/>
  </r>
  <r>
    <s v="ORD-2024-333192"/>
    <d v="2024-10-29T00:00:00"/>
    <s v="Q4-2024"/>
    <s v="Oct-2024"/>
    <d v="2024-11-04T00:00:00"/>
    <n v="6"/>
    <d v="2024-11-04T00:00:00"/>
    <x v="0"/>
    <x v="0"/>
    <x v="2"/>
    <s v="Corporate"/>
    <s v="Distributor"/>
    <s v="M. Rossi"/>
    <x v="1"/>
    <s v="PRN-4893"/>
    <n v="805.81"/>
    <n v="1823.04"/>
    <n v="0"/>
    <n v="11"/>
    <s v="ok"/>
    <n v="6"/>
    <n v="6"/>
    <n v="20053.439999999999"/>
    <n v="8863.91"/>
    <n v="11189.529999999999"/>
    <n v="0.55798556257679477"/>
  </r>
  <r>
    <s v="ORD-2024-647473"/>
    <d v="2024-02-17T00:00:00"/>
    <s v="Q1-2024"/>
    <s v="Feb-2024"/>
    <d v="2024-03-04T00:00:00"/>
    <n v="16"/>
    <d v="2024-03-04T00:00:00"/>
    <x v="1"/>
    <x v="4"/>
    <x v="18"/>
    <s v="Small Business"/>
    <s v="Marketplace"/>
    <s v="F. Müller"/>
    <x v="3"/>
    <s v="PHN-1717"/>
    <n v="1231.8"/>
    <n v="2015.99"/>
    <n v="0.26100000000000001"/>
    <n v="6"/>
    <s v="ok"/>
    <n v="16"/>
    <n v="16"/>
    <n v="8938.8996600000009"/>
    <n v="7390.7999999999993"/>
    <n v="1548.0996600000017"/>
    <n v="0.17318682599464391"/>
  </r>
  <r>
    <s v="ORD-2024-892908"/>
    <d v="2024-07-13T00:00:00"/>
    <s v="Q3-2024"/>
    <s v="Jul-2024"/>
    <d v="2024-07-12T00:00:00"/>
    <n v="14"/>
    <d v="2024-07-27T00:00:00"/>
    <x v="1"/>
    <x v="2"/>
    <x v="32"/>
    <s v="Small Business"/>
    <s v="Marketplace"/>
    <s v="F. Müller"/>
    <x v="2"/>
    <s v="NET-9575"/>
    <n v="105.13"/>
    <n v="244.13"/>
    <n v="7.0999999999999994E-2"/>
    <n v="14"/>
    <s v="sus"/>
    <n v="-1"/>
    <n v="1"/>
    <n v="3175.1547799999998"/>
    <n v="1471.82"/>
    <n v="1703.3347799999999"/>
    <n v="0.53645724319618837"/>
  </r>
  <r>
    <s v="ORD-2023-573146"/>
    <d v="2023-12-01T00:00:00"/>
    <s v="Q4-2023"/>
    <s v="Dec-2023"/>
    <d v="2023-12-18T00:00:00"/>
    <n v="17"/>
    <d v="2023-12-18T00:00:00"/>
    <x v="1"/>
    <x v="2"/>
    <x v="32"/>
    <s v="Small Business"/>
    <s v="Direct"/>
    <s v="N. Brown"/>
    <x v="4"/>
    <s v="LAP-3604"/>
    <n v="1495.79"/>
    <n v="2783.12"/>
    <n v="0.02"/>
    <n v="5"/>
    <s v="ok"/>
    <n v="17"/>
    <n v="17"/>
    <n v="13637.287999999999"/>
    <n v="7478.95"/>
    <n v="6158.3379999999988"/>
    <n v="0.45158084217331185"/>
  </r>
  <r>
    <s v="ORD-2024-901115"/>
    <d v="2024-07-25T00:00:00"/>
    <s v="Q3-2024"/>
    <s v="Jul-2024"/>
    <d v="2024-08-02T00:00:00"/>
    <n v="8"/>
    <d v="2024-08-02T00:00:00"/>
    <x v="2"/>
    <x v="3"/>
    <x v="19"/>
    <s v="Consumer"/>
    <s v="Direct"/>
    <s v="J. Njeri"/>
    <x v="6"/>
    <s v="ACC-6626"/>
    <n v="986.81"/>
    <n v="2050.31"/>
    <n v="0.10299999999999999"/>
    <n v="43"/>
    <s v="ok"/>
    <n v="8"/>
    <n v="8"/>
    <n v="79082.507010000001"/>
    <n v="42432.829999999994"/>
    <n v="36649.677010000007"/>
    <n v="0.46343595310358138"/>
  </r>
  <r>
    <s v="ORD-2023-898009"/>
    <d v="2023-05-04T00:00:00"/>
    <s v="Q2-2023"/>
    <s v="May-2023"/>
    <d v="2023-05-16T00:00:00"/>
    <n v="12"/>
    <d v="2023-05-16T00:00:00"/>
    <x v="0"/>
    <x v="1"/>
    <x v="7"/>
    <s v="Small Business"/>
    <s v="Marketplace"/>
    <s v="J. Njeri"/>
    <x v="3"/>
    <s v="PHN-1670"/>
    <n v="77.739999999999995"/>
    <n v="147.12"/>
    <n v="0"/>
    <n v="15"/>
    <s v="ok"/>
    <n v="12"/>
    <n v="12"/>
    <n v="2206.8000000000002"/>
    <n v="1166.0999999999999"/>
    <n v="1040.7000000000003"/>
    <n v="0.47158781946710177"/>
  </r>
  <r>
    <s v="ORD-2023-208944"/>
    <d v="2023-12-21T00:00:00"/>
    <s v="Q4-2023"/>
    <s v="Dec-2023"/>
    <d v="2024-01-06T00:00:00"/>
    <n v="16"/>
    <d v="2024-01-06T00:00:00"/>
    <x v="0"/>
    <x v="1"/>
    <x v="35"/>
    <s v="Corporate"/>
    <s v="Marketplace"/>
    <s v="K. Singh"/>
    <x v="0"/>
    <s v="CMP-4792"/>
    <n v="932.61"/>
    <n v="1982.98"/>
    <n v="0.14399999999999999"/>
    <n v="16"/>
    <s v="ok"/>
    <n v="16"/>
    <n v="16"/>
    <n v="27158.894079999998"/>
    <n v="14921.76"/>
    <n v="12237.134079999998"/>
    <n v="0.45057556629345635"/>
  </r>
  <r>
    <s v="ORD-2025-480172"/>
    <d v="2025-06-17T00:00:00"/>
    <s v="Q2-2025"/>
    <s v="Jun-2025"/>
    <d v="2025-07-05T00:00:00"/>
    <n v="18"/>
    <d v="2025-07-05T00:00:00"/>
    <x v="1"/>
    <x v="4"/>
    <x v="18"/>
    <s v="Consumer"/>
    <s v="Marketplace"/>
    <s v="L. Okafor"/>
    <x v="4"/>
    <s v="LAP-1990"/>
    <n v="982.93"/>
    <n v="2299.3000000000002"/>
    <n v="0.113"/>
    <n v="6"/>
    <s v="ok"/>
    <n v="18"/>
    <n v="18"/>
    <n v="12236.874600000001"/>
    <n v="5897.58"/>
    <n v="6339.2946000000011"/>
    <n v="0.51804850562087157"/>
  </r>
  <r>
    <s v="ORD-2023-735274"/>
    <d v="2023-02-23T00:00:00"/>
    <s v="Q1-2023"/>
    <s v="Feb-2023"/>
    <d v="2023-03-08T00:00:00"/>
    <n v="13"/>
    <d v="2023-03-08T00:00:00"/>
    <x v="3"/>
    <x v="8"/>
    <x v="31"/>
    <s v="Small Business"/>
    <s v="Direct"/>
    <s v="C. Otieno"/>
    <x v="1"/>
    <s v="PRN-7410"/>
    <n v="307.37"/>
    <n v="462.61"/>
    <n v="0.188"/>
    <n v="11"/>
    <s v="ok"/>
    <n v="13"/>
    <n v="13"/>
    <n v="4132.0325200000007"/>
    <n v="3381.07"/>
    <n v="750.9625200000005"/>
    <n v="0.18174167709599739"/>
  </r>
  <r>
    <s v="ORD-2023-212701"/>
    <d v="2023-12-02T00:00:00"/>
    <s v="Q4-2023"/>
    <s v="Dec-2023"/>
    <d v="2023-12-16T00:00:00"/>
    <n v="14"/>
    <d v="2023-12-16T00:00:00"/>
    <x v="3"/>
    <x v="6"/>
    <x v="37"/>
    <s v="Education"/>
    <s v="Direct"/>
    <s v="N. Brown"/>
    <x v="5"/>
    <s v="MON-4278"/>
    <n v="879.08"/>
    <n v="1093.3900000000001"/>
    <n v="0.113"/>
    <n v="17"/>
    <s v="ok"/>
    <n v="14"/>
    <n v="14"/>
    <n v="16487.22781"/>
    <n v="14944.36"/>
    <n v="1542.8678099999997"/>
    <n v="9.3579577341935186E-2"/>
  </r>
  <r>
    <s v="ORD-2023-479747"/>
    <d v="2023-07-14T00:00:00"/>
    <s v="Q3-2023"/>
    <s v="Jul-2023"/>
    <d v="2023-07-14T00:00:00"/>
    <n v="0"/>
    <d v="2023-07-14T00:00:00"/>
    <x v="0"/>
    <x v="1"/>
    <x v="3"/>
    <s v="Education"/>
    <s v="Retail"/>
    <s v="I. Johnson"/>
    <x v="6"/>
    <s v="ACC-5334"/>
    <n v="956.38"/>
    <n v="1454.22"/>
    <n v="3.9E-2"/>
    <n v="19"/>
    <s v="sus"/>
    <n v="0"/>
    <n v="0"/>
    <n v="26552.60298"/>
    <n v="18171.22"/>
    <n v="8381.3829799999985"/>
    <n v="0.31565202802576603"/>
  </r>
  <r>
    <s v="ORD-2024-915495"/>
    <d v="2024-08-08T00:00:00"/>
    <s v="Q3-2024"/>
    <s v="Aug-2024"/>
    <d v="2024-08-20T00:00:00"/>
    <n v="12"/>
    <d v="2024-08-20T00:00:00"/>
    <x v="1"/>
    <x v="2"/>
    <x v="4"/>
    <s v="Small Business"/>
    <s v="Retail"/>
    <s v="H. Kim"/>
    <x v="2"/>
    <s v="NET-8957"/>
    <n v="1233.3599999999999"/>
    <n v="2120.4"/>
    <n v="0.17899999999999999"/>
    <n v="20"/>
    <s v="ok"/>
    <n v="12"/>
    <n v="12"/>
    <n v="34816.968000000001"/>
    <n v="24667.199999999997"/>
    <n v="10149.768000000004"/>
    <n v="0.29151785991244278"/>
  </r>
  <r>
    <s v="ORD-2024-225829"/>
    <d v="2024-11-07T00:00:00"/>
    <s v="Q4-2024"/>
    <s v="Nov-2024"/>
    <d v="2024-11-26T00:00:00"/>
    <n v="19"/>
    <d v="2024-11-26T00:00:00"/>
    <x v="2"/>
    <x v="5"/>
    <x v="30"/>
    <s v="Non-Profit"/>
    <s v="Distributor"/>
    <s v="J. Njeri"/>
    <x v="1"/>
    <s v="PRN-9960"/>
    <n v="55.35"/>
    <n v="128.68"/>
    <n v="0.128"/>
    <n v="10"/>
    <s v="ok"/>
    <n v="19"/>
    <n v="19"/>
    <n v="1122.0896000000002"/>
    <n v="553.5"/>
    <n v="568.58960000000025"/>
    <n v="0.50672388372550647"/>
  </r>
  <r>
    <s v="ORD-2024-921935"/>
    <d v="2024-01-01T00:00:00"/>
    <s v="Q1-2024"/>
    <s v="Jan-2024"/>
    <d v="2024-01-27T00:00:00"/>
    <n v="26"/>
    <d v="2024-01-27T00:00:00"/>
    <x v="3"/>
    <x v="8"/>
    <x v="31"/>
    <s v="Education"/>
    <s v="Distributor"/>
    <s v="D. Smith"/>
    <x v="6"/>
    <s v="ACC-3103"/>
    <n v="657.45"/>
    <n v="1325.96"/>
    <n v="0.16700000000000001"/>
    <n v="21"/>
    <s v="ok"/>
    <n v="26"/>
    <n v="26"/>
    <n v="23195.01828"/>
    <n v="13806.45"/>
    <n v="9388.5682799999995"/>
    <n v="0.40476658249048808"/>
  </r>
  <r>
    <s v="ORD-2025-949776"/>
    <d v="2025-08-14T00:00:00"/>
    <s v="Q3-2025"/>
    <s v="Aug-2025"/>
    <d v="2025-09-11T00:00:00"/>
    <n v="28"/>
    <d v="2025-09-11T00:00:00"/>
    <x v="2"/>
    <x v="5"/>
    <x v="8"/>
    <s v="Non-Profit"/>
    <s v="Direct"/>
    <s v="F. Müller"/>
    <x v="1"/>
    <s v="PRN-9490"/>
    <n v="1203.02"/>
    <n v="2439.33"/>
    <n v="0"/>
    <n v="18"/>
    <s v="ok"/>
    <n v="28"/>
    <n v="28"/>
    <n v="43907.94"/>
    <n v="21654.36"/>
    <n v="22253.58"/>
    <n v="0.50682359500354612"/>
  </r>
  <r>
    <s v="ORD-2024-510591"/>
    <d v="2024-04-03T00:00:00"/>
    <s v="Q2-2024"/>
    <s v="Apr-2024"/>
    <d v="2024-04-21T00:00:00"/>
    <n v="18"/>
    <d v="2024-04-21T00:00:00"/>
    <x v="2"/>
    <x v="5"/>
    <x v="10"/>
    <s v="Small Business"/>
    <s v="Distributor"/>
    <s v="B. Chen"/>
    <x v="2"/>
    <s v="NET-3850"/>
    <n v="1176.69"/>
    <n v="2201.54"/>
    <n v="0.17"/>
    <n v="27"/>
    <s v="ok"/>
    <n v="18"/>
    <n v="18"/>
    <n v="49336.511399999996"/>
    <n v="31770.63"/>
    <n v="17565.881399999995"/>
    <n v="0.35604222717701106"/>
  </r>
  <r>
    <s v="ORD-2024-961756"/>
    <d v="2024-11-25T00:00:00"/>
    <s v="Q4-2024"/>
    <s v="Nov-2024"/>
    <d v="2024-12-07T00:00:00"/>
    <n v="12"/>
    <d v="2024-12-07T00:00:00"/>
    <x v="1"/>
    <x v="9"/>
    <x v="23"/>
    <s v="Corporate"/>
    <s v="Distributor"/>
    <s v="A. Patel"/>
    <x v="6"/>
    <s v="ACC-7047"/>
    <n v="769.9"/>
    <n v="814.36"/>
    <n v="0"/>
    <n v="5"/>
    <s v="ok"/>
    <n v="12"/>
    <n v="12"/>
    <n v="4071.8"/>
    <n v="3849.5"/>
    <n v="222.30000000000018"/>
    <n v="5.4595019401738831E-2"/>
  </r>
  <r>
    <s v="ORD-2024-892173"/>
    <d v="2024-01-18T00:00:00"/>
    <s v="Q1-2024"/>
    <s v="Jan-2024"/>
    <d v="2024-02-03T00:00:00"/>
    <n v="16"/>
    <d v="2024-02-03T00:00:00"/>
    <x v="0"/>
    <x v="11"/>
    <x v="33"/>
    <s v="Non-Profit"/>
    <s v="Distributor"/>
    <s v="L. Okafor"/>
    <x v="1"/>
    <s v="PRN-6660"/>
    <n v="666.23"/>
    <n v="1382.91"/>
    <n v="0.17599999999999999"/>
    <n v="13"/>
    <s v="ok"/>
    <n v="16"/>
    <n v="16"/>
    <n v="14813.731920000002"/>
    <n v="8660.99"/>
    <n v="6152.7419200000022"/>
    <n v="0.41534043907553048"/>
  </r>
  <r>
    <s v="ORD-2024-704056"/>
    <d v="2024-06-23T00:00:00"/>
    <s v="Q2-2024"/>
    <s v="Jun-2024"/>
    <d v="2024-06-25T00:00:00"/>
    <n v="2"/>
    <d v="2024-06-25T00:00:00"/>
    <x v="3"/>
    <x v="8"/>
    <x v="12"/>
    <s v="Small Business"/>
    <s v="Marketplace"/>
    <s v="L. Okafor"/>
    <x v="6"/>
    <s v="ACC-7838"/>
    <n v="951.44"/>
    <n v="1646.43"/>
    <n v="0.11"/>
    <n v="24"/>
    <s v="ok"/>
    <n v="2"/>
    <n v="2"/>
    <n v="35167.7448"/>
    <n v="22834.560000000001"/>
    <n v="12333.184799999999"/>
    <n v="0.35069592520473475"/>
  </r>
  <r>
    <s v="ORD-2025-591006"/>
    <d v="2025-06-25T00:00:00"/>
    <s v="Q2-2025"/>
    <s v="Jun-2025"/>
    <d v="2025-07-10T00:00:00"/>
    <n v="15"/>
    <d v="2025-07-10T00:00:00"/>
    <x v="3"/>
    <x v="8"/>
    <x v="12"/>
    <s v="Non-Profit"/>
    <s v="Marketplace"/>
    <s v="D. Smith"/>
    <x v="3"/>
    <s v="PHN-5383"/>
    <n v="546.83000000000004"/>
    <n v="400.84"/>
    <n v="7.8E-2"/>
    <n v="13"/>
    <s v="ok"/>
    <n v="15"/>
    <n v="15"/>
    <n v="4804.4682400000002"/>
    <n v="7108.7900000000009"/>
    <n v="-2304.3217600000007"/>
    <n v="-0.47962056254533608"/>
  </r>
  <r>
    <s v="ORD-2023-159821"/>
    <d v="2023-07-01T00:00:00"/>
    <s v="Q3-2023"/>
    <s v="Jul-2023"/>
    <d v="2023-07-08T00:00:00"/>
    <n v="7"/>
    <d v="2023-07-08T00:00:00"/>
    <x v="0"/>
    <x v="1"/>
    <x v="1"/>
    <s v="Corporate"/>
    <s v="Retail"/>
    <s v="A. Patel"/>
    <x v="4"/>
    <s v="LAP-3904"/>
    <n v="834.26"/>
    <n v="1780.56"/>
    <n v="1.4E-2"/>
    <n v="47"/>
    <s v="ok"/>
    <n v="7"/>
    <n v="7"/>
    <n v="82514.711519999997"/>
    <n v="39210.22"/>
    <n v="43304.491519999996"/>
    <n v="0.5248093427497933"/>
  </r>
  <r>
    <s v="ORD-2024-343877"/>
    <d v="2024-03-09T00:00:00"/>
    <s v="Q1-2024"/>
    <s v="Mar-2024"/>
    <d v="2024-03-26T00:00:00"/>
    <n v="17"/>
    <d v="2024-03-26T00:00:00"/>
    <x v="1"/>
    <x v="9"/>
    <x v="14"/>
    <s v="Enterprise"/>
    <s v="Online"/>
    <s v="K. Singh"/>
    <x v="5"/>
    <s v="MON-5749"/>
    <n v="1029.67"/>
    <n v="1118.43"/>
    <n v="0.27200000000000002"/>
    <n v="9"/>
    <s v="ok"/>
    <n v="17"/>
    <n v="17"/>
    <n v="7327.9533600000004"/>
    <n v="9267.0300000000007"/>
    <n v="-1939.0766400000002"/>
    <n v="-0.26461367106736061"/>
  </r>
  <r>
    <s v="ORD-2023-386663"/>
    <d v="2023-06-05T00:00:00"/>
    <s v="Q2-2023"/>
    <s v="Jun-2023"/>
    <d v="2023-06-28T00:00:00"/>
    <n v="23"/>
    <d v="2023-06-28T00:00:00"/>
    <x v="3"/>
    <x v="8"/>
    <x v="12"/>
    <s v="Corporate"/>
    <s v="Direct"/>
    <s v="K. Singh"/>
    <x v="1"/>
    <s v="PRN-3690"/>
    <n v="605.82000000000005"/>
    <n v="771.12"/>
    <n v="0.13200000000000001"/>
    <n v="19"/>
    <s v="ok"/>
    <n v="23"/>
    <n v="23"/>
    <n v="12717.311040000001"/>
    <n v="11510.580000000002"/>
    <n v="1206.7310399999988"/>
    <n v="9.4888851597986767E-2"/>
  </r>
  <r>
    <s v="ORD-2025-125517"/>
    <d v="2025-03-21T00:00:00"/>
    <s v="Q1-2025"/>
    <s v="Mar-2025"/>
    <d v="2025-04-09T00:00:00"/>
    <n v="19"/>
    <d v="2025-04-09T00:00:00"/>
    <x v="1"/>
    <x v="2"/>
    <x v="27"/>
    <s v="Small Business"/>
    <s v="Distributor"/>
    <s v="E. Garcia"/>
    <x v="0"/>
    <s v="CMP-7055"/>
    <n v="1055.45"/>
    <n v="1210.04"/>
    <n v="8.9999999999999993E-3"/>
    <n v="18"/>
    <s v="ok"/>
    <n v="19"/>
    <n v="19"/>
    <n v="21584.693520000001"/>
    <n v="18998.100000000002"/>
    <n v="2586.5935199999985"/>
    <n v="0.1198346188053727"/>
  </r>
  <r>
    <s v="ORD-2024-819778"/>
    <d v="2024-06-02T00:00:00"/>
    <s v="Q2-2024"/>
    <s v="Jun-2024"/>
    <d v="2024-06-15T00:00:00"/>
    <n v="13"/>
    <d v="2024-06-15T00:00:00"/>
    <x v="0"/>
    <x v="0"/>
    <x v="13"/>
    <s v="Education"/>
    <s v="Online"/>
    <s v="O. Wang"/>
    <x v="3"/>
    <s v="PHN-6866"/>
    <n v="1295.18"/>
    <n v="3024.03"/>
    <n v="0.192"/>
    <n v="8"/>
    <s v="ok"/>
    <n v="13"/>
    <n v="13"/>
    <n v="19547.329920000004"/>
    <n v="10361.44"/>
    <n v="9185.8899200000033"/>
    <n v="0.46993067378483178"/>
  </r>
  <r>
    <s v="ORD-2025-624006"/>
    <d v="2025-03-15T00:00:00"/>
    <s v="Q1-2025"/>
    <s v="Mar-2025"/>
    <d v="2025-03-29T00:00:00"/>
    <n v="14"/>
    <d v="2025-03-29T00:00:00"/>
    <x v="1"/>
    <x v="4"/>
    <x v="29"/>
    <s v="Enterprise"/>
    <s v="Direct"/>
    <s v="C. Otieno"/>
    <x v="0"/>
    <s v="CMP-3259"/>
    <n v="935.83"/>
    <n v="2303.46"/>
    <n v="0.105"/>
    <n v="9"/>
    <s v="ok"/>
    <n v="14"/>
    <n v="14"/>
    <n v="18554.370299999999"/>
    <n v="8422.4700000000012"/>
    <n v="10131.900299999998"/>
    <n v="0.54606543559174292"/>
  </r>
  <r>
    <s v="ORD-2023-132101"/>
    <d v="2023-09-25T00:00:00"/>
    <s v="Q3-2023"/>
    <s v="Sept-2023"/>
    <d v="2023-10-09T00:00:00"/>
    <n v="14"/>
    <d v="2023-10-09T00:00:00"/>
    <x v="2"/>
    <x v="10"/>
    <x v="39"/>
    <s v="Small Business"/>
    <s v="Marketplace"/>
    <s v="J. Njeri"/>
    <x v="4"/>
    <s v="LAP-6750"/>
    <n v="1279.56"/>
    <n v="3083.8"/>
    <n v="0.106"/>
    <n v="5"/>
    <s v="ok"/>
    <n v="14"/>
    <n v="14"/>
    <n v="13784.586000000001"/>
    <n v="6397.7999999999993"/>
    <n v="7386.7860000000019"/>
    <n v="0.53587289455047848"/>
  </r>
  <r>
    <s v="ORD-2025-306903"/>
    <d v="2025-06-24T00:00:00"/>
    <s v="Q2-2025"/>
    <s v="Jun-2025"/>
    <d v="2025-07-23T00:00:00"/>
    <n v="29"/>
    <d v="2025-07-23T00:00:00"/>
    <x v="2"/>
    <x v="3"/>
    <x v="26"/>
    <s v="Non-Profit"/>
    <s v="Marketplace"/>
    <s v="I. Johnson"/>
    <x v="1"/>
    <s v="PRN-3775"/>
    <n v="255.4"/>
    <n v="322.70999999999998"/>
    <n v="0.115"/>
    <n v="16"/>
    <s v="ok"/>
    <n v="29"/>
    <n v="29"/>
    <n v="4569.5735999999997"/>
    <n v="4086.4"/>
    <n v="483.17359999999962"/>
    <n v="0.10573713048412212"/>
  </r>
  <r>
    <s v="ORD-2023-813340"/>
    <d v="2023-12-26T00:00:00"/>
    <s v="Q4-2023"/>
    <s v="Dec-2023"/>
    <d v="2024-01-03T00:00:00"/>
    <n v="8"/>
    <d v="2024-01-03T00:00:00"/>
    <x v="3"/>
    <x v="7"/>
    <x v="17"/>
    <s v="Small Business"/>
    <s v="Retail"/>
    <s v="M. Rossi"/>
    <x v="4"/>
    <s v="LAP-2942"/>
    <n v="492.75"/>
    <n v="731.29"/>
    <n v="5.8000000000000003E-2"/>
    <n v="6"/>
    <s v="ok"/>
    <n v="8"/>
    <n v="8"/>
    <n v="4133.25108"/>
    <n v="2956.5"/>
    <n v="1176.75108"/>
    <n v="0.28470350753528384"/>
  </r>
  <r>
    <s v="ORD-2023-855675"/>
    <d v="2023-02-05T00:00:00"/>
    <s v="Q1-2023"/>
    <s v="Feb-2023"/>
    <d v="2023-02-28T00:00:00"/>
    <n v="23"/>
    <d v="2023-02-28T00:00:00"/>
    <x v="2"/>
    <x v="10"/>
    <x v="36"/>
    <s v="Non-Profit"/>
    <s v="Distributor"/>
    <s v="L. Okafor"/>
    <x v="3"/>
    <s v="PHN-2036"/>
    <n v="1214.49"/>
    <n v="1533.95"/>
    <n v="0"/>
    <n v="11"/>
    <s v="ok"/>
    <n v="23"/>
    <n v="23"/>
    <n v="16873.45"/>
    <n v="13359.39"/>
    <n v="3514.0600000000013"/>
    <n v="0.20825972163369086"/>
  </r>
  <r>
    <s v="ORD-2023-545150"/>
    <d v="2023-04-06T00:00:00"/>
    <s v="Q2-2023"/>
    <s v="Apr-2023"/>
    <d v="2023-04-08T00:00:00"/>
    <n v="2"/>
    <d v="2023-04-08T00:00:00"/>
    <x v="0"/>
    <x v="1"/>
    <x v="7"/>
    <s v="Small Business"/>
    <s v="Marketplace"/>
    <s v="K. Singh"/>
    <x v="5"/>
    <s v="MON-4373"/>
    <n v="720.35"/>
    <n v="1571.66"/>
    <n v="0.107"/>
    <n v="23"/>
    <s v="ok"/>
    <n v="2"/>
    <n v="2"/>
    <n v="32280.32474"/>
    <n v="16568.05"/>
    <n v="15712.274740000001"/>
    <n v="0.4867446305622265"/>
  </r>
  <r>
    <s v="ORD-2025-269934"/>
    <d v="2025-04-04T00:00:00"/>
    <s v="Q2-2025"/>
    <s v="Apr-2025"/>
    <d v="2025-04-10T00:00:00"/>
    <n v="6"/>
    <d v="2025-04-10T00:00:00"/>
    <x v="3"/>
    <x v="8"/>
    <x v="12"/>
    <s v="Non-Profit"/>
    <s v="Direct"/>
    <s v="N. Brown"/>
    <x v="1"/>
    <s v="PRN-8657"/>
    <n v="290.14"/>
    <n v="250.73"/>
    <n v="3.4000000000000002E-2"/>
    <n v="17"/>
    <s v="ok"/>
    <n v="6"/>
    <n v="6"/>
    <n v="4117.4880599999997"/>
    <n v="4932.38"/>
    <n v="-814.89194000000043"/>
    <n v="-0.19790997038131072"/>
  </r>
  <r>
    <s v="ORD-2024-690270"/>
    <d v="2024-05-17T00:00:00"/>
    <s v="Q2-2024"/>
    <s v="May-2024"/>
    <d v="2024-05-27T00:00:00"/>
    <n v="10"/>
    <d v="2024-05-27T00:00:00"/>
    <x v="2"/>
    <x v="10"/>
    <x v="36"/>
    <s v="Non-Profit"/>
    <s v="Online"/>
    <s v="C. Otieno"/>
    <x v="3"/>
    <s v="PHN-7974"/>
    <n v="1484.23"/>
    <n v="3472.81"/>
    <n v="0.25600000000000001"/>
    <n v="12"/>
    <s v="ok"/>
    <n v="10"/>
    <n v="10"/>
    <n v="31005.24768"/>
    <n v="17810.760000000002"/>
    <n v="13194.487679999998"/>
    <n v="0.42555659661803413"/>
  </r>
  <r>
    <s v="ORD-2024-868223"/>
    <d v="2024-03-03T00:00:00"/>
    <s v="Q1-2024"/>
    <s v="Mar-2024"/>
    <d v="2024-03-19T00:00:00"/>
    <n v="16"/>
    <d v="2024-03-19T00:00:00"/>
    <x v="1"/>
    <x v="9"/>
    <x v="38"/>
    <s v="Consumer"/>
    <s v="Distributor"/>
    <s v="G. Dubois"/>
    <x v="3"/>
    <s v="PHN-4915"/>
    <n v="988.83"/>
    <n v="1206.04"/>
    <n v="6.3E-2"/>
    <n v="34"/>
    <s v="ok"/>
    <n v="16"/>
    <n v="16"/>
    <n v="38422.022320000004"/>
    <n v="33620.22"/>
    <n v="4801.8023200000025"/>
    <n v="0.12497526236406606"/>
  </r>
  <r>
    <s v="ORD-2025-188059"/>
    <d v="2025-06-27T00:00:00"/>
    <s v="Q2-2025"/>
    <s v="Jun-2025"/>
    <d v="2025-07-11T00:00:00"/>
    <n v="14"/>
    <d v="2025-07-11T00:00:00"/>
    <x v="1"/>
    <x v="9"/>
    <x v="23"/>
    <s v="Small Business"/>
    <s v="Marketplace"/>
    <s v="L. Okafor"/>
    <x v="2"/>
    <s v="NET-3535"/>
    <n v="1227.7"/>
    <n v="2197.23"/>
    <n v="9.9000000000000005E-2"/>
    <n v="22"/>
    <s v="ok"/>
    <n v="14"/>
    <n v="14"/>
    <n v="43553.493060000001"/>
    <n v="27009.4"/>
    <n v="16544.093059999999"/>
    <n v="0.37985685871873898"/>
  </r>
  <r>
    <s v="ORD-2023-281890"/>
    <d v="2023-03-13T00:00:00"/>
    <s v="Q1-2023"/>
    <s v="Mar-2023"/>
    <d v="2023-04-04T00:00:00"/>
    <n v="22"/>
    <d v="2023-04-04T00:00:00"/>
    <x v="0"/>
    <x v="11"/>
    <x v="25"/>
    <s v="Small Business"/>
    <s v="Retail"/>
    <s v="A. Patel"/>
    <x v="0"/>
    <s v="CMP-2574"/>
    <n v="1113.7"/>
    <n v="1620.6"/>
    <n v="0.13900000000000001"/>
    <n v="11"/>
    <s v="ok"/>
    <n v="22"/>
    <n v="22"/>
    <n v="15348.702599999999"/>
    <n v="12250.7"/>
    <n v="3098.002599999998"/>
    <n v="0.20184133348182787"/>
  </r>
  <r>
    <s v="ORD-2025-636162"/>
    <d v="2025-01-07T00:00:00"/>
    <s v="Q1-2025"/>
    <s v="Jan-2025"/>
    <d v="2025-01-20T00:00:00"/>
    <n v="13"/>
    <d v="2025-01-20T00:00:00"/>
    <x v="0"/>
    <x v="11"/>
    <x v="33"/>
    <s v="Corporate"/>
    <s v="Direct"/>
    <s v="K. Singh"/>
    <x v="2"/>
    <s v="NET-7901"/>
    <n v="432.13"/>
    <n v="1034.6600000000001"/>
    <n v="9.1999999999999998E-2"/>
    <n v="7"/>
    <s v="ok"/>
    <n v="13"/>
    <n v="13"/>
    <n v="6576.298960000001"/>
    <n v="3024.91"/>
    <n v="3551.3889600000011"/>
    <n v="0.54002851476204794"/>
  </r>
  <r>
    <s v="ORD-2025-915869"/>
    <d v="2025-02-06T00:00:00"/>
    <s v="Q1-2025"/>
    <s v="Feb-2025"/>
    <d v="2025-02-15T00:00:00"/>
    <n v="9"/>
    <d v="2025-02-15T00:00:00"/>
    <x v="2"/>
    <x v="5"/>
    <x v="8"/>
    <s v="Non-Profit"/>
    <s v="Distributor"/>
    <s v="F. Müller"/>
    <x v="2"/>
    <s v="NET-5482"/>
    <n v="837.39"/>
    <n v="1905.42"/>
    <n v="3.2000000000000001E-2"/>
    <n v="18"/>
    <s v="ok"/>
    <n v="9"/>
    <n v="9"/>
    <n v="33200.038079999998"/>
    <n v="15073.02"/>
    <n v="18127.018079999998"/>
    <n v="0.54599389423350919"/>
  </r>
  <r>
    <s v="ORD-2025-192876"/>
    <d v="2025-01-31T00:00:00"/>
    <s v="Q1-2025"/>
    <s v="Jan-2025"/>
    <d v="2025-02-17T00:00:00"/>
    <n v="17"/>
    <d v="2025-02-17T00:00:00"/>
    <x v="3"/>
    <x v="8"/>
    <x v="21"/>
    <s v="Enterprise"/>
    <s v="Retail"/>
    <s v="H. Kim"/>
    <x v="0"/>
    <s v="CMP-5820"/>
    <n v="378.26"/>
    <n v="541.55999999999995"/>
    <n v="0.16300000000000001"/>
    <n v="25"/>
    <s v="ok"/>
    <n v="17"/>
    <n v="17"/>
    <n v="11332.142999999998"/>
    <n v="9456.5"/>
    <n v="1875.6429999999982"/>
    <n v="0.16551529573885526"/>
  </r>
  <r>
    <s v="ORD-2025-822030"/>
    <d v="2025-08-07T00:00:00"/>
    <s v="Q3-2025"/>
    <s v="Aug-2025"/>
    <d v="2025-09-06T00:00:00"/>
    <n v="30"/>
    <d v="2025-09-06T00:00:00"/>
    <x v="2"/>
    <x v="3"/>
    <x v="19"/>
    <s v="Education"/>
    <s v="Direct"/>
    <s v="M. Rossi"/>
    <x v="2"/>
    <s v="NET-1336"/>
    <n v="833.73"/>
    <n v="1116.5999999999999"/>
    <n v="0.17599999999999999"/>
    <n v="14"/>
    <s v="ok"/>
    <n v="30"/>
    <n v="30"/>
    <n v="12881.097599999999"/>
    <n v="11672.220000000001"/>
    <n v="1208.877599999998"/>
    <n v="9.3848958958279924E-2"/>
  </r>
  <r>
    <s v="ORD-2025-789245"/>
    <d v="2025-07-23T00:00:00"/>
    <s v="Q3-2025"/>
    <s v="Jul-2025"/>
    <d v="2025-08-17T00:00:00"/>
    <n v="25"/>
    <d v="2025-08-17T00:00:00"/>
    <x v="3"/>
    <x v="8"/>
    <x v="12"/>
    <s v="Education"/>
    <s v="Online"/>
    <s v="I. Johnson"/>
    <x v="1"/>
    <s v="PRN-5876"/>
    <n v="1142.06"/>
    <n v="1455"/>
    <n v="7.8E-2"/>
    <n v="28"/>
    <s v="ok"/>
    <n v="25"/>
    <n v="25"/>
    <n v="37562.28"/>
    <n v="31977.68"/>
    <n v="5584.5999999999985"/>
    <n v="0.1486757459877302"/>
  </r>
  <r>
    <s v="ORD-2023-594955"/>
    <d v="2023-06-20T00:00:00"/>
    <s v="Q2-2023"/>
    <s v="Jun-2023"/>
    <d v="2023-07-08T00:00:00"/>
    <n v="18"/>
    <d v="2023-07-08T00:00:00"/>
    <x v="2"/>
    <x v="10"/>
    <x v="39"/>
    <s v="Consumer"/>
    <s v="Marketplace"/>
    <s v="O. Wang"/>
    <x v="2"/>
    <s v="NET-3828"/>
    <n v="1145.53"/>
    <n v="1278.3"/>
    <n v="0.09"/>
    <n v="41"/>
    <s v="ok"/>
    <n v="18"/>
    <n v="18"/>
    <n v="47693.373"/>
    <n v="46966.729999999996"/>
    <n v="726.64300000000367"/>
    <n v="1.5235722581416158E-2"/>
  </r>
  <r>
    <s v="ORD-2024-398783"/>
    <d v="2024-07-18T00:00:00"/>
    <s v="Q3-2024"/>
    <s v="Jul-2024"/>
    <d v="2024-08-07T00:00:00"/>
    <n v="20"/>
    <d v="2024-08-07T00:00:00"/>
    <x v="3"/>
    <x v="7"/>
    <x v="11"/>
    <s v="Corporate"/>
    <s v="Retail"/>
    <s v="F. Müller"/>
    <x v="5"/>
    <s v="MON-7622"/>
    <n v="941.35"/>
    <n v="899.83"/>
    <n v="5.8000000000000003E-2"/>
    <n v="18"/>
    <s v="ok"/>
    <n v="20"/>
    <n v="20"/>
    <n v="15257.51748"/>
    <n v="16944.3"/>
    <n v="-1686.7825199999988"/>
    <n v="-0.11055419220139073"/>
  </r>
  <r>
    <s v="ORD-2023-676553"/>
    <d v="2023-05-20T00:00:00"/>
    <s v="Q2-2023"/>
    <s v="May-2023"/>
    <d v="2023-06-19T00:00:00"/>
    <n v="30"/>
    <d v="2023-06-19T00:00:00"/>
    <x v="1"/>
    <x v="4"/>
    <x v="18"/>
    <s v="Non-Profit"/>
    <s v="Marketplace"/>
    <s v="H. Kim"/>
    <x v="4"/>
    <s v="LAP-2806"/>
    <n v="1161.2"/>
    <n v="878.73"/>
    <n v="0.19"/>
    <n v="31"/>
    <s v="ok"/>
    <n v="30"/>
    <n v="30"/>
    <n v="22064.910300000003"/>
    <n v="35997.200000000004"/>
    <n v="-13932.289700000001"/>
    <n v="-0.63142290227212028"/>
  </r>
  <r>
    <s v="ORD-2025-866565"/>
    <d v="2025-05-12T00:00:00"/>
    <s v="Q2-2025"/>
    <s v="May-2025"/>
    <d v="2025-05-26T00:00:00"/>
    <n v="14"/>
    <d v="2025-05-26T00:00:00"/>
    <x v="1"/>
    <x v="4"/>
    <x v="34"/>
    <s v="Corporate"/>
    <s v="Marketplace"/>
    <s v="G. Dubois"/>
    <x v="1"/>
    <s v="PRN-8850"/>
    <n v="320.12"/>
    <n v="594.41999999999996"/>
    <n v="0.104"/>
    <n v="18"/>
    <s v="ok"/>
    <n v="14"/>
    <n v="14"/>
    <n v="9586.8057599999993"/>
    <n v="5762.16"/>
    <n v="3824.6457599999994"/>
    <n v="0.39894891538931104"/>
  </r>
  <r>
    <s v="ORD-2024-527858"/>
    <d v="2024-05-07T00:00:00"/>
    <s v="Q2-2024"/>
    <s v="May-2024"/>
    <d v="2024-05-12T00:00:00"/>
    <n v="5"/>
    <d v="2024-05-12T00:00:00"/>
    <x v="0"/>
    <x v="1"/>
    <x v="7"/>
    <s v="Non-Profit"/>
    <s v="Distributor"/>
    <s v="L. Okafor"/>
    <x v="4"/>
    <s v="LAP-9100"/>
    <n v="1163.99"/>
    <n v="1617.85"/>
    <n v="0.127"/>
    <n v="14"/>
    <s v="ok"/>
    <n v="5"/>
    <n v="5"/>
    <n v="19773.362699999998"/>
    <n v="16295.86"/>
    <n v="3477.5026999999973"/>
    <n v="0.17586804797749436"/>
  </r>
  <r>
    <s v="ORD-2023-619385"/>
    <d v="2023-09-30T00:00:00"/>
    <s v="Q3-2023"/>
    <s v="Sept-2023"/>
    <d v="2023-10-03T00:00:00"/>
    <n v="3"/>
    <d v="2023-10-03T00:00:00"/>
    <x v="1"/>
    <x v="9"/>
    <x v="38"/>
    <s v="Non-Profit"/>
    <s v="Retail"/>
    <s v="J. Njeri"/>
    <x v="4"/>
    <s v="LAP-5763"/>
    <n v="1019.36"/>
    <n v="972.91"/>
    <n v="0.14699999999999999"/>
    <n v="17"/>
    <s v="ok"/>
    <n v="3"/>
    <n v="3"/>
    <n v="14108.16791"/>
    <n v="17329.12"/>
    <n v="-3220.9520899999989"/>
    <n v="-0.22830406545678819"/>
  </r>
  <r>
    <s v="ORD-2023-835226"/>
    <d v="2023-10-26T00:00:00"/>
    <s v="Q4-2023"/>
    <s v="Oct-2023"/>
    <d v="2023-11-05T00:00:00"/>
    <n v="10"/>
    <d v="2023-11-05T00:00:00"/>
    <x v="0"/>
    <x v="11"/>
    <x v="33"/>
    <s v="Non-Profit"/>
    <s v="Online"/>
    <s v="I. Johnson"/>
    <x v="4"/>
    <s v="LAP-7320"/>
    <n v="20.38"/>
    <n v="42.56"/>
    <n v="7.1999999999999995E-2"/>
    <n v="11"/>
    <s v="ok"/>
    <n v="10"/>
    <n v="10"/>
    <n v="434.45248000000004"/>
    <n v="224.17999999999998"/>
    <n v="210.27248000000006"/>
    <n v="0.48399419885921713"/>
  </r>
  <r>
    <s v="ORD-2025-485946"/>
    <d v="2025-06-15T00:00:00"/>
    <s v="Q2-2025"/>
    <s v="Jun-2025"/>
    <d v="2025-06-30T00:00:00"/>
    <n v="15"/>
    <d v="2025-06-30T00:00:00"/>
    <x v="0"/>
    <x v="11"/>
    <x v="20"/>
    <s v="Small Business"/>
    <s v="Direct"/>
    <s v="C. Otieno"/>
    <x v="5"/>
    <s v="MON-5891"/>
    <n v="1487.59"/>
    <n v="1480.83"/>
    <n v="8.9999999999999993E-3"/>
    <n v="11"/>
    <s v="ok"/>
    <n v="15"/>
    <n v="15"/>
    <n v="16142.527829999999"/>
    <n v="16363.49"/>
    <n v="-220.9621700000007"/>
    <n v="-1.3688201273492908E-2"/>
  </r>
  <r>
    <s v="ORD-2024-307849"/>
    <d v="2024-08-10T00:00:00"/>
    <s v="Q3-2024"/>
    <s v="Aug-2024"/>
    <d v="2024-09-07T00:00:00"/>
    <n v="28"/>
    <d v="2024-09-07T00:00:00"/>
    <x v="3"/>
    <x v="7"/>
    <x v="11"/>
    <s v="Non-Profit"/>
    <s v="Direct"/>
    <s v="F. Müller"/>
    <x v="1"/>
    <s v="PRN-1183"/>
    <n v="229.96"/>
    <n v="564.26"/>
    <n v="0.105"/>
    <n v="5"/>
    <s v="ok"/>
    <n v="28"/>
    <n v="28"/>
    <n v="2525.0635000000002"/>
    <n v="1149.8"/>
    <n v="1375.2635000000002"/>
    <n v="0.54464511486542821"/>
  </r>
  <r>
    <s v="ORD-2023-368449"/>
    <d v="2023-10-09T00:00:00"/>
    <s v="Q4-2023"/>
    <s v="Oct-2023"/>
    <d v="2023-10-26T00:00:00"/>
    <n v="17"/>
    <d v="2023-10-26T00:00:00"/>
    <x v="1"/>
    <x v="9"/>
    <x v="23"/>
    <s v="Consumer"/>
    <s v="Marketplace"/>
    <s v="C. Otieno"/>
    <x v="0"/>
    <s v="CMP-2096"/>
    <n v="1132.03"/>
    <n v="2137.21"/>
    <n v="0.35699999999999998"/>
    <n v="35"/>
    <s v="ok"/>
    <n v="17"/>
    <n v="17"/>
    <n v="48097.911050000002"/>
    <n v="39621.049999999996"/>
    <n v="8476.8610500000068"/>
    <n v="0.17624177152284051"/>
  </r>
  <r>
    <s v="ORD-2024-251426"/>
    <d v="2024-03-09T00:00:00"/>
    <s v="Q1-2024"/>
    <s v="Mar-2024"/>
    <d v="2024-03-26T00:00:00"/>
    <n v="17"/>
    <d v="2024-03-26T00:00:00"/>
    <x v="2"/>
    <x v="10"/>
    <x v="24"/>
    <s v="Education"/>
    <s v="Direct"/>
    <s v="I. Johnson"/>
    <x v="3"/>
    <s v="PHN-3398"/>
    <n v="1137.4100000000001"/>
    <n v="1680.93"/>
    <n v="0.254"/>
    <n v="9"/>
    <s v="ok"/>
    <n v="17"/>
    <n v="17"/>
    <n v="11285.764020000001"/>
    <n v="10236.69"/>
    <n v="1049.07402"/>
    <n v="9.2955516183121464E-2"/>
  </r>
  <r>
    <s v="ORD-2023-927385"/>
    <d v="2023-05-29T00:00:00"/>
    <s v="Q2-2023"/>
    <s v="May-2023"/>
    <d v="2023-06-20T00:00:00"/>
    <n v="22"/>
    <d v="2023-06-20T00:00:00"/>
    <x v="3"/>
    <x v="8"/>
    <x v="21"/>
    <s v="Small Business"/>
    <s v="Direct"/>
    <s v="K. Singh"/>
    <x v="0"/>
    <s v="CMP-8545"/>
    <n v="1295.3900000000001"/>
    <n v="2905.06"/>
    <n v="0.14799999999999999"/>
    <n v="8"/>
    <s v="ok"/>
    <n v="22"/>
    <n v="22"/>
    <n v="19800.88896"/>
    <n v="10363.120000000001"/>
    <n v="9437.7689599999994"/>
    <n v="0.47663359857556614"/>
  </r>
  <r>
    <s v="ORD-2025-486350"/>
    <d v="2025-05-27T00:00:00"/>
    <s v="Q2-2025"/>
    <s v="May-2025"/>
    <d v="2025-06-08T00:00:00"/>
    <n v="12"/>
    <d v="2025-06-08T00:00:00"/>
    <x v="1"/>
    <x v="2"/>
    <x v="4"/>
    <s v="Corporate"/>
    <s v="Retail"/>
    <s v="H. Kim"/>
    <x v="6"/>
    <s v="ACC-1249"/>
    <n v="653.6"/>
    <n v="842.09"/>
    <n v="9.8000000000000004E-2"/>
    <n v="19"/>
    <s v="ok"/>
    <n v="12"/>
    <n v="12"/>
    <n v="14431.738420000001"/>
    <n v="12418.4"/>
    <n v="2013.3384200000019"/>
    <n v="0.13950768517324622"/>
  </r>
  <r>
    <s v="ORD-2025-677880"/>
    <d v="2025-08-21T00:00:00"/>
    <s v="Q3-2025"/>
    <s v="Aug-2025"/>
    <d v="2025-09-14T00:00:00"/>
    <n v="24"/>
    <d v="2025-09-14T00:00:00"/>
    <x v="3"/>
    <x v="6"/>
    <x v="9"/>
    <s v="Non-Profit"/>
    <s v="Online"/>
    <s v="A. Patel"/>
    <x v="5"/>
    <s v="MON-9662"/>
    <n v="1397.67"/>
    <n v="3131.37"/>
    <n v="0.10299999999999999"/>
    <n v="20"/>
    <s v="ok"/>
    <n v="24"/>
    <n v="24"/>
    <n v="56176.777799999996"/>
    <n v="27953.4"/>
    <n v="28223.377799999995"/>
    <n v="0.50240293062874808"/>
  </r>
  <r>
    <s v="ORD-2024-102866"/>
    <d v="2024-12-12T00:00:00"/>
    <s v="Q4-2024"/>
    <s v="Dec-2024"/>
    <d v="2024-12-20T00:00:00"/>
    <n v="8"/>
    <d v="2024-12-20T00:00:00"/>
    <x v="1"/>
    <x v="2"/>
    <x v="27"/>
    <s v="Corporate"/>
    <s v="Retail"/>
    <s v="B. Chen"/>
    <x v="4"/>
    <s v="LAP-8347"/>
    <n v="1202.47"/>
    <n v="1444.72"/>
    <n v="0.24099999999999999"/>
    <n v="17"/>
    <s v="ok"/>
    <n v="8"/>
    <n v="8"/>
    <n v="18641.222160000001"/>
    <n v="20441.990000000002"/>
    <n v="-1800.7678400000004"/>
    <n v="-9.6601382921343834E-2"/>
  </r>
  <r>
    <s v="ORD-2025-588029"/>
    <d v="2025-09-14T00:00:00"/>
    <s v="Q3-2025"/>
    <s v="Sept-2025"/>
    <d v="2025-09-23T00:00:00"/>
    <n v="9"/>
    <d v="2025-09-23T00:00:00"/>
    <x v="0"/>
    <x v="11"/>
    <x v="25"/>
    <s v="Non-Profit"/>
    <s v="Online"/>
    <s v="D. Smith"/>
    <x v="0"/>
    <s v="CMP-6898"/>
    <n v="1310.3"/>
    <n v="2875.8"/>
    <n v="8.3000000000000004E-2"/>
    <n v="5"/>
    <s v="ok"/>
    <n v="9"/>
    <n v="9"/>
    <n v="13185.543"/>
    <n v="6551.5"/>
    <n v="6634.0429999999997"/>
    <n v="0.50313005691157353"/>
  </r>
  <r>
    <s v="ORD-2024-972999"/>
    <d v="2024-09-06T00:00:00"/>
    <s v="Q3-2024"/>
    <s v="Sept-2024"/>
    <d v="2024-10-04T00:00:00"/>
    <n v="28"/>
    <d v="2024-10-04T00:00:00"/>
    <x v="0"/>
    <x v="11"/>
    <x v="33"/>
    <s v="Corporate"/>
    <s v="Marketplace"/>
    <s v="D. Smith"/>
    <x v="5"/>
    <s v="MON-3504"/>
    <n v="1174.17"/>
    <n v="1641.61"/>
    <n v="0.122"/>
    <n v="9"/>
    <s v="ok"/>
    <n v="28"/>
    <n v="28"/>
    <n v="12972.00222"/>
    <n v="10567.53"/>
    <n v="2404.4722199999997"/>
    <n v="0.18535860380079394"/>
  </r>
  <r>
    <s v="ORD-2025-608069"/>
    <d v="2025-04-12T00:00:00"/>
    <s v="Q2-2025"/>
    <s v="Apr-2025"/>
    <d v="2025-04-30T00:00:00"/>
    <n v="18"/>
    <d v="2025-04-30T00:00:00"/>
    <x v="0"/>
    <x v="0"/>
    <x v="0"/>
    <s v="Corporate"/>
    <s v="Marketplace"/>
    <s v="F. Müller"/>
    <x v="2"/>
    <s v="NET-3432"/>
    <n v="1119.04"/>
    <n v="1299.02"/>
    <n v="2.5000000000000001E-2"/>
    <n v="14"/>
    <s v="ok"/>
    <n v="18"/>
    <n v="18"/>
    <n v="17731.623"/>
    <n v="15666.56"/>
    <n v="2065.0630000000001"/>
    <n v="0.11646215352085933"/>
  </r>
  <r>
    <s v="ORD-2024-626750"/>
    <d v="2024-08-12T00:00:00"/>
    <s v="Q3-2024"/>
    <s v="Aug-2024"/>
    <d v="2024-08-15T00:00:00"/>
    <n v="3"/>
    <d v="2024-08-15T00:00:00"/>
    <x v="2"/>
    <x v="10"/>
    <x v="15"/>
    <s v="Corporate"/>
    <s v="Marketplace"/>
    <s v="D. Smith"/>
    <x v="1"/>
    <s v="PRN-5591"/>
    <n v="850.7"/>
    <n v="1118.56"/>
    <n v="0.18"/>
    <n v="19"/>
    <s v="ok"/>
    <n v="3"/>
    <n v="3"/>
    <n v="17427.164800000002"/>
    <n v="16163.300000000001"/>
    <n v="1263.8648000000012"/>
    <n v="7.2522685962090688E-2"/>
  </r>
  <r>
    <s v="ORD-2024-170021"/>
    <d v="2024-11-05T00:00:00"/>
    <s v="Q4-2024"/>
    <s v="Nov-2024"/>
    <d v="2024-11-08T00:00:00"/>
    <n v="3"/>
    <d v="2024-11-08T00:00:00"/>
    <x v="2"/>
    <x v="3"/>
    <x v="5"/>
    <s v="Education"/>
    <s v="Marketplace"/>
    <s v="O. Wang"/>
    <x v="0"/>
    <s v="CMP-2015"/>
    <n v="1020.4"/>
    <n v="1184.71"/>
    <n v="0.106"/>
    <n v="16"/>
    <s v="ok"/>
    <n v="3"/>
    <n v="3"/>
    <n v="16946.091840000001"/>
    <n v="16326.4"/>
    <n v="619.69184000000132"/>
    <n v="3.6568422138328345E-2"/>
  </r>
  <r>
    <s v="ORD-2024-678110"/>
    <d v="2024-07-24T00:00:00"/>
    <s v="Q3-2024"/>
    <s v="Jul-2024"/>
    <d v="2024-08-08T00:00:00"/>
    <n v="15"/>
    <d v="2024-08-08T00:00:00"/>
    <x v="3"/>
    <x v="7"/>
    <x v="11"/>
    <s v="Enterprise"/>
    <s v="Marketplace"/>
    <s v="H. Kim"/>
    <x v="4"/>
    <s v="LAP-9901"/>
    <n v="501.5"/>
    <n v="1201.47"/>
    <n v="0.126"/>
    <n v="5"/>
    <s v="ok"/>
    <n v="15"/>
    <n v="15"/>
    <n v="5250.4239000000007"/>
    <n v="2507.5"/>
    <n v="2742.9239000000007"/>
    <n v="0.52241951359394057"/>
  </r>
  <r>
    <s v="ORD-2025-909340"/>
    <d v="2025-01-20T00:00:00"/>
    <s v="Q1-2025"/>
    <s v="Jan-2025"/>
    <d v="2025-02-03T00:00:00"/>
    <n v="14"/>
    <d v="2025-02-03T00:00:00"/>
    <x v="2"/>
    <x v="5"/>
    <x v="10"/>
    <s v="Enterprise"/>
    <s v="Marketplace"/>
    <s v="F. Müller"/>
    <x v="0"/>
    <s v="CMP-8658"/>
    <n v="974.11"/>
    <n v="880.99"/>
    <n v="0.111"/>
    <n v="10"/>
    <s v="ok"/>
    <n v="14"/>
    <n v="14"/>
    <n v="7832.0010999999995"/>
    <n v="9741.1"/>
    <n v="-1909.0989000000009"/>
    <n v="-0.2437562093805121"/>
  </r>
  <r>
    <s v="ORD-2023-854471"/>
    <d v="2023-03-06T00:00:00"/>
    <s v="Q1-2023"/>
    <s v="Mar-2023"/>
    <d v="2023-04-04T00:00:00"/>
    <n v="29"/>
    <d v="2023-04-04T00:00:00"/>
    <x v="1"/>
    <x v="9"/>
    <x v="38"/>
    <s v="Small Business"/>
    <s v="Direct"/>
    <s v="C. Otieno"/>
    <x v="5"/>
    <s v="MON-2073"/>
    <n v="1126.29"/>
    <n v="2050.87"/>
    <n v="6.4000000000000001E-2"/>
    <n v="7"/>
    <s v="ok"/>
    <n v="29"/>
    <n v="29"/>
    <n v="13437.300239999999"/>
    <n v="7884.03"/>
    <n v="5553.2702399999989"/>
    <n v="0.41327276616690373"/>
  </r>
  <r>
    <s v="ORD-2024-390951"/>
    <d v="2024-12-20T00:00:00"/>
    <s v="Q4-2024"/>
    <s v="Dec-2024"/>
    <d v="2025-01-14T00:00:00"/>
    <n v="25"/>
    <d v="2025-01-14T00:00:00"/>
    <x v="1"/>
    <x v="4"/>
    <x v="18"/>
    <s v="Small Business"/>
    <s v="Retail"/>
    <s v="M. Rossi"/>
    <x v="1"/>
    <s v="PRN-9378"/>
    <n v="1361.34"/>
    <n v="1737.9"/>
    <n v="7.6999999999999999E-2"/>
    <n v="14"/>
    <s v="ok"/>
    <n v="25"/>
    <n v="25"/>
    <n v="22457.143800000002"/>
    <n v="19058.759999999998"/>
    <n v="3398.3838000000032"/>
    <n v="0.15132751654731813"/>
  </r>
  <r>
    <s v="ORD-2025-881624"/>
    <d v="2025-02-21T00:00:00"/>
    <s v="Q1-2025"/>
    <s v="Feb-2025"/>
    <d v="2025-03-21T00:00:00"/>
    <n v="28"/>
    <d v="2025-03-21T00:00:00"/>
    <x v="0"/>
    <x v="1"/>
    <x v="7"/>
    <s v="Enterprise"/>
    <s v="Marketplace"/>
    <s v="I. Johnson"/>
    <x v="3"/>
    <s v="PHN-5887"/>
    <n v="1437.39"/>
    <n v="1388.31"/>
    <n v="0.13800000000000001"/>
    <n v="18"/>
    <s v="ok"/>
    <n v="28"/>
    <n v="28"/>
    <n v="21541.017959999997"/>
    <n v="25873.02"/>
    <n v="-4332.002040000003"/>
    <n v="-0.20110479681341872"/>
  </r>
  <r>
    <s v="ORD-2025-512310"/>
    <d v="2025-03-08T00:00:00"/>
    <s v="Q1-2025"/>
    <s v="Mar-2025"/>
    <d v="2025-03-15T00:00:00"/>
    <n v="7"/>
    <d v="2025-03-15T00:00:00"/>
    <x v="1"/>
    <x v="4"/>
    <x v="6"/>
    <s v="Corporate"/>
    <s v="Distributor"/>
    <s v="K. Singh"/>
    <x v="4"/>
    <s v="LAP-8119"/>
    <n v="475.66"/>
    <n v="529.14"/>
    <n v="0.19600000000000001"/>
    <n v="11"/>
    <s v="ok"/>
    <n v="7"/>
    <n v="7"/>
    <n v="4679.7141600000004"/>
    <n v="5232.26"/>
    <n v="-552.54583999999977"/>
    <n v="-0.11807256193613323"/>
  </r>
  <r>
    <s v="ORD-2023-674887"/>
    <d v="2023-12-16T00:00:00"/>
    <s v="Q4-2023"/>
    <s v="Dec-2023"/>
    <d v="2023-12-19T00:00:00"/>
    <n v="3"/>
    <d v="2023-12-19T00:00:00"/>
    <x v="1"/>
    <x v="9"/>
    <x v="38"/>
    <s v="Education"/>
    <s v="Retail"/>
    <s v="A. Patel"/>
    <x v="6"/>
    <s v="ACC-9644"/>
    <n v="1415.05"/>
    <n v="1972.38"/>
    <n v="0"/>
    <n v="12"/>
    <s v="ok"/>
    <n v="3"/>
    <n v="3"/>
    <n v="23668.560000000001"/>
    <n v="16980.599999999999"/>
    <n v="6687.9600000000028"/>
    <n v="0.28256725377462771"/>
  </r>
  <r>
    <s v="ORD-2024-542244"/>
    <d v="2024-08-30T00:00:00"/>
    <s v="Q3-2024"/>
    <s v="Aug-2024"/>
    <d v="2024-09-05T00:00:00"/>
    <n v="6"/>
    <d v="2024-09-05T00:00:00"/>
    <x v="1"/>
    <x v="2"/>
    <x v="32"/>
    <s v="Education"/>
    <s v="Online"/>
    <s v="N. Brown"/>
    <x v="4"/>
    <s v="LAP-7009"/>
    <n v="466.16"/>
    <n v="876.81"/>
    <n v="0.24099999999999999"/>
    <n v="8"/>
    <s v="ok"/>
    <n v="6"/>
    <n v="6"/>
    <n v="5323.9903199999999"/>
    <n v="3729.28"/>
    <n v="1594.7103199999997"/>
    <n v="0.29953291124691594"/>
  </r>
  <r>
    <s v="ORD-2024-375848"/>
    <d v="2024-05-18T00:00:00"/>
    <s v="Q2-2024"/>
    <s v="May-2024"/>
    <d v="2024-05-21T00:00:00"/>
    <n v="3"/>
    <d v="2024-05-21T00:00:00"/>
    <x v="3"/>
    <x v="7"/>
    <x v="11"/>
    <s v="Non-Profit"/>
    <s v="Marketplace"/>
    <s v="D. Smith"/>
    <x v="1"/>
    <s v="PRN-1725"/>
    <n v="663.66"/>
    <n v="824.26"/>
    <n v="0.23899999999999999"/>
    <n v="11"/>
    <s v="ok"/>
    <n v="3"/>
    <n v="3"/>
    <n v="6899.8804600000003"/>
    <n v="7300.2599999999993"/>
    <n v="-400.379539999999"/>
    <n v="-5.8027025587048933E-2"/>
  </r>
  <r>
    <s v="ORD-2023-933238"/>
    <d v="2023-03-17T00:00:00"/>
    <s v="Q1-2023"/>
    <s v="Mar-2023"/>
    <d v="2023-04-06T00:00:00"/>
    <n v="20"/>
    <d v="2023-04-06T00:00:00"/>
    <x v="3"/>
    <x v="6"/>
    <x v="22"/>
    <s v="Consumer"/>
    <s v="Retail"/>
    <s v="O. Wang"/>
    <x v="3"/>
    <s v="PHN-8483"/>
    <n v="692.18"/>
    <n v="1159.3499999999999"/>
    <n v="0.112"/>
    <n v="2"/>
    <s v="ok"/>
    <n v="20"/>
    <n v="20"/>
    <n v="2059.0056"/>
    <n v="1384.36"/>
    <n v="674.64560000000006"/>
    <n v="0.32765602968734037"/>
  </r>
  <r>
    <s v="ORD-2023-732585"/>
    <d v="2023-08-25T00:00:00"/>
    <s v="Q3-2023"/>
    <s v="Aug-2023"/>
    <d v="2023-09-16T00:00:00"/>
    <n v="22"/>
    <d v="2023-09-16T00:00:00"/>
    <x v="0"/>
    <x v="1"/>
    <x v="7"/>
    <s v="Corporate"/>
    <s v="Marketplace"/>
    <s v="L. Okafor"/>
    <x v="3"/>
    <s v="PHN-3971"/>
    <n v="1196.83"/>
    <n v="2513.5100000000002"/>
    <n v="8.3000000000000004E-2"/>
    <n v="7"/>
    <s v="ok"/>
    <n v="22"/>
    <n v="22"/>
    <n v="16134.22069"/>
    <n v="8377.81"/>
    <n v="7756.4106900000006"/>
    <n v="0.48074281609445374"/>
  </r>
  <r>
    <s v="ORD-2024-465898"/>
    <d v="2024-06-06T00:00:00"/>
    <s v="Q2-2024"/>
    <s v="Jun-2024"/>
    <d v="2024-06-24T00:00:00"/>
    <n v="18"/>
    <d v="2024-06-24T00:00:00"/>
    <x v="1"/>
    <x v="4"/>
    <x v="6"/>
    <s v="Small Business"/>
    <s v="Direct"/>
    <s v="H. Kim"/>
    <x v="2"/>
    <s v="NET-6578"/>
    <n v="1253.25"/>
    <n v="3087.13"/>
    <n v="7.1999999999999995E-2"/>
    <n v="11"/>
    <s v="ok"/>
    <n v="18"/>
    <n v="18"/>
    <n v="31513.423040000001"/>
    <n v="13785.75"/>
    <n v="17727.673040000001"/>
    <n v="0.562543555408064"/>
  </r>
  <r>
    <s v="ORD-2023-987081"/>
    <d v="2023-08-29T00:00:00"/>
    <s v="Q3-2023"/>
    <s v="Aug-2023"/>
    <d v="2023-09-13T00:00:00"/>
    <n v="15"/>
    <d v="2023-09-13T00:00:00"/>
    <x v="2"/>
    <x v="3"/>
    <x v="26"/>
    <s v="Small Business"/>
    <s v="Marketplace"/>
    <s v="O. Wang"/>
    <x v="1"/>
    <s v="PRN-9975"/>
    <n v="1287.6400000000001"/>
    <n v="2717.15"/>
    <n v="3.2000000000000001E-2"/>
    <n v="7"/>
    <s v="ok"/>
    <n v="15"/>
    <n v="15"/>
    <n v="18411.4084"/>
    <n v="9013.4800000000014"/>
    <n v="9397.9283999999989"/>
    <n v="0.51044049405802105"/>
  </r>
  <r>
    <s v="ORD-2024-655710"/>
    <d v="2024-11-30T00:00:00"/>
    <s v="Q4-2024"/>
    <s v="Nov-2024"/>
    <d v="2024-12-10T00:00:00"/>
    <n v="10"/>
    <d v="2024-12-10T00:00:00"/>
    <x v="1"/>
    <x v="4"/>
    <x v="34"/>
    <s v="Small Business"/>
    <s v="Retail"/>
    <s v="F. Müller"/>
    <x v="6"/>
    <s v="ACC-1075"/>
    <n v="851.49"/>
    <n v="901.79"/>
    <n v="0.245"/>
    <n v="16"/>
    <s v="ok"/>
    <n v="10"/>
    <n v="10"/>
    <n v="10893.6232"/>
    <n v="13623.84"/>
    <n v="-2730.2168000000001"/>
    <n v="-0.25062522816100341"/>
  </r>
  <r>
    <s v="ORD-2025-411385"/>
    <d v="2025-06-05T00:00:00"/>
    <s v="Q2-2025"/>
    <s v="Jun-2025"/>
    <d v="2025-06-14T00:00:00"/>
    <n v="9"/>
    <d v="2025-06-14T00:00:00"/>
    <x v="1"/>
    <x v="4"/>
    <x v="18"/>
    <s v="Non-Profit"/>
    <s v="Retail"/>
    <s v="A. Patel"/>
    <x v="6"/>
    <s v="ACC-2902"/>
    <n v="618.69000000000005"/>
    <n v="796.15"/>
    <n v="0.09"/>
    <n v="11"/>
    <s v="ok"/>
    <n v="9"/>
    <n v="9"/>
    <n v="7969.4615000000003"/>
    <n v="6805.59"/>
    <n v="1163.8715000000002"/>
    <n v="0.14604142325049191"/>
  </r>
  <r>
    <s v="ORD-2025-222035"/>
    <d v="2025-03-14T00:00:00"/>
    <s v="Q1-2025"/>
    <s v="Mar-2025"/>
    <d v="2025-04-08T00:00:00"/>
    <n v="25"/>
    <d v="2025-04-08T00:00:00"/>
    <x v="1"/>
    <x v="9"/>
    <x v="35"/>
    <s v="Corporate"/>
    <s v="Distributor"/>
    <s v="D. Smith"/>
    <x v="1"/>
    <s v="PRN-5815"/>
    <n v="80.59"/>
    <n v="157.82"/>
    <n v="0.217"/>
    <n v="6"/>
    <s v="ok"/>
    <n v="25"/>
    <n v="25"/>
    <n v="741.43835999999999"/>
    <n v="483.54"/>
    <n v="257.89835999999997"/>
    <n v="0.34783519967863541"/>
  </r>
  <r>
    <s v="ORD-2024-749242"/>
    <d v="2024-01-16T00:00:00"/>
    <s v="Q1-2024"/>
    <s v="Jan-2024"/>
    <d v="2024-02-11T00:00:00"/>
    <n v="26"/>
    <d v="2024-02-11T00:00:00"/>
    <x v="3"/>
    <x v="6"/>
    <x v="37"/>
    <s v="Non-Profit"/>
    <s v="Distributor"/>
    <s v="E. Garcia"/>
    <x v="5"/>
    <s v="MON-4195"/>
    <n v="504.93"/>
    <n v="819.06"/>
    <n v="0.22600000000000001"/>
    <n v="15"/>
    <s v="ok"/>
    <n v="26"/>
    <n v="26"/>
    <n v="9509.2865999999995"/>
    <n v="7573.95"/>
    <n v="1935.3365999999996"/>
    <n v="0.20352069312959814"/>
  </r>
  <r>
    <s v="ORD-2023-623293"/>
    <d v="2023-10-12T00:00:00"/>
    <s v="Q4-2023"/>
    <s v="Oct-2023"/>
    <d v="2023-10-29T00:00:00"/>
    <n v="17"/>
    <d v="2023-10-29T00:00:00"/>
    <x v="1"/>
    <x v="2"/>
    <x v="32"/>
    <s v="Non-Profit"/>
    <s v="Direct"/>
    <s v="H. Kim"/>
    <x v="3"/>
    <s v="PHN-8478"/>
    <n v="1102.19"/>
    <n v="1711.16"/>
    <n v="0.151"/>
    <n v="10"/>
    <s v="ok"/>
    <n v="17"/>
    <n v="17"/>
    <n v="14527.748400000002"/>
    <n v="11021.900000000001"/>
    <n v="3505.8484000000008"/>
    <n v="0.24132083675127525"/>
  </r>
  <r>
    <s v="ORD-2025-276968"/>
    <d v="2025-02-25T00:00:00"/>
    <s v="Q1-2025"/>
    <s v="Feb-2025"/>
    <d v="2025-03-17T00:00:00"/>
    <n v="20"/>
    <d v="2025-03-17T00:00:00"/>
    <x v="2"/>
    <x v="10"/>
    <x v="24"/>
    <s v="Non-Profit"/>
    <s v="Marketplace"/>
    <s v="H. Kim"/>
    <x v="3"/>
    <s v="PHN-1044"/>
    <n v="1205.26"/>
    <n v="1696.35"/>
    <n v="1.9E-2"/>
    <n v="6"/>
    <s v="ok"/>
    <n v="20"/>
    <n v="20"/>
    <n v="9984.7160999999978"/>
    <n v="7231.5599999999995"/>
    <n v="2753.1560999999983"/>
    <n v="0.27573704374028213"/>
  </r>
  <r>
    <s v="ORD-2025-650841"/>
    <d v="2025-07-03T00:00:00"/>
    <s v="Q3-2025"/>
    <s v="Jul-2025"/>
    <d v="2025-07-06T00:00:00"/>
    <n v="3"/>
    <d v="2025-07-06T00:00:00"/>
    <x v="0"/>
    <x v="1"/>
    <x v="3"/>
    <s v="Consumer"/>
    <s v="Online"/>
    <s v="unknown"/>
    <x v="4"/>
    <s v="LAP-8910"/>
    <n v="1313.3"/>
    <n v="2884.34"/>
    <n v="0.157"/>
    <n v="42"/>
    <s v="ok"/>
    <n v="3"/>
    <n v="3"/>
    <n v="102122.94203999999"/>
    <n v="55158.6"/>
    <n v="46964.342039999996"/>
    <n v="0.45988042551305253"/>
  </r>
  <r>
    <s v="ORD-2025-831576"/>
    <d v="2025-09-15T00:00:00"/>
    <s v="Q3-2025"/>
    <s v="Sept-2025"/>
    <d v="2025-09-25T00:00:00"/>
    <n v="10"/>
    <d v="2025-09-25T00:00:00"/>
    <x v="1"/>
    <x v="4"/>
    <x v="18"/>
    <s v="Consumer"/>
    <s v="Retail"/>
    <s v="A. Patel"/>
    <x v="3"/>
    <s v="PHN-2859"/>
    <n v="1488.91"/>
    <n v="1483.74"/>
    <n v="0.16800000000000001"/>
    <n v="24"/>
    <s v="ok"/>
    <n v="10"/>
    <n v="10"/>
    <n v="29627.320319999999"/>
    <n v="35733.840000000004"/>
    <n v="-6106.5196800000049"/>
    <n v="-0.20611110333450519"/>
  </r>
  <r>
    <s v="ORD-2024-468655"/>
    <d v="2024-02-19T00:00:00"/>
    <s v="Q1-2024"/>
    <s v="Feb-2024"/>
    <d v="2024-03-06T00:00:00"/>
    <n v="16"/>
    <d v="2024-03-06T00:00:00"/>
    <x v="1"/>
    <x v="9"/>
    <x v="38"/>
    <s v="Education"/>
    <s v="Marketplace"/>
    <s v="O. Wang"/>
    <x v="1"/>
    <s v="PRN-6308"/>
    <n v="1477.84"/>
    <n v="3197.47"/>
    <n v="0.24299999999999999"/>
    <n v="24"/>
    <s v="ok"/>
    <n v="16"/>
    <n v="16"/>
    <n v="58091.634960000003"/>
    <n v="35468.159999999996"/>
    <n v="22623.474960000007"/>
    <n v="0.38944462443823091"/>
  </r>
  <r>
    <s v="ORD-2024-515105"/>
    <d v="2024-02-27T00:00:00"/>
    <s v="Q1-2024"/>
    <s v="Feb-2024"/>
    <d v="2024-03-26T00:00:00"/>
    <n v="28"/>
    <d v="2024-03-26T00:00:00"/>
    <x v="1"/>
    <x v="4"/>
    <x v="29"/>
    <s v="Education"/>
    <s v="Marketplace"/>
    <s v="G. Dubois"/>
    <x v="4"/>
    <s v="LAP-8469"/>
    <n v="1035.19"/>
    <n v="2322.6999999999998"/>
    <n v="0.17299999999999999"/>
    <n v="8"/>
    <s v="ok"/>
    <n v="28"/>
    <n v="28"/>
    <n v="15366.983199999999"/>
    <n v="8281.52"/>
    <n v="7085.4631999999983"/>
    <n v="0.46108355217047409"/>
  </r>
  <r>
    <s v="ORD-2025-803803"/>
    <d v="2025-08-28T00:00:00"/>
    <s v="Q3-2025"/>
    <s v="Aug-2025"/>
    <d v="2025-09-05T00:00:00"/>
    <n v="8"/>
    <d v="2025-09-05T00:00:00"/>
    <x v="0"/>
    <x v="1"/>
    <x v="1"/>
    <s v="Small Business"/>
    <s v="Marketplace"/>
    <s v="E. Garcia"/>
    <x v="4"/>
    <s v="LAP-7553"/>
    <n v="1271.0999999999999"/>
    <n v="1932.42"/>
    <n v="0.25"/>
    <n v="21"/>
    <s v="ok"/>
    <n v="8"/>
    <n v="8"/>
    <n v="30435.614999999998"/>
    <n v="26693.1"/>
    <n v="3742.5149999999994"/>
    <n v="0.12296498690760807"/>
  </r>
  <r>
    <s v="ORD-2024-993481"/>
    <d v="2024-08-18T00:00:00"/>
    <s v="Q3-2024"/>
    <s v="Aug-2024"/>
    <d v="2024-09-12T00:00:00"/>
    <n v="25"/>
    <d v="2024-09-12T00:00:00"/>
    <x v="1"/>
    <x v="4"/>
    <x v="29"/>
    <s v="Consumer"/>
    <s v="Marketplace"/>
    <s v="C. Otieno"/>
    <x v="3"/>
    <s v="PHN-3077"/>
    <n v="1154.03"/>
    <n v="1590.36"/>
    <n v="0.314"/>
    <n v="18"/>
    <s v="ok"/>
    <n v="25"/>
    <n v="25"/>
    <n v="19637.76528"/>
    <n v="20772.54"/>
    <n v="-1134.7747200000013"/>
    <n v="-5.7785328616576745E-2"/>
  </r>
  <r>
    <s v="ORD-2024-811752"/>
    <d v="2024-02-25T00:00:00"/>
    <s v="Q1-2024"/>
    <s v="Feb-2024"/>
    <d v="2024-03-09T00:00:00"/>
    <n v="13"/>
    <d v="2024-03-09T00:00:00"/>
    <x v="3"/>
    <x v="7"/>
    <x v="11"/>
    <s v="Small Business"/>
    <s v="Distributor"/>
    <s v="E. Garcia"/>
    <x v="5"/>
    <s v="MON-3350"/>
    <n v="322.44"/>
    <n v="395.61"/>
    <n v="0"/>
    <n v="34"/>
    <s v="ok"/>
    <n v="13"/>
    <n v="13"/>
    <n v="13450.74"/>
    <n v="10962.96"/>
    <n v="2487.7800000000007"/>
    <n v="0.18495487980586947"/>
  </r>
  <r>
    <s v="ORD-2025-673091"/>
    <d v="2025-05-07T00:00:00"/>
    <s v="Q2-2025"/>
    <s v="May-2025"/>
    <d v="2025-05-13T00:00:00"/>
    <n v="6"/>
    <d v="2025-05-13T00:00:00"/>
    <x v="1"/>
    <x v="4"/>
    <x v="6"/>
    <s v="Enterprise"/>
    <s v="Direct"/>
    <s v="J. Njeri"/>
    <x v="3"/>
    <s v="PHN-5683"/>
    <n v="935.98"/>
    <n v="2077.69"/>
    <n v="0.17499999999999999"/>
    <n v="24"/>
    <s v="ok"/>
    <n v="6"/>
    <n v="6"/>
    <n v="41138.261999999995"/>
    <n v="22463.52"/>
    <n v="18674.741999999995"/>
    <n v="0.45395067978321491"/>
  </r>
  <r>
    <s v="ORD-2024-381197"/>
    <d v="2024-11-01T00:00:00"/>
    <s v="Q4-2024"/>
    <s v="Nov-2024"/>
    <d v="2024-11-12T00:00:00"/>
    <n v="11"/>
    <d v="2024-11-12T00:00:00"/>
    <x v="3"/>
    <x v="6"/>
    <x v="37"/>
    <s v="Consumer"/>
    <s v="Online"/>
    <s v="B. Chen"/>
    <x v="1"/>
    <s v="PRN-2409"/>
    <n v="599.84"/>
    <n v="1330.85"/>
    <n v="0.115"/>
    <n v="11"/>
    <s v="ok"/>
    <n v="11"/>
    <n v="11"/>
    <n v="12955.824749999998"/>
    <n v="6598.2400000000007"/>
    <n v="6357.5847499999973"/>
    <n v="0.49071246892252063"/>
  </r>
  <r>
    <s v="ORD-2024-651852"/>
    <d v="2024-12-28T00:00:00"/>
    <s v="Q4-2024"/>
    <s v="Dec-2024"/>
    <d v="2025-01-08T00:00:00"/>
    <n v="11"/>
    <d v="2025-01-08T00:00:00"/>
    <x v="1"/>
    <x v="9"/>
    <x v="14"/>
    <s v="Enterprise"/>
    <s v="Online"/>
    <s v="K. Singh"/>
    <x v="4"/>
    <s v="LAP-8825"/>
    <n v="1201.31"/>
    <n v="2764.65"/>
    <n v="0"/>
    <n v="21"/>
    <s v="ok"/>
    <n v="11"/>
    <n v="11"/>
    <n v="58057.65"/>
    <n v="25227.51"/>
    <n v="32830.14"/>
    <n v="0.56547483406579491"/>
  </r>
  <r>
    <s v="ORD-2023-659070"/>
    <d v="2023-10-21T00:00:00"/>
    <s v="Q4-2023"/>
    <s v="Oct-2023"/>
    <d v="2023-10-21T00:00:00"/>
    <n v="0"/>
    <d v="2023-10-21T00:00:00"/>
    <x v="3"/>
    <x v="8"/>
    <x v="31"/>
    <s v="Enterprise"/>
    <s v="Distributor"/>
    <s v="J. Njeri"/>
    <x v="5"/>
    <s v="MON-8697"/>
    <n v="384.19"/>
    <n v="278.35000000000002"/>
    <n v="5.6000000000000001E-2"/>
    <n v="10"/>
    <s v="sus"/>
    <n v="0"/>
    <n v="0"/>
    <n v="2627.6239999999998"/>
    <n v="3841.9"/>
    <n v="-1214.2760000000003"/>
    <n v="-0.46211938998882657"/>
  </r>
  <r>
    <s v="ORD-2024-837651"/>
    <d v="2024-12-10T00:00:00"/>
    <s v="Q4-2024"/>
    <s v="Dec-2024"/>
    <d v="2024-12-19T00:00:00"/>
    <n v="9"/>
    <d v="2024-12-19T00:00:00"/>
    <x v="0"/>
    <x v="1"/>
    <x v="3"/>
    <s v="Corporate"/>
    <s v="Retail"/>
    <s v="O. Wang"/>
    <x v="5"/>
    <s v="MON-4789"/>
    <n v="488.68"/>
    <n v="984.36"/>
    <n v="5.8999999999999997E-2"/>
    <n v="14"/>
    <s v="ok"/>
    <n v="9"/>
    <n v="9"/>
    <n v="12967.958640000001"/>
    <n v="6841.52"/>
    <n v="6126.4386400000003"/>
    <n v="0.47242891576649876"/>
  </r>
  <r>
    <s v="ORD-2024-581530"/>
    <d v="2024-09-07T00:00:00"/>
    <s v="Q3-2024"/>
    <s v="Sept-2024"/>
    <d v="2024-09-18T00:00:00"/>
    <n v="11"/>
    <d v="2024-09-18T00:00:00"/>
    <x v="1"/>
    <x v="9"/>
    <x v="38"/>
    <s v="Consumer"/>
    <s v="Distributor"/>
    <s v="O. Wang"/>
    <x v="2"/>
    <s v="NET-7998"/>
    <n v="181.74"/>
    <n v="190.84"/>
    <n v="0.214"/>
    <n v="13"/>
    <s v="ok"/>
    <n v="11"/>
    <n v="11"/>
    <n v="1950.0031200000001"/>
    <n v="2362.62"/>
    <n v="-412.61687999999981"/>
    <n v="-0.21159806144310159"/>
  </r>
  <r>
    <s v="ORD-2023-378104"/>
    <d v="2023-10-18T00:00:00"/>
    <s v="Q4-2023"/>
    <s v="Oct-2023"/>
    <d v="2023-10-20T00:00:00"/>
    <n v="2"/>
    <d v="2023-10-20T00:00:00"/>
    <x v="0"/>
    <x v="0"/>
    <x v="0"/>
    <s v="Consumer"/>
    <s v="Retail"/>
    <s v="J. Njeri"/>
    <x v="3"/>
    <s v="PHN-8891"/>
    <n v="774.12"/>
    <n v="908.3"/>
    <n v="0"/>
    <n v="30"/>
    <s v="ok"/>
    <n v="2"/>
    <n v="2"/>
    <n v="27249"/>
    <n v="23223.599999999999"/>
    <n v="4025.4000000000015"/>
    <n v="0.14772652207420461"/>
  </r>
  <r>
    <s v="ORD-2024-972318"/>
    <d v="2024-12-24T00:00:00"/>
    <s v="Q4-2024"/>
    <s v="Dec-2024"/>
    <d v="2025-01-13T00:00:00"/>
    <n v="20"/>
    <d v="2025-01-13T00:00:00"/>
    <x v="1"/>
    <x v="4"/>
    <x v="6"/>
    <s v="Corporate"/>
    <s v="Marketplace"/>
    <s v="D. Smith"/>
    <x v="2"/>
    <s v="NET-9832"/>
    <n v="126.15"/>
    <n v="284.23"/>
    <n v="0.113"/>
    <n v="22"/>
    <s v="ok"/>
    <n v="20"/>
    <n v="20"/>
    <n v="5546.4642200000008"/>
    <n v="2775.3"/>
    <n v="2771.1642200000006"/>
    <n v="0.49962716968541088"/>
  </r>
  <r>
    <s v="ORD-2023-752962"/>
    <d v="2023-04-21T00:00:00"/>
    <s v="Q2-2023"/>
    <s v="Apr-2023"/>
    <d v="2023-04-19T00:00:00"/>
    <n v="14"/>
    <d v="2023-05-05T00:00:00"/>
    <x v="1"/>
    <x v="2"/>
    <x v="32"/>
    <s v="Small Business"/>
    <s v="Direct"/>
    <s v="M. Rossi"/>
    <x v="0"/>
    <s v="CMP-8604"/>
    <n v="607.04"/>
    <n v="1229.3399999999999"/>
    <n v="0.14699999999999999"/>
    <n v="7"/>
    <s v="sus"/>
    <n v="-2"/>
    <n v="2"/>
    <n v="7340.3891399999993"/>
    <n v="4249.28"/>
    <n v="3091.1091399999996"/>
    <n v="0.42110970972310058"/>
  </r>
  <r>
    <s v="ORD-2023-808024"/>
    <d v="2023-12-30T00:00:00"/>
    <s v="Q4-2023"/>
    <s v="Dec-2023"/>
    <d v="2024-01-08T00:00:00"/>
    <n v="9"/>
    <d v="2024-01-08T00:00:00"/>
    <x v="3"/>
    <x v="7"/>
    <x v="11"/>
    <s v="Consumer"/>
    <s v="Marketplace"/>
    <s v="L. Okafor"/>
    <x v="6"/>
    <s v="ACC-6594"/>
    <n v="861.1"/>
    <n v="1224.72"/>
    <n v="0.17399999999999999"/>
    <n v="24"/>
    <s v="ok"/>
    <n v="9"/>
    <n v="9"/>
    <n v="24278.849280000002"/>
    <n v="20666.400000000001"/>
    <n v="3612.4492800000007"/>
    <n v="0.14878997098827909"/>
  </r>
  <r>
    <s v="ORD-2023-156396"/>
    <d v="2023-02-21T00:00:00"/>
    <s v="Q1-2023"/>
    <s v="Feb-2023"/>
    <d v="2023-03-12T00:00:00"/>
    <n v="19"/>
    <d v="2023-03-12T00:00:00"/>
    <x v="0"/>
    <x v="0"/>
    <x v="16"/>
    <s v="Corporate"/>
    <s v="Online"/>
    <s v="F. Müller"/>
    <x v="2"/>
    <s v="NET-2499"/>
    <n v="352.65"/>
    <n v="485.86"/>
    <n v="4.1000000000000002E-2"/>
    <n v="6"/>
    <s v="ok"/>
    <n v="19"/>
    <n v="19"/>
    <n v="2795.6384399999997"/>
    <n v="2115.8999999999996"/>
    <n v="679.73844000000008"/>
    <n v="0.24314247159943908"/>
  </r>
  <r>
    <s v="ORD-2023-184577"/>
    <d v="2023-05-17T00:00:00"/>
    <s v="Q2-2023"/>
    <s v="May-2023"/>
    <d v="2023-06-03T00:00:00"/>
    <n v="17"/>
    <d v="2023-06-03T00:00:00"/>
    <x v="1"/>
    <x v="9"/>
    <x v="38"/>
    <s v="Non-Profit"/>
    <s v="Distributor"/>
    <s v="M. Rossi"/>
    <x v="1"/>
    <s v="PRN-1923"/>
    <n v="979.59"/>
    <n v="2210.94"/>
    <n v="0.15"/>
    <n v="11"/>
    <s v="ok"/>
    <n v="17"/>
    <n v="17"/>
    <n v="20672.289000000001"/>
    <n v="10775.49"/>
    <n v="9896.7990000000009"/>
    <n v="0.47874712858358359"/>
  </r>
  <r>
    <s v="ORD-2024-446030"/>
    <d v="2024-03-23T00:00:00"/>
    <s v="Q1-2024"/>
    <s v="Mar-2024"/>
    <d v="2024-03-26T00:00:00"/>
    <n v="3"/>
    <d v="2024-03-26T00:00:00"/>
    <x v="1"/>
    <x v="4"/>
    <x v="6"/>
    <s v="Education"/>
    <s v="Direct"/>
    <s v="G. Dubois"/>
    <x v="3"/>
    <s v="PHN-4346"/>
    <n v="382.21"/>
    <n v="571.89"/>
    <n v="0.14799999999999999"/>
    <n v="26"/>
    <s v="ok"/>
    <n v="3"/>
    <n v="3"/>
    <n v="12668.50728"/>
    <n v="9937.4599999999991"/>
    <n v="2731.0472800000007"/>
    <n v="0.2155776698578809"/>
  </r>
  <r>
    <s v="ORD-2023-842820"/>
    <d v="2023-09-20T00:00:00"/>
    <s v="Q3-2023"/>
    <s v="Sept-2023"/>
    <d v="2023-09-28T00:00:00"/>
    <n v="8"/>
    <d v="2023-09-28T00:00:00"/>
    <x v="1"/>
    <x v="4"/>
    <x v="35"/>
    <s v="Corporate"/>
    <s v="unknown"/>
    <s v="B. Chen"/>
    <x v="6"/>
    <s v="ACC-1375"/>
    <n v="1362.06"/>
    <n v="3398.37"/>
    <n v="0.157"/>
    <n v="11"/>
    <s v="ok"/>
    <n v="8"/>
    <n v="8"/>
    <n v="31513.085009999999"/>
    <n v="14982.66"/>
    <n v="16530.425009999999"/>
    <n v="0.52455749745714919"/>
  </r>
  <r>
    <s v="ORD-2024-745424"/>
    <d v="2024-08-22T00:00:00"/>
    <s v="Q3-2024"/>
    <s v="Aug-2024"/>
    <d v="2024-09-04T00:00:00"/>
    <n v="13"/>
    <d v="2024-09-04T00:00:00"/>
    <x v="3"/>
    <x v="6"/>
    <x v="37"/>
    <s v="Non-Profit"/>
    <s v="Retail"/>
    <s v="L. Okafor"/>
    <x v="1"/>
    <s v="PRN-4892"/>
    <n v="90.04"/>
    <n v="194.62"/>
    <n v="4.2999999999999997E-2"/>
    <n v="32"/>
    <s v="ok"/>
    <n v="13"/>
    <n v="13"/>
    <n v="5960.04288"/>
    <n v="2881.28"/>
    <n v="3078.7628799999998"/>
    <n v="0.51656723650954672"/>
  </r>
  <r>
    <s v="ORD-2024-510520"/>
    <d v="2024-09-25T00:00:00"/>
    <s v="Q3-2024"/>
    <s v="Sept-2024"/>
    <d v="2024-10-03T00:00:00"/>
    <n v="8"/>
    <d v="2024-10-03T00:00:00"/>
    <x v="2"/>
    <x v="3"/>
    <x v="5"/>
    <s v="Consumer"/>
    <s v="Online"/>
    <s v="E. Garcia"/>
    <x v="1"/>
    <s v="PRN-9557"/>
    <n v="558.19000000000005"/>
    <n v="1031.6400000000001"/>
    <n v="0"/>
    <n v="21"/>
    <s v="ok"/>
    <n v="8"/>
    <n v="8"/>
    <n v="21664.440000000002"/>
    <n v="11721.990000000002"/>
    <n v="9942.4500000000007"/>
    <n v="0.45892947152107322"/>
  </r>
  <r>
    <s v="ORD-2023-769774"/>
    <d v="2023-06-13T00:00:00"/>
    <s v="Q2-2023"/>
    <s v="Jun-2023"/>
    <d v="2023-06-24T00:00:00"/>
    <n v="11"/>
    <d v="2023-06-24T00:00:00"/>
    <x v="2"/>
    <x v="3"/>
    <x v="5"/>
    <s v="Corporate"/>
    <s v="Online"/>
    <s v="C. Otieno"/>
    <x v="1"/>
    <s v="PRN-8008"/>
    <n v="247.07"/>
    <n v="495.19"/>
    <n v="2.8000000000000001E-2"/>
    <n v="4"/>
    <s v="ok"/>
    <n v="11"/>
    <n v="11"/>
    <n v="1925.29872"/>
    <n v="988.28"/>
    <n v="937.01872000000003"/>
    <n v="0.48668744764968214"/>
  </r>
  <r>
    <s v="ORD-2023-580751"/>
    <d v="2023-12-24T00:00:00"/>
    <s v="Q4-2023"/>
    <s v="Dec-2023"/>
    <d v="2024-01-13T00:00:00"/>
    <n v="20"/>
    <d v="2024-01-13T00:00:00"/>
    <x v="1"/>
    <x v="2"/>
    <x v="32"/>
    <s v="Education"/>
    <s v="Direct"/>
    <s v="B. Chen"/>
    <x v="4"/>
    <s v="LAP-1946"/>
    <n v="625.37"/>
    <n v="1319.04"/>
    <n v="7.3999999999999996E-2"/>
    <n v="8"/>
    <s v="ok"/>
    <n v="20"/>
    <n v="20"/>
    <n v="9771.4483199999995"/>
    <n v="5002.96"/>
    <n v="4768.4883199999995"/>
    <n v="0.48800220436513547"/>
  </r>
  <r>
    <s v="ORD-2025-473192"/>
    <d v="2025-03-30T00:00:00"/>
    <s v="Q1-2025"/>
    <s v="Mar-2025"/>
    <d v="2025-04-29T00:00:00"/>
    <n v="30"/>
    <d v="2025-04-29T00:00:00"/>
    <x v="0"/>
    <x v="11"/>
    <x v="25"/>
    <s v="Consumer"/>
    <s v="Marketplace"/>
    <s v="J. Njeri"/>
    <x v="5"/>
    <s v="MON-7106"/>
    <n v="194.6"/>
    <n v="314.87"/>
    <n v="0.29299999999999998"/>
    <n v="25"/>
    <s v="ok"/>
    <n v="30"/>
    <n v="30"/>
    <n v="5565.3272500000003"/>
    <n v="4865"/>
    <n v="700.32725000000028"/>
    <n v="0.1258375686712763"/>
  </r>
  <r>
    <s v="ORD-2024-886939"/>
    <d v="2024-06-03T00:00:00"/>
    <s v="Q2-2024"/>
    <s v="Jun-2024"/>
    <d v="2024-06-24T00:00:00"/>
    <n v="21"/>
    <d v="2024-06-24T00:00:00"/>
    <x v="2"/>
    <x v="3"/>
    <x v="5"/>
    <s v="Small Business"/>
    <s v="Direct"/>
    <s v="G. Dubois"/>
    <x v="5"/>
    <s v="MON-5386"/>
    <n v="1205.5"/>
    <n v="2210.17"/>
    <n v="0.104"/>
    <n v="23"/>
    <s v="ok"/>
    <n v="21"/>
    <n v="21"/>
    <n v="45547.183360000003"/>
    <n v="27726.5"/>
    <n v="17820.683360000003"/>
    <n v="0.39125763758314652"/>
  </r>
  <r>
    <s v="ORD-2024-566589"/>
    <d v="2024-06-11T00:00:00"/>
    <s v="Q2-2024"/>
    <s v="Jun-2024"/>
    <d v="2024-07-09T00:00:00"/>
    <n v="28"/>
    <d v="2024-07-09T00:00:00"/>
    <x v="0"/>
    <x v="1"/>
    <x v="1"/>
    <s v="Corporate"/>
    <s v="Marketplace"/>
    <s v="I. Johnson"/>
    <x v="3"/>
    <s v="PHN-2436"/>
    <n v="895.54"/>
    <n v="1045"/>
    <n v="0.216"/>
    <n v="15"/>
    <s v="ok"/>
    <n v="28"/>
    <n v="28"/>
    <n v="12289.2"/>
    <n v="13433.099999999999"/>
    <n v="-1143.8999999999978"/>
    <n v="-9.3081730299775234E-2"/>
  </r>
  <r>
    <s v="ORD-2023-109927"/>
    <d v="2023-07-22T00:00:00"/>
    <s v="Q3-2023"/>
    <s v="Jul-2023"/>
    <d v="2023-07-21T00:00:00"/>
    <n v="14"/>
    <d v="2023-08-05T00:00:00"/>
    <x v="1"/>
    <x v="4"/>
    <x v="18"/>
    <s v="Small Business"/>
    <s v="Distributor"/>
    <s v="E. Garcia"/>
    <x v="1"/>
    <s v="PRN-2301"/>
    <n v="946.99"/>
    <n v="2132.19"/>
    <n v="0.16500000000000001"/>
    <n v="7"/>
    <s v="sus"/>
    <n v="-1"/>
    <n v="1"/>
    <n v="12462.65055"/>
    <n v="6628.93"/>
    <n v="5833.72055"/>
    <n v="0.46809629513362228"/>
  </r>
  <r>
    <s v="ORD-2023-780206"/>
    <d v="2023-01-19T00:00:00"/>
    <s v="Q1-2023"/>
    <s v="Jan-2023"/>
    <d v="2023-02-03T00:00:00"/>
    <n v="15"/>
    <d v="2023-02-03T00:00:00"/>
    <x v="3"/>
    <x v="8"/>
    <x v="21"/>
    <s v="Enterprise"/>
    <s v="Distributor"/>
    <s v="G. Dubois"/>
    <x v="6"/>
    <s v="ACC-3645"/>
    <n v="873.06"/>
    <n v="2101.5500000000002"/>
    <n v="6.6000000000000003E-2"/>
    <n v="10"/>
    <s v="ok"/>
    <n v="15"/>
    <n v="15"/>
    <n v="19628.476999999999"/>
    <n v="8730.5999999999985"/>
    <n v="10897.877"/>
    <n v="0.55520746719167269"/>
  </r>
  <r>
    <s v="ORD-2024-851993"/>
    <d v="2024-05-01T00:00:00"/>
    <s v="Q2-2024"/>
    <s v="May-2024"/>
    <d v="2024-05-16T00:00:00"/>
    <n v="15"/>
    <d v="2024-05-16T00:00:00"/>
    <x v="1"/>
    <x v="4"/>
    <x v="6"/>
    <s v="Small Business"/>
    <s v="Retail"/>
    <s v="L. Okafor"/>
    <x v="0"/>
    <s v="CMP-6811"/>
    <n v="901.19"/>
    <n v="2125.44"/>
    <n v="7.0999999999999994E-2"/>
    <n v="12"/>
    <s v="ok"/>
    <n v="15"/>
    <n v="15"/>
    <n v="23694.405119999999"/>
    <n v="10814.28"/>
    <n v="12880.125119999999"/>
    <n v="0.54359352154100415"/>
  </r>
  <r>
    <s v="ORD-2025-417942"/>
    <d v="2025-06-09T00:00:00"/>
    <s v="Q2-2025"/>
    <s v="Jun-2025"/>
    <d v="2025-06-24T00:00:00"/>
    <n v="15"/>
    <d v="2025-06-24T00:00:00"/>
    <x v="1"/>
    <x v="2"/>
    <x v="32"/>
    <s v="Corporate"/>
    <s v="Direct"/>
    <s v="B. Chen"/>
    <x v="3"/>
    <s v="PHN-5675"/>
    <n v="400.39"/>
    <n v="712.75"/>
    <n v="0.115"/>
    <n v="19"/>
    <s v="ok"/>
    <n v="15"/>
    <n v="15"/>
    <n v="11984.891250000001"/>
    <n v="7607.41"/>
    <n v="4377.4812500000007"/>
    <n v="0.36524997671547504"/>
  </r>
  <r>
    <s v="ORD-2023-172095"/>
    <d v="2023-05-24T00:00:00"/>
    <s v="Q2-2023"/>
    <s v="May-2023"/>
    <d v="2023-06-21T00:00:00"/>
    <n v="28"/>
    <d v="2023-06-21T00:00:00"/>
    <x v="2"/>
    <x v="10"/>
    <x v="36"/>
    <s v="Small Business"/>
    <s v="Marketplace"/>
    <s v="G. Dubois"/>
    <x v="5"/>
    <s v="MON-6882"/>
    <n v="813.97"/>
    <n v="1568.83"/>
    <n v="1.7000000000000001E-2"/>
    <n v="15"/>
    <s v="ok"/>
    <n v="28"/>
    <n v="28"/>
    <n v="23132.398349999996"/>
    <n v="12209.550000000001"/>
    <n v="10922.848349999995"/>
    <n v="0.4721883215364911"/>
  </r>
  <r>
    <s v="ORD-2024-257550"/>
    <d v="2024-12-27T00:00:00"/>
    <s v="Q4-2024"/>
    <s v="Dec-2024"/>
    <d v="2024-12-29T00:00:00"/>
    <n v="2"/>
    <d v="2024-12-29T00:00:00"/>
    <x v="2"/>
    <x v="3"/>
    <x v="26"/>
    <s v="Enterprise"/>
    <s v="Marketplace"/>
    <s v="C. Otieno"/>
    <x v="6"/>
    <s v="ACC-8620"/>
    <n v="1146.72"/>
    <n v="2074.34"/>
    <n v="0.111"/>
    <n v="8"/>
    <s v="ok"/>
    <n v="2"/>
    <n v="2"/>
    <n v="14752.706080000002"/>
    <n v="9173.76"/>
    <n v="5578.9460800000015"/>
    <n v="0.37816425337472737"/>
  </r>
  <r>
    <s v="ORD-2023-581799"/>
    <d v="2023-12-05T00:00:00"/>
    <s v="Q4-2023"/>
    <s v="Dec-2023"/>
    <d v="2023-12-12T00:00:00"/>
    <n v="7"/>
    <d v="2023-12-12T00:00:00"/>
    <x v="2"/>
    <x v="5"/>
    <x v="10"/>
    <s v="Corporate"/>
    <s v="Direct"/>
    <s v="F. Müller"/>
    <x v="3"/>
    <s v="PHN-6506"/>
    <n v="307.43"/>
    <n v="495.19"/>
    <n v="0"/>
    <n v="42"/>
    <s v="ok"/>
    <n v="7"/>
    <n v="7"/>
    <n v="20797.98"/>
    <n v="12912.06"/>
    <n v="7885.92"/>
    <n v="0.37916759223732305"/>
  </r>
  <r>
    <s v="ORD-2023-880296"/>
    <d v="2023-05-02T00:00:00"/>
    <s v="Q2-2023"/>
    <s v="May-2023"/>
    <d v="2023-05-19T00:00:00"/>
    <n v="17"/>
    <d v="2023-05-19T00:00:00"/>
    <x v="1"/>
    <x v="9"/>
    <x v="23"/>
    <s v="Non-Profit"/>
    <s v="Direct"/>
    <s v="J. Njeri"/>
    <x v="5"/>
    <s v="MON-5086"/>
    <n v="714.28"/>
    <n v="757.59"/>
    <n v="0.13600000000000001"/>
    <n v="12"/>
    <s v="ok"/>
    <n v="17"/>
    <n v="17"/>
    <n v="7854.6931199999999"/>
    <n v="8571.36"/>
    <n v="-716.66688000000067"/>
    <n v="-9.1240595787910383E-2"/>
  </r>
  <r>
    <s v="ORD-2023-191563"/>
    <d v="2023-11-30T00:00:00"/>
    <s v="Q4-2023"/>
    <s v="Nov-2023"/>
    <d v="2023-12-10T00:00:00"/>
    <n v="10"/>
    <d v="2023-12-10T00:00:00"/>
    <x v="3"/>
    <x v="6"/>
    <x v="22"/>
    <s v="Small Business"/>
    <s v="Direct"/>
    <s v="F. Müller"/>
    <x v="4"/>
    <s v="LAP-4899"/>
    <n v="174.74"/>
    <n v="415.96"/>
    <n v="0.125"/>
    <n v="21"/>
    <s v="ok"/>
    <n v="10"/>
    <n v="10"/>
    <n v="7643.2649999999994"/>
    <n v="3669.54"/>
    <n v="3973.7249999999995"/>
    <n v="0.51989889137691803"/>
  </r>
  <r>
    <s v="ORD-2024-202166"/>
    <d v="2024-05-05T00:00:00"/>
    <s v="Q2-2024"/>
    <s v="May-2024"/>
    <d v="2024-05-18T00:00:00"/>
    <n v="13"/>
    <d v="2024-05-18T00:00:00"/>
    <x v="3"/>
    <x v="7"/>
    <x v="11"/>
    <s v="Corporate"/>
    <s v="Marketplace"/>
    <s v="A. Patel"/>
    <x v="0"/>
    <s v="CMP-3313"/>
    <n v="1264.04"/>
    <n v="1870.89"/>
    <n v="0"/>
    <n v="13"/>
    <s v="ok"/>
    <n v="13"/>
    <n v="13"/>
    <n v="24321.57"/>
    <n v="16432.52"/>
    <n v="7889.0499999999993"/>
    <n v="0.32436433996653996"/>
  </r>
  <r>
    <s v="ORD-2023-539967"/>
    <d v="2023-07-09T00:00:00"/>
    <s v="Q3-2023"/>
    <s v="Jul-2023"/>
    <d v="2023-07-19T00:00:00"/>
    <n v="10"/>
    <d v="2023-07-19T00:00:00"/>
    <x v="1"/>
    <x v="2"/>
    <x v="27"/>
    <s v="Enterprise"/>
    <s v="Distributor"/>
    <s v="N. Brown"/>
    <x v="0"/>
    <s v="CMP-6649"/>
    <n v="141.26"/>
    <n v="206.88"/>
    <n v="0.107"/>
    <n v="9"/>
    <s v="ok"/>
    <n v="10"/>
    <n v="10"/>
    <n v="1662.6945600000001"/>
    <n v="1271.3399999999999"/>
    <n v="391.35456000000022"/>
    <n v="0.23537369365062469"/>
  </r>
  <r>
    <s v="ORD-2023-704111"/>
    <d v="2023-05-17T00:00:00"/>
    <s v="Q2-2023"/>
    <s v="May-2023"/>
    <d v="2023-06-15T00:00:00"/>
    <n v="29"/>
    <d v="2023-06-15T00:00:00"/>
    <x v="0"/>
    <x v="11"/>
    <x v="25"/>
    <s v="Enterprise"/>
    <s v="Retail"/>
    <s v="K. Singh"/>
    <x v="6"/>
    <s v="ACC-5206"/>
    <n v="40.89"/>
    <n v="62.82"/>
    <n v="0.129"/>
    <n v="17"/>
    <s v="ok"/>
    <n v="29"/>
    <n v="29"/>
    <n v="930.17574000000002"/>
    <n v="695.13"/>
    <n v="235.04574000000002"/>
    <n v="0.25268960465470752"/>
  </r>
  <r>
    <s v="ORD-2024-356812"/>
    <d v="2024-03-07T00:00:00"/>
    <s v="Q1-2024"/>
    <s v="Mar-2024"/>
    <d v="2024-04-03T00:00:00"/>
    <n v="27"/>
    <d v="2024-04-03T00:00:00"/>
    <x v="3"/>
    <x v="6"/>
    <x v="37"/>
    <s v="Corporate"/>
    <s v="Direct"/>
    <s v="M. Rossi"/>
    <x v="1"/>
    <s v="PRN-6911"/>
    <n v="738.16"/>
    <n v="956.49"/>
    <n v="0.152"/>
    <n v="5"/>
    <s v="ok"/>
    <n v="27"/>
    <n v="27"/>
    <n v="4055.5175999999997"/>
    <n v="3690.7999999999997"/>
    <n v="364.71759999999995"/>
    <n v="8.9931208780847108E-2"/>
  </r>
  <r>
    <s v="ORD-2025-306251"/>
    <d v="2025-04-10T00:00:00"/>
    <s v="Q2-2025"/>
    <s v="Apr-2025"/>
    <d v="2025-04-19T00:00:00"/>
    <n v="9"/>
    <d v="2025-04-19T00:00:00"/>
    <x v="0"/>
    <x v="11"/>
    <x v="25"/>
    <s v="Enterprise"/>
    <s v="unknown"/>
    <s v="G. Dubois"/>
    <x v="2"/>
    <s v="NET-5270"/>
    <n v="113.74"/>
    <n v="165.7"/>
    <n v="0.124"/>
    <n v="13"/>
    <s v="ok"/>
    <n v="9"/>
    <n v="9"/>
    <n v="1886.9915999999998"/>
    <n v="1478.62"/>
    <n v="408.37159999999994"/>
    <n v="0.21641410592394794"/>
  </r>
  <r>
    <s v="ORD-2025-496178"/>
    <d v="2025-07-27T00:00:00"/>
    <s v="Q3-2025"/>
    <s v="Jul-2025"/>
    <d v="2025-08-15T00:00:00"/>
    <n v="19"/>
    <d v="2025-08-15T00:00:00"/>
    <x v="1"/>
    <x v="2"/>
    <x v="27"/>
    <s v="Small Business"/>
    <s v="Marketplace"/>
    <s v="J. Njeri"/>
    <x v="0"/>
    <s v="CMP-5658"/>
    <n v="275.43"/>
    <n v="608.36"/>
    <n v="0.25700000000000001"/>
    <n v="4"/>
    <s v="ok"/>
    <n v="19"/>
    <n v="19"/>
    <n v="1808.04592"/>
    <n v="1101.72"/>
    <n v="706.32592"/>
    <n v="0.39065706915231446"/>
  </r>
  <r>
    <s v="ORD-2024-508213"/>
    <d v="2024-11-22T00:00:00"/>
    <s v="Q4-2024"/>
    <s v="Nov-2024"/>
    <d v="2024-12-15T00:00:00"/>
    <n v="23"/>
    <d v="2024-12-15T00:00:00"/>
    <x v="0"/>
    <x v="0"/>
    <x v="13"/>
    <s v="Non-Profit"/>
    <s v="Distributor"/>
    <s v="C. Otieno"/>
    <x v="0"/>
    <s v="CMP-3938"/>
    <n v="1335.76"/>
    <n v="2665.91"/>
    <n v="0.21099999999999999"/>
    <n v="40"/>
    <s v="ok"/>
    <n v="23"/>
    <n v="23"/>
    <n v="84136.119600000005"/>
    <n v="53430.400000000001"/>
    <n v="30705.719600000004"/>
    <n v="0.36495288522909253"/>
  </r>
  <r>
    <s v="ORD-2024-787018"/>
    <d v="2024-06-23T00:00:00"/>
    <s v="Q2-2024"/>
    <s v="Jun-2024"/>
    <d v="2024-06-28T00:00:00"/>
    <n v="5"/>
    <d v="2024-06-28T00:00:00"/>
    <x v="0"/>
    <x v="1"/>
    <x v="1"/>
    <s v="Non-Profit"/>
    <s v="Direct"/>
    <s v="M. Rossi"/>
    <x v="6"/>
    <s v="ACC-7671"/>
    <n v="242.31"/>
    <n v="587.95000000000005"/>
    <n v="0.22900000000000001"/>
    <n v="6"/>
    <s v="ok"/>
    <n v="5"/>
    <n v="5"/>
    <n v="2719.8567000000003"/>
    <n v="1453.8600000000001"/>
    <n v="1265.9967000000001"/>
    <n v="0.46546448568411714"/>
  </r>
  <r>
    <s v="ORD-2023-728177"/>
    <d v="2023-12-18T00:00:00"/>
    <s v="Q4-2023"/>
    <s v="Dec-2023"/>
    <d v="2024-01-14T00:00:00"/>
    <n v="27"/>
    <d v="2024-01-14T00:00:00"/>
    <x v="1"/>
    <x v="4"/>
    <x v="29"/>
    <s v="Consumer"/>
    <s v="Distributor"/>
    <s v="D. Smith"/>
    <x v="2"/>
    <s v="NET-6014"/>
    <n v="1408.3"/>
    <n v="2193.13"/>
    <n v="7.0999999999999994E-2"/>
    <n v="7"/>
    <s v="ok"/>
    <n v="27"/>
    <n v="27"/>
    <n v="14261.92439"/>
    <n v="9858.1"/>
    <n v="4403.8243899999998"/>
    <n v="0.30878191957656281"/>
  </r>
  <r>
    <s v="ORD-2025-795385"/>
    <d v="2025-06-01T00:00:00"/>
    <s v="Q2-2025"/>
    <s v="Jun-2025"/>
    <d v="2025-06-05T00:00:00"/>
    <n v="4"/>
    <d v="2025-06-05T00:00:00"/>
    <x v="3"/>
    <x v="6"/>
    <x v="22"/>
    <s v="Enterprise"/>
    <s v="Direct"/>
    <s v="M. Rossi"/>
    <x v="0"/>
    <s v="CMP-4159"/>
    <n v="1171.42"/>
    <n v="2187.8000000000002"/>
    <n v="0.23"/>
    <n v="15"/>
    <s v="ok"/>
    <n v="4"/>
    <n v="4"/>
    <n v="25269.09"/>
    <n v="17571.300000000003"/>
    <n v="7697.7899999999972"/>
    <n v="0.30463265594447592"/>
  </r>
  <r>
    <s v="ORD-2025-947929"/>
    <d v="2025-03-23T00:00:00"/>
    <s v="Q1-2025"/>
    <s v="Mar-2025"/>
    <d v="2025-04-02T00:00:00"/>
    <n v="10"/>
    <d v="2025-04-02T00:00:00"/>
    <x v="3"/>
    <x v="6"/>
    <x v="9"/>
    <s v="Enterprise"/>
    <s v="Online"/>
    <s v="E. Garcia"/>
    <x v="1"/>
    <s v="PRN-3159"/>
    <n v="663.61"/>
    <n v="1002.11"/>
    <n v="4.5999999999999999E-2"/>
    <n v="17"/>
    <s v="ok"/>
    <n v="10"/>
    <n v="10"/>
    <n v="16252.219979999998"/>
    <n v="11281.37"/>
    <n v="4970.8499799999972"/>
    <n v="0.30585667595670812"/>
  </r>
  <r>
    <s v="ORD-2023-931633"/>
    <d v="2023-05-14T00:00:00"/>
    <s v="Q2-2023"/>
    <s v="May-2023"/>
    <d v="2023-05-22T00:00:00"/>
    <n v="8"/>
    <d v="2023-05-22T00:00:00"/>
    <x v="0"/>
    <x v="0"/>
    <x v="13"/>
    <s v="Small Business"/>
    <s v="Distributor"/>
    <s v="F. Müller"/>
    <x v="1"/>
    <s v="PRN-9488"/>
    <n v="432.01"/>
    <n v="913.78"/>
    <n v="4.9000000000000002E-2"/>
    <n v="12"/>
    <s v="ok"/>
    <n v="8"/>
    <n v="8"/>
    <n v="10428.057360000001"/>
    <n v="5184.12"/>
    <n v="5243.9373600000008"/>
    <n v="0.50286809699711899"/>
  </r>
  <r>
    <s v="ORD-2023-243704"/>
    <d v="2023-08-29T00:00:00"/>
    <s v="Q3-2023"/>
    <s v="Aug-2023"/>
    <d v="2023-09-19T00:00:00"/>
    <n v="21"/>
    <d v="2023-09-19T00:00:00"/>
    <x v="3"/>
    <x v="7"/>
    <x v="17"/>
    <s v="Small Business"/>
    <s v="Direct"/>
    <s v="B. Chen"/>
    <x v="1"/>
    <s v="PRN-7079"/>
    <n v="784.46"/>
    <n v="1843.51"/>
    <n v="0.13800000000000001"/>
    <n v="23"/>
    <s v="ok"/>
    <n v="21"/>
    <n v="21"/>
    <n v="36549.429260000004"/>
    <n v="18042.580000000002"/>
    <n v="18506.849260000003"/>
    <n v="0.50635125184441798"/>
  </r>
  <r>
    <s v="ORD-2025-779659"/>
    <d v="2025-07-03T00:00:00"/>
    <s v="Q3-2025"/>
    <s v="Jul-2025"/>
    <d v="2025-07-23T00:00:00"/>
    <n v="20"/>
    <d v="2025-07-23T00:00:00"/>
    <x v="1"/>
    <x v="9"/>
    <x v="38"/>
    <s v="Small Business"/>
    <s v="Online"/>
    <s v="M. Rossi"/>
    <x v="0"/>
    <s v="CMP-1220"/>
    <n v="647.36"/>
    <n v="1383.6"/>
    <n v="7.3999999999999996E-2"/>
    <n v="12"/>
    <s v="ok"/>
    <n v="20"/>
    <n v="20"/>
    <n v="15374.563199999999"/>
    <n v="7768.32"/>
    <n v="7606.243199999999"/>
    <n v="0.49472906000997802"/>
  </r>
  <r>
    <s v="ORD-2024-647571"/>
    <d v="2024-02-06T00:00:00"/>
    <s v="Q1-2024"/>
    <s v="Feb-2024"/>
    <d v="2024-02-28T00:00:00"/>
    <n v="22"/>
    <d v="2024-02-28T00:00:00"/>
    <x v="0"/>
    <x v="0"/>
    <x v="0"/>
    <s v="Non-Profit"/>
    <s v="Online"/>
    <s v="K. Singh"/>
    <x v="5"/>
    <s v="MON-2462"/>
    <n v="834.93"/>
    <n v="1588.53"/>
    <n v="0.126"/>
    <n v="6"/>
    <s v="ok"/>
    <n v="22"/>
    <n v="22"/>
    <n v="8330.2513199999994"/>
    <n v="5009.58"/>
    <n v="3320.6713199999995"/>
    <n v="0.39862798761274343"/>
  </r>
  <r>
    <s v="ORD-2025-683043"/>
    <d v="2025-08-13T00:00:00"/>
    <s v="Q3-2025"/>
    <s v="Aug-2025"/>
    <d v="2025-09-03T00:00:00"/>
    <n v="21"/>
    <d v="2025-09-03T00:00:00"/>
    <x v="3"/>
    <x v="7"/>
    <x v="28"/>
    <s v="Education"/>
    <s v="Retail"/>
    <s v="I. Johnson"/>
    <x v="3"/>
    <s v="PHN-9465"/>
    <n v="603.47"/>
    <n v="1344.05"/>
    <n v="0.20499999999999999"/>
    <n v="18"/>
    <s v="ok"/>
    <n v="21"/>
    <n v="21"/>
    <n v="19233.355499999998"/>
    <n v="10862.460000000001"/>
    <n v="8370.8954999999969"/>
    <n v="0.43522803392262976"/>
  </r>
  <r>
    <s v="ORD-2023-588455"/>
    <d v="2023-05-23T00:00:00"/>
    <s v="Q2-2023"/>
    <s v="May-2023"/>
    <d v="2023-05-25T00:00:00"/>
    <n v="2"/>
    <d v="2023-05-25T00:00:00"/>
    <x v="2"/>
    <x v="5"/>
    <x v="30"/>
    <s v="Enterprise"/>
    <s v="Retail"/>
    <s v="M. Rossi"/>
    <x v="1"/>
    <s v="PRN-1271"/>
    <n v="690.49"/>
    <n v="1290.29"/>
    <n v="4.2000000000000003E-2"/>
    <n v="22"/>
    <s v="ok"/>
    <n v="2"/>
    <n v="2"/>
    <n v="27194.152039999997"/>
    <n v="15190.78"/>
    <n v="12003.372039999997"/>
    <n v="0.44139534199647718"/>
  </r>
  <r>
    <s v="ORD-2024-641220"/>
    <d v="2024-05-10T00:00:00"/>
    <s v="Q2-2024"/>
    <s v="May-2024"/>
    <d v="2024-05-16T00:00:00"/>
    <n v="6"/>
    <d v="2024-05-16T00:00:00"/>
    <x v="3"/>
    <x v="8"/>
    <x v="12"/>
    <s v="Non-Profit"/>
    <s v="Direct"/>
    <s v="G. Dubois"/>
    <x v="4"/>
    <s v="LAP-1066"/>
    <n v="210.76"/>
    <n v="221.58"/>
    <n v="8.8999999999999996E-2"/>
    <n v="5"/>
    <s v="ok"/>
    <n v="6"/>
    <n v="6"/>
    <n v="1009.2969000000002"/>
    <n v="1053.8"/>
    <n v="-44.50309999999979"/>
    <n v="-4.4093170205912434E-2"/>
  </r>
  <r>
    <s v="ORD-2023-799597"/>
    <d v="2023-03-14T00:00:00"/>
    <s v="Q1-2023"/>
    <s v="Mar-2023"/>
    <d v="2023-03-18T00:00:00"/>
    <n v="4"/>
    <d v="2023-03-18T00:00:00"/>
    <x v="3"/>
    <x v="6"/>
    <x v="37"/>
    <s v="Enterprise"/>
    <s v="Direct"/>
    <s v="A. Patel"/>
    <x v="0"/>
    <s v="CMP-8675"/>
    <n v="472.33"/>
    <n v="360.34"/>
    <n v="0.16500000000000001"/>
    <n v="14"/>
    <s v="ok"/>
    <n v="4"/>
    <n v="4"/>
    <n v="4212.3745999999992"/>
    <n v="6612.62"/>
    <n v="-2400.2454000000007"/>
    <n v="-0.56980815523861561"/>
  </r>
  <r>
    <s v="ORD-2023-569862"/>
    <d v="2023-07-16T00:00:00"/>
    <s v="Q3-2023"/>
    <s v="Jul-2023"/>
    <d v="2023-08-13T00:00:00"/>
    <n v="28"/>
    <d v="2023-08-13T00:00:00"/>
    <x v="3"/>
    <x v="8"/>
    <x v="31"/>
    <s v="Non-Profit"/>
    <s v="Online"/>
    <s v="J. Njeri"/>
    <x v="4"/>
    <s v="LAP-1178"/>
    <n v="1039.03"/>
    <n v="2545.81"/>
    <n v="0.216"/>
    <n v="21"/>
    <s v="ok"/>
    <n v="28"/>
    <n v="28"/>
    <n v="41914.215840000004"/>
    <n v="21819.63"/>
    <n v="20094.585840000003"/>
    <n v="0.47942172929364774"/>
  </r>
  <r>
    <s v="ORD-2023-609394"/>
    <d v="2023-04-16T00:00:00"/>
    <s v="Q2-2023"/>
    <s v="Apr-2023"/>
    <d v="2023-04-19T00:00:00"/>
    <n v="3"/>
    <d v="2023-04-19T00:00:00"/>
    <x v="3"/>
    <x v="6"/>
    <x v="22"/>
    <s v="Corporate"/>
    <s v="Direct"/>
    <s v="B. Chen"/>
    <x v="6"/>
    <s v="ACC-1731"/>
    <n v="553.61"/>
    <n v="699.47"/>
    <n v="0.02"/>
    <n v="33"/>
    <s v="ok"/>
    <n v="3"/>
    <n v="3"/>
    <n v="22620.859800000002"/>
    <n v="18269.13"/>
    <n v="4351.729800000001"/>
    <n v="0.19237685209472014"/>
  </r>
  <r>
    <s v="ORD-2024-105586"/>
    <d v="2024-01-02T00:00:00"/>
    <s v="Q1-2024"/>
    <s v="Jan-2024"/>
    <d v="2024-01-15T00:00:00"/>
    <n v="13"/>
    <d v="2024-01-15T00:00:00"/>
    <x v="1"/>
    <x v="2"/>
    <x v="32"/>
    <s v="Small Business"/>
    <s v="Marketplace"/>
    <s v="G. Dubois"/>
    <x v="2"/>
    <s v="NET-1893"/>
    <n v="1219.06"/>
    <n v="2738.69"/>
    <n v="7.5999999999999998E-2"/>
    <n v="16"/>
    <s v="ok"/>
    <n v="13"/>
    <n v="13"/>
    <n v="40488.792960000006"/>
    <n v="19504.96"/>
    <n v="20983.832960000007"/>
    <n v="0.51826274447673737"/>
  </r>
  <r>
    <s v="ORD-2024-207792"/>
    <d v="2024-09-03T00:00:00"/>
    <s v="Q3-2024"/>
    <s v="Sept-2024"/>
    <d v="2024-09-07T00:00:00"/>
    <n v="4"/>
    <d v="2024-09-07T00:00:00"/>
    <x v="1"/>
    <x v="2"/>
    <x v="27"/>
    <s v="Small Business"/>
    <s v="Distributor"/>
    <s v="N. Brown"/>
    <x v="1"/>
    <s v="PRN-3917"/>
    <n v="43.23"/>
    <n v="94.78"/>
    <n v="9.0999999999999998E-2"/>
    <n v="55"/>
    <s v="ok"/>
    <n v="4"/>
    <n v="4"/>
    <n v="4738.5261"/>
    <n v="2377.6499999999996"/>
    <n v="2360.8761000000004"/>
    <n v="0.49823005090127082"/>
  </r>
  <r>
    <s v="ORD-2025-417336"/>
    <d v="2025-08-30T00:00:00"/>
    <s v="Q3-2025"/>
    <s v="Aug-2025"/>
    <d v="2025-09-03T00:00:00"/>
    <n v="4"/>
    <d v="2025-09-03T00:00:00"/>
    <x v="3"/>
    <x v="7"/>
    <x v="11"/>
    <s v="Small Business"/>
    <s v="Marketplace"/>
    <s v="J. Njeri"/>
    <x v="4"/>
    <s v="LAP-3220"/>
    <n v="1286.56"/>
    <n v="2777.35"/>
    <n v="0.13200000000000001"/>
    <n v="15"/>
    <s v="ok"/>
    <n v="4"/>
    <n v="4"/>
    <n v="36161.097000000002"/>
    <n v="19298.399999999998"/>
    <n v="16862.697000000004"/>
    <n v="0.46632150014696744"/>
  </r>
  <r>
    <s v="ORD-2025-252117"/>
    <d v="2025-04-28T00:00:00"/>
    <s v="Q2-2025"/>
    <s v="Apr-2025"/>
    <d v="2025-05-19T00:00:00"/>
    <n v="21"/>
    <d v="2025-05-19T00:00:00"/>
    <x v="3"/>
    <x v="6"/>
    <x v="9"/>
    <s v="Corporate"/>
    <s v="Distributor"/>
    <s v="B. Chen"/>
    <x v="3"/>
    <s v="PHN-2462"/>
    <n v="350.76"/>
    <n v="492.18"/>
    <n v="5.2999999999999999E-2"/>
    <n v="11"/>
    <s v="ok"/>
    <n v="21"/>
    <n v="21"/>
    <n v="5127.0390600000001"/>
    <n v="3858.3599999999997"/>
    <n v="1268.6790600000004"/>
    <n v="0.24744868239798437"/>
  </r>
  <r>
    <s v="ORD-2023-867175"/>
    <d v="2023-08-10T00:00:00"/>
    <s v="Q3-2023"/>
    <s v="Aug-2023"/>
    <d v="2023-08-15T00:00:00"/>
    <n v="5"/>
    <d v="2023-08-15T00:00:00"/>
    <x v="2"/>
    <x v="5"/>
    <x v="8"/>
    <s v="Education"/>
    <s v="Direct"/>
    <s v="G. Dubois"/>
    <x v="2"/>
    <s v="NET-2894"/>
    <n v="1307.52"/>
    <n v="1921.65"/>
    <n v="0.123"/>
    <n v="13"/>
    <s v="ok"/>
    <n v="5"/>
    <n v="5"/>
    <n v="21908.731650000002"/>
    <n v="16997.759999999998"/>
    <n v="4910.9716500000031"/>
    <n v="0.22415590863289445"/>
  </r>
  <r>
    <s v="ORD-2024-382152"/>
    <d v="2024-12-08T00:00:00"/>
    <s v="Q4-2024"/>
    <s v="Dec-2024"/>
    <d v="2024-12-08T00:00:00"/>
    <n v="0"/>
    <d v="2024-12-08T00:00:00"/>
    <x v="3"/>
    <x v="7"/>
    <x v="17"/>
    <s v="Enterprise"/>
    <s v="Retail"/>
    <s v="H. Kim"/>
    <x v="0"/>
    <s v="CMP-2335"/>
    <n v="257.44"/>
    <n v="290.33"/>
    <n v="9.1999999999999998E-2"/>
    <n v="23"/>
    <s v="sus"/>
    <n v="0"/>
    <n v="0"/>
    <n v="6063.2517199999993"/>
    <n v="5921.12"/>
    <n v="142.1317199999994"/>
    <n v="2.3441500792581216E-2"/>
  </r>
  <r>
    <s v="ORD-2023-597666"/>
    <d v="2023-10-25T00:00:00"/>
    <s v="Q4-2023"/>
    <s v="Oct-2023"/>
    <d v="2023-11-24T00:00:00"/>
    <n v="30"/>
    <d v="2023-11-24T00:00:00"/>
    <x v="3"/>
    <x v="7"/>
    <x v="28"/>
    <s v="Enterprise"/>
    <s v="Distributor"/>
    <s v="C. Otieno"/>
    <x v="3"/>
    <s v="PHN-5938"/>
    <n v="287.85000000000002"/>
    <n v="602.91999999999996"/>
    <n v="0.222"/>
    <n v="11"/>
    <s v="ok"/>
    <n v="30"/>
    <n v="30"/>
    <n v="5159.7893599999998"/>
    <n v="3166.3500000000004"/>
    <n v="1993.4393599999994"/>
    <n v="0.38634122847216373"/>
  </r>
  <r>
    <s v="ORD-2024-371409"/>
    <d v="2024-11-17T00:00:00"/>
    <s v="Q4-2024"/>
    <s v="Nov-2024"/>
    <d v="2024-11-28T00:00:00"/>
    <n v="11"/>
    <d v="2024-11-28T00:00:00"/>
    <x v="2"/>
    <x v="3"/>
    <x v="35"/>
    <s v="Consumer"/>
    <s v="Distributor"/>
    <s v="A. Patel"/>
    <x v="1"/>
    <s v="PRN-1371"/>
    <n v="1008.16"/>
    <n v="2077.5"/>
    <n v="7.3999999999999996E-2"/>
    <n v="15"/>
    <s v="ok"/>
    <n v="11"/>
    <n v="11"/>
    <n v="28856.475000000002"/>
    <n v="15122.4"/>
    <n v="13734.075000000003"/>
    <n v="0.47594430712691005"/>
  </r>
  <r>
    <s v="ORD-2024-973420"/>
    <d v="2024-05-12T00:00:00"/>
    <s v="Q2-2024"/>
    <s v="May-2024"/>
    <d v="2024-05-24T00:00:00"/>
    <n v="12"/>
    <d v="2024-05-24T00:00:00"/>
    <x v="3"/>
    <x v="8"/>
    <x v="31"/>
    <s v="Education"/>
    <s v="Marketplace"/>
    <s v="K. Singh"/>
    <x v="1"/>
    <s v="PRN-5813"/>
    <n v="111.02"/>
    <n v="172.88"/>
    <n v="0.19700000000000001"/>
    <n v="29"/>
    <s v="ok"/>
    <n v="12"/>
    <n v="12"/>
    <n v="4025.8565599999993"/>
    <n v="3219.58"/>
    <n v="806.27655999999934"/>
    <n v="0.20027453735212053"/>
  </r>
  <r>
    <s v="ORD-2025-254721"/>
    <d v="2025-05-15T00:00:00"/>
    <s v="Q2-2025"/>
    <s v="May-2025"/>
    <d v="2025-06-05T00:00:00"/>
    <n v="21"/>
    <d v="2025-06-05T00:00:00"/>
    <x v="1"/>
    <x v="2"/>
    <x v="4"/>
    <s v="Enterprise"/>
    <s v="Direct"/>
    <s v="H. Kim"/>
    <x v="3"/>
    <s v="PHN-6480"/>
    <n v="1466.5"/>
    <n v="2778.74"/>
    <n v="0.13500000000000001"/>
    <n v="4"/>
    <s v="ok"/>
    <n v="21"/>
    <n v="21"/>
    <n v="9614.4403999999995"/>
    <n v="5866"/>
    <n v="3748.4403999999995"/>
    <n v="0.38987608680792279"/>
  </r>
  <r>
    <s v="ORD-2024-247032"/>
    <d v="2024-04-21T00:00:00"/>
    <s v="Q2-2024"/>
    <s v="Apr-2024"/>
    <d v="2024-05-19T00:00:00"/>
    <n v="28"/>
    <d v="2024-05-19T00:00:00"/>
    <x v="0"/>
    <x v="1"/>
    <x v="3"/>
    <s v="Corporate"/>
    <s v="Distributor"/>
    <s v="A. Patel"/>
    <x v="6"/>
    <s v="ACC-2990"/>
    <n v="187.22"/>
    <n v="309.47000000000003"/>
    <n v="0"/>
    <n v="5"/>
    <s v="ok"/>
    <n v="28"/>
    <n v="28"/>
    <n v="1547.3500000000001"/>
    <n v="936.1"/>
    <n v="611.25000000000011"/>
    <n v="0.39503021294471197"/>
  </r>
  <r>
    <s v="ORD-2024-792353"/>
    <d v="2024-08-19T00:00:00"/>
    <s v="Q3-2024"/>
    <s v="Aug-2024"/>
    <d v="2024-09-07T00:00:00"/>
    <n v="19"/>
    <d v="2024-09-07T00:00:00"/>
    <x v="3"/>
    <x v="7"/>
    <x v="17"/>
    <s v="Corporate"/>
    <s v="Direct"/>
    <s v="J. Njeri"/>
    <x v="0"/>
    <s v="CMP-5435"/>
    <n v="297.58999999999997"/>
    <n v="666.41"/>
    <n v="0"/>
    <n v="10"/>
    <s v="ok"/>
    <n v="19"/>
    <n v="19"/>
    <n v="6664.0999999999995"/>
    <n v="2975.8999999999996"/>
    <n v="3688.2"/>
    <n v="0.55344307558409989"/>
  </r>
  <r>
    <s v="ORD-2025-703623"/>
    <d v="2025-07-23T00:00:00"/>
    <s v="Q3-2025"/>
    <s v="Jul-2025"/>
    <d v="2025-08-19T00:00:00"/>
    <n v="27"/>
    <d v="2025-08-19T00:00:00"/>
    <x v="1"/>
    <x v="2"/>
    <x v="32"/>
    <s v="Consumer"/>
    <s v="Marketplace"/>
    <s v="B. Chen"/>
    <x v="6"/>
    <s v="ACC-1596"/>
    <n v="896.09"/>
    <n v="744.27"/>
    <n v="8.3000000000000004E-2"/>
    <n v="11"/>
    <s v="ok"/>
    <n v="27"/>
    <n v="27"/>
    <n v="7507.4514899999995"/>
    <n v="9856.99"/>
    <n v="-2349.5385100000003"/>
    <n v="-0.31296086469950679"/>
  </r>
  <r>
    <s v="ORD-2024-516704"/>
    <d v="2024-03-01T00:00:00"/>
    <s v="Q1-2024"/>
    <s v="Mar-2024"/>
    <d v="2024-02-29T00:00:00"/>
    <n v="14"/>
    <d v="2024-03-15T00:00:00"/>
    <x v="2"/>
    <x v="5"/>
    <x v="8"/>
    <s v="Non-Profit"/>
    <s v="Direct"/>
    <s v="I. Johnson"/>
    <x v="3"/>
    <s v="PHN-7852"/>
    <n v="5.34"/>
    <n v="12.69"/>
    <n v="0.13200000000000001"/>
    <n v="10"/>
    <s v="sus"/>
    <n v="-1"/>
    <n v="1"/>
    <n v="110.14919999999999"/>
    <n v="53.4"/>
    <n v="56.749199999999995"/>
    <n v="0.51520301554618642"/>
  </r>
  <r>
    <s v="ORD-2024-578646"/>
    <d v="2024-05-27T00:00:00"/>
    <s v="Q2-2024"/>
    <s v="May-2024"/>
    <d v="2024-06-17T00:00:00"/>
    <n v="21"/>
    <d v="2024-06-17T00:00:00"/>
    <x v="1"/>
    <x v="4"/>
    <x v="18"/>
    <s v="Small Business"/>
    <s v="Online"/>
    <s v="H. Kim"/>
    <x v="6"/>
    <s v="ACC-7240"/>
    <n v="465.02"/>
    <n v="651.55999999999995"/>
    <n v="4.2000000000000003E-2"/>
    <n v="19"/>
    <s v="ok"/>
    <n v="21"/>
    <n v="21"/>
    <n v="11859.695119999998"/>
    <n v="8835.3799999999992"/>
    <n v="3024.3151199999993"/>
    <n v="0.25500783025187918"/>
  </r>
  <r>
    <s v="ORD-2024-433936"/>
    <d v="2024-08-04T00:00:00"/>
    <s v="Q3-2024"/>
    <s v="Aug-2024"/>
    <d v="2024-08-17T00:00:00"/>
    <n v="13"/>
    <d v="2024-08-17T00:00:00"/>
    <x v="2"/>
    <x v="10"/>
    <x v="36"/>
    <s v="Consumer"/>
    <s v="Retail"/>
    <s v="D. Smith"/>
    <x v="5"/>
    <s v="MON-8867"/>
    <n v="352.79"/>
    <n v="754.22"/>
    <n v="0.113"/>
    <n v="7"/>
    <s v="ok"/>
    <n v="13"/>
    <n v="13"/>
    <n v="4682.9519799999998"/>
    <n v="2469.5300000000002"/>
    <n v="2213.4219799999996"/>
    <n v="0.47265528014233443"/>
  </r>
  <r>
    <s v="ORD-2023-434071"/>
    <d v="2023-06-20T00:00:00"/>
    <s v="Q2-2023"/>
    <s v="Jun-2023"/>
    <d v="2023-07-04T00:00:00"/>
    <n v="14"/>
    <d v="2023-07-04T00:00:00"/>
    <x v="2"/>
    <x v="5"/>
    <x v="10"/>
    <s v="Non-Profit"/>
    <s v="Direct"/>
    <s v="C. Otieno"/>
    <x v="2"/>
    <s v="NET-1228"/>
    <n v="1292.8599999999999"/>
    <n v="2981.01"/>
    <n v="0.14199999999999999"/>
    <n v="12"/>
    <s v="ok"/>
    <n v="14"/>
    <n v="14"/>
    <n v="30692.47896"/>
    <n v="15514.32"/>
    <n v="15178.158960000001"/>
    <n v="0.49452372288927687"/>
  </r>
  <r>
    <s v="ORD-2024-728474"/>
    <d v="2024-09-09T00:00:00"/>
    <s v="Q3-2024"/>
    <s v="Sept-2024"/>
    <d v="2024-09-13T00:00:00"/>
    <n v="4"/>
    <d v="2024-09-13T00:00:00"/>
    <x v="3"/>
    <x v="8"/>
    <x v="21"/>
    <s v="Consumer"/>
    <s v="Marketplace"/>
    <s v="F. Müller"/>
    <x v="2"/>
    <s v="NET-1145"/>
    <n v="1133.08"/>
    <n v="976.17"/>
    <n v="4.2000000000000003E-2"/>
    <n v="27"/>
    <s v="ok"/>
    <n v="4"/>
    <n v="4"/>
    <n v="25249.613219999999"/>
    <n v="30593.159999999996"/>
    <n v="-5343.5467799999969"/>
    <n v="-0.21162885678452373"/>
  </r>
  <r>
    <s v="ORD-2023-406606"/>
    <d v="2023-10-25T00:00:00"/>
    <s v="Q4-2023"/>
    <s v="Oct-2023"/>
    <d v="2023-10-28T00:00:00"/>
    <n v="3"/>
    <d v="2023-10-28T00:00:00"/>
    <x v="2"/>
    <x v="5"/>
    <x v="10"/>
    <s v="Corporate"/>
    <s v="Distributor"/>
    <s v="L. Okafor"/>
    <x v="6"/>
    <s v="ACC-2867"/>
    <n v="509.31"/>
    <n v="1145.9000000000001"/>
    <n v="5.7000000000000002E-2"/>
    <n v="8"/>
    <s v="ok"/>
    <n v="3"/>
    <n v="3"/>
    <n v="8644.6696000000011"/>
    <n v="4074.48"/>
    <n v="4570.1896000000015"/>
    <n v="0.52867140231709964"/>
  </r>
  <r>
    <s v="ORD-2025-823055"/>
    <d v="2025-09-08T00:00:00"/>
    <s v="Q3-2025"/>
    <s v="Sept-2025"/>
    <d v="2025-10-05T00:00:00"/>
    <n v="27"/>
    <d v="2025-10-05T00:00:00"/>
    <x v="2"/>
    <x v="5"/>
    <x v="30"/>
    <s v="Education"/>
    <s v="Online"/>
    <s v="C. Otieno"/>
    <x v="5"/>
    <s v="MON-9274"/>
    <n v="660.78"/>
    <n v="1630.39"/>
    <n v="0.218"/>
    <n v="13"/>
    <s v="ok"/>
    <n v="27"/>
    <n v="27"/>
    <n v="16574.544740000001"/>
    <n v="8590.14"/>
    <n v="7984.4047400000018"/>
    <n v="0.48172694123724097"/>
  </r>
  <r>
    <s v="ORD-2023-573656"/>
    <d v="2023-05-02T00:00:00"/>
    <s v="Q2-2023"/>
    <s v="May-2023"/>
    <d v="2023-05-16T00:00:00"/>
    <n v="14"/>
    <d v="2023-05-16T00:00:00"/>
    <x v="1"/>
    <x v="4"/>
    <x v="6"/>
    <s v="Non-Profit"/>
    <s v="Retail"/>
    <s v="L. Okafor"/>
    <x v="5"/>
    <s v="MON-4830"/>
    <n v="475.37"/>
    <n v="963.73"/>
    <n v="4.1000000000000002E-2"/>
    <n v="22"/>
    <s v="ok"/>
    <n v="14"/>
    <n v="14"/>
    <n v="20332.775539999999"/>
    <n v="10458.14"/>
    <n v="9874.6355399999993"/>
    <n v="0.48565113604750881"/>
  </r>
  <r>
    <s v="ORD-2024-567435"/>
    <d v="2024-04-26T00:00:00"/>
    <s v="Q2-2024"/>
    <s v="Apr-2024"/>
    <d v="2024-04-24T00:00:00"/>
    <n v="14"/>
    <d v="2024-05-10T00:00:00"/>
    <x v="3"/>
    <x v="8"/>
    <x v="21"/>
    <s v="Non-Profit"/>
    <s v="Distributor"/>
    <s v="N. Brown"/>
    <x v="3"/>
    <s v="PHN-9107"/>
    <n v="1232.77"/>
    <n v="891.73"/>
    <n v="0.16700000000000001"/>
    <n v="10"/>
    <s v="sus"/>
    <n v="-2"/>
    <n v="2"/>
    <n v="7428.1108999999988"/>
    <n v="12327.7"/>
    <n v="-4899.589100000002"/>
    <n v="-0.65960096260813805"/>
  </r>
  <r>
    <s v="ORD-2023-744942"/>
    <d v="2023-02-23T00:00:00"/>
    <s v="Q1-2023"/>
    <s v="Feb-2023"/>
    <d v="2023-03-18T00:00:00"/>
    <n v="23"/>
    <d v="2023-03-18T00:00:00"/>
    <x v="1"/>
    <x v="9"/>
    <x v="38"/>
    <s v="Education"/>
    <s v="Distributor"/>
    <s v="K. Singh"/>
    <x v="1"/>
    <s v="PRN-1060"/>
    <n v="770.11"/>
    <n v="1667.82"/>
    <n v="6.9000000000000006E-2"/>
    <n v="7"/>
    <s v="ok"/>
    <n v="23"/>
    <n v="23"/>
    <n v="10869.182940000001"/>
    <n v="5390.77"/>
    <n v="5478.4129400000002"/>
    <n v="0.50403171703355287"/>
  </r>
  <r>
    <s v="ORD-2025-331237"/>
    <d v="2025-03-24T00:00:00"/>
    <s v="Q1-2025"/>
    <s v="Mar-2025"/>
    <d v="2025-03-25T00:00:00"/>
    <n v="1"/>
    <d v="2025-03-25T00:00:00"/>
    <x v="1"/>
    <x v="9"/>
    <x v="38"/>
    <s v="Non-Profit"/>
    <s v="Online"/>
    <s v="G. Dubois"/>
    <x v="2"/>
    <s v="NET-8329"/>
    <n v="1133.03"/>
    <n v="1921.51"/>
    <n v="0.10100000000000001"/>
    <n v="5"/>
    <s v="ok"/>
    <n v="1"/>
    <n v="1"/>
    <n v="8637.1874499999994"/>
    <n v="5665.15"/>
    <n v="2972.0374499999998"/>
    <n v="0.3440978289755654"/>
  </r>
  <r>
    <s v="ORD-2025-680118"/>
    <d v="2025-03-10T00:00:00"/>
    <s v="Q1-2025"/>
    <s v="Mar-2025"/>
    <d v="2025-03-27T00:00:00"/>
    <n v="17"/>
    <d v="2025-03-27T00:00:00"/>
    <x v="2"/>
    <x v="5"/>
    <x v="30"/>
    <s v="Enterprise"/>
    <s v="Direct"/>
    <s v="F. Müller"/>
    <x v="2"/>
    <s v="NET-6269"/>
    <n v="996.73"/>
    <n v="1217.43"/>
    <n v="7.0000000000000007E-2"/>
    <n v="9"/>
    <s v="ok"/>
    <n v="17"/>
    <n v="17"/>
    <n v="10189.8891"/>
    <n v="8970.57"/>
    <n v="1219.3191000000006"/>
    <n v="0.11965970267527255"/>
  </r>
  <r>
    <s v="ORD-2024-310809"/>
    <d v="2024-04-05T00:00:00"/>
    <s v="Q2-2024"/>
    <s v="Apr-2024"/>
    <d v="2024-04-09T00:00:00"/>
    <n v="4"/>
    <d v="2024-04-09T00:00:00"/>
    <x v="0"/>
    <x v="1"/>
    <x v="3"/>
    <s v="Non-Profit"/>
    <s v="Direct"/>
    <s v="K. Singh"/>
    <x v="0"/>
    <s v="CMP-6529"/>
    <n v="395.07"/>
    <n v="970.27"/>
    <n v="0.123"/>
    <n v="38"/>
    <s v="ok"/>
    <n v="4"/>
    <n v="4"/>
    <n v="32335.21802"/>
    <n v="15012.66"/>
    <n v="17322.55802"/>
    <n v="0.53571799049833657"/>
  </r>
  <r>
    <s v="ORD-2025-474368"/>
    <d v="2025-04-27T00:00:00"/>
    <s v="Q2-2025"/>
    <s v="Apr-2025"/>
    <d v="2025-05-17T00:00:00"/>
    <n v="20"/>
    <d v="2025-05-17T00:00:00"/>
    <x v="2"/>
    <x v="10"/>
    <x v="36"/>
    <s v="Corporate"/>
    <s v="Direct"/>
    <s v="N. Brown"/>
    <x v="3"/>
    <s v="PHN-8776"/>
    <n v="932.26"/>
    <n v="1624.67"/>
    <n v="0.23499999999999999"/>
    <n v="28"/>
    <s v="ok"/>
    <n v="20"/>
    <n v="20"/>
    <n v="34800.431400000001"/>
    <n v="26103.279999999999"/>
    <n v="8697.1514000000025"/>
    <n v="0.24991504559337163"/>
  </r>
  <r>
    <s v="ORD-2024-732543"/>
    <d v="2024-10-24T00:00:00"/>
    <s v="Q4-2024"/>
    <s v="Oct-2024"/>
    <d v="2024-10-28T00:00:00"/>
    <n v="4"/>
    <d v="2024-10-28T00:00:00"/>
    <x v="1"/>
    <x v="9"/>
    <x v="23"/>
    <s v="Small Business"/>
    <s v="Distributor"/>
    <s v="I. Johnson"/>
    <x v="2"/>
    <s v="NET-3728"/>
    <n v="1331.77"/>
    <n v="2606.11"/>
    <n v="0.02"/>
    <n v="6"/>
    <s v="ok"/>
    <n v="4"/>
    <n v="4"/>
    <n v="15323.926799999999"/>
    <n v="7990.62"/>
    <n v="7333.3067999999994"/>
    <n v="0.47855271665745619"/>
  </r>
  <r>
    <s v="ORD-2023-867166"/>
    <d v="2023-04-13T00:00:00"/>
    <s v="Q2-2023"/>
    <s v="Apr-2023"/>
    <d v="2023-04-20T00:00:00"/>
    <n v="7"/>
    <d v="2023-04-20T00:00:00"/>
    <x v="3"/>
    <x v="7"/>
    <x v="17"/>
    <s v="Small Business"/>
    <s v="Online"/>
    <s v="A. Patel"/>
    <x v="4"/>
    <s v="LAP-3565"/>
    <n v="227.02"/>
    <n v="434.72"/>
    <n v="9.8000000000000004E-2"/>
    <n v="10"/>
    <s v="ok"/>
    <n v="7"/>
    <n v="7"/>
    <n v="3921.1744000000008"/>
    <n v="2270.2000000000003"/>
    <n v="1650.9744000000005"/>
    <n v="0.42104079838938052"/>
  </r>
  <r>
    <s v="ORD-2024-776337"/>
    <d v="2024-11-12T00:00:00"/>
    <s v="Q4-2024"/>
    <s v="Nov-2024"/>
    <d v="2024-11-21T00:00:00"/>
    <n v="9"/>
    <d v="2024-11-21T00:00:00"/>
    <x v="1"/>
    <x v="4"/>
    <x v="29"/>
    <s v="Corporate"/>
    <s v="Direct"/>
    <s v="H. Kim"/>
    <x v="4"/>
    <s v="LAP-5078"/>
    <n v="903.41"/>
    <n v="1860.41"/>
    <n v="0.108"/>
    <n v="5"/>
    <s v="ok"/>
    <n v="9"/>
    <n v="9"/>
    <n v="8297.4286000000011"/>
    <n v="4517.05"/>
    <n v="3780.3786000000009"/>
    <n v="0.455608451996803"/>
  </r>
  <r>
    <s v="ORD-2023-913592"/>
    <d v="2023-05-10T00:00:00"/>
    <s v="Q2-2023"/>
    <s v="May-2023"/>
    <d v="2023-05-14T00:00:00"/>
    <n v="4"/>
    <d v="2023-05-14T00:00:00"/>
    <x v="1"/>
    <x v="4"/>
    <x v="18"/>
    <s v="Non-Profit"/>
    <s v="Distributor"/>
    <s v="C. Otieno"/>
    <x v="5"/>
    <s v="MON-2465"/>
    <n v="622.6"/>
    <n v="833.69"/>
    <n v="0.20899999999999999"/>
    <n v="14"/>
    <s v="ok"/>
    <n v="4"/>
    <n v="4"/>
    <n v="9232.2830599999998"/>
    <n v="8716.4"/>
    <n v="515.88306000000011"/>
    <n v="5.5878167582959715E-2"/>
  </r>
  <r>
    <s v="ORD-2024-961501"/>
    <d v="2024-03-02T00:00:00"/>
    <s v="Q1-2024"/>
    <s v="Mar-2024"/>
    <d v="2024-03-23T00:00:00"/>
    <n v="21"/>
    <d v="2024-03-23T00:00:00"/>
    <x v="2"/>
    <x v="10"/>
    <x v="15"/>
    <s v="Small Business"/>
    <s v="Online"/>
    <s v="F. Müller"/>
    <x v="0"/>
    <s v="CMP-3223"/>
    <n v="225.01"/>
    <n v="333.48"/>
    <n v="0.11899999999999999"/>
    <n v="12"/>
    <s v="ok"/>
    <n v="21"/>
    <n v="21"/>
    <n v="3525.5505600000001"/>
    <n v="2700.12"/>
    <n v="825.43056000000024"/>
    <n v="0.23412813004729685"/>
  </r>
  <r>
    <s v="ORD-2024-964950"/>
    <d v="2024-10-10T00:00:00"/>
    <s v="Q4-2024"/>
    <s v="Oct-2024"/>
    <d v="2024-10-11T00:00:00"/>
    <n v="1"/>
    <d v="2024-10-11T00:00:00"/>
    <x v="3"/>
    <x v="8"/>
    <x v="31"/>
    <s v="Non-Profit"/>
    <s v="Distributor"/>
    <s v="L. Okafor"/>
    <x v="0"/>
    <s v="CMP-8127"/>
    <n v="1389.46"/>
    <n v="1784.7"/>
    <n v="0.14599999999999999"/>
    <n v="33"/>
    <s v="ok"/>
    <n v="1"/>
    <n v="1"/>
    <n v="50296.415399999998"/>
    <n v="45852.18"/>
    <n v="4444.2353999999978"/>
    <n v="8.8360877503011831E-2"/>
  </r>
  <r>
    <s v="ORD-2023-349264"/>
    <d v="2023-06-01T00:00:00"/>
    <s v="Q2-2023"/>
    <s v="Jun-2023"/>
    <d v="2023-06-08T00:00:00"/>
    <n v="7"/>
    <d v="2023-06-08T00:00:00"/>
    <x v="3"/>
    <x v="6"/>
    <x v="37"/>
    <s v="Consumer"/>
    <s v="Online"/>
    <s v="A. Patel"/>
    <x v="3"/>
    <s v="PHN-1924"/>
    <n v="804.17"/>
    <n v="1072.29"/>
    <n v="3.2000000000000001E-2"/>
    <n v="5"/>
    <s v="ok"/>
    <n v="7"/>
    <n v="7"/>
    <n v="5189.8836000000001"/>
    <n v="4020.85"/>
    <n v="1169.0336000000002"/>
    <n v="0.2252523736755869"/>
  </r>
  <r>
    <s v="ORD-2025-137394"/>
    <d v="2025-01-04T00:00:00"/>
    <s v="Q1-2025"/>
    <s v="Jan-2025"/>
    <d v="2025-01-05T00:00:00"/>
    <n v="1"/>
    <d v="2025-01-05T00:00:00"/>
    <x v="1"/>
    <x v="4"/>
    <x v="18"/>
    <s v="Education"/>
    <s v="Retail"/>
    <s v="I. Johnson"/>
    <x v="0"/>
    <s v="CMP-1156"/>
    <n v="1428.33"/>
    <n v="3028.05"/>
    <n v="0"/>
    <n v="11"/>
    <s v="ok"/>
    <n v="1"/>
    <n v="1"/>
    <n v="33308.550000000003"/>
    <n v="15711.63"/>
    <n v="17596.920000000006"/>
    <n v="0.52830039134096207"/>
  </r>
  <r>
    <s v="ORD-2025-635337"/>
    <d v="2025-08-05T00:00:00"/>
    <s v="Q3-2025"/>
    <s v="Aug-2025"/>
    <d v="2025-08-28T00:00:00"/>
    <n v="23"/>
    <d v="2025-08-28T00:00:00"/>
    <x v="1"/>
    <x v="4"/>
    <x v="29"/>
    <s v="Non-Profit"/>
    <s v="Distributor"/>
    <s v="N. Brown"/>
    <x v="4"/>
    <s v="LAP-3905"/>
    <n v="638.54"/>
    <n v="987.24"/>
    <n v="0"/>
    <n v="11"/>
    <s v="ok"/>
    <n v="23"/>
    <n v="23"/>
    <n v="10859.64"/>
    <n v="7023.94"/>
    <n v="3835.7"/>
    <n v="0.35320692030306716"/>
  </r>
  <r>
    <s v="ORD-2023-568013"/>
    <d v="2023-09-30T00:00:00"/>
    <s v="Q3-2023"/>
    <s v="Sept-2023"/>
    <d v="2023-10-30T00:00:00"/>
    <n v="30"/>
    <d v="2023-10-30T00:00:00"/>
    <x v="1"/>
    <x v="2"/>
    <x v="27"/>
    <s v="Enterprise"/>
    <s v="Online"/>
    <s v="D. Smith"/>
    <x v="1"/>
    <s v="PRN-1786"/>
    <n v="649.13"/>
    <n v="975.43"/>
    <n v="0.157"/>
    <n v="27"/>
    <s v="ok"/>
    <n v="30"/>
    <n v="30"/>
    <n v="22201.762229999997"/>
    <n v="17526.509999999998"/>
    <n v="4675.2522299999982"/>
    <n v="0.21058023149543473"/>
  </r>
  <r>
    <s v="ORD-2025-828263"/>
    <d v="2025-05-17T00:00:00"/>
    <s v="Q2-2025"/>
    <s v="May-2025"/>
    <d v="2025-05-30T00:00:00"/>
    <n v="13"/>
    <d v="2025-05-30T00:00:00"/>
    <x v="0"/>
    <x v="1"/>
    <x v="3"/>
    <s v="Consumer"/>
    <s v="Distributor"/>
    <s v="F. Müller"/>
    <x v="6"/>
    <s v="ACC-3349"/>
    <n v="66.400000000000006"/>
    <n v="141.43"/>
    <n v="0.107"/>
    <n v="8"/>
    <s v="ok"/>
    <n v="13"/>
    <n v="13"/>
    <n v="1010.3759200000001"/>
    <n v="531.20000000000005"/>
    <n v="479.17592000000002"/>
    <n v="0.47425508715607551"/>
  </r>
  <r>
    <s v="ORD-2024-402240"/>
    <d v="2024-05-01T00:00:00"/>
    <s v="Q2-2024"/>
    <s v="May-2024"/>
    <d v="2024-05-26T00:00:00"/>
    <n v="25"/>
    <d v="2024-05-26T00:00:00"/>
    <x v="3"/>
    <x v="6"/>
    <x v="9"/>
    <s v="Non-Profit"/>
    <s v="Retail"/>
    <s v="B. Chen"/>
    <x v="2"/>
    <s v="NET-4228"/>
    <n v="930.71"/>
    <n v="1625.42"/>
    <n v="0.13800000000000001"/>
    <n v="7"/>
    <s v="ok"/>
    <n v="25"/>
    <n v="25"/>
    <n v="9807.7842799999999"/>
    <n v="6514.97"/>
    <n v="3292.8142799999996"/>
    <n v="0.33573477821231196"/>
  </r>
  <r>
    <s v="ORD-2023-125739"/>
    <d v="2023-05-01T00:00:00"/>
    <s v="Q2-2023"/>
    <s v="May-2023"/>
    <d v="2023-05-18T00:00:00"/>
    <n v="17"/>
    <d v="2023-05-18T00:00:00"/>
    <x v="0"/>
    <x v="1"/>
    <x v="1"/>
    <s v="Corporate"/>
    <s v="Direct"/>
    <s v="F. Müller"/>
    <x v="0"/>
    <s v="CMP-5633"/>
    <n v="327.97"/>
    <n v="299.94"/>
    <n v="4.9000000000000002E-2"/>
    <n v="3"/>
    <s v="ok"/>
    <n v="17"/>
    <n v="17"/>
    <n v="855.72881999999993"/>
    <n v="983.91000000000008"/>
    <n v="-128.18118000000015"/>
    <n v="-0.14979182306843442"/>
  </r>
  <r>
    <s v="ORD-2024-892879"/>
    <d v="2024-07-09T00:00:00"/>
    <s v="Q3-2024"/>
    <s v="Jul-2024"/>
    <d v="2024-08-08T00:00:00"/>
    <n v="30"/>
    <d v="2024-08-08T00:00:00"/>
    <x v="3"/>
    <x v="7"/>
    <x v="11"/>
    <s v="Corporate"/>
    <s v="Direct"/>
    <s v="J. Njeri"/>
    <x v="0"/>
    <s v="CMP-5825"/>
    <n v="1062.3800000000001"/>
    <n v="1503.96"/>
    <n v="0.18"/>
    <n v="6"/>
    <s v="ok"/>
    <n v="30"/>
    <n v="30"/>
    <n v="7399.4832000000006"/>
    <n v="6374.2800000000007"/>
    <n v="1025.2031999999999"/>
    <n v="0.13855064905073369"/>
  </r>
  <r>
    <s v="ORD-2023-472050"/>
    <d v="2023-05-10T00:00:00"/>
    <s v="Q2-2023"/>
    <s v="May-2023"/>
    <d v="2023-05-27T00:00:00"/>
    <n v="17"/>
    <d v="2023-05-27T00:00:00"/>
    <x v="1"/>
    <x v="4"/>
    <x v="29"/>
    <s v="Consumer"/>
    <s v="Retail"/>
    <s v="M. Rossi"/>
    <x v="4"/>
    <s v="LAP-6499"/>
    <n v="1286.1600000000001"/>
    <n v="3101.11"/>
    <n v="0.1"/>
    <n v="23"/>
    <s v="ok"/>
    <n v="17"/>
    <n v="17"/>
    <n v="64192.976999999999"/>
    <n v="29581.68"/>
    <n v="34611.296999999999"/>
    <n v="0.53917575749758417"/>
  </r>
  <r>
    <s v="ORD-2024-468615"/>
    <d v="2024-07-09T00:00:00"/>
    <s v="Q3-2024"/>
    <s v="Jul-2024"/>
    <d v="2024-07-12T00:00:00"/>
    <n v="3"/>
    <d v="2024-07-12T00:00:00"/>
    <x v="1"/>
    <x v="9"/>
    <x v="23"/>
    <s v="Small Business"/>
    <s v="Retail"/>
    <s v="D. Smith"/>
    <x v="6"/>
    <s v="ACC-3721"/>
    <n v="748.39"/>
    <n v="979.42"/>
    <n v="0"/>
    <n v="23"/>
    <s v="ok"/>
    <n v="3"/>
    <n v="3"/>
    <n v="22526.66"/>
    <n v="17212.97"/>
    <n v="5313.6899999999987"/>
    <n v="0.23588450307324738"/>
  </r>
  <r>
    <s v="ORD-2024-833375"/>
    <d v="2024-04-24T00:00:00"/>
    <s v="Q2-2024"/>
    <s v="Apr-2024"/>
    <d v="2024-05-10T00:00:00"/>
    <n v="16"/>
    <d v="2024-05-10T00:00:00"/>
    <x v="0"/>
    <x v="0"/>
    <x v="0"/>
    <s v="Non-Profit"/>
    <s v="Online"/>
    <s v="N. Brown"/>
    <x v="5"/>
    <s v="MON-6190"/>
    <n v="513.30999999999995"/>
    <n v="1186.26"/>
    <n v="9.4E-2"/>
    <n v="15"/>
    <s v="ok"/>
    <n v="16"/>
    <n v="16"/>
    <n v="16121.273400000002"/>
    <n v="7699.65"/>
    <n v="8421.6234000000022"/>
    <n v="0.52239194702820446"/>
  </r>
  <r>
    <s v="ORD-2024-206311"/>
    <d v="2024-01-13T00:00:00"/>
    <s v="Q1-2024"/>
    <s v="Jan-2024"/>
    <d v="2024-01-15T00:00:00"/>
    <n v="2"/>
    <d v="2024-01-15T00:00:00"/>
    <x v="2"/>
    <x v="10"/>
    <x v="24"/>
    <s v="Non-Profit"/>
    <s v="Direct"/>
    <s v="E. Garcia"/>
    <x v="0"/>
    <s v="CMP-2410"/>
    <n v="1061.3699999999999"/>
    <n v="1938.33"/>
    <n v="0.17"/>
    <n v="4"/>
    <s v="ok"/>
    <n v="2"/>
    <n v="2"/>
    <n v="6435.2555999999995"/>
    <n v="4245.4799999999996"/>
    <n v="2189.7755999999999"/>
    <n v="0.34027795259600879"/>
  </r>
  <r>
    <s v="ORD-2024-364080"/>
    <d v="2024-04-16T00:00:00"/>
    <s v="Q2-2024"/>
    <s v="Apr-2024"/>
    <d v="2024-04-27T00:00:00"/>
    <n v="11"/>
    <d v="2024-04-27T00:00:00"/>
    <x v="0"/>
    <x v="0"/>
    <x v="16"/>
    <s v="Enterprise"/>
    <s v="Online"/>
    <s v="D. Smith"/>
    <x v="1"/>
    <s v="PRN-2641"/>
    <n v="401.3"/>
    <n v="826.47"/>
    <n v="0.22500000000000001"/>
    <n v="13"/>
    <s v="ok"/>
    <n v="11"/>
    <n v="11"/>
    <n v="8326.6852500000005"/>
    <n v="5216.9000000000005"/>
    <n v="3109.7852499999999"/>
    <n v="0.37347217489696755"/>
  </r>
  <r>
    <s v="ORD-2025-460466"/>
    <d v="2025-02-07T00:00:00"/>
    <s v="Q1-2025"/>
    <s v="Feb-2025"/>
    <d v="2025-02-16T00:00:00"/>
    <n v="9"/>
    <d v="2025-02-16T00:00:00"/>
    <x v="0"/>
    <x v="1"/>
    <x v="3"/>
    <s v="Small Business"/>
    <s v="Distributor"/>
    <s v="C. Otieno"/>
    <x v="1"/>
    <s v="PRN-1882"/>
    <n v="90.68"/>
    <n v="118.17"/>
    <n v="0.13500000000000001"/>
    <n v="21"/>
    <s v="ok"/>
    <n v="9"/>
    <n v="9"/>
    <n v="2146.5580500000001"/>
    <n v="1904.2800000000002"/>
    <n v="242.27804999999989"/>
    <n v="0.11286815653552899"/>
  </r>
  <r>
    <s v="ORD-2023-700699"/>
    <d v="2023-01-12T00:00:00"/>
    <s v="Q1-2023"/>
    <s v="Jan-2023"/>
    <d v="2023-01-26T00:00:00"/>
    <n v="14"/>
    <d v="2023-01-26T00:00:00"/>
    <x v="1"/>
    <x v="9"/>
    <x v="14"/>
    <s v="Non-Profit"/>
    <s v="Retail"/>
    <s v="M. Rossi"/>
    <x v="1"/>
    <s v="PRN-1641"/>
    <n v="1083.0899999999999"/>
    <n v="1425.87"/>
    <n v="0"/>
    <n v="8"/>
    <s v="ok"/>
    <n v="14"/>
    <n v="14"/>
    <n v="11406.96"/>
    <n v="8664.7199999999993"/>
    <n v="2742.24"/>
    <n v="0.24040059752992909"/>
  </r>
  <r>
    <s v="ORD-2024-713332"/>
    <d v="2024-06-05T00:00:00"/>
    <s v="Q2-2024"/>
    <s v="Jun-2024"/>
    <d v="2024-06-23T00:00:00"/>
    <n v="18"/>
    <d v="2024-06-23T00:00:00"/>
    <x v="0"/>
    <x v="0"/>
    <x v="2"/>
    <s v="Consumer"/>
    <s v="Distributor"/>
    <s v="D. Smith"/>
    <x v="4"/>
    <s v="LAP-1739"/>
    <n v="1208.74"/>
    <n v="1594.78"/>
    <n v="5.8999999999999997E-2"/>
    <n v="39"/>
    <s v="ok"/>
    <n v="18"/>
    <n v="18"/>
    <n v="58526.83122"/>
    <n v="47140.86"/>
    <n v="11385.971219999999"/>
    <n v="0.1945427589817838"/>
  </r>
  <r>
    <s v="ORD-2023-640022"/>
    <d v="2023-08-24T00:00:00"/>
    <s v="Q3-2023"/>
    <s v="Aug-2023"/>
    <d v="2023-09-20T00:00:00"/>
    <n v="27"/>
    <d v="2023-09-20T00:00:00"/>
    <x v="0"/>
    <x v="11"/>
    <x v="25"/>
    <s v="Small Business"/>
    <s v="Marketplace"/>
    <s v="M. Rossi"/>
    <x v="1"/>
    <s v="PRN-4732"/>
    <n v="1399.64"/>
    <n v="3342.11"/>
    <n v="0"/>
    <n v="10"/>
    <s v="ok"/>
    <n v="27"/>
    <n v="27"/>
    <n v="33421.1"/>
    <n v="13996.400000000001"/>
    <n v="19424.699999999997"/>
    <n v="0.58121067229983447"/>
  </r>
  <r>
    <s v="ORD-2024-532184"/>
    <d v="2024-01-25T00:00:00"/>
    <s v="Q1-2024"/>
    <s v="Jan-2024"/>
    <d v="2024-02-08T00:00:00"/>
    <n v="14"/>
    <d v="2024-02-08T00:00:00"/>
    <x v="1"/>
    <x v="2"/>
    <x v="4"/>
    <s v="Consumer"/>
    <s v="Marketplace"/>
    <s v="I. Johnson"/>
    <x v="2"/>
    <s v="NET-9569"/>
    <n v="937.16"/>
    <n v="1069.77"/>
    <n v="3.7999999999999999E-2"/>
    <n v="9"/>
    <s v="ok"/>
    <n v="14"/>
    <n v="14"/>
    <n v="9262.0686600000008"/>
    <n v="8434.44"/>
    <n v="827.62866000000031"/>
    <n v="8.9356783066645962E-2"/>
  </r>
  <r>
    <s v="ORD-2025-926547"/>
    <d v="2025-03-11T00:00:00"/>
    <s v="Q1-2025"/>
    <s v="Mar-2025"/>
    <d v="2025-03-26T00:00:00"/>
    <n v="15"/>
    <d v="2025-03-26T00:00:00"/>
    <x v="3"/>
    <x v="6"/>
    <x v="9"/>
    <s v="Small Business"/>
    <s v="Online"/>
    <s v="I. Johnson"/>
    <x v="3"/>
    <s v="PHN-3007"/>
    <n v="116.97"/>
    <n v="140.82"/>
    <n v="0.122"/>
    <n v="5"/>
    <s v="ok"/>
    <n v="15"/>
    <n v="15"/>
    <n v="618.19979999999987"/>
    <n v="584.85"/>
    <n v="33.349799999999846"/>
    <n v="5.3946636669891926E-2"/>
  </r>
  <r>
    <s v="ORD-2025-778145"/>
    <d v="2025-04-22T00:00:00"/>
    <s v="Q2-2025"/>
    <s v="Apr-2025"/>
    <d v="2025-05-12T00:00:00"/>
    <n v="20"/>
    <d v="2025-05-12T00:00:00"/>
    <x v="3"/>
    <x v="7"/>
    <x v="17"/>
    <s v="Enterprise"/>
    <s v="Marketplace"/>
    <s v="K. Singh"/>
    <x v="5"/>
    <s v="MON-9216"/>
    <n v="59.51"/>
    <n v="67.040000000000006"/>
    <n v="0.114"/>
    <n v="9"/>
    <s v="ok"/>
    <n v="20"/>
    <n v="20"/>
    <n v="534.57695999999999"/>
    <n v="535.59"/>
    <n v="-1.0130400000000463"/>
    <n v="-1.8950311663264469E-3"/>
  </r>
  <r>
    <s v="ORD-2023-525643"/>
    <d v="2023-08-17T00:00:00"/>
    <s v="Q3-2023"/>
    <s v="Aug-2023"/>
    <d v="2023-09-03T00:00:00"/>
    <n v="17"/>
    <d v="2023-09-03T00:00:00"/>
    <x v="0"/>
    <x v="11"/>
    <x v="25"/>
    <s v="Enterprise"/>
    <s v="Retail"/>
    <s v="A. Patel"/>
    <x v="3"/>
    <s v="PHN-8072"/>
    <n v="676.37"/>
    <n v="1276.67"/>
    <n v="6.6000000000000003E-2"/>
    <n v="10"/>
    <s v="ok"/>
    <n v="17"/>
    <n v="17"/>
    <n v="11924.0978"/>
    <n v="6763.7"/>
    <n v="5160.3977999999997"/>
    <n v="0.4327705027712872"/>
  </r>
  <r>
    <s v="ORD-2025-312803"/>
    <d v="2025-06-24T00:00:00"/>
    <s v="Q2-2025"/>
    <s v="Jun-2025"/>
    <d v="2025-07-14T00:00:00"/>
    <n v="20"/>
    <d v="2025-07-14T00:00:00"/>
    <x v="0"/>
    <x v="11"/>
    <x v="20"/>
    <s v="Enterprise"/>
    <s v="Marketplace"/>
    <s v="J. Njeri"/>
    <x v="4"/>
    <s v="LAP-1308"/>
    <n v="1151.06"/>
    <n v="2821.36"/>
    <n v="0.248"/>
    <n v="20"/>
    <s v="ok"/>
    <n v="20"/>
    <n v="20"/>
    <n v="42433.254400000005"/>
    <n v="23021.199999999997"/>
    <n v="19412.054400000008"/>
    <n v="0.45747267501594235"/>
  </r>
  <r>
    <s v="ORD-2025-149156"/>
    <d v="2025-01-10T00:00:00"/>
    <s v="Q1-2025"/>
    <s v="Jan-2025"/>
    <d v="2025-02-06T00:00:00"/>
    <n v="27"/>
    <d v="2025-02-06T00:00:00"/>
    <x v="2"/>
    <x v="5"/>
    <x v="10"/>
    <s v="Non-Profit"/>
    <s v="Retail"/>
    <s v="B. Chen"/>
    <x v="4"/>
    <s v="LAP-7353"/>
    <n v="725.62"/>
    <n v="1559.19"/>
    <n v="0.19"/>
    <n v="12"/>
    <s v="ok"/>
    <n v="27"/>
    <n v="27"/>
    <n v="15155.326800000001"/>
    <n v="8707.44"/>
    <n v="6447.8868000000002"/>
    <n v="0.42545349797405885"/>
  </r>
  <r>
    <s v="ORD-2023-215819"/>
    <d v="2023-07-01T00:00:00"/>
    <s v="Q3-2023"/>
    <s v="Jul-2023"/>
    <d v="2023-07-11T00:00:00"/>
    <n v="10"/>
    <d v="2023-07-11T00:00:00"/>
    <x v="3"/>
    <x v="7"/>
    <x v="28"/>
    <s v="Corporate"/>
    <s v="Direct"/>
    <s v="F. Müller"/>
    <x v="2"/>
    <s v="NET-6533"/>
    <n v="479.5"/>
    <n v="656.66"/>
    <n v="0.14899999999999999"/>
    <n v="14"/>
    <s v="ok"/>
    <n v="10"/>
    <n v="10"/>
    <n v="7823.4472399999995"/>
    <n v="6713"/>
    <n v="1110.4472399999995"/>
    <n v="0.14193835606412289"/>
  </r>
  <r>
    <s v="ORD-2024-353078"/>
    <d v="2024-08-16T00:00:00"/>
    <s v="Q3-2024"/>
    <s v="Aug-2024"/>
    <d v="2024-08-26T00:00:00"/>
    <n v="10"/>
    <d v="2024-08-26T00:00:00"/>
    <x v="2"/>
    <x v="10"/>
    <x v="15"/>
    <s v="Corporate"/>
    <s v="Distributor"/>
    <s v="L. Okafor"/>
    <x v="4"/>
    <s v="LAP-5763"/>
    <n v="1291.7"/>
    <n v="2657.84"/>
    <n v="8.6999999999999994E-2"/>
    <n v="21"/>
    <s v="ok"/>
    <n v="10"/>
    <n v="10"/>
    <n v="50958.766320000002"/>
    <n v="27125.7"/>
    <n v="23833.066320000002"/>
    <n v="0.46769315745083367"/>
  </r>
  <r>
    <s v="ORD-2023-621393"/>
    <d v="2023-07-07T00:00:00"/>
    <s v="Q3-2023"/>
    <s v="Jul-2023"/>
    <d v="2023-07-13T00:00:00"/>
    <n v="6"/>
    <d v="2023-07-13T00:00:00"/>
    <x v="0"/>
    <x v="11"/>
    <x v="33"/>
    <s v="Small Business"/>
    <s v="Marketplace"/>
    <s v="B. Chen"/>
    <x v="6"/>
    <s v="ACC-9445"/>
    <n v="612.59"/>
    <n v="1424.74"/>
    <n v="4.3999999999999997E-2"/>
    <n v="15"/>
    <s v="ok"/>
    <n v="6"/>
    <n v="6"/>
    <n v="20430.771599999996"/>
    <n v="9188.85"/>
    <n v="11241.921599999996"/>
    <n v="0.55024459281802152"/>
  </r>
  <r>
    <s v="ORD-2023-974506"/>
    <d v="2023-12-28T00:00:00"/>
    <s v="Q4-2023"/>
    <s v="Dec-2023"/>
    <d v="2024-01-01T00:00:00"/>
    <n v="4"/>
    <d v="2024-01-01T00:00:00"/>
    <x v="0"/>
    <x v="11"/>
    <x v="33"/>
    <s v="Education"/>
    <s v="Distributor"/>
    <s v="A. Patel"/>
    <x v="1"/>
    <s v="PRN-1654"/>
    <n v="1141.8"/>
    <n v="2318.7399999999998"/>
    <n v="0.107"/>
    <n v="32"/>
    <s v="ok"/>
    <n v="4"/>
    <n v="4"/>
    <n v="66260.314239999992"/>
    <n v="36537.599999999999"/>
    <n v="29722.714239999994"/>
    <n v="0.44857490612468304"/>
  </r>
  <r>
    <s v="ORD-2023-811823"/>
    <d v="2023-01-26T00:00:00"/>
    <s v="Q1-2023"/>
    <s v="Jan-2023"/>
    <d v="2023-02-15T00:00:00"/>
    <n v="20"/>
    <d v="2023-02-15T00:00:00"/>
    <x v="3"/>
    <x v="6"/>
    <x v="9"/>
    <s v="Small Business"/>
    <s v="Online"/>
    <s v="O. Wang"/>
    <x v="2"/>
    <s v="NET-8787"/>
    <n v="492.62"/>
    <n v="366.7"/>
    <n v="8.8999999999999996E-2"/>
    <n v="10"/>
    <s v="ok"/>
    <n v="20"/>
    <n v="20"/>
    <n v="3340.6370000000002"/>
    <n v="4926.2"/>
    <n v="-1585.5629999999996"/>
    <n v="-0.47462894052840809"/>
  </r>
  <r>
    <s v="ORD-2023-286720"/>
    <d v="2023-07-08T00:00:00"/>
    <s v="Q3-2023"/>
    <s v="Jul-2023"/>
    <d v="2023-07-09T00:00:00"/>
    <n v="1"/>
    <d v="2023-07-09T00:00:00"/>
    <x v="0"/>
    <x v="0"/>
    <x v="2"/>
    <s v="Consumer"/>
    <s v="Online"/>
    <s v="D. Smith"/>
    <x v="4"/>
    <s v="LAP-1989"/>
    <n v="1258.72"/>
    <n v="2797.41"/>
    <n v="0"/>
    <n v="7"/>
    <s v="ok"/>
    <n v="1"/>
    <n v="1"/>
    <n v="19581.87"/>
    <n v="8811.0400000000009"/>
    <n v="10770.829999999998"/>
    <n v="0.55004093071805704"/>
  </r>
  <r>
    <s v="ORD-2024-626925"/>
    <d v="2024-06-07T00:00:00"/>
    <s v="Q2-2024"/>
    <s v="Jun-2024"/>
    <d v="2024-06-09T00:00:00"/>
    <n v="2"/>
    <d v="2024-06-09T00:00:00"/>
    <x v="1"/>
    <x v="9"/>
    <x v="23"/>
    <s v="Corporate"/>
    <s v="Retail"/>
    <s v="O. Wang"/>
    <x v="5"/>
    <s v="MON-8688"/>
    <n v="1370.28"/>
    <n v="2209.66"/>
    <n v="0.13300000000000001"/>
    <n v="16"/>
    <s v="ok"/>
    <n v="2"/>
    <n v="2"/>
    <n v="30652.403519999996"/>
    <n v="21924.48"/>
    <n v="8727.9235199999966"/>
    <n v="0.28473863442079589"/>
  </r>
  <r>
    <s v="ORD-2023-960380"/>
    <d v="2023-02-11T00:00:00"/>
    <s v="Q1-2023"/>
    <s v="Feb-2023"/>
    <d v="2023-02-12T00:00:00"/>
    <n v="1"/>
    <d v="2023-02-12T00:00:00"/>
    <x v="0"/>
    <x v="1"/>
    <x v="1"/>
    <s v="Non-Profit"/>
    <s v="Direct"/>
    <s v="D. Smith"/>
    <x v="6"/>
    <s v="ACC-8242"/>
    <n v="944.61"/>
    <n v="839.04"/>
    <n v="5.8999999999999997E-2"/>
    <n v="6"/>
    <s v="ok"/>
    <n v="1"/>
    <n v="1"/>
    <n v="4737.2198399999997"/>
    <n v="5667.66"/>
    <n v="-930.44016000000011"/>
    <n v="-0.19641059343363726"/>
  </r>
  <r>
    <s v="ORD-2023-453699"/>
    <d v="2023-07-01T00:00:00"/>
    <s v="Q3-2023"/>
    <s v="Jul-2023"/>
    <d v="2023-07-08T00:00:00"/>
    <n v="7"/>
    <d v="2023-07-08T00:00:00"/>
    <x v="3"/>
    <x v="6"/>
    <x v="37"/>
    <s v="Small Business"/>
    <s v="Distributor"/>
    <s v="N. Brown"/>
    <x v="4"/>
    <s v="LAP-4666"/>
    <n v="460.21"/>
    <n v="1139.1500000000001"/>
    <n v="0.115"/>
    <n v="14"/>
    <s v="ok"/>
    <n v="7"/>
    <n v="7"/>
    <n v="14114.068500000001"/>
    <n v="6442.94"/>
    <n v="7671.1285000000016"/>
    <n v="0.54350937151821255"/>
  </r>
  <r>
    <s v="ORD-2025-960931"/>
    <d v="2025-08-20T00:00:00"/>
    <s v="Q3-2025"/>
    <s v="Aug-2025"/>
    <d v="2025-08-26T00:00:00"/>
    <n v="6"/>
    <d v="2025-08-26T00:00:00"/>
    <x v="2"/>
    <x v="10"/>
    <x v="39"/>
    <s v="Corporate"/>
    <s v="Retail"/>
    <s v="M. Rossi"/>
    <x v="2"/>
    <s v="NET-5196"/>
    <n v="1304.95"/>
    <n v="1712.03"/>
    <n v="0.21199999999999999"/>
    <n v="8"/>
    <s v="ok"/>
    <n v="6"/>
    <n v="6"/>
    <n v="10792.637119999999"/>
    <n v="10439.6"/>
    <n v="353.03711999999905"/>
    <n v="3.2710922833287949E-2"/>
  </r>
  <r>
    <s v="ORD-2024-419248"/>
    <d v="2024-03-04T00:00:00"/>
    <s v="Q1-2024"/>
    <s v="Mar-2024"/>
    <d v="2024-03-16T00:00:00"/>
    <n v="12"/>
    <d v="2024-03-16T00:00:00"/>
    <x v="0"/>
    <x v="11"/>
    <x v="20"/>
    <s v="Enterprise"/>
    <s v="Distributor"/>
    <s v="M. Rossi"/>
    <x v="5"/>
    <s v="MON-8422"/>
    <n v="441.08"/>
    <n v="1054.29"/>
    <n v="0.23699999999999999"/>
    <n v="6"/>
    <s v="ok"/>
    <n v="12"/>
    <n v="12"/>
    <n v="4826.5396199999996"/>
    <n v="2646.48"/>
    <n v="2180.0596199999995"/>
    <n v="0.45168169985932899"/>
  </r>
  <r>
    <s v="ORD-2023-488227"/>
    <d v="2023-09-08T00:00:00"/>
    <s v="Q3-2023"/>
    <s v="Sept-2023"/>
    <d v="2023-10-02T00:00:00"/>
    <n v="24"/>
    <d v="2023-10-02T00:00:00"/>
    <x v="2"/>
    <x v="3"/>
    <x v="5"/>
    <s v="Education"/>
    <s v="Direct"/>
    <s v="A. Patel"/>
    <x v="6"/>
    <s v="ACC-3415"/>
    <n v="1299.03"/>
    <n v="2451.2199999999998"/>
    <n v="0.20799999999999999"/>
    <n v="8"/>
    <s v="ok"/>
    <n v="24"/>
    <n v="24"/>
    <n v="15530.929919999999"/>
    <n v="10392.24"/>
    <n v="5138.6899199999989"/>
    <n v="0.3308681416032041"/>
  </r>
  <r>
    <s v="ORD-2023-472078"/>
    <d v="2023-02-28T00:00:00"/>
    <s v="Q1-2023"/>
    <s v="Feb-2023"/>
    <d v="2023-03-06T00:00:00"/>
    <n v="6"/>
    <d v="2023-03-06T00:00:00"/>
    <x v="3"/>
    <x v="6"/>
    <x v="37"/>
    <s v="Small Business"/>
    <s v="Marketplace"/>
    <s v="D. Smith"/>
    <x v="1"/>
    <s v="PRN-9624"/>
    <n v="880.02"/>
    <n v="1251.21"/>
    <n v="0.123"/>
    <n v="29"/>
    <s v="ok"/>
    <n v="6"/>
    <n v="6"/>
    <n v="31822.023930000003"/>
    <n v="25520.579999999998"/>
    <n v="6301.4439300000049"/>
    <n v="0.19802146915172672"/>
  </r>
  <r>
    <s v="ORD-2024-202877"/>
    <d v="2024-07-13T00:00:00"/>
    <s v="Q3-2024"/>
    <s v="Jul-2024"/>
    <d v="2024-08-03T00:00:00"/>
    <n v="21"/>
    <d v="2024-08-03T00:00:00"/>
    <x v="2"/>
    <x v="5"/>
    <x v="30"/>
    <s v="Corporate"/>
    <s v="Marketplace"/>
    <s v="M. Rossi"/>
    <x v="5"/>
    <s v="MON-6287"/>
    <n v="702.98"/>
    <n v="1104.8"/>
    <n v="0.17499999999999999"/>
    <n v="12"/>
    <s v="ok"/>
    <n v="21"/>
    <n v="21"/>
    <n v="10937.519999999999"/>
    <n v="8435.76"/>
    <n v="2501.7599999999984"/>
    <n v="0.22873192460448061"/>
  </r>
  <r>
    <s v="ORD-2024-140633"/>
    <d v="2024-12-07T00:00:00"/>
    <s v="Q4-2024"/>
    <s v="Dec-2024"/>
    <d v="2024-12-26T00:00:00"/>
    <n v="19"/>
    <d v="2024-12-26T00:00:00"/>
    <x v="3"/>
    <x v="8"/>
    <x v="21"/>
    <s v="Enterprise"/>
    <s v="Online"/>
    <s v="D. Smith"/>
    <x v="2"/>
    <s v="NET-4491"/>
    <n v="1035.24"/>
    <n v="2383.41"/>
    <n v="0.17"/>
    <n v="15"/>
    <s v="ok"/>
    <n v="19"/>
    <n v="19"/>
    <n v="29673.454499999993"/>
    <n v="15528.6"/>
    <n v="14144.854499999992"/>
    <n v="0.47668378145860962"/>
  </r>
  <r>
    <s v="ORD-2025-419532"/>
    <d v="2025-08-06T00:00:00"/>
    <s v="Q3-2025"/>
    <s v="Aug-2025"/>
    <d v="2025-08-23T00:00:00"/>
    <n v="17"/>
    <d v="2025-08-23T00:00:00"/>
    <x v="2"/>
    <x v="5"/>
    <x v="10"/>
    <s v="Consumer"/>
    <s v="Distributor"/>
    <s v="A. Patel"/>
    <x v="5"/>
    <s v="MON-4317"/>
    <n v="86.64"/>
    <n v="213.06"/>
    <n v="0.21199999999999999"/>
    <n v="11"/>
    <s v="ok"/>
    <n v="17"/>
    <n v="17"/>
    <n v="1846.8040799999999"/>
    <n v="953.04"/>
    <n v="893.76407999999992"/>
    <n v="0.48395175735154322"/>
  </r>
  <r>
    <s v="ORD-2023-139236"/>
    <d v="2023-03-03T00:00:00"/>
    <s v="Q1-2023"/>
    <s v="Mar-2023"/>
    <d v="2023-03-20T00:00:00"/>
    <n v="17"/>
    <d v="2023-03-20T00:00:00"/>
    <x v="1"/>
    <x v="2"/>
    <x v="32"/>
    <s v="Small Business"/>
    <s v="Online"/>
    <s v="D. Smith"/>
    <x v="2"/>
    <s v="NET-7349"/>
    <n v="1171.17"/>
    <n v="2030.64"/>
    <n v="0.157"/>
    <n v="11"/>
    <s v="ok"/>
    <n v="17"/>
    <n v="17"/>
    <n v="18830.12472"/>
    <n v="12882.87"/>
    <n v="5947.254719999999"/>
    <n v="0.31583724528830415"/>
  </r>
  <r>
    <s v="ORD-2025-337268"/>
    <d v="2025-02-16T00:00:00"/>
    <s v="Q1-2025"/>
    <s v="Feb-2025"/>
    <d v="2025-03-17T00:00:00"/>
    <n v="29"/>
    <d v="2025-03-17T00:00:00"/>
    <x v="3"/>
    <x v="6"/>
    <x v="22"/>
    <s v="Consumer"/>
    <s v="Retail"/>
    <s v="L. Okafor"/>
    <x v="6"/>
    <s v="ACC-5150"/>
    <n v="730.42"/>
    <n v="956.7"/>
    <n v="4.2000000000000003E-2"/>
    <n v="22"/>
    <s v="ok"/>
    <n v="29"/>
    <n v="29"/>
    <n v="20163.409200000002"/>
    <n v="16069.24"/>
    <n v="4094.1692000000021"/>
    <n v="0.20304945256975698"/>
  </r>
  <r>
    <s v="ORD-2025-332931"/>
    <d v="2025-02-15T00:00:00"/>
    <s v="Q1-2025"/>
    <s v="Feb-2025"/>
    <d v="2025-03-01T00:00:00"/>
    <n v="14"/>
    <d v="2025-03-01T00:00:00"/>
    <x v="0"/>
    <x v="0"/>
    <x v="13"/>
    <s v="Education"/>
    <s v="Direct"/>
    <s v="L. Okafor"/>
    <x v="6"/>
    <s v="ACC-5144"/>
    <n v="1162.8599999999999"/>
    <n v="1447.68"/>
    <n v="8.6999999999999994E-2"/>
    <n v="12"/>
    <s v="ok"/>
    <n v="14"/>
    <n v="14"/>
    <n v="15860.782080000001"/>
    <n v="13954.32"/>
    <n v="1906.4620800000012"/>
    <n v="0.12019975247021369"/>
  </r>
  <r>
    <s v="ORD-2024-536442"/>
    <d v="2024-08-31T00:00:00"/>
    <s v="Q3-2024"/>
    <s v="Aug-2024"/>
    <d v="2024-09-26T00:00:00"/>
    <n v="26"/>
    <d v="2024-09-26T00:00:00"/>
    <x v="1"/>
    <x v="2"/>
    <x v="27"/>
    <s v="Education"/>
    <s v="Online"/>
    <s v="I. Johnson"/>
    <x v="3"/>
    <s v="PHN-6111"/>
    <n v="1189.03"/>
    <n v="2949.62"/>
    <n v="0.125"/>
    <n v="13"/>
    <s v="ok"/>
    <n v="26"/>
    <n v="26"/>
    <n v="33551.927499999998"/>
    <n v="15457.39"/>
    <n v="18094.537499999999"/>
    <n v="0.53929949330034765"/>
  </r>
  <r>
    <s v="ORD-2023-957692"/>
    <d v="2023-05-07T00:00:00"/>
    <s v="Q2-2023"/>
    <s v="May-2023"/>
    <d v="2023-05-20T00:00:00"/>
    <n v="13"/>
    <d v="2023-05-20T00:00:00"/>
    <x v="1"/>
    <x v="4"/>
    <x v="29"/>
    <s v="Enterprise"/>
    <s v="Retail"/>
    <s v="D. Smith"/>
    <x v="6"/>
    <s v="ACC-9283"/>
    <n v="1443.28"/>
    <n v="2580.5700000000002"/>
    <n v="0"/>
    <n v="18"/>
    <s v="ok"/>
    <n v="13"/>
    <n v="13"/>
    <n v="46450.26"/>
    <n v="25979.040000000001"/>
    <n v="20471.22"/>
    <n v="0.4407127107577008"/>
  </r>
  <r>
    <s v="ORD-2025-874124"/>
    <d v="2025-05-14T00:00:00"/>
    <s v="Q2-2025"/>
    <s v="May-2025"/>
    <d v="2025-05-12T00:00:00"/>
    <n v="14"/>
    <d v="2025-05-28T00:00:00"/>
    <x v="2"/>
    <x v="3"/>
    <x v="26"/>
    <s v="Non-Profit"/>
    <s v="Distributor"/>
    <s v="F. Müller"/>
    <x v="1"/>
    <s v="PRN-2407"/>
    <n v="883.5"/>
    <n v="1978.91"/>
    <n v="5.3999999999999999E-2"/>
    <n v="27"/>
    <s v="sus"/>
    <n v="-2"/>
    <n v="2"/>
    <n v="50545.319219999998"/>
    <n v="23854.5"/>
    <n v="26690.819219999998"/>
    <n v="0.52805718970390547"/>
  </r>
  <r>
    <s v="ORD-2024-687073"/>
    <d v="2024-03-11T00:00:00"/>
    <s v="Q1-2024"/>
    <s v="Mar-2024"/>
    <d v="2024-03-29T00:00:00"/>
    <n v="18"/>
    <d v="2024-03-29T00:00:00"/>
    <x v="2"/>
    <x v="10"/>
    <x v="39"/>
    <s v="Corporate"/>
    <s v="Retail"/>
    <s v="M. Rossi"/>
    <x v="5"/>
    <s v="MON-7099"/>
    <n v="710.98"/>
    <n v="1481.45"/>
    <n v="0.21099999999999999"/>
    <n v="9"/>
    <s v="ok"/>
    <n v="18"/>
    <n v="18"/>
    <n v="10519.776450000001"/>
    <n v="6398.82"/>
    <n v="4120.9564500000015"/>
    <n v="0.39173422264120461"/>
  </r>
  <r>
    <s v="ORD-2024-555229"/>
    <d v="2024-05-18T00:00:00"/>
    <s v="Q2-2024"/>
    <s v="May-2024"/>
    <d v="2024-05-22T00:00:00"/>
    <n v="4"/>
    <d v="2024-05-22T00:00:00"/>
    <x v="0"/>
    <x v="0"/>
    <x v="2"/>
    <s v="Corporate"/>
    <s v="Direct"/>
    <s v="H. Kim"/>
    <x v="6"/>
    <s v="ACC-7354"/>
    <n v="857.42"/>
    <n v="1658.92"/>
    <n v="0.122"/>
    <n v="9"/>
    <s v="ok"/>
    <n v="4"/>
    <n v="4"/>
    <n v="13108.78584"/>
    <n v="7716.78"/>
    <n v="5392.0058400000007"/>
    <n v="0.41132763215544305"/>
  </r>
  <r>
    <s v="ORD-2024-872291"/>
    <d v="2024-01-08T00:00:00"/>
    <s v="Q1-2024"/>
    <s v="Jan-2024"/>
    <d v="2024-01-12T00:00:00"/>
    <n v="4"/>
    <d v="2024-01-12T00:00:00"/>
    <x v="1"/>
    <x v="4"/>
    <x v="6"/>
    <s v="Corporate"/>
    <s v="Direct"/>
    <s v="E. Garcia"/>
    <x v="1"/>
    <s v="PRN-6585"/>
    <n v="802.32"/>
    <n v="602.34"/>
    <n v="0.12"/>
    <n v="25"/>
    <s v="ok"/>
    <n v="4"/>
    <n v="4"/>
    <n v="13251.48"/>
    <n v="20058"/>
    <n v="-6806.52"/>
    <n v="-0.51364224977134632"/>
  </r>
  <r>
    <s v="ORD-2024-250862"/>
    <d v="2024-10-25T00:00:00"/>
    <s v="Q4-2024"/>
    <s v="Oct-2024"/>
    <d v="2024-11-05T00:00:00"/>
    <n v="11"/>
    <d v="2024-11-05T00:00:00"/>
    <x v="2"/>
    <x v="10"/>
    <x v="39"/>
    <s v="Corporate"/>
    <s v="Distributor"/>
    <s v="N. Brown"/>
    <x v="0"/>
    <s v="CMP-9498"/>
    <n v="446.66"/>
    <n v="527.64"/>
    <n v="0.14499999999999999"/>
    <n v="15"/>
    <s v="ok"/>
    <n v="11"/>
    <n v="11"/>
    <n v="6766.9829999999993"/>
    <n v="6699.9000000000005"/>
    <n v="67.082999999998719"/>
    <n v="9.9132804087137105E-3"/>
  </r>
  <r>
    <s v="ORD-2024-331226"/>
    <d v="2024-11-30T00:00:00"/>
    <s v="Q4-2024"/>
    <s v="Nov-2024"/>
    <d v="2024-12-19T00:00:00"/>
    <n v="19"/>
    <d v="2024-12-19T00:00:00"/>
    <x v="0"/>
    <x v="0"/>
    <x v="0"/>
    <s v="Corporate"/>
    <s v="Online"/>
    <s v="L. Okafor"/>
    <x v="3"/>
    <s v="PHN-1919"/>
    <n v="1195.98"/>
    <n v="1841.9"/>
    <n v="5.5E-2"/>
    <n v="19"/>
    <s v="ok"/>
    <n v="19"/>
    <n v="19"/>
    <n v="33071.3145"/>
    <n v="22723.62"/>
    <n v="10347.694500000001"/>
    <n v="0.31289032977506842"/>
  </r>
  <r>
    <s v="ORD-2023-356427"/>
    <d v="2023-04-13T00:00:00"/>
    <s v="Q2-2023"/>
    <s v="Apr-2023"/>
    <d v="2023-05-02T00:00:00"/>
    <n v="19"/>
    <d v="2023-05-02T00:00:00"/>
    <x v="2"/>
    <x v="3"/>
    <x v="19"/>
    <s v="Consumer"/>
    <s v="Distributor"/>
    <s v="E. Garcia"/>
    <x v="5"/>
    <s v="MON-6053"/>
    <n v="671.05"/>
    <n v="1645.48"/>
    <n v="0.13700000000000001"/>
    <n v="6"/>
    <s v="ok"/>
    <n v="19"/>
    <n v="19"/>
    <n v="8520.2954399999999"/>
    <n v="4026.2999999999997"/>
    <n v="4493.9954400000006"/>
    <n v="0.52744596377517172"/>
  </r>
  <r>
    <s v="ORD-2025-659650"/>
    <d v="2025-02-04T00:00:00"/>
    <s v="Q1-2025"/>
    <s v="Feb-2025"/>
    <d v="2025-02-08T00:00:00"/>
    <n v="4"/>
    <d v="2025-02-08T00:00:00"/>
    <x v="3"/>
    <x v="8"/>
    <x v="31"/>
    <s v="Enterprise"/>
    <s v="Marketplace"/>
    <s v="L. Okafor"/>
    <x v="2"/>
    <s v="NET-2502"/>
    <n v="586.21"/>
    <n v="727.22"/>
    <n v="6.8000000000000005E-2"/>
    <n v="15"/>
    <s v="ok"/>
    <n v="4"/>
    <n v="4"/>
    <n v="10166.535600000001"/>
    <n v="8793.1500000000015"/>
    <n v="1373.3855999999996"/>
    <n v="0.13508884973559721"/>
  </r>
  <r>
    <s v="ORD-2024-207669"/>
    <d v="2024-01-24T00:00:00"/>
    <s v="Q1-2024"/>
    <s v="Jan-2024"/>
    <d v="2024-02-04T00:00:00"/>
    <n v="11"/>
    <d v="2024-02-04T00:00:00"/>
    <x v="3"/>
    <x v="8"/>
    <x v="31"/>
    <s v="Consumer"/>
    <s v="Retail"/>
    <s v="B. Chen"/>
    <x v="4"/>
    <s v="LAP-5689"/>
    <n v="525.34"/>
    <n v="1233.79"/>
    <n v="0.14299999999999999"/>
    <n v="4"/>
    <s v="ok"/>
    <n v="11"/>
    <n v="11"/>
    <n v="4229.4321199999995"/>
    <n v="2101.36"/>
    <n v="2128.0721199999994"/>
    <n v="0.50315788494082736"/>
  </r>
  <r>
    <s v="ORD-2024-979401"/>
    <d v="2024-02-08T00:00:00"/>
    <s v="Q1-2024"/>
    <s v="Feb-2024"/>
    <d v="2024-02-09T00:00:00"/>
    <n v="1"/>
    <d v="2024-02-09T00:00:00"/>
    <x v="0"/>
    <x v="0"/>
    <x v="13"/>
    <s v="Corporate"/>
    <s v="Direct"/>
    <s v="F. Müller"/>
    <x v="0"/>
    <s v="CMP-5911"/>
    <n v="1233.52"/>
    <n v="1543.76"/>
    <n v="0.126"/>
    <n v="13"/>
    <s v="ok"/>
    <n v="1"/>
    <n v="1"/>
    <n v="17540.201120000002"/>
    <n v="16035.76"/>
    <n v="1504.4411200000013"/>
    <n v="8.5771030201277493E-2"/>
  </r>
  <r>
    <s v="ORD-2025-929414"/>
    <d v="2025-06-26T00:00:00"/>
    <s v="Q2-2025"/>
    <s v="Jun-2025"/>
    <d v="2025-07-11T00:00:00"/>
    <n v="15"/>
    <d v="2025-07-11T00:00:00"/>
    <x v="0"/>
    <x v="1"/>
    <x v="1"/>
    <s v="Small Business"/>
    <s v="Online"/>
    <s v="A. Patel"/>
    <x v="4"/>
    <s v="LAP-7523"/>
    <n v="1170.1500000000001"/>
    <n v="2115.19"/>
    <n v="9.1999999999999998E-2"/>
    <n v="23"/>
    <s v="ok"/>
    <n v="15"/>
    <n v="15"/>
    <n v="44173.627960000005"/>
    <n v="26913.45"/>
    <n v="17260.177960000005"/>
    <n v="0.39073489674946776"/>
  </r>
  <r>
    <s v="ORD-2024-766980"/>
    <d v="2024-11-04T00:00:00"/>
    <s v="Q4-2024"/>
    <s v="Nov-2024"/>
    <d v="2024-11-07T00:00:00"/>
    <n v="3"/>
    <d v="2024-11-07T00:00:00"/>
    <x v="3"/>
    <x v="7"/>
    <x v="17"/>
    <s v="Corporate"/>
    <s v="Online"/>
    <s v="O. Wang"/>
    <x v="5"/>
    <s v="MON-1118"/>
    <n v="740.68"/>
    <n v="1837.19"/>
    <n v="0.19700000000000001"/>
    <n v="17"/>
    <s v="ok"/>
    <n v="3"/>
    <n v="3"/>
    <n v="25079.480689999997"/>
    <n v="12591.56"/>
    <n v="12487.920689999997"/>
    <n v="0.4979337827748298"/>
  </r>
  <r>
    <s v="ORD-2024-437164"/>
    <d v="2024-02-20T00:00:00"/>
    <s v="Q1-2024"/>
    <s v="Feb-2024"/>
    <d v="2024-02-20T00:00:00"/>
    <n v="0"/>
    <d v="2024-02-20T00:00:00"/>
    <x v="2"/>
    <x v="10"/>
    <x v="39"/>
    <s v="Enterprise"/>
    <s v="Online"/>
    <s v="C. Otieno"/>
    <x v="2"/>
    <s v="NET-9177"/>
    <n v="1407.05"/>
    <n v="2858.93"/>
    <n v="0"/>
    <n v="12"/>
    <s v="sus"/>
    <n v="0"/>
    <n v="0"/>
    <n v="34307.159999999996"/>
    <n v="16884.599999999999"/>
    <n v="17422.559999999998"/>
    <n v="0.50784034586366222"/>
  </r>
  <r>
    <s v="ORD-2025-169093"/>
    <d v="2025-04-13T00:00:00"/>
    <s v="Q2-2025"/>
    <s v="Apr-2025"/>
    <d v="2025-04-14T00:00:00"/>
    <n v="1"/>
    <d v="2025-04-14T00:00:00"/>
    <x v="1"/>
    <x v="2"/>
    <x v="4"/>
    <s v="Enterprise"/>
    <s v="Online"/>
    <s v="G. Dubois"/>
    <x v="0"/>
    <s v="CMP-6495"/>
    <n v="138.9"/>
    <n v="289.92"/>
    <n v="2.9000000000000001E-2"/>
    <n v="12"/>
    <s v="ok"/>
    <n v="1"/>
    <n v="1"/>
    <n v="3378.1478400000001"/>
    <n v="1666.8000000000002"/>
    <n v="1711.3478399999999"/>
    <n v="0.50659353025828491"/>
  </r>
  <r>
    <s v="ORD-2023-868460"/>
    <d v="2023-06-01T00:00:00"/>
    <s v="Q2-2023"/>
    <s v="Jun-2023"/>
    <d v="2023-06-01T00:00:00"/>
    <n v="0"/>
    <d v="2023-06-01T00:00:00"/>
    <x v="1"/>
    <x v="4"/>
    <x v="6"/>
    <s v="Corporate"/>
    <s v="Retail"/>
    <s v="E. Garcia"/>
    <x v="6"/>
    <s v="ACC-4587"/>
    <n v="669.37"/>
    <n v="997.2"/>
    <n v="8.2000000000000003E-2"/>
    <n v="5"/>
    <s v="sus"/>
    <n v="0"/>
    <n v="0"/>
    <n v="4577.1480000000001"/>
    <n v="3346.85"/>
    <n v="1230.2980000000002"/>
    <n v="0.26879139586484863"/>
  </r>
  <r>
    <s v="ORD-2025-177994"/>
    <d v="2025-03-24T00:00:00"/>
    <s v="Q1-2025"/>
    <s v="Mar-2025"/>
    <d v="2025-04-04T00:00:00"/>
    <n v="11"/>
    <d v="2025-04-04T00:00:00"/>
    <x v="1"/>
    <x v="4"/>
    <x v="29"/>
    <s v="Education"/>
    <s v="Marketplace"/>
    <s v="J. Njeri"/>
    <x v="3"/>
    <s v="PHN-4395"/>
    <n v="23.83"/>
    <n v="47.29"/>
    <n v="6.4000000000000001E-2"/>
    <n v="19"/>
    <s v="ok"/>
    <n v="11"/>
    <n v="11"/>
    <n v="841.00536"/>
    <n v="452.77"/>
    <n v="388.23536000000001"/>
    <n v="0.46163244429262618"/>
  </r>
  <r>
    <s v="ORD-2024-355095"/>
    <d v="2024-01-02T00:00:00"/>
    <s v="Q1-2024"/>
    <s v="Jan-2024"/>
    <d v="2024-01-02T00:00:00"/>
    <n v="0"/>
    <d v="2024-01-02T00:00:00"/>
    <x v="2"/>
    <x v="3"/>
    <x v="26"/>
    <s v="Education"/>
    <s v="Direct"/>
    <s v="A. Patel"/>
    <x v="4"/>
    <s v="LAP-3581"/>
    <n v="444.41"/>
    <n v="754.24"/>
    <n v="0.20699999999999999"/>
    <n v="32"/>
    <s v="sus"/>
    <n v="0"/>
    <n v="0"/>
    <n v="19139.594240000002"/>
    <n v="14221.12"/>
    <n v="4918.4742400000014"/>
    <n v="0.25697902360546598"/>
  </r>
  <r>
    <s v="ORD-2023-126505"/>
    <d v="2023-12-19T00:00:00"/>
    <s v="Q4-2023"/>
    <s v="Dec-2023"/>
    <d v="2024-01-01T00:00:00"/>
    <n v="13"/>
    <d v="2024-01-01T00:00:00"/>
    <x v="2"/>
    <x v="3"/>
    <x v="5"/>
    <s v="Enterprise"/>
    <s v="Retail"/>
    <s v="K. Singh"/>
    <x v="5"/>
    <s v="MON-6065"/>
    <n v="856.1"/>
    <n v="901.48"/>
    <n v="5.6000000000000001E-2"/>
    <n v="17"/>
    <s v="ok"/>
    <n v="13"/>
    <n v="13"/>
    <n v="14466.95104"/>
    <n v="14553.7"/>
    <n v="-86.748960000000807"/>
    <n v="-5.9963540182134192E-3"/>
  </r>
  <r>
    <s v="ORD-2023-340056"/>
    <d v="2023-04-26T00:00:00"/>
    <s v="Q2-2023"/>
    <s v="Apr-2023"/>
    <d v="2023-04-26T00:00:00"/>
    <n v="0"/>
    <d v="2023-04-26T00:00:00"/>
    <x v="3"/>
    <x v="7"/>
    <x v="11"/>
    <s v="Consumer"/>
    <s v="Direct"/>
    <s v="M. Rossi"/>
    <x v="0"/>
    <s v="CMP-4945"/>
    <n v="81.489999999999995"/>
    <n v="113.08"/>
    <n v="0.121"/>
    <n v="5"/>
    <s v="sus"/>
    <n v="0"/>
    <n v="0"/>
    <n v="496.98660000000001"/>
    <n v="407.45"/>
    <n v="89.536600000000021"/>
    <n v="0.18015898215364362"/>
  </r>
  <r>
    <s v="ORD-2025-281413"/>
    <d v="2025-08-03T00:00:00"/>
    <s v="Q3-2025"/>
    <s v="Aug-2025"/>
    <d v="2025-08-16T00:00:00"/>
    <n v="13"/>
    <d v="2025-08-16T00:00:00"/>
    <x v="2"/>
    <x v="3"/>
    <x v="19"/>
    <s v="Enterprise"/>
    <s v="Distributor"/>
    <s v="O. Wang"/>
    <x v="2"/>
    <s v="NET-3785"/>
    <n v="698.66"/>
    <n v="868.62"/>
    <n v="7.1999999999999995E-2"/>
    <n v="15"/>
    <s v="ok"/>
    <n v="13"/>
    <n v="13"/>
    <n v="12091.190399999999"/>
    <n v="10479.9"/>
    <n v="1611.2903999999999"/>
    <n v="0.13326151906432637"/>
  </r>
  <r>
    <s v="ORD-2023-713614"/>
    <d v="2023-08-02T00:00:00"/>
    <s v="Q3-2023"/>
    <s v="Aug-2023"/>
    <d v="2023-08-19T00:00:00"/>
    <n v="17"/>
    <d v="2023-08-19T00:00:00"/>
    <x v="2"/>
    <x v="3"/>
    <x v="26"/>
    <s v="Corporate"/>
    <s v="Online"/>
    <s v="F. Müller"/>
    <x v="2"/>
    <s v="NET-3689"/>
    <n v="175.38"/>
    <n v="347.9"/>
    <n v="7.1999999999999995E-2"/>
    <n v="43"/>
    <s v="ok"/>
    <n v="17"/>
    <n v="17"/>
    <n v="13882.6016"/>
    <n v="7541.34"/>
    <n v="6341.2615999999998"/>
    <n v="0.45677761148169804"/>
  </r>
  <r>
    <s v="ORD-2023-173313"/>
    <d v="2023-06-15T00:00:00"/>
    <s v="Q2-2023"/>
    <s v="Jun-2023"/>
    <d v="2023-07-12T00:00:00"/>
    <n v="27"/>
    <d v="2023-07-12T00:00:00"/>
    <x v="3"/>
    <x v="8"/>
    <x v="31"/>
    <s v="Consumer"/>
    <s v="Direct"/>
    <s v="I. Johnson"/>
    <x v="6"/>
    <s v="ACC-3833"/>
    <n v="751.28"/>
    <n v="1111.8800000000001"/>
    <n v="0.13500000000000001"/>
    <n v="7"/>
    <s v="ok"/>
    <n v="27"/>
    <n v="27"/>
    <n v="6732.4334000000008"/>
    <n v="5258.96"/>
    <n v="1473.4734000000008"/>
    <n v="0.21886193482433863"/>
  </r>
  <r>
    <s v="ORD-2024-496601"/>
    <d v="2024-11-11T00:00:00"/>
    <s v="Q4-2024"/>
    <s v="Nov-2024"/>
    <d v="2024-11-24T00:00:00"/>
    <n v="13"/>
    <d v="2024-11-24T00:00:00"/>
    <x v="3"/>
    <x v="8"/>
    <x v="21"/>
    <s v="Corporate"/>
    <s v="Retail"/>
    <s v="E. Garcia"/>
    <x v="2"/>
    <s v="NET-2932"/>
    <n v="164.53"/>
    <n v="327.72"/>
    <n v="6.7000000000000004E-2"/>
    <n v="14"/>
    <s v="ok"/>
    <n v="13"/>
    <n v="13"/>
    <n v="4280.6786400000001"/>
    <n v="2303.42"/>
    <n v="1977.25864"/>
    <n v="0.46190307805960412"/>
  </r>
  <r>
    <s v="ORD-2025-155182"/>
    <d v="2025-07-11T00:00:00"/>
    <s v="Q3-2025"/>
    <s v="Jul-2025"/>
    <d v="2025-08-03T00:00:00"/>
    <n v="23"/>
    <d v="2025-08-03T00:00:00"/>
    <x v="0"/>
    <x v="0"/>
    <x v="16"/>
    <s v="Small Business"/>
    <s v="Retail"/>
    <s v="C. Otieno"/>
    <x v="3"/>
    <s v="PHN-7636"/>
    <n v="389.93"/>
    <n v="486.13"/>
    <n v="0.13200000000000001"/>
    <n v="17"/>
    <s v="ok"/>
    <n v="23"/>
    <n v="23"/>
    <n v="7173.3342799999991"/>
    <n v="6628.81"/>
    <n v="544.52427999999873"/>
    <n v="7.5909508569562828E-2"/>
  </r>
  <r>
    <s v="ORD-2023-244375"/>
    <d v="2023-06-03T00:00:00"/>
    <s v="Q2-2023"/>
    <s v="Jun-2023"/>
    <d v="2023-07-01T00:00:00"/>
    <n v="28"/>
    <d v="2023-07-01T00:00:00"/>
    <x v="2"/>
    <x v="5"/>
    <x v="10"/>
    <s v="Small Business"/>
    <s v="Marketplace"/>
    <s v="A. Patel"/>
    <x v="0"/>
    <s v="CMP-1223"/>
    <n v="860.4"/>
    <n v="2066.6"/>
    <n v="0.01"/>
    <n v="3"/>
    <s v="ok"/>
    <n v="28"/>
    <n v="28"/>
    <n v="6137.8019999999988"/>
    <n v="2581.1999999999998"/>
    <n v="3556.601999999999"/>
    <n v="0.57945857491004105"/>
  </r>
  <r>
    <s v="ORD-2023-856322"/>
    <d v="2023-01-29T00:00:00"/>
    <s v="Q1-2023"/>
    <s v="Jan-2023"/>
    <d v="2023-02-06T00:00:00"/>
    <n v="8"/>
    <d v="2023-02-06T00:00:00"/>
    <x v="2"/>
    <x v="5"/>
    <x v="10"/>
    <s v="Corporate"/>
    <s v="Marketplace"/>
    <s v="D. Smith"/>
    <x v="5"/>
    <s v="MON-7207"/>
    <n v="41.84"/>
    <n v="86.2"/>
    <n v="0.22600000000000001"/>
    <n v="27"/>
    <s v="ok"/>
    <n v="8"/>
    <n v="8"/>
    <n v="1801.4076000000002"/>
    <n v="1129.68"/>
    <n v="671.72760000000017"/>
    <n v="0.37289039970742882"/>
  </r>
  <r>
    <s v="ORD-2024-594527"/>
    <d v="2024-09-06T00:00:00"/>
    <s v="Q3-2024"/>
    <s v="Sept-2024"/>
    <d v="2024-09-04T00:00:00"/>
    <n v="14"/>
    <d v="2024-09-20T00:00:00"/>
    <x v="1"/>
    <x v="2"/>
    <x v="4"/>
    <s v="Corporate"/>
    <s v="Direct"/>
    <s v="A. Patel"/>
    <x v="4"/>
    <s v="LAP-4483"/>
    <n v="1368.17"/>
    <n v="2307.75"/>
    <n v="0.16300000000000001"/>
    <n v="21"/>
    <s v="sus"/>
    <n v="-2"/>
    <n v="2"/>
    <n v="40563.321749999996"/>
    <n v="28731.57"/>
    <n v="11831.751749999996"/>
    <n v="0.29168596750831921"/>
  </r>
  <r>
    <s v="ORD-2024-689872"/>
    <d v="2024-08-03T00:00:00"/>
    <s v="Q3-2024"/>
    <s v="Aug-2024"/>
    <d v="2024-08-09T00:00:00"/>
    <n v="6"/>
    <d v="2024-08-09T00:00:00"/>
    <x v="0"/>
    <x v="0"/>
    <x v="13"/>
    <s v="Consumer"/>
    <s v="Marketplace"/>
    <s v="H. Kim"/>
    <x v="4"/>
    <s v="LAP-1969"/>
    <n v="643.21"/>
    <n v="1112.81"/>
    <n v="0.14099999999999999"/>
    <n v="4"/>
    <s v="ok"/>
    <n v="6"/>
    <n v="6"/>
    <n v="3823.6151599999998"/>
    <n v="2572.84"/>
    <n v="1250.7751599999997"/>
    <n v="0.32711847496702562"/>
  </r>
  <r>
    <s v="ORD-2025-246692"/>
    <d v="2025-04-17T00:00:00"/>
    <s v="Q2-2025"/>
    <s v="Apr-2025"/>
    <d v="2025-04-17T00:00:00"/>
    <n v="0"/>
    <d v="2025-04-17T00:00:00"/>
    <x v="2"/>
    <x v="5"/>
    <x v="8"/>
    <s v="Corporate"/>
    <s v="Distributor"/>
    <s v="L. Okafor"/>
    <x v="3"/>
    <s v="PHN-4566"/>
    <n v="719.41"/>
    <n v="1125.99"/>
    <n v="4.1000000000000002E-2"/>
    <n v="21"/>
    <s v="sus"/>
    <n v="0"/>
    <n v="0"/>
    <n v="22676.312610000001"/>
    <n v="15107.609999999999"/>
    <n v="7568.7026100000021"/>
    <n v="0.33377131194876403"/>
  </r>
  <r>
    <s v="ORD-2023-378676"/>
    <d v="2023-05-03T00:00:00"/>
    <s v="Q2-2023"/>
    <s v="May-2023"/>
    <d v="2023-05-16T00:00:00"/>
    <n v="13"/>
    <d v="2023-05-16T00:00:00"/>
    <x v="2"/>
    <x v="10"/>
    <x v="39"/>
    <s v="Corporate"/>
    <s v="Marketplace"/>
    <s v="L. Okafor"/>
    <x v="3"/>
    <s v="PHN-5366"/>
    <n v="64.5"/>
    <n v="123.62"/>
    <n v="0"/>
    <n v="3"/>
    <s v="ok"/>
    <n v="13"/>
    <n v="13"/>
    <n v="370.86"/>
    <n v="193.5"/>
    <n v="177.36"/>
    <n v="0.47823976702798904"/>
  </r>
  <r>
    <s v="ORD-2024-243988"/>
    <d v="2024-03-13T00:00:00"/>
    <s v="Q1-2024"/>
    <s v="Mar-2024"/>
    <d v="2024-04-06T00:00:00"/>
    <n v="24"/>
    <d v="2024-04-06T00:00:00"/>
    <x v="0"/>
    <x v="1"/>
    <x v="7"/>
    <s v="Consumer"/>
    <s v="Distributor"/>
    <s v="L. Okafor"/>
    <x v="0"/>
    <s v="CMP-9001"/>
    <n v="1232.78"/>
    <n v="1731.75"/>
    <n v="9.2999999999999999E-2"/>
    <n v="16"/>
    <s v="ok"/>
    <n v="24"/>
    <n v="24"/>
    <n v="25131.155999999999"/>
    <n v="19724.48"/>
    <n v="5406.6759999999995"/>
    <n v="0.21513837246484005"/>
  </r>
  <r>
    <s v="ORD-2024-572312"/>
    <d v="2024-06-16T00:00:00"/>
    <s v="Q2-2024"/>
    <s v="Jun-2024"/>
    <d v="2024-06-21T00:00:00"/>
    <n v="5"/>
    <d v="2024-06-21T00:00:00"/>
    <x v="1"/>
    <x v="2"/>
    <x v="27"/>
    <s v="Small Business"/>
    <s v="Distributor"/>
    <s v="F. Müller"/>
    <x v="3"/>
    <s v="PHN-9677"/>
    <n v="1367.13"/>
    <n v="3062.01"/>
    <n v="0.10299999999999999"/>
    <n v="25"/>
    <s v="ok"/>
    <n v="5"/>
    <n v="5"/>
    <n v="68665.574250000005"/>
    <n v="34178.25"/>
    <n v="34487.324250000005"/>
    <n v="0.50225057645971705"/>
  </r>
  <r>
    <s v="ORD-2025-281062"/>
    <d v="2025-02-15T00:00:00"/>
    <s v="Q1-2025"/>
    <s v="Feb-2025"/>
    <d v="2025-02-27T00:00:00"/>
    <n v="12"/>
    <d v="2025-02-27T00:00:00"/>
    <x v="3"/>
    <x v="7"/>
    <x v="17"/>
    <s v="Non-Profit"/>
    <s v="Direct"/>
    <s v="K. Singh"/>
    <x v="6"/>
    <s v="ACC-1604"/>
    <n v="1027.26"/>
    <n v="2200.41"/>
    <n v="8.7999999999999995E-2"/>
    <n v="6"/>
    <s v="ok"/>
    <n v="12"/>
    <n v="12"/>
    <n v="12040.64352"/>
    <n v="6163.5599999999995"/>
    <n v="5877.0835200000001"/>
    <n v="0.48810377204822358"/>
  </r>
  <r>
    <s v="ORD-2023-727290"/>
    <d v="2023-04-03T00:00:00"/>
    <s v="Q2-2023"/>
    <s v="Apr-2023"/>
    <d v="2023-04-16T00:00:00"/>
    <n v="13"/>
    <d v="2023-04-16T00:00:00"/>
    <x v="3"/>
    <x v="7"/>
    <x v="11"/>
    <s v="Non-Profit"/>
    <s v="Marketplace"/>
    <s v="M. Rossi"/>
    <x v="6"/>
    <s v="ACC-4815"/>
    <n v="790.54"/>
    <n v="601.49"/>
    <n v="0"/>
    <n v="15"/>
    <s v="ok"/>
    <n v="13"/>
    <n v="13"/>
    <n v="9022.35"/>
    <n v="11858.099999999999"/>
    <n v="-2835.7499999999982"/>
    <n v="-0.31430281467688553"/>
  </r>
  <r>
    <s v="ORD-2025-993993"/>
    <d v="2025-08-30T00:00:00"/>
    <s v="Q3-2025"/>
    <s v="Aug-2025"/>
    <d v="2025-09-22T00:00:00"/>
    <n v="23"/>
    <d v="2025-09-22T00:00:00"/>
    <x v="3"/>
    <x v="7"/>
    <x v="11"/>
    <s v="Corporate"/>
    <s v="Direct"/>
    <s v="E. Garcia"/>
    <x v="0"/>
    <s v="CMP-5311"/>
    <n v="663.9"/>
    <n v="947.77"/>
    <n v="0.17399999999999999"/>
    <n v="15"/>
    <s v="ok"/>
    <n v="23"/>
    <n v="23"/>
    <n v="11742.8703"/>
    <n v="9958.5"/>
    <n v="1784.3703000000005"/>
    <n v="0.1519535049280073"/>
  </r>
  <r>
    <s v="ORD-2023-619493"/>
    <d v="2023-02-27T00:00:00"/>
    <s v="Q1-2023"/>
    <s v="Feb-2023"/>
    <d v="2023-02-26T00:00:00"/>
    <n v="14"/>
    <d v="2023-03-13T00:00:00"/>
    <x v="2"/>
    <x v="10"/>
    <x v="24"/>
    <s v="Non-Profit"/>
    <s v="Online"/>
    <s v="L. Okafor"/>
    <x v="2"/>
    <s v="NET-1282"/>
    <n v="1015.91"/>
    <n v="2331.48"/>
    <n v="0.14599999999999999"/>
    <n v="26"/>
    <s v="sus"/>
    <n v="-1"/>
    <n v="1"/>
    <n v="51768.181920000003"/>
    <n v="26413.66"/>
    <n v="25354.521920000003"/>
    <n v="0.48977037592669626"/>
  </r>
  <r>
    <s v="ORD-2024-947056"/>
    <d v="2024-07-31T00:00:00"/>
    <s v="Q3-2024"/>
    <s v="Jul-2024"/>
    <d v="2024-08-15T00:00:00"/>
    <n v="15"/>
    <d v="2024-08-15T00:00:00"/>
    <x v="1"/>
    <x v="2"/>
    <x v="27"/>
    <s v="Corporate"/>
    <s v="Marketplace"/>
    <s v="F. Müller"/>
    <x v="5"/>
    <s v="MON-1564"/>
    <n v="1252.52"/>
    <n v="1417.24"/>
    <n v="0.192"/>
    <n v="5"/>
    <s v="ok"/>
    <n v="15"/>
    <n v="15"/>
    <n v="5725.6496000000006"/>
    <n v="6262.6"/>
    <n v="-536.95039999999972"/>
    <n v="-9.3779821943696953E-2"/>
  </r>
  <r>
    <s v="ORD-2025-856556"/>
    <d v="2025-06-15T00:00:00"/>
    <s v="Q2-2025"/>
    <s v="Jun-2025"/>
    <d v="2025-07-12T00:00:00"/>
    <n v="27"/>
    <d v="2025-07-12T00:00:00"/>
    <x v="3"/>
    <x v="7"/>
    <x v="11"/>
    <s v="Consumer"/>
    <s v="Direct"/>
    <s v="C. Otieno"/>
    <x v="6"/>
    <s v="ACC-7906"/>
    <n v="318.83"/>
    <n v="699.5"/>
    <n v="0.08"/>
    <n v="13"/>
    <s v="ok"/>
    <n v="27"/>
    <n v="27"/>
    <n v="8366.02"/>
    <n v="4144.79"/>
    <n v="4221.2300000000005"/>
    <n v="0.50456848059172699"/>
  </r>
  <r>
    <s v="ORD-2024-442776"/>
    <d v="2024-06-30T00:00:00"/>
    <s v="Q2-2024"/>
    <s v="Jun-2024"/>
    <d v="2024-07-21T00:00:00"/>
    <n v="21"/>
    <d v="2024-07-21T00:00:00"/>
    <x v="0"/>
    <x v="0"/>
    <x v="0"/>
    <s v="Small Business"/>
    <s v="Retail"/>
    <s v="K. Singh"/>
    <x v="4"/>
    <s v="LAP-6577"/>
    <n v="753.43"/>
    <n v="1787.2"/>
    <n v="7.2999999999999995E-2"/>
    <n v="9"/>
    <s v="ok"/>
    <n v="21"/>
    <n v="21"/>
    <n v="14910.609600000002"/>
    <n v="6780.87"/>
    <n v="8129.7396000000017"/>
    <n v="0.54523187301476939"/>
  </r>
  <r>
    <s v="ORD-2025-705398"/>
    <d v="2025-02-17T00:00:00"/>
    <s v="Q1-2025"/>
    <s v="Feb-2025"/>
    <d v="2025-02-15T00:00:00"/>
    <n v="14"/>
    <d v="2025-03-03T00:00:00"/>
    <x v="2"/>
    <x v="3"/>
    <x v="5"/>
    <s v="Small Business"/>
    <s v="Retail"/>
    <s v="D. Smith"/>
    <x v="0"/>
    <s v="CMP-5065"/>
    <n v="1133.47"/>
    <n v="1698.75"/>
    <n v="4.2999999999999997E-2"/>
    <n v="5"/>
    <s v="sus"/>
    <n v="-2"/>
    <n v="2"/>
    <n v="8128.5187499999993"/>
    <n v="5667.35"/>
    <n v="2461.1687499999989"/>
    <n v="0.30278194904821976"/>
  </r>
  <r>
    <s v="ORD-2023-689428"/>
    <d v="2023-01-07T00:00:00"/>
    <s v="Q1-2023"/>
    <s v="Jan-2023"/>
    <d v="2023-01-30T00:00:00"/>
    <n v="23"/>
    <d v="2023-01-30T00:00:00"/>
    <x v="0"/>
    <x v="11"/>
    <x v="33"/>
    <s v="Consumer"/>
    <s v="Online"/>
    <s v="A. Patel"/>
    <x v="1"/>
    <s v="PRN-4787"/>
    <n v="299.02"/>
    <n v="724.7"/>
    <n v="0.14000000000000001"/>
    <n v="5"/>
    <s v="ok"/>
    <n v="23"/>
    <n v="23"/>
    <n v="3116.21"/>
    <n v="1495.1"/>
    <n v="1621.1100000000001"/>
    <n v="0.52021847051386139"/>
  </r>
  <r>
    <s v="ORD-2025-683247"/>
    <d v="2025-03-10T00:00:00"/>
    <s v="Q1-2025"/>
    <s v="Mar-2025"/>
    <d v="2025-04-04T00:00:00"/>
    <n v="25"/>
    <d v="2025-04-04T00:00:00"/>
    <x v="1"/>
    <x v="2"/>
    <x v="4"/>
    <s v="Corporate"/>
    <s v="Direct"/>
    <s v="H. Kim"/>
    <x v="1"/>
    <s v="PRN-9867"/>
    <n v="783.72"/>
    <n v="1355.94"/>
    <n v="0.187"/>
    <n v="4"/>
    <s v="ok"/>
    <n v="25"/>
    <n v="25"/>
    <n v="4409.5168800000001"/>
    <n v="3134.88"/>
    <n v="1274.63688"/>
    <n v="0.28906497348525856"/>
  </r>
  <r>
    <s v="ORD-2024-585443"/>
    <d v="2024-08-17T00:00:00"/>
    <s v="Q3-2024"/>
    <s v="Aug-2024"/>
    <d v="2024-08-15T00:00:00"/>
    <n v="14"/>
    <d v="2024-08-31T00:00:00"/>
    <x v="2"/>
    <x v="5"/>
    <x v="30"/>
    <s v="Consumer"/>
    <s v="Direct"/>
    <s v="M. Rossi"/>
    <x v="5"/>
    <s v="MON-2849"/>
    <n v="165.3"/>
    <n v="275.07"/>
    <n v="0.13300000000000001"/>
    <n v="25"/>
    <s v="sus"/>
    <n v="-2"/>
    <n v="2"/>
    <n v="5962.1422499999999"/>
    <n v="4132.5"/>
    <n v="1829.6422499999999"/>
    <n v="0.30687665159280625"/>
  </r>
  <r>
    <s v="ORD-2024-907733"/>
    <d v="2024-03-09T00:00:00"/>
    <s v="Q1-2024"/>
    <s v="Mar-2024"/>
    <d v="2024-03-22T00:00:00"/>
    <n v="13"/>
    <d v="2024-03-22T00:00:00"/>
    <x v="3"/>
    <x v="8"/>
    <x v="31"/>
    <s v="Consumer"/>
    <s v="Online"/>
    <s v="E. Garcia"/>
    <x v="4"/>
    <s v="LAP-8633"/>
    <n v="985.45"/>
    <n v="1802.44"/>
    <n v="8.9999999999999993E-3"/>
    <n v="19"/>
    <s v="ok"/>
    <n v="13"/>
    <n v="13"/>
    <n v="33938.142760000002"/>
    <n v="18723.55"/>
    <n v="15214.592760000003"/>
    <n v="0.44830363486867486"/>
  </r>
  <r>
    <s v="ORD-2024-550400"/>
    <d v="2024-08-19T00:00:00"/>
    <s v="Q3-2024"/>
    <s v="Aug-2024"/>
    <d v="2024-09-02T00:00:00"/>
    <n v="14"/>
    <d v="2024-09-02T00:00:00"/>
    <x v="2"/>
    <x v="3"/>
    <x v="5"/>
    <s v="Consumer"/>
    <s v="Distributor"/>
    <s v="C. Otieno"/>
    <x v="1"/>
    <s v="PRN-9793"/>
    <n v="1337.01"/>
    <n v="1269.78"/>
    <n v="0.16"/>
    <n v="7"/>
    <s v="ok"/>
    <n v="14"/>
    <n v="14"/>
    <n v="7466.3063999999986"/>
    <n v="9359.07"/>
    <n v="-1892.7636000000011"/>
    <n v="-0.25350735672996244"/>
  </r>
  <r>
    <s v="ORD-2025-189846"/>
    <d v="2025-08-11T00:00:00"/>
    <s v="Q3-2025"/>
    <s v="Aug-2025"/>
    <d v="2025-08-28T00:00:00"/>
    <n v="17"/>
    <d v="2025-08-28T00:00:00"/>
    <x v="3"/>
    <x v="7"/>
    <x v="28"/>
    <s v="Education"/>
    <s v="Online"/>
    <s v="F. Müller"/>
    <x v="2"/>
    <s v="NET-6218"/>
    <n v="416.16"/>
    <n v="571.9"/>
    <n v="7.0999999999999994E-2"/>
    <n v="2"/>
    <s v="ok"/>
    <n v="17"/>
    <n v="17"/>
    <n v="1062.5902000000001"/>
    <n v="832.32"/>
    <n v="230.27020000000005"/>
    <n v="0.21670649701079497"/>
  </r>
  <r>
    <s v="ORD-2025-752192"/>
    <d v="2025-05-16T00:00:00"/>
    <s v="Q2-2025"/>
    <s v="May-2025"/>
    <d v="2025-05-18T00:00:00"/>
    <n v="2"/>
    <d v="2025-05-18T00:00:00"/>
    <x v="1"/>
    <x v="2"/>
    <x v="27"/>
    <s v="Enterprise"/>
    <s v="Retail"/>
    <s v="J. Njeri"/>
    <x v="1"/>
    <s v="PRN-6131"/>
    <n v="1144.3800000000001"/>
    <n v="2755.04"/>
    <n v="0.15"/>
    <n v="17"/>
    <s v="ok"/>
    <n v="2"/>
    <n v="2"/>
    <n v="39810.328000000001"/>
    <n v="19454.460000000003"/>
    <n v="20355.867999999999"/>
    <n v="0.51132128326096682"/>
  </r>
  <r>
    <s v="ORD-2023-294716"/>
    <d v="2023-04-10T00:00:00"/>
    <s v="Q2-2023"/>
    <s v="Apr-2023"/>
    <d v="2023-04-25T00:00:00"/>
    <n v="15"/>
    <d v="2023-04-25T00:00:00"/>
    <x v="3"/>
    <x v="8"/>
    <x v="21"/>
    <s v="Small Business"/>
    <s v="Retail"/>
    <s v="D. Smith"/>
    <x v="1"/>
    <s v="PRN-5067"/>
    <n v="405.66"/>
    <n v="962.51"/>
    <n v="0.19"/>
    <n v="7"/>
    <s v="ok"/>
    <n v="15"/>
    <n v="15"/>
    <n v="5457.4317000000001"/>
    <n v="2839.6200000000003"/>
    <n v="2617.8116999999997"/>
    <n v="0.47967832561239376"/>
  </r>
  <r>
    <s v="ORD-2023-552115"/>
    <d v="2023-09-17T00:00:00"/>
    <s v="Q3-2023"/>
    <s v="Sept-2023"/>
    <d v="2023-10-02T00:00:00"/>
    <n v="15"/>
    <d v="2023-10-02T00:00:00"/>
    <x v="2"/>
    <x v="5"/>
    <x v="30"/>
    <s v="Small Business"/>
    <s v="Retail"/>
    <s v="B. Chen"/>
    <x v="4"/>
    <s v="LAP-4932"/>
    <n v="689.33"/>
    <n v="668.27"/>
    <n v="0.186"/>
    <n v="13"/>
    <s v="ok"/>
    <n v="15"/>
    <n v="15"/>
    <n v="7071.6331400000008"/>
    <n v="8961.2900000000009"/>
    <n v="-1889.6568600000001"/>
    <n v="-0.26721647214861033"/>
  </r>
  <r>
    <s v="ORD-2023-107265"/>
    <d v="2023-04-22T00:00:00"/>
    <s v="Q2-2023"/>
    <s v="Apr-2023"/>
    <d v="2023-05-14T00:00:00"/>
    <n v="22"/>
    <d v="2023-05-14T00:00:00"/>
    <x v="1"/>
    <x v="2"/>
    <x v="32"/>
    <s v="Enterprise"/>
    <s v="Retail"/>
    <s v="A. Patel"/>
    <x v="6"/>
    <s v="ACC-7713"/>
    <n v="1209.22"/>
    <n v="1404.33"/>
    <n v="0.10299999999999999"/>
    <n v="11"/>
    <s v="ok"/>
    <n v="22"/>
    <n v="22"/>
    <n v="13856.52411"/>
    <n v="13301.42"/>
    <n v="555.10411000000022"/>
    <n v="4.0060848275751328E-2"/>
  </r>
  <r>
    <s v="ORD-2025-262434"/>
    <d v="2025-06-19T00:00:00"/>
    <s v="Q2-2025"/>
    <s v="Jun-2025"/>
    <d v="2025-06-21T00:00:00"/>
    <n v="2"/>
    <d v="2025-06-21T00:00:00"/>
    <x v="0"/>
    <x v="11"/>
    <x v="20"/>
    <s v="Small Business"/>
    <s v="unknown"/>
    <s v="H. Kim"/>
    <x v="3"/>
    <s v="PHN-7379"/>
    <n v="1466.27"/>
    <n v="3589.89"/>
    <n v="9.7000000000000003E-2"/>
    <n v="9"/>
    <s v="ok"/>
    <n v="2"/>
    <n v="2"/>
    <n v="29175.036029999999"/>
    <n v="13196.43"/>
    <n v="15978.606029999999"/>
    <n v="0.54768076425234147"/>
  </r>
  <r>
    <s v="ORD-2024-266562"/>
    <d v="2024-11-27T00:00:00"/>
    <s v="Q4-2024"/>
    <s v="Nov-2024"/>
    <d v="2024-12-24T00:00:00"/>
    <n v="27"/>
    <d v="2024-12-24T00:00:00"/>
    <x v="0"/>
    <x v="0"/>
    <x v="13"/>
    <s v="Corporate"/>
    <s v="Distributor"/>
    <s v="B. Chen"/>
    <x v="1"/>
    <s v="PRN-5569"/>
    <n v="143.33000000000001"/>
    <n v="233.51"/>
    <n v="0.16300000000000001"/>
    <n v="14"/>
    <s v="ok"/>
    <n v="27"/>
    <n v="27"/>
    <n v="2736.27018"/>
    <n v="2006.6200000000001"/>
    <n v="729.65017999999986"/>
    <n v="0.26665867476580835"/>
  </r>
  <r>
    <s v="ORD-2024-838925"/>
    <d v="2024-01-28T00:00:00"/>
    <s v="Q1-2024"/>
    <s v="Jan-2024"/>
    <d v="2024-01-27T00:00:00"/>
    <n v="14"/>
    <d v="2024-02-11T00:00:00"/>
    <x v="0"/>
    <x v="11"/>
    <x v="33"/>
    <s v="Enterprise"/>
    <s v="Direct"/>
    <s v="O. Wang"/>
    <x v="0"/>
    <s v="CMP-1470"/>
    <n v="109.75"/>
    <n v="124.25"/>
    <n v="0.12"/>
    <n v="19"/>
    <s v="sus"/>
    <n v="-1"/>
    <n v="1"/>
    <n v="2077.46"/>
    <n v="2085.25"/>
    <n v="-7.7899999999999636"/>
    <n v="-3.7497713554051405E-3"/>
  </r>
  <r>
    <s v="ORD-2023-664790"/>
    <d v="2023-04-16T00:00:00"/>
    <s v="Q2-2023"/>
    <s v="Apr-2023"/>
    <d v="2023-04-23T00:00:00"/>
    <n v="7"/>
    <d v="2023-04-23T00:00:00"/>
    <x v="2"/>
    <x v="10"/>
    <x v="36"/>
    <s v="Corporate"/>
    <s v="Distributor"/>
    <s v="O. Wang"/>
    <x v="1"/>
    <s v="PRN-9249"/>
    <n v="1099.1500000000001"/>
    <n v="1431.37"/>
    <n v="0.104"/>
    <n v="8"/>
    <s v="ok"/>
    <n v="7"/>
    <n v="7"/>
    <n v="10260.060159999999"/>
    <n v="8793.2000000000007"/>
    <n v="1466.8601599999984"/>
    <n v="0.14296798821109433"/>
  </r>
  <r>
    <s v="ORD-2024-331408"/>
    <d v="2024-02-01T00:00:00"/>
    <s v="Q1-2024"/>
    <s v="Feb-2024"/>
    <d v="2024-02-01T00:00:00"/>
    <n v="0"/>
    <d v="2024-02-01T00:00:00"/>
    <x v="2"/>
    <x v="10"/>
    <x v="36"/>
    <s v="Consumer"/>
    <s v="Distributor"/>
    <s v="H. Kim"/>
    <x v="1"/>
    <s v="PRN-4906"/>
    <n v="714.43"/>
    <n v="1595.52"/>
    <n v="0.19400000000000001"/>
    <n v="14"/>
    <s v="sus"/>
    <n v="0"/>
    <n v="0"/>
    <n v="18003.847679999999"/>
    <n v="10002.019999999999"/>
    <n v="8001.8276800000003"/>
    <n v="0.44445097638151093"/>
  </r>
  <r>
    <s v="ORD-2024-741404"/>
    <d v="2024-10-19T00:00:00"/>
    <s v="Q4-2024"/>
    <s v="Oct-2024"/>
    <d v="2024-11-06T00:00:00"/>
    <n v="18"/>
    <d v="2024-11-06T00:00:00"/>
    <x v="2"/>
    <x v="10"/>
    <x v="15"/>
    <s v="Education"/>
    <s v="unknown"/>
    <s v="C. Otieno"/>
    <x v="5"/>
    <s v="MON-8129"/>
    <n v="942.02"/>
    <n v="1028.46"/>
    <n v="0"/>
    <n v="9"/>
    <s v="ok"/>
    <n v="18"/>
    <n v="18"/>
    <n v="9256.14"/>
    <n v="8478.18"/>
    <n v="777.95999999999913"/>
    <n v="8.4047994088248354E-2"/>
  </r>
  <r>
    <s v="ORD-2024-341535"/>
    <d v="2024-06-25T00:00:00"/>
    <s v="Q2-2024"/>
    <s v="Jun-2024"/>
    <d v="2024-06-30T00:00:00"/>
    <n v="5"/>
    <d v="2024-06-30T00:00:00"/>
    <x v="0"/>
    <x v="0"/>
    <x v="0"/>
    <s v="Education"/>
    <s v="Direct"/>
    <s v="M. Rossi"/>
    <x v="2"/>
    <s v="NET-5987"/>
    <n v="1323.55"/>
    <n v="3230.35"/>
    <n v="2.1999999999999999E-2"/>
    <n v="26"/>
    <s v="ok"/>
    <n v="5"/>
    <n v="5"/>
    <n v="82141.339799999987"/>
    <n v="34412.299999999996"/>
    <n v="47729.039799999991"/>
    <n v="0.58105991351263542"/>
  </r>
  <r>
    <s v="ORD-2023-451931"/>
    <d v="2023-07-30T00:00:00"/>
    <s v="Q3-2023"/>
    <s v="Jul-2023"/>
    <d v="2023-08-19T00:00:00"/>
    <n v="20"/>
    <d v="2023-08-19T00:00:00"/>
    <x v="3"/>
    <x v="7"/>
    <x v="28"/>
    <s v="Enterprise"/>
    <s v="Marketplace"/>
    <s v="G. Dubois"/>
    <x v="2"/>
    <s v="NET-5423"/>
    <n v="1418.51"/>
    <n v="2789.61"/>
    <n v="0.17100000000000001"/>
    <n v="8"/>
    <s v="ok"/>
    <n v="20"/>
    <n v="20"/>
    <n v="18500.693520000001"/>
    <n v="11348.08"/>
    <n v="7152.6135200000008"/>
    <n v="0.38661326464695689"/>
  </r>
  <r>
    <s v="ORD-2025-532859"/>
    <d v="2025-03-11T00:00:00"/>
    <s v="Q1-2025"/>
    <s v="Mar-2025"/>
    <d v="2025-03-27T00:00:00"/>
    <n v="16"/>
    <d v="2025-03-27T00:00:00"/>
    <x v="1"/>
    <x v="2"/>
    <x v="27"/>
    <s v="Enterprise"/>
    <s v="Distributor"/>
    <s v="B. Chen"/>
    <x v="1"/>
    <s v="PRN-5264"/>
    <n v="1317.58"/>
    <n v="1897.74"/>
    <n v="8.1000000000000003E-2"/>
    <n v="6"/>
    <s v="ok"/>
    <n v="16"/>
    <n v="16"/>
    <n v="10464.138360000001"/>
    <n v="7905.48"/>
    <n v="2558.6583600000013"/>
    <n v="0.24451687009230266"/>
  </r>
  <r>
    <s v="ORD-2023-502205"/>
    <d v="2023-10-09T00:00:00"/>
    <s v="Q4-2023"/>
    <s v="Oct-2023"/>
    <d v="2023-10-11T00:00:00"/>
    <n v="2"/>
    <d v="2023-10-11T00:00:00"/>
    <x v="0"/>
    <x v="1"/>
    <x v="1"/>
    <s v="Education"/>
    <s v="Marketplace"/>
    <s v="K. Singh"/>
    <x v="2"/>
    <s v="NET-8856"/>
    <n v="391.16"/>
    <n v="902.47"/>
    <n v="4.0000000000000001E-3"/>
    <n v="12"/>
    <s v="ok"/>
    <n v="2"/>
    <n v="2"/>
    <n v="10786.32144"/>
    <n v="4693.92"/>
    <n v="6092.4014399999996"/>
    <n v="0.56482661618139207"/>
  </r>
  <r>
    <s v="ORD-2024-930679"/>
    <d v="2024-12-17T00:00:00"/>
    <s v="Q4-2024"/>
    <s v="Dec-2024"/>
    <d v="2025-01-16T00:00:00"/>
    <n v="30"/>
    <d v="2025-01-16T00:00:00"/>
    <x v="3"/>
    <x v="8"/>
    <x v="31"/>
    <s v="Corporate"/>
    <s v="Retail"/>
    <s v="D. Smith"/>
    <x v="5"/>
    <s v="MON-4215"/>
    <n v="722.87"/>
    <n v="33.659999999999997"/>
    <n v="0.10199999999999999"/>
    <n v="28"/>
    <s v="ok"/>
    <n v="30"/>
    <n v="30"/>
    <n v="846.34703999999988"/>
    <n v="20240.36"/>
    <n v="-19394.01296"/>
    <n v="-22.914965189693348"/>
  </r>
  <r>
    <s v="ORD-2025-150713"/>
    <d v="2025-07-11T00:00:00"/>
    <s v="Q3-2025"/>
    <s v="Jul-2025"/>
    <d v="2025-07-16T00:00:00"/>
    <n v="5"/>
    <d v="2025-07-16T00:00:00"/>
    <x v="3"/>
    <x v="8"/>
    <x v="21"/>
    <s v="Enterprise"/>
    <s v="Online"/>
    <s v="K. Singh"/>
    <x v="1"/>
    <s v="PRN-5753"/>
    <n v="930.03"/>
    <n v="1086.68"/>
    <n v="0.109"/>
    <n v="26"/>
    <s v="ok"/>
    <n v="5"/>
    <n v="5"/>
    <n v="25174.028880000002"/>
    <n v="24180.78"/>
    <n v="993.24888000000283"/>
    <n v="3.9455300728168656E-2"/>
  </r>
  <r>
    <s v="ORD-2024-756884"/>
    <d v="2024-10-13T00:00:00"/>
    <s v="Q4-2024"/>
    <s v="Oct-2024"/>
    <d v="2024-10-24T00:00:00"/>
    <n v="11"/>
    <d v="2024-10-24T00:00:00"/>
    <x v="3"/>
    <x v="7"/>
    <x v="28"/>
    <s v="Education"/>
    <s v="Distributor"/>
    <s v="F. Müller"/>
    <x v="0"/>
    <s v="CMP-5006"/>
    <n v="816.7"/>
    <n v="1010.75"/>
    <n v="4.7E-2"/>
    <n v="43"/>
    <s v="ok"/>
    <n v="11"/>
    <n v="11"/>
    <n v="41419.524249999995"/>
    <n v="35118.1"/>
    <n v="6301.4242499999964"/>
    <n v="0.15213656757537472"/>
  </r>
  <r>
    <s v="ORD-2023-755337"/>
    <d v="2023-09-08T00:00:00"/>
    <s v="Q3-2023"/>
    <s v="Sept-2023"/>
    <d v="2023-09-14T00:00:00"/>
    <n v="6"/>
    <d v="2023-09-14T00:00:00"/>
    <x v="0"/>
    <x v="0"/>
    <x v="16"/>
    <s v="Education"/>
    <s v="Direct"/>
    <s v="I. Johnson"/>
    <x v="6"/>
    <s v="ACC-4766"/>
    <n v="251.03"/>
    <n v="411.48"/>
    <n v="0.16500000000000001"/>
    <n v="3"/>
    <s v="ok"/>
    <n v="6"/>
    <n v="6"/>
    <n v="1030.7574"/>
    <n v="753.09"/>
    <n v="277.66739999999993"/>
    <n v="0.26938191275658069"/>
  </r>
  <r>
    <s v="ORD-2025-907040"/>
    <d v="2025-04-17T00:00:00"/>
    <s v="Q2-2025"/>
    <s v="Apr-2025"/>
    <d v="2025-05-03T00:00:00"/>
    <n v="16"/>
    <d v="2025-05-03T00:00:00"/>
    <x v="2"/>
    <x v="5"/>
    <x v="30"/>
    <s v="Consumer"/>
    <s v="Marketplace"/>
    <s v="J. Njeri"/>
    <x v="2"/>
    <s v="NET-8610"/>
    <n v="168.68"/>
    <n v="413.34"/>
    <n v="0.186"/>
    <n v="7"/>
    <s v="ok"/>
    <n v="16"/>
    <n v="16"/>
    <n v="2355.2113199999999"/>
    <n v="1180.76"/>
    <n v="1174.4513199999999"/>
    <n v="0.49866069767361682"/>
  </r>
  <r>
    <s v="ORD-2024-817997"/>
    <d v="2024-07-28T00:00:00"/>
    <s v="Q3-2024"/>
    <s v="Jul-2024"/>
    <d v="2024-08-23T00:00:00"/>
    <n v="26"/>
    <d v="2024-08-23T00:00:00"/>
    <x v="1"/>
    <x v="4"/>
    <x v="34"/>
    <s v="Corporate"/>
    <s v="Retail"/>
    <s v="J. Njeri"/>
    <x v="2"/>
    <s v="NET-4675"/>
    <n v="1339.24"/>
    <n v="1558.89"/>
    <n v="0.192"/>
    <n v="24"/>
    <s v="ok"/>
    <n v="26"/>
    <n v="26"/>
    <n v="30229.994880000002"/>
    <n v="32141.760000000002"/>
    <n v="-1911.76512"/>
    <n v="-6.3240669659021781E-2"/>
  </r>
  <r>
    <s v="ORD-2025-649633"/>
    <d v="2025-07-19T00:00:00"/>
    <s v="Q3-2025"/>
    <s v="Jul-2025"/>
    <d v="2025-07-31T00:00:00"/>
    <n v="12"/>
    <d v="2025-07-31T00:00:00"/>
    <x v="0"/>
    <x v="0"/>
    <x v="2"/>
    <s v="Small Business"/>
    <s v="Marketplace"/>
    <s v="O. Wang"/>
    <x v="6"/>
    <s v="ACC-1028"/>
    <n v="619.64"/>
    <n v="861.16"/>
    <n v="0.113"/>
    <n v="14"/>
    <s v="ok"/>
    <n v="12"/>
    <n v="12"/>
    <n v="10693.88488"/>
    <n v="8674.9599999999991"/>
    <n v="2018.9248800000005"/>
    <n v="0.18879246435276761"/>
  </r>
  <r>
    <s v="ORD-2023-885216"/>
    <d v="2023-08-03T00:00:00"/>
    <s v="Q3-2023"/>
    <s v="Aug-2023"/>
    <d v="2023-08-02T00:00:00"/>
    <n v="14"/>
    <d v="2023-08-17T00:00:00"/>
    <x v="1"/>
    <x v="9"/>
    <x v="23"/>
    <s v="Non-Profit"/>
    <s v="Direct"/>
    <s v="J. Njeri"/>
    <x v="2"/>
    <s v="NET-4735"/>
    <n v="1021.97"/>
    <n v="2296.25"/>
    <n v="0.161"/>
    <n v="26"/>
    <s v="sus"/>
    <n v="-1"/>
    <n v="1"/>
    <n v="50090.397499999999"/>
    <n v="26571.22"/>
    <n v="23519.177499999998"/>
    <n v="0.46953465482081669"/>
  </r>
  <r>
    <s v="ORD-2023-561823"/>
    <d v="2023-11-19T00:00:00"/>
    <s v="Q4-2023"/>
    <s v="Nov-2023"/>
    <d v="2023-12-12T00:00:00"/>
    <n v="23"/>
    <d v="2023-12-12T00:00:00"/>
    <x v="1"/>
    <x v="4"/>
    <x v="18"/>
    <s v="Small Business"/>
    <s v="Direct"/>
    <s v="C. Otieno"/>
    <x v="2"/>
    <s v="NET-2460"/>
    <n v="1349.04"/>
    <n v="2636.6"/>
    <n v="0.114"/>
    <n v="14"/>
    <s v="ok"/>
    <n v="23"/>
    <n v="23"/>
    <n v="32704.386400000003"/>
    <n v="18886.559999999998"/>
    <n v="13817.826400000005"/>
    <n v="0.42250682312143928"/>
  </r>
  <r>
    <s v="ORD-2023-249805"/>
    <d v="2023-12-22T00:00:00"/>
    <s v="Q4-2023"/>
    <s v="Dec-2023"/>
    <d v="2024-01-16T00:00:00"/>
    <n v="25"/>
    <d v="2024-01-16T00:00:00"/>
    <x v="1"/>
    <x v="4"/>
    <x v="34"/>
    <s v="Small Business"/>
    <s v="Retail"/>
    <s v="A. Patel"/>
    <x v="0"/>
    <s v="CMP-1555"/>
    <n v="1346.81"/>
    <n v="978.09"/>
    <n v="0.159"/>
    <n v="17"/>
    <s v="ok"/>
    <n v="25"/>
    <n v="25"/>
    <n v="13983.752729999998"/>
    <n v="22895.77"/>
    <n v="-8912.0172700000021"/>
    <n v="-0.6373122753293996"/>
  </r>
  <r>
    <s v="ORD-2023-548934"/>
    <d v="2023-08-03T00:00:00"/>
    <s v="Q3-2023"/>
    <s v="Aug-2023"/>
    <d v="2023-08-30T00:00:00"/>
    <n v="27"/>
    <d v="2023-08-30T00:00:00"/>
    <x v="1"/>
    <x v="9"/>
    <x v="23"/>
    <s v="Consumer"/>
    <s v="Distributor"/>
    <s v="N. Brown"/>
    <x v="5"/>
    <s v="MON-3773"/>
    <n v="226.04"/>
    <n v="545.72"/>
    <n v="0.151"/>
    <n v="11"/>
    <s v="ok"/>
    <n v="27"/>
    <n v="27"/>
    <n v="5096.4790800000001"/>
    <n v="2486.44"/>
    <n v="2610.03908"/>
    <n v="0.51212592831834014"/>
  </r>
  <r>
    <s v="ORD-2023-921939"/>
    <d v="2023-06-23T00:00:00"/>
    <s v="Q2-2023"/>
    <s v="Jun-2023"/>
    <d v="2023-07-18T00:00:00"/>
    <n v="25"/>
    <d v="2023-07-18T00:00:00"/>
    <x v="2"/>
    <x v="3"/>
    <x v="26"/>
    <s v="Enterprise"/>
    <s v="Online"/>
    <s v="N. Brown"/>
    <x v="3"/>
    <s v="PHN-4677"/>
    <n v="807.02"/>
    <n v="1435.54"/>
    <n v="0"/>
    <n v="23"/>
    <s v="ok"/>
    <n v="25"/>
    <n v="25"/>
    <n v="33017.42"/>
    <n v="18561.46"/>
    <n v="14455.96"/>
    <n v="0.43782827368098415"/>
  </r>
  <r>
    <s v="ORD-2023-961864"/>
    <d v="2023-12-07T00:00:00"/>
    <s v="Q4-2023"/>
    <s v="Dec-2023"/>
    <d v="2024-01-02T00:00:00"/>
    <n v="26"/>
    <d v="2024-01-02T00:00:00"/>
    <x v="3"/>
    <x v="6"/>
    <x v="37"/>
    <s v="Enterprise"/>
    <s v="Distributor"/>
    <s v="E. Garcia"/>
    <x v="0"/>
    <s v="CMP-1940"/>
    <n v="1071.99"/>
    <n v="2397.3000000000002"/>
    <n v="6.2E-2"/>
    <n v="18"/>
    <s v="ok"/>
    <n v="26"/>
    <n v="26"/>
    <n v="40476.013200000001"/>
    <n v="19295.82"/>
    <n v="21180.193200000002"/>
    <n v="0.52327765324476183"/>
  </r>
  <r>
    <s v="ORD-2023-455933"/>
    <d v="2023-11-19T00:00:00"/>
    <s v="Q4-2023"/>
    <s v="Nov-2023"/>
    <d v="2023-12-19T00:00:00"/>
    <n v="30"/>
    <d v="2023-12-19T00:00:00"/>
    <x v="1"/>
    <x v="2"/>
    <x v="32"/>
    <s v="Consumer"/>
    <s v="Retail"/>
    <s v="unknown"/>
    <x v="3"/>
    <s v="PHN-9184"/>
    <n v="807.11"/>
    <n v="1853.86"/>
    <n v="0.13900000000000001"/>
    <n v="8"/>
    <s v="ok"/>
    <n v="30"/>
    <n v="30"/>
    <n v="12769.38768"/>
    <n v="6456.88"/>
    <n v="6312.5076799999997"/>
    <n v="0.49434693645388639"/>
  </r>
  <r>
    <s v="ORD-2025-728935"/>
    <d v="2025-02-28T00:00:00"/>
    <s v="Q1-2025"/>
    <s v="Feb-2025"/>
    <d v="2025-03-10T00:00:00"/>
    <n v="10"/>
    <d v="2025-03-10T00:00:00"/>
    <x v="1"/>
    <x v="2"/>
    <x v="4"/>
    <s v="Education"/>
    <s v="Distributor"/>
    <s v="N. Brown"/>
    <x v="4"/>
    <s v="LAP-3017"/>
    <n v="51.86"/>
    <n v="45.98"/>
    <n v="0.17299999999999999"/>
    <n v="7"/>
    <s v="ok"/>
    <n v="10"/>
    <n v="10"/>
    <n v="266.17821999999995"/>
    <n v="363.02"/>
    <n v="-96.841780000000028"/>
    <n v="-0.3638230806412337"/>
  </r>
  <r>
    <m/>
    <m/>
    <m/>
    <m/>
    <m/>
    <m/>
    <m/>
    <x v="4"/>
    <x v="12"/>
    <x v="40"/>
    <m/>
    <m/>
    <m/>
    <x v="7"/>
    <m/>
    <m/>
    <m/>
    <m/>
    <m/>
    <m/>
    <n v="14.262658227848101"/>
    <n v="14.430379746835444"/>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4">
  <r>
    <s v="ORD-2024-275203"/>
    <d v="2024-03-11T00:00:00"/>
    <s v="Q1-2024"/>
    <x v="0"/>
    <d v="2024-04-06T00:00:00"/>
    <n v="26"/>
    <n v="0"/>
    <d v="2024-04-06T00:00:00"/>
    <x v="0"/>
    <x v="0"/>
    <s v="Kisumu"/>
    <s v="Corporate"/>
    <x v="0"/>
    <x v="0"/>
    <x v="0"/>
    <s v="Low"/>
    <x v="0"/>
    <n v="279.24"/>
    <n v="608.9"/>
    <n v="0.112"/>
    <n v="0"/>
    <n v="9"/>
    <s v="ok"/>
    <n v="26"/>
    <n v="26"/>
    <n v="4866.3287999999993"/>
    <n v="2513.16"/>
    <n v="2353.1687999999995"/>
    <n v="606.37750000000005"/>
    <n v="1193.865"/>
    <n v="1912.0450000000001"/>
    <s v="High"/>
    <n v="0.48356140670149533"/>
    <d v="2023-01-20T00:00:00"/>
    <x v="0"/>
  </r>
  <r>
    <s v="ORD-2024-358795"/>
    <d v="2024-10-23T00:00:00"/>
    <s v="Q4-2024"/>
    <x v="1"/>
    <d v="2024-10-22T00:00:00"/>
    <n v="14"/>
    <n v="0"/>
    <d v="2024-11-06T00:00:00"/>
    <x v="0"/>
    <x v="1"/>
    <s v="Port Harcourt"/>
    <s v="Education"/>
    <x v="1"/>
    <x v="1"/>
    <x v="1"/>
    <s v="Low"/>
    <x v="1"/>
    <n v="1084.3900000000001"/>
    <n v="759.33"/>
    <n v="0.23699999999999999"/>
    <n v="1"/>
    <n v="31"/>
    <s v="sus"/>
    <n v="-1"/>
    <n v="1"/>
    <n v="17960.432489999999"/>
    <n v="33616.090000000004"/>
    <n v="-15655.657510000005"/>
    <n v="606.37750000000005"/>
    <n v="1193.865"/>
    <n v="1912.0450000000001"/>
    <s v="Medium"/>
    <n v="-0.87167486187856302"/>
    <d v="2023-01-15T00:00:00"/>
    <x v="0"/>
  </r>
  <r>
    <s v="ORD-2023-373538"/>
    <d v="2023-02-28T00:00:00"/>
    <s v="Q1-2023"/>
    <x v="2"/>
    <d v="2023-03-25T00:00:00"/>
    <n v="25"/>
    <n v="0"/>
    <d v="2023-03-25T00:00:00"/>
    <x v="0"/>
    <x v="0"/>
    <s v="Nairobi"/>
    <s v="Corporate"/>
    <x v="0"/>
    <x v="2"/>
    <x v="2"/>
    <s v="Low"/>
    <x v="2"/>
    <n v="1460.76"/>
    <n v="30.66"/>
    <n v="0.13100000000000001"/>
    <n v="0"/>
    <n v="12"/>
    <s v="ok"/>
    <n v="25"/>
    <n v="25"/>
    <n v="319.72248000000002"/>
    <n v="17529.12"/>
    <n v="-17209.397519999999"/>
    <n v="606.37750000000005"/>
    <n v="1193.865"/>
    <n v="1912.0450000000001"/>
    <s v="Medium"/>
    <n v="-53.826047890032626"/>
    <d v="2023-01-20T00:00:00"/>
    <x v="0"/>
  </r>
  <r>
    <s v="ORD-2025-168148"/>
    <d v="2025-03-29T00:00:00"/>
    <s v="Q1-2025"/>
    <x v="3"/>
    <d v="2025-04-02T00:00:00"/>
    <n v="4"/>
    <n v="1"/>
    <d v="2025-04-02T00:00:00"/>
    <x v="0"/>
    <x v="1"/>
    <s v="Lagos"/>
    <s v="Non-Profit"/>
    <x v="2"/>
    <x v="3"/>
    <x v="3"/>
    <s v="Low"/>
    <x v="3"/>
    <n v="259.93"/>
    <n v="255.94"/>
    <n v="7.1999999999999995E-2"/>
    <n v="0"/>
    <n v="22"/>
    <s v="ok"/>
    <n v="4"/>
    <n v="4"/>
    <n v="5225.2710400000005"/>
    <n v="5718.46"/>
    <n v="-493.1889599999995"/>
    <n v="606.37750000000005"/>
    <n v="1193.865"/>
    <n v="1912.0450000000001"/>
    <s v="Low"/>
    <n v="-9.4385335463861311E-2"/>
    <d v="2023-01-15T00:00:00"/>
    <x v="0"/>
  </r>
  <r>
    <s v="ORD-2023-824839"/>
    <d v="2023-12-06T00:00:00"/>
    <s v="Q4-2023"/>
    <x v="4"/>
    <d v="2023-12-31T00:00:00"/>
    <n v="25"/>
    <n v="0"/>
    <d v="2023-12-31T00:00:00"/>
    <x v="1"/>
    <x v="2"/>
    <s v="Osaka"/>
    <s v="Consumer"/>
    <x v="0"/>
    <x v="4"/>
    <x v="1"/>
    <s v="Low"/>
    <x v="4"/>
    <n v="663.03"/>
    <n v="813.51"/>
    <n v="0.10199999999999999"/>
    <n v="0"/>
    <n v="15"/>
    <s v="ok"/>
    <n v="25"/>
    <n v="25"/>
    <n v="10957.9797"/>
    <n v="9945.4499999999989"/>
    <n v="1012.529700000001"/>
    <n v="606.37750000000005"/>
    <n v="1193.865"/>
    <n v="1912.0450000000001"/>
    <s v="Low"/>
    <n v="9.2401129379715952E-2"/>
    <d v="2023-03-03T00:00:00"/>
    <x v="1"/>
  </r>
  <r>
    <s v="ORD-2023-723587"/>
    <d v="2023-01-02T00:00:00"/>
    <s v="Q1-2023"/>
    <x v="5"/>
    <d v="2023-01-05T00:00:00"/>
    <n v="3"/>
    <n v="1"/>
    <d v="2023-01-05T00:00:00"/>
    <x v="2"/>
    <x v="3"/>
    <s v="Toronto"/>
    <s v="Corporate"/>
    <x v="3"/>
    <x v="5"/>
    <x v="4"/>
    <s v="Low"/>
    <x v="5"/>
    <n v="315.87"/>
    <n v="591.67999999999995"/>
    <n v="0"/>
    <n v="0"/>
    <n v="7"/>
    <s v="ok"/>
    <n v="3"/>
    <n v="3"/>
    <n v="4141.7599999999993"/>
    <n v="2211.09"/>
    <n v="1930.6699999999992"/>
    <n v="606.37750000000005"/>
    <n v="1193.865"/>
    <n v="1912.0450000000001"/>
    <s v="Medium"/>
    <n v="0.46614724175229844"/>
    <d v="2023-01-02T00:00:00"/>
    <x v="0"/>
  </r>
  <r>
    <s v="ORD-2024-336584"/>
    <d v="2024-12-27T00:00:00"/>
    <s v="Q4-2024"/>
    <x v="6"/>
    <d v="2025-01-14T00:00:00"/>
    <n v="18"/>
    <n v="0"/>
    <d v="2025-01-14T00:00:00"/>
    <x v="1"/>
    <x v="4"/>
    <s v="Bengaluru"/>
    <s v="Small Business"/>
    <x v="2"/>
    <x v="6"/>
    <x v="5"/>
    <s v="Medium"/>
    <x v="6"/>
    <n v="586.07000000000005"/>
    <n v="845.97"/>
    <n v="0.14699999999999999"/>
    <n v="0"/>
    <n v="4"/>
    <s v="ok"/>
    <n v="18"/>
    <n v="18"/>
    <n v="2886.4496399999998"/>
    <n v="2344.2800000000002"/>
    <n v="542.16963999999962"/>
    <n v="606.37750000000005"/>
    <n v="1193.865"/>
    <n v="1912.0450000000001"/>
    <s v="Low"/>
    <n v="0.18783270370862928"/>
    <d v="2023-01-29T00:00:00"/>
    <x v="0"/>
  </r>
  <r>
    <s v="ORD-2023-112666"/>
    <d v="2023-01-15T00:00:00"/>
    <s v="Q1-2023"/>
    <x v="5"/>
    <d v="2023-01-13T00:00:00"/>
    <n v="14"/>
    <n v="0"/>
    <d v="2023-01-29T00:00:00"/>
    <x v="0"/>
    <x v="1"/>
    <s v="Abuja"/>
    <s v="Education"/>
    <x v="1"/>
    <x v="7"/>
    <x v="1"/>
    <s v="Low"/>
    <x v="7"/>
    <n v="28.38"/>
    <n v="47.22"/>
    <n v="0.19400000000000001"/>
    <n v="0"/>
    <n v="18"/>
    <s v="sus"/>
    <n v="-2"/>
    <n v="2"/>
    <n v="685.06776000000002"/>
    <n v="510.84"/>
    <n v="174.22776000000005"/>
    <n v="606.37750000000005"/>
    <n v="1193.865"/>
    <n v="1912.0450000000001"/>
    <s v="Medium"/>
    <n v="0.25432193743871417"/>
    <d v="2023-01-15T00:00:00"/>
    <x v="0"/>
  </r>
  <r>
    <s v="ORD-2024-589570"/>
    <d v="2024-05-04T00:00:00"/>
    <s v="Q2-2024"/>
    <x v="7"/>
    <d v="2024-05-29T00:00:00"/>
    <n v="25"/>
    <n v="0"/>
    <d v="2024-05-29T00:00:00"/>
    <x v="0"/>
    <x v="1"/>
    <s v="Abuja"/>
    <s v="Non-Profit"/>
    <x v="2"/>
    <x v="7"/>
    <x v="5"/>
    <s v="High"/>
    <x v="8"/>
    <n v="1295.3399999999999"/>
    <n v="2530.81"/>
    <n v="3.1E-2"/>
    <n v="0"/>
    <n v="6"/>
    <s v="ok"/>
    <n v="25"/>
    <n v="25"/>
    <n v="14714.12934"/>
    <n v="7772.0399999999991"/>
    <n v="6942.0893400000004"/>
    <n v="606.37750000000005"/>
    <n v="1193.865"/>
    <n v="1912.0450000000001"/>
    <s v="Low"/>
    <n v="0.4717974933880798"/>
    <d v="2023-01-15T00:00:00"/>
    <x v="0"/>
  </r>
  <r>
    <s v="ORD-2025-997421"/>
    <d v="2025-05-21T00:00:00"/>
    <s v="Q2-2025"/>
    <x v="8"/>
    <d v="2025-06-09T00:00:00"/>
    <n v="19"/>
    <n v="0"/>
    <d v="2025-06-09T00:00:00"/>
    <x v="2"/>
    <x v="5"/>
    <s v="São Paulo"/>
    <s v="Non-Profit"/>
    <x v="1"/>
    <x v="8"/>
    <x v="0"/>
    <s v="High"/>
    <x v="9"/>
    <n v="1331.38"/>
    <n v="2309.56"/>
    <n v="0.14899999999999999"/>
    <n v="0"/>
    <n v="31"/>
    <s v="ok"/>
    <n v="19"/>
    <n v="19"/>
    <n v="60928.502359999999"/>
    <n v="41272.780000000006"/>
    <n v="19655.722359999992"/>
    <n v="606.37750000000005"/>
    <n v="1193.865"/>
    <n v="1912.0450000000001"/>
    <s v="High"/>
    <n v="0.32260307735553528"/>
    <d v="2023-01-29T00:00:00"/>
    <x v="0"/>
  </r>
  <r>
    <s v="ORD-2024-210687"/>
    <d v="2024-01-28T00:00:00"/>
    <s v="Q1-2024"/>
    <x v="9"/>
    <d v="2024-02-09T00:00:00"/>
    <n v="12"/>
    <n v="0"/>
    <d v="2024-02-09T00:00:00"/>
    <x v="3"/>
    <x v="6"/>
    <s v="Berlin"/>
    <s v="Corporate"/>
    <x v="1"/>
    <x v="3"/>
    <x v="6"/>
    <s v="Low"/>
    <x v="10"/>
    <n v="644.16999999999996"/>
    <n v="700.12"/>
    <n v="6.0000000000000001E-3"/>
    <n v="0"/>
    <n v="23"/>
    <s v="ok"/>
    <n v="12"/>
    <n v="12"/>
    <n v="16006.14344"/>
    <n v="14815.91"/>
    <n v="1190.23344"/>
    <n v="606.37750000000005"/>
    <n v="1193.865"/>
    <n v="1912.0450000000001"/>
    <s v="High"/>
    <n v="7.436103796405813E-2"/>
    <d v="2023-01-22T00:00:00"/>
    <x v="0"/>
  </r>
  <r>
    <s v="ORD-2025-515515"/>
    <d v="2025-01-03T00:00:00"/>
    <s v="Q1-2025"/>
    <x v="10"/>
    <d v="2025-01-23T00:00:00"/>
    <n v="20"/>
    <n v="0"/>
    <d v="2025-01-23T00:00:00"/>
    <x v="1"/>
    <x v="2"/>
    <s v="Osaka"/>
    <s v="Corporate"/>
    <x v="3"/>
    <x v="9"/>
    <x v="3"/>
    <s v="Low"/>
    <x v="11"/>
    <n v="908.6"/>
    <n v="691.37"/>
    <n v="0.25"/>
    <n v="1"/>
    <n v="20"/>
    <s v="ok"/>
    <n v="20"/>
    <n v="20"/>
    <n v="10370.549999999999"/>
    <n v="18172"/>
    <n v="-7801.4500000000007"/>
    <n v="606.37750000000005"/>
    <n v="1193.865"/>
    <n v="1912.0450000000001"/>
    <s v="Medium"/>
    <n v="-0.75226964818645115"/>
    <d v="2023-03-03T00:00:00"/>
    <x v="1"/>
  </r>
  <r>
    <s v="ORD-2025-487261"/>
    <d v="2025-03-06T00:00:00"/>
    <s v="Q1-2025"/>
    <x v="3"/>
    <d v="2025-03-31T00:00:00"/>
    <n v="25"/>
    <n v="0"/>
    <d v="2025-03-31T00:00:00"/>
    <x v="2"/>
    <x v="5"/>
    <s v="Brasília"/>
    <s v="Non-Profit"/>
    <x v="1"/>
    <x v="1"/>
    <x v="0"/>
    <s v="Low"/>
    <x v="12"/>
    <n v="331.57"/>
    <n v="548.4"/>
    <n v="9.4E-2"/>
    <n v="0"/>
    <n v="10"/>
    <s v="ok"/>
    <n v="25"/>
    <n v="25"/>
    <n v="4968.5039999999999"/>
    <n v="3315.7"/>
    <n v="1652.8040000000001"/>
    <n v="606.37750000000005"/>
    <n v="1193.865"/>
    <n v="1912.0450000000001"/>
    <s v="Medium"/>
    <n v="0.33265626836568918"/>
    <d v="2023-01-29T00:00:00"/>
    <x v="0"/>
  </r>
  <r>
    <s v="ORD-2024-890180"/>
    <d v="2024-01-20T00:00:00"/>
    <s v="Q1-2024"/>
    <x v="9"/>
    <d v="2024-02-13T00:00:00"/>
    <n v="24"/>
    <n v="0"/>
    <d v="2024-02-13T00:00:00"/>
    <x v="3"/>
    <x v="7"/>
    <s v="Marseille"/>
    <s v="Corporate"/>
    <x v="0"/>
    <x v="10"/>
    <x v="1"/>
    <s v="Medium"/>
    <x v="13"/>
    <n v="643.53"/>
    <n v="1439.01"/>
    <n v="0"/>
    <n v="0"/>
    <n v="15"/>
    <s v="ok"/>
    <n v="24"/>
    <n v="24"/>
    <n v="21585.15"/>
    <n v="9652.9499999999989"/>
    <n v="11932.200000000003"/>
    <n v="606.37750000000005"/>
    <n v="1193.865"/>
    <n v="1912.0450000000001"/>
    <s v="Low"/>
    <n v="0.55279671440782208"/>
    <d v="2023-01-10T00:00:00"/>
    <x v="0"/>
  </r>
  <r>
    <s v="ORD-2025-840976"/>
    <d v="2025-09-01T00:00:00"/>
    <s v="Q3-2025"/>
    <x v="11"/>
    <d v="2025-09-30T00:00:00"/>
    <n v="29"/>
    <n v="0"/>
    <d v="2025-09-30T00:00:00"/>
    <x v="2"/>
    <x v="5"/>
    <s v="Brasília"/>
    <s v="Education"/>
    <x v="0"/>
    <x v="11"/>
    <x v="6"/>
    <s v="Low"/>
    <x v="14"/>
    <n v="780.59"/>
    <n v="631.57000000000005"/>
    <n v="0"/>
    <n v="0"/>
    <n v="12"/>
    <s v="ok"/>
    <n v="29"/>
    <n v="29"/>
    <n v="7578.84"/>
    <n v="9367.08"/>
    <n v="-1788.2399999999998"/>
    <n v="606.37750000000005"/>
    <n v="1193.865"/>
    <n v="1912.0450000000001"/>
    <s v="Medium"/>
    <n v="-0.23595167598207639"/>
    <d v="2023-01-29T00:00:00"/>
    <x v="0"/>
  </r>
  <r>
    <s v="ORD-2023-937291"/>
    <d v="2023-04-23T00:00:00"/>
    <s v="Q2-2023"/>
    <x v="12"/>
    <d v="2023-04-22T00:00:00"/>
    <n v="14"/>
    <n v="0"/>
    <d v="2023-05-07T00:00:00"/>
    <x v="0"/>
    <x v="0"/>
    <s v="Nairobi"/>
    <s v="Small Business"/>
    <x v="4"/>
    <x v="6"/>
    <x v="4"/>
    <s v="Medium"/>
    <x v="15"/>
    <n v="756.51"/>
    <n v="850.8"/>
    <n v="7.3999999999999996E-2"/>
    <n v="0"/>
    <n v="9"/>
    <s v="sus"/>
    <n v="-1"/>
    <n v="1"/>
    <n v="7090.5672000000004"/>
    <n v="6808.59"/>
    <n v="281.97720000000027"/>
    <n v="606.37750000000005"/>
    <n v="1193.865"/>
    <n v="1912.0450000000001"/>
    <s v="Medium"/>
    <n v="3.9767932810791252E-2"/>
    <d v="2023-01-20T00:00:00"/>
    <x v="0"/>
  </r>
  <r>
    <s v="ORD-2024-206081"/>
    <d v="2024-12-10T00:00:00"/>
    <s v="Q4-2024"/>
    <x v="6"/>
    <d v="2025-01-08T00:00:00"/>
    <n v="29"/>
    <n v="0"/>
    <d v="2025-01-08T00:00:00"/>
    <x v="3"/>
    <x v="7"/>
    <s v="Marseille"/>
    <s v="Small Business"/>
    <x v="0"/>
    <x v="11"/>
    <x v="1"/>
    <s v="Medium"/>
    <x v="16"/>
    <n v="891.08"/>
    <n v="1040.0999999999999"/>
    <n v="0.109"/>
    <n v="0"/>
    <n v="28"/>
    <s v="ok"/>
    <n v="29"/>
    <n v="29"/>
    <n v="25948.414799999995"/>
    <n v="24950.240000000002"/>
    <n v="998.17479999999341"/>
    <n v="606.37750000000005"/>
    <n v="1193.865"/>
    <n v="1912.0450000000001"/>
    <s v="Medium"/>
    <n v="3.8467660074556598E-2"/>
    <d v="2023-01-10T00:00:00"/>
    <x v="0"/>
  </r>
  <r>
    <s v="ORD-2025-233883"/>
    <d v="2025-09-08T00:00:00"/>
    <s v="Q3-2025"/>
    <x v="11"/>
    <d v="2025-09-16T00:00:00"/>
    <n v="8"/>
    <n v="0"/>
    <d v="2025-09-16T00:00:00"/>
    <x v="1"/>
    <x v="2"/>
    <s v="Osaka"/>
    <s v="Corporate"/>
    <x v="3"/>
    <x v="0"/>
    <x v="3"/>
    <s v="High"/>
    <x v="17"/>
    <n v="1225.57"/>
    <n v="2705.57"/>
    <n v="0.183"/>
    <n v="0"/>
    <n v="16"/>
    <s v="ok"/>
    <n v="8"/>
    <n v="8"/>
    <n v="35367.211040000002"/>
    <n v="19609.12"/>
    <n v="15758.091040000003"/>
    <n v="606.37750000000005"/>
    <n v="1193.865"/>
    <n v="1912.0450000000001"/>
    <s v="Medium"/>
    <n v="0.44555650775453404"/>
    <d v="2023-03-03T00:00:00"/>
    <x v="1"/>
  </r>
  <r>
    <s v="ORD-2025-843974"/>
    <d v="2025-07-20T00:00:00"/>
    <s v="Q3-2025"/>
    <x v="13"/>
    <d v="2025-08-05T00:00:00"/>
    <n v="16"/>
    <n v="0"/>
    <d v="2025-08-05T00:00:00"/>
    <x v="2"/>
    <x v="5"/>
    <s v="Brasília"/>
    <s v="Enterprise"/>
    <x v="2"/>
    <x v="3"/>
    <x v="6"/>
    <s v="High"/>
    <x v="18"/>
    <n v="1068.17"/>
    <n v="2375.37"/>
    <n v="0.109"/>
    <n v="0"/>
    <n v="18"/>
    <s v="ok"/>
    <n v="16"/>
    <n v="16"/>
    <n v="38096.18406"/>
    <n v="19227.060000000001"/>
    <n v="18869.124059999998"/>
    <n v="606.37750000000005"/>
    <n v="1193.865"/>
    <n v="1912.0450000000001"/>
    <s v="High"/>
    <n v="0.49530220744108822"/>
    <d v="2023-01-29T00:00:00"/>
    <x v="0"/>
  </r>
  <r>
    <s v="ORD-2025-745263"/>
    <d v="2025-05-21T00:00:00"/>
    <s v="Q2-2025"/>
    <x v="8"/>
    <d v="2025-05-19T00:00:00"/>
    <n v="14"/>
    <n v="0"/>
    <d v="2025-06-04T00:00:00"/>
    <x v="3"/>
    <x v="8"/>
    <s v="Birmingham"/>
    <s v="Enterprise"/>
    <x v="1"/>
    <x v="12"/>
    <x v="4"/>
    <s v="High"/>
    <x v="19"/>
    <n v="1015.16"/>
    <n v="2148.14"/>
    <n v="3.7999999999999999E-2"/>
    <n v="0"/>
    <n v="19"/>
    <s v="sus"/>
    <n v="-2"/>
    <n v="2"/>
    <n v="39263.702919999996"/>
    <n v="19288.04"/>
    <n v="19975.662919999995"/>
    <n v="606.37750000000005"/>
    <n v="1193.865"/>
    <n v="1912.0450000000001"/>
    <s v="High"/>
    <n v="0.50875647059322227"/>
    <d v="2023-01-19T00:00:00"/>
    <x v="0"/>
  </r>
  <r>
    <s v="ORD-2024-798002"/>
    <d v="2024-07-25T00:00:00"/>
    <s v="Q3-2024"/>
    <x v="14"/>
    <d v="2024-07-24T00:00:00"/>
    <n v="14"/>
    <n v="0"/>
    <d v="2024-08-08T00:00:00"/>
    <x v="0"/>
    <x v="0"/>
    <s v="Mombasa"/>
    <s v="Non-Profit"/>
    <x v="4"/>
    <x v="1"/>
    <x v="4"/>
    <s v="High"/>
    <x v="20"/>
    <n v="1494.4"/>
    <n v="3661.07"/>
    <n v="7.1999999999999995E-2"/>
    <n v="0"/>
    <n v="7"/>
    <s v="sus"/>
    <n v="-1"/>
    <n v="1"/>
    <n v="23782.310720000001"/>
    <n v="10460.800000000001"/>
    <n v="13321.51072"/>
    <n v="606.37750000000005"/>
    <n v="1193.865"/>
    <n v="1912.0450000000001"/>
    <s v="High"/>
    <n v="0.56014366630897339"/>
    <d v="2023-01-20T00:00:00"/>
    <x v="0"/>
  </r>
  <r>
    <s v="ORD-2023-867836"/>
    <d v="2023-05-11T00:00:00"/>
    <s v="Q2-2023"/>
    <x v="15"/>
    <d v="2023-05-28T00:00:00"/>
    <n v="17"/>
    <n v="0"/>
    <d v="2023-05-28T00:00:00"/>
    <x v="1"/>
    <x v="9"/>
    <s v="Shenzhen"/>
    <s v="Enterprise"/>
    <x v="2"/>
    <x v="6"/>
    <x v="2"/>
    <s v="High"/>
    <x v="21"/>
    <n v="1331.19"/>
    <n v="2903.09"/>
    <n v="0.14299999999999999"/>
    <n v="0"/>
    <n v="8"/>
    <s v="ok"/>
    <n v="17"/>
    <n v="17"/>
    <n v="19903.585040000002"/>
    <n v="10649.52"/>
    <n v="9254.0650400000013"/>
    <n v="606.37750000000005"/>
    <n v="1193.865"/>
    <n v="1912.0450000000001"/>
    <s v="High"/>
    <n v="0.46494463290920784"/>
    <d v="2023-01-12T00:00:00"/>
    <x v="0"/>
  </r>
  <r>
    <s v="ORD-2025-580047"/>
    <d v="2025-06-14T00:00:00"/>
    <s v="Q2-2025"/>
    <x v="16"/>
    <d v="2025-06-29T00:00:00"/>
    <n v="15"/>
    <n v="0"/>
    <d v="2025-06-29T00:00:00"/>
    <x v="0"/>
    <x v="1"/>
    <s v="Port Harcourt"/>
    <s v="Consumer"/>
    <x v="2"/>
    <x v="12"/>
    <x v="6"/>
    <s v="Medium"/>
    <x v="22"/>
    <n v="730.99"/>
    <n v="1242.8399999999999"/>
    <n v="0.12"/>
    <n v="0"/>
    <n v="10"/>
    <s v="ok"/>
    <n v="15"/>
    <n v="15"/>
    <n v="10936.992"/>
    <n v="7309.9"/>
    <n v="3627.0920000000006"/>
    <n v="606.37750000000005"/>
    <n v="1193.865"/>
    <n v="1912.0450000000001"/>
    <s v="High"/>
    <n v="0.33163524303574515"/>
    <d v="2023-01-15T00:00:00"/>
    <x v="0"/>
  </r>
  <r>
    <s v="ORD-2024-500109"/>
    <d v="2024-05-18T00:00:00"/>
    <s v="Q2-2024"/>
    <x v="7"/>
    <d v="2024-05-23T00:00:00"/>
    <n v="5"/>
    <n v="1"/>
    <d v="2024-05-23T00:00:00"/>
    <x v="2"/>
    <x v="10"/>
    <s v="Chicago"/>
    <s v="Enterprise"/>
    <x v="0"/>
    <x v="10"/>
    <x v="4"/>
    <s v="High"/>
    <x v="23"/>
    <n v="1274.5899999999999"/>
    <n v="2553.69"/>
    <n v="0.01"/>
    <n v="0"/>
    <n v="8"/>
    <s v="ok"/>
    <n v="5"/>
    <n v="5"/>
    <n v="20225.2248"/>
    <n v="10196.719999999999"/>
    <n v="10028.504800000001"/>
    <n v="606.37750000000005"/>
    <n v="1193.865"/>
    <n v="1912.0450000000001"/>
    <s v="Medium"/>
    <n v="0.49584145042481803"/>
    <d v="2023-01-13T00:00:00"/>
    <x v="0"/>
  </r>
  <r>
    <s v="ORD-2023-271836"/>
    <d v="2023-02-07T00:00:00"/>
    <s v="Q1-2023"/>
    <x v="2"/>
    <d v="2023-02-12T00:00:00"/>
    <n v="5"/>
    <n v="1"/>
    <d v="2023-02-12T00:00:00"/>
    <x v="2"/>
    <x v="5"/>
    <s v="São Paulo"/>
    <s v="Education"/>
    <x v="1"/>
    <x v="13"/>
    <x v="0"/>
    <s v="High"/>
    <x v="24"/>
    <n v="948.55"/>
    <n v="2089.16"/>
    <n v="7.0000000000000001E-3"/>
    <n v="0"/>
    <n v="12"/>
    <s v="ok"/>
    <n v="5"/>
    <n v="5"/>
    <n v="24894.430559999997"/>
    <n v="11382.599999999999"/>
    <n v="13511.830559999999"/>
    <n v="606.37750000000005"/>
    <n v="1193.865"/>
    <n v="1912.0450000000001"/>
    <s v="High"/>
    <n v="0.54276519912492427"/>
    <d v="2023-01-29T00:00:00"/>
    <x v="0"/>
  </r>
  <r>
    <s v="ORD-2024-215294"/>
    <d v="2024-06-30T00:00:00"/>
    <s v="Q2-2024"/>
    <x v="17"/>
    <d v="2024-07-14T00:00:00"/>
    <n v="14"/>
    <n v="0"/>
    <d v="2024-07-14T00:00:00"/>
    <x v="2"/>
    <x v="5"/>
    <s v="Brasília"/>
    <s v="Education"/>
    <x v="0"/>
    <x v="0"/>
    <x v="6"/>
    <s v="High"/>
    <x v="25"/>
    <n v="1491.85"/>
    <n v="2583.02"/>
    <n v="0.16800000000000001"/>
    <n v="0"/>
    <n v="4"/>
    <s v="ok"/>
    <n v="14"/>
    <n v="14"/>
    <n v="8596.2905599999995"/>
    <n v="5967.4"/>
    <n v="2628.8905599999998"/>
    <n v="606.37750000000005"/>
    <n v="1193.865"/>
    <n v="1912.0450000000001"/>
    <s v="High"/>
    <n v="0.30581685689321325"/>
    <d v="2023-01-29T00:00:00"/>
    <x v="0"/>
  </r>
  <r>
    <s v="ORD-2024-788105"/>
    <d v="2024-11-30T00:00:00"/>
    <s v="Q4-2024"/>
    <x v="18"/>
    <d v="2024-12-30T00:00:00"/>
    <n v="30"/>
    <n v="0"/>
    <d v="2024-12-30T00:00:00"/>
    <x v="3"/>
    <x v="7"/>
    <s v="Marseille"/>
    <s v="Consumer"/>
    <x v="2"/>
    <x v="9"/>
    <x v="1"/>
    <s v="Low"/>
    <x v="26"/>
    <n v="117.64"/>
    <n v="175.67"/>
    <n v="0"/>
    <n v="0"/>
    <n v="10"/>
    <s v="ok"/>
    <n v="30"/>
    <n v="30"/>
    <n v="1756.6999999999998"/>
    <n v="1176.4000000000001"/>
    <n v="580.29999999999973"/>
    <n v="606.37750000000005"/>
    <n v="1193.865"/>
    <n v="1912.0450000000001"/>
    <s v="High"/>
    <n v="0.33033528775545046"/>
    <d v="2023-01-10T00:00:00"/>
    <x v="0"/>
  </r>
  <r>
    <s v="ORD-2024-855073"/>
    <d v="2024-07-19T00:00:00"/>
    <s v="Q3-2024"/>
    <x v="14"/>
    <d v="2024-07-19T00:00:00"/>
    <n v="0"/>
    <n v="1"/>
    <d v="2024-07-19T00:00:00"/>
    <x v="0"/>
    <x v="0"/>
    <s v="Kisumu"/>
    <s v="Small Business"/>
    <x v="0"/>
    <x v="8"/>
    <x v="3"/>
    <s v="Low"/>
    <x v="27"/>
    <n v="857.24"/>
    <n v="758.23"/>
    <n v="0.125"/>
    <n v="0"/>
    <n v="6"/>
    <s v="sus"/>
    <n v="0"/>
    <n v="0"/>
    <n v="3980.7075"/>
    <n v="5143.4400000000005"/>
    <n v="-1162.7325000000005"/>
    <n v="606.37750000000005"/>
    <n v="1193.865"/>
    <n v="1912.0450000000001"/>
    <s v="Low"/>
    <n v="-0.29209192084572921"/>
    <d v="2023-01-20T00:00:00"/>
    <x v="0"/>
  </r>
  <r>
    <s v="ORD-2023-897079"/>
    <d v="2023-04-14T00:00:00"/>
    <s v="Q2-2023"/>
    <x v="12"/>
    <d v="2023-05-14T00:00:00"/>
    <n v="30"/>
    <n v="0"/>
    <d v="2023-05-14T00:00:00"/>
    <x v="0"/>
    <x v="0"/>
    <s v="Nakuru"/>
    <s v="Consumer"/>
    <x v="2"/>
    <x v="12"/>
    <x v="3"/>
    <s v="Low"/>
    <x v="28"/>
    <n v="209.25"/>
    <n v="434.8"/>
    <n v="0"/>
    <n v="0"/>
    <n v="9"/>
    <s v="ok"/>
    <n v="30"/>
    <n v="30"/>
    <n v="3913.2000000000003"/>
    <n v="1883.25"/>
    <n v="2029.9500000000003"/>
    <n v="606.37750000000005"/>
    <n v="1193.865"/>
    <n v="1912.0450000000001"/>
    <s v="Medium"/>
    <n v="0.51874425022999082"/>
    <d v="2023-01-20T00:00:00"/>
    <x v="0"/>
  </r>
  <r>
    <s v="ORD-2025-548982"/>
    <d v="2025-04-07T00:00:00"/>
    <s v="Q2-2025"/>
    <x v="19"/>
    <d v="2025-04-11T00:00:00"/>
    <n v="4"/>
    <n v="1"/>
    <d v="2025-04-11T00:00:00"/>
    <x v="3"/>
    <x v="7"/>
    <s v="Lyon"/>
    <s v="Education"/>
    <x v="0"/>
    <x v="6"/>
    <x v="2"/>
    <s v="High"/>
    <x v="29"/>
    <n v="754.77"/>
    <n v="1666.18"/>
    <n v="0.13900000000000001"/>
    <n v="0"/>
    <n v="14"/>
    <s v="ok"/>
    <n v="4"/>
    <n v="4"/>
    <n v="20084.133720000002"/>
    <n v="10566.779999999999"/>
    <n v="9517.3537200000028"/>
    <n v="606.37750000000005"/>
    <n v="1193.865"/>
    <n v="1912.0450000000001"/>
    <s v="Low"/>
    <n v="0.47387424584424653"/>
    <d v="2023-01-10T00:00:00"/>
    <x v="0"/>
  </r>
  <r>
    <s v="ORD-2024-170313"/>
    <d v="2024-12-27T00:00:00"/>
    <s v="Q4-2024"/>
    <x v="6"/>
    <d v="2025-01-15T00:00:00"/>
    <n v="19"/>
    <n v="0"/>
    <d v="2025-01-15T00:00:00"/>
    <x v="1"/>
    <x v="4"/>
    <s v="Delhi"/>
    <s v="Non-Profit"/>
    <x v="3"/>
    <x v="3"/>
    <x v="0"/>
    <s v="Low"/>
    <x v="30"/>
    <n v="495.59"/>
    <n v="631.78"/>
    <n v="8.6999999999999994E-2"/>
    <n v="0"/>
    <n v="17"/>
    <s v="ok"/>
    <n v="19"/>
    <n v="19"/>
    <n v="9805.8573800000013"/>
    <n v="8425.0299999999988"/>
    <n v="1380.8273800000024"/>
    <n v="606.37750000000005"/>
    <n v="1193.865"/>
    <n v="1912.0450000000001"/>
    <s v="Medium"/>
    <n v="0.14081658813601899"/>
    <d v="2023-01-29T00:00:00"/>
    <x v="0"/>
  </r>
  <r>
    <s v="ORD-2023-562894"/>
    <d v="2023-02-23T00:00:00"/>
    <s v="Q1-2023"/>
    <x v="2"/>
    <d v="2023-03-25T00:00:00"/>
    <n v="30"/>
    <n v="0"/>
    <d v="2023-03-25T00:00:00"/>
    <x v="2"/>
    <x v="3"/>
    <s v="Montreal"/>
    <s v="Enterprise"/>
    <x v="1"/>
    <x v="14"/>
    <x v="3"/>
    <s v="High"/>
    <x v="31"/>
    <n v="1242.6600000000001"/>
    <n v="1794.07"/>
    <n v="8.8999999999999996E-2"/>
    <n v="0"/>
    <n v="16"/>
    <s v="ok"/>
    <n v="30"/>
    <n v="30"/>
    <n v="26150.364320000001"/>
    <n v="19882.560000000001"/>
    <n v="6267.8043199999993"/>
    <n v="606.37750000000005"/>
    <n v="1193.865"/>
    <n v="1912.0450000000001"/>
    <s v="Medium"/>
    <n v="0.23968325042440553"/>
    <d v="2023-01-02T00:00:00"/>
    <x v="0"/>
  </r>
  <r>
    <s v="ORD-2025-474710"/>
    <d v="2025-07-24T00:00:00"/>
    <s v="Q3-2025"/>
    <x v="13"/>
    <d v="2025-08-06T00:00:00"/>
    <n v="13"/>
    <n v="0"/>
    <d v="2025-08-06T00:00:00"/>
    <x v="0"/>
    <x v="11"/>
    <s v="Johannesburg"/>
    <s v="Education"/>
    <x v="2"/>
    <x v="14"/>
    <x v="2"/>
    <s v="High"/>
    <x v="32"/>
    <n v="1463.9"/>
    <n v="2633.02"/>
    <n v="8.4000000000000005E-2"/>
    <n v="0"/>
    <n v="4"/>
    <s v="ok"/>
    <n v="13"/>
    <n v="13"/>
    <n v="9647.3852800000004"/>
    <n v="5855.6"/>
    <n v="3791.7852800000001"/>
    <n v="606.37750000000005"/>
    <n v="1193.865"/>
    <n v="1912.0450000000001"/>
    <s v="Medium"/>
    <n v="0.39303761277791527"/>
    <d v="2023-01-07T00:00:00"/>
    <x v="0"/>
  </r>
  <r>
    <s v="ORD-2024-629525"/>
    <d v="2024-04-18T00:00:00"/>
    <s v="Q2-2024"/>
    <x v="20"/>
    <d v="2024-05-08T00:00:00"/>
    <n v="20"/>
    <n v="0"/>
    <d v="2024-05-08T00:00:00"/>
    <x v="3"/>
    <x v="8"/>
    <s v="London"/>
    <s v="Non-Profit"/>
    <x v="5"/>
    <x v="14"/>
    <x v="4"/>
    <s v="Medium"/>
    <x v="33"/>
    <n v="645.33000000000004"/>
    <n v="1321.85"/>
    <n v="0"/>
    <n v="0"/>
    <n v="10"/>
    <s v="ok"/>
    <n v="20"/>
    <n v="20"/>
    <n v="13218.5"/>
    <n v="6453.3"/>
    <n v="6765.2"/>
    <n v="606.37750000000005"/>
    <n v="1193.865"/>
    <n v="1912.0450000000001"/>
    <s v="High"/>
    <n v="0.51179785906116426"/>
    <d v="2023-01-19T00:00:00"/>
    <x v="0"/>
  </r>
  <r>
    <s v="ORD-2024-167215"/>
    <d v="2024-08-23T00:00:00"/>
    <s v="Q3-2024"/>
    <x v="21"/>
    <d v="2024-08-21T00:00:00"/>
    <n v="14"/>
    <n v="0"/>
    <d v="2024-09-06T00:00:00"/>
    <x v="0"/>
    <x v="11"/>
    <s v="Johannesburg"/>
    <s v="Education"/>
    <x v="0"/>
    <x v="6"/>
    <x v="0"/>
    <s v="High"/>
    <x v="34"/>
    <n v="1432.52"/>
    <n v="3036.87"/>
    <n v="0"/>
    <n v="0"/>
    <n v="9"/>
    <s v="sus"/>
    <n v="-2"/>
    <n v="2"/>
    <n v="27331.829999999998"/>
    <n v="12892.68"/>
    <n v="14439.149999999998"/>
    <n v="606.37750000000005"/>
    <n v="1193.865"/>
    <n v="1912.0450000000001"/>
    <s v="Medium"/>
    <n v="0.52829064135112791"/>
    <d v="2023-01-07T00:00:00"/>
    <x v="0"/>
  </r>
  <r>
    <s v="ORD-2023-864121"/>
    <d v="2023-03-27T00:00:00"/>
    <s v="Q1-2023"/>
    <x v="22"/>
    <d v="2023-04-22T00:00:00"/>
    <n v="26"/>
    <n v="0"/>
    <d v="2023-04-22T00:00:00"/>
    <x v="1"/>
    <x v="4"/>
    <s v="Delhi"/>
    <s v="Non-Profit"/>
    <x v="2"/>
    <x v="1"/>
    <x v="1"/>
    <s v="Low"/>
    <x v="35"/>
    <n v="178.53"/>
    <n v="199.37"/>
    <n v="0.10100000000000001"/>
    <n v="0"/>
    <n v="37"/>
    <s v="ok"/>
    <n v="26"/>
    <n v="26"/>
    <n v="6631.6443100000006"/>
    <n v="6605.61"/>
    <n v="26.034310000000914"/>
    <n v="606.37750000000005"/>
    <n v="1193.865"/>
    <n v="1912.0450000000001"/>
    <s v="High"/>
    <n v="3.9257699573457538E-3"/>
    <d v="2023-01-29T00:00:00"/>
    <x v="0"/>
  </r>
  <r>
    <s v="ORD-2024-692673"/>
    <d v="2024-03-07T00:00:00"/>
    <s v="Q1-2024"/>
    <x v="0"/>
    <d v="2024-03-25T00:00:00"/>
    <n v="18"/>
    <n v="0"/>
    <d v="2024-03-25T00:00:00"/>
    <x v="3"/>
    <x v="6"/>
    <s v="Munich"/>
    <s v="Corporate"/>
    <x v="1"/>
    <x v="5"/>
    <x v="0"/>
    <s v="Medium"/>
    <x v="36"/>
    <n v="712.84"/>
    <n v="927.51"/>
    <n v="0.24299999999999999"/>
    <n v="1"/>
    <n v="27"/>
    <s v="ok"/>
    <n v="18"/>
    <n v="18"/>
    <n v="18957.37689"/>
    <n v="19246.68"/>
    <n v="-289.30311000000074"/>
    <n v="606.37750000000005"/>
    <n v="1193.865"/>
    <n v="1912.0450000000001"/>
    <s v="Low"/>
    <n v="-1.5260714163076427E-2"/>
    <d v="2023-01-22T00:00:00"/>
    <x v="0"/>
  </r>
  <r>
    <s v="ORD-2025-718992"/>
    <d v="2025-06-24T00:00:00"/>
    <s v="Q2-2025"/>
    <x v="16"/>
    <d v="2025-07-10T00:00:00"/>
    <n v="16"/>
    <n v="0"/>
    <d v="2025-07-10T00:00:00"/>
    <x v="1"/>
    <x v="9"/>
    <s v="Shanghai"/>
    <s v="Enterprise"/>
    <x v="4"/>
    <x v="13"/>
    <x v="0"/>
    <s v="High"/>
    <x v="37"/>
    <n v="757.19"/>
    <n v="1735.41"/>
    <n v="0.13600000000000001"/>
    <n v="0"/>
    <n v="8"/>
    <s v="ok"/>
    <n v="16"/>
    <n v="16"/>
    <n v="11995.153920000001"/>
    <n v="6057.52"/>
    <n v="5937.6339200000002"/>
    <n v="606.37750000000005"/>
    <n v="1193.865"/>
    <n v="1912.0450000000001"/>
    <s v="Medium"/>
    <n v="0.4950027285685718"/>
    <d v="2023-01-12T00:00:00"/>
    <x v="0"/>
  </r>
  <r>
    <s v="ORD-2024-599522"/>
    <d v="2024-04-19T00:00:00"/>
    <s v="Q2-2024"/>
    <x v="20"/>
    <d v="2024-05-06T00:00:00"/>
    <n v="17"/>
    <n v="0"/>
    <d v="2024-05-06T00:00:00"/>
    <x v="0"/>
    <x v="1"/>
    <s v="Port Harcourt"/>
    <s v="Non-Profit"/>
    <x v="1"/>
    <x v="8"/>
    <x v="1"/>
    <s v="Medium"/>
    <x v="38"/>
    <n v="865.33"/>
    <n v="1395.64"/>
    <n v="0.17499999999999999"/>
    <n v="0"/>
    <n v="13"/>
    <s v="ok"/>
    <n v="17"/>
    <n v="17"/>
    <n v="14968.239"/>
    <n v="11249.29"/>
    <n v="3718.9489999999987"/>
    <n v="606.37750000000005"/>
    <n v="1193.865"/>
    <n v="1912.0450000000001"/>
    <s v="Medium"/>
    <n v="0.24845601409758347"/>
    <d v="2023-01-15T00:00:00"/>
    <x v="0"/>
  </r>
  <r>
    <s v="ORD-2023-651638"/>
    <d v="2023-06-17T00:00:00"/>
    <s v="Q2-2023"/>
    <x v="23"/>
    <d v="2023-06-24T00:00:00"/>
    <n v="7"/>
    <n v="1"/>
    <d v="2023-06-24T00:00:00"/>
    <x v="2"/>
    <x v="10"/>
    <s v="San Francisco"/>
    <s v="Corporate"/>
    <x v="0"/>
    <x v="2"/>
    <x v="1"/>
    <s v="Low"/>
    <x v="39"/>
    <n v="313.99"/>
    <n v="454.42"/>
    <n v="0.129"/>
    <n v="0"/>
    <n v="9"/>
    <s v="ok"/>
    <n v="7"/>
    <n v="7"/>
    <n v="3562.1983800000003"/>
    <n v="2825.91"/>
    <n v="736.28838000000042"/>
    <n v="606.37750000000005"/>
    <n v="1193.865"/>
    <n v="1912.0450000000001"/>
    <s v="Medium"/>
    <n v="0.20669493988147858"/>
    <d v="2023-01-13T00:00:00"/>
    <x v="0"/>
  </r>
  <r>
    <s v="ORD-2024-635626"/>
    <d v="2024-08-27T00:00:00"/>
    <s v="Q3-2024"/>
    <x v="21"/>
    <d v="2024-09-19T00:00:00"/>
    <n v="23"/>
    <n v="0"/>
    <d v="2024-09-19T00:00:00"/>
    <x v="3"/>
    <x v="6"/>
    <s v="Berlin"/>
    <s v="Small Business"/>
    <x v="4"/>
    <x v="14"/>
    <x v="5"/>
    <s v="Medium"/>
    <x v="40"/>
    <n v="1024.01"/>
    <n v="1580.97"/>
    <n v="3.6999999999999998E-2"/>
    <n v="0"/>
    <n v="27"/>
    <s v="ok"/>
    <n v="23"/>
    <n v="23"/>
    <n v="41106.800970000004"/>
    <n v="27648.27"/>
    <n v="13458.530970000003"/>
    <n v="606.37750000000005"/>
    <n v="1193.865"/>
    <n v="1912.0450000000001"/>
    <s v="Low"/>
    <n v="0.3274039976942531"/>
    <d v="2023-01-22T00:00:00"/>
    <x v="0"/>
  </r>
  <r>
    <s v="ORD-2024-296582"/>
    <d v="2024-01-11T00:00:00"/>
    <s v="Q1-2024"/>
    <x v="9"/>
    <d v="2024-02-02T00:00:00"/>
    <n v="22"/>
    <n v="0"/>
    <d v="2024-02-02T00:00:00"/>
    <x v="0"/>
    <x v="11"/>
    <s v="Durban"/>
    <s v="Consumer"/>
    <x v="1"/>
    <x v="11"/>
    <x v="2"/>
    <s v="High"/>
    <x v="41"/>
    <n v="1206.2"/>
    <n v="1759.79"/>
    <n v="0"/>
    <n v="0"/>
    <n v="6"/>
    <s v="ok"/>
    <n v="22"/>
    <n v="22"/>
    <n v="10558.74"/>
    <n v="7237.2000000000007"/>
    <n v="3321.5399999999991"/>
    <n v="606.37750000000005"/>
    <n v="1193.865"/>
    <n v="1912.0450000000001"/>
    <s v="Medium"/>
    <n v="0.31457730751964713"/>
    <d v="2023-01-07T00:00:00"/>
    <x v="0"/>
  </r>
  <r>
    <s v="ORD-2024-998320"/>
    <d v="2024-10-25T00:00:00"/>
    <s v="Q4-2024"/>
    <x v="1"/>
    <d v="2024-11-14T00:00:00"/>
    <n v="20"/>
    <n v="0"/>
    <d v="2024-11-14T00:00:00"/>
    <x v="0"/>
    <x v="0"/>
    <s v="Mombasa"/>
    <s v="Corporate"/>
    <x v="4"/>
    <x v="10"/>
    <x v="1"/>
    <s v="High"/>
    <x v="42"/>
    <n v="1396.48"/>
    <n v="3204.5"/>
    <n v="0.318"/>
    <n v="1"/>
    <n v="14"/>
    <s v="ok"/>
    <n v="20"/>
    <n v="20"/>
    <n v="30596.565999999999"/>
    <n v="19550.72"/>
    <n v="11045.845999999998"/>
    <n v="606.37750000000005"/>
    <n v="1193.865"/>
    <n v="1912.0450000000001"/>
    <s v="Medium"/>
    <n v="0.36101587348070363"/>
    <d v="2023-01-20T00:00:00"/>
    <x v="0"/>
  </r>
  <r>
    <s v="ORD-2025-820255"/>
    <d v="2025-05-29T00:00:00"/>
    <s v="Q2-2025"/>
    <x v="8"/>
    <d v="2025-06-20T00:00:00"/>
    <n v="22"/>
    <n v="0"/>
    <d v="2025-06-20T00:00:00"/>
    <x v="3"/>
    <x v="6"/>
    <s v="Berlin"/>
    <s v="Corporate"/>
    <x v="4"/>
    <x v="8"/>
    <x v="1"/>
    <s v="Medium"/>
    <x v="43"/>
    <n v="483.47"/>
    <n v="1135.43"/>
    <n v="0.14599999999999999"/>
    <n v="0"/>
    <n v="11"/>
    <s v="ok"/>
    <n v="22"/>
    <n v="22"/>
    <n v="10666.229420000001"/>
    <n v="5318.17"/>
    <n v="5348.0594200000014"/>
    <n v="606.37750000000005"/>
    <n v="1193.865"/>
    <n v="1912.0450000000001"/>
    <s v="High"/>
    <n v="0.50140112399719983"/>
    <d v="2023-01-22T00:00:00"/>
    <x v="0"/>
  </r>
  <r>
    <s v="ORD-2024-389336"/>
    <d v="2024-05-20T00:00:00"/>
    <s v="Q2-2024"/>
    <x v="7"/>
    <d v="2024-06-02T00:00:00"/>
    <n v="13"/>
    <n v="0"/>
    <d v="2024-06-02T00:00:00"/>
    <x v="2"/>
    <x v="3"/>
    <s v="Vancouver"/>
    <s v="Enterprise"/>
    <x v="2"/>
    <x v="11"/>
    <x v="0"/>
    <s v="Medium"/>
    <x v="44"/>
    <n v="675.43"/>
    <n v="996.36"/>
    <n v="0.182"/>
    <n v="0"/>
    <n v="22"/>
    <s v="ok"/>
    <n v="13"/>
    <n v="13"/>
    <n v="17930.494560000003"/>
    <n v="14859.46"/>
    <n v="3071.0345600000037"/>
    <n v="606.37750000000005"/>
    <n v="1193.865"/>
    <n v="1912.0450000000001"/>
    <s v="Medium"/>
    <n v="0.17127439233332575"/>
    <d v="2023-01-02T00:00:00"/>
    <x v="0"/>
  </r>
  <r>
    <s v="ORD-2023-308124"/>
    <d v="2023-04-19T00:00:00"/>
    <s v="Q2-2023"/>
    <x v="12"/>
    <d v="2023-04-30T00:00:00"/>
    <n v="11"/>
    <n v="0"/>
    <d v="2023-04-30T00:00:00"/>
    <x v="1"/>
    <x v="4"/>
    <s v="Delhi"/>
    <s v="Small Business"/>
    <x v="0"/>
    <x v="8"/>
    <x v="2"/>
    <s v="Medium"/>
    <x v="45"/>
    <n v="826.55"/>
    <n v="1397.05"/>
    <n v="0.16900000000000001"/>
    <n v="0"/>
    <n v="28"/>
    <s v="ok"/>
    <n v="11"/>
    <n v="11"/>
    <n v="32506.559399999998"/>
    <n v="23143.399999999998"/>
    <n v="9363.1594000000005"/>
    <n v="606.37750000000005"/>
    <n v="1193.865"/>
    <n v="1912.0450000000001"/>
    <s v="Medium"/>
    <n v="0.28803907804527601"/>
    <d v="2023-01-29T00:00:00"/>
    <x v="0"/>
  </r>
  <r>
    <s v="ORD-2023-128295"/>
    <d v="2023-06-23T00:00:00"/>
    <s v="Q2-2023"/>
    <x v="23"/>
    <d v="2023-07-03T00:00:00"/>
    <n v="10"/>
    <n v="0"/>
    <d v="2023-07-03T00:00:00"/>
    <x v="0"/>
    <x v="1"/>
    <s v="Abuja"/>
    <s v="Consumer"/>
    <x v="1"/>
    <x v="1"/>
    <x v="1"/>
    <s v="Low"/>
    <x v="46"/>
    <n v="337.75"/>
    <n v="548.89"/>
    <n v="0"/>
    <n v="0"/>
    <n v="13"/>
    <s v="ok"/>
    <n v="10"/>
    <n v="10"/>
    <n v="7135.57"/>
    <n v="4390.75"/>
    <n v="2744.8199999999997"/>
    <n v="606.37750000000005"/>
    <n v="1193.865"/>
    <n v="1912.0450000000001"/>
    <s v="Medium"/>
    <n v="0.38466723751571352"/>
    <d v="2023-01-15T00:00:00"/>
    <x v="0"/>
  </r>
  <r>
    <s v="ORD-2024-548345"/>
    <d v="2024-05-14T00:00:00"/>
    <s v="Q2-2024"/>
    <x v="7"/>
    <d v="2024-05-28T00:00:00"/>
    <n v="14"/>
    <n v="0"/>
    <d v="2024-05-28T00:00:00"/>
    <x v="3"/>
    <x v="8"/>
    <s v="Birmingham"/>
    <s v="Consumer"/>
    <x v="0"/>
    <x v="5"/>
    <x v="2"/>
    <s v="High"/>
    <x v="47"/>
    <n v="1421.14"/>
    <n v="3524"/>
    <n v="0"/>
    <n v="0"/>
    <n v="31"/>
    <s v="ok"/>
    <n v="14"/>
    <n v="14"/>
    <n v="109244"/>
    <n v="44055.340000000004"/>
    <n v="65188.659999999996"/>
    <n v="606.37750000000005"/>
    <n v="1193.865"/>
    <n v="1912.0450000000001"/>
    <s v="Low"/>
    <n v="0.59672531214528945"/>
    <d v="2023-01-19T00:00:00"/>
    <x v="0"/>
  </r>
  <r>
    <s v="ORD-2024-966651"/>
    <d v="2024-10-14T00:00:00"/>
    <s v="Q4-2024"/>
    <x v="1"/>
    <d v="2024-11-08T00:00:00"/>
    <n v="25"/>
    <n v="0"/>
    <d v="2024-11-08T00:00:00"/>
    <x v="0"/>
    <x v="1"/>
    <s v="Lagos"/>
    <s v="Enterprise"/>
    <x v="1"/>
    <x v="7"/>
    <x v="2"/>
    <s v="High"/>
    <x v="48"/>
    <n v="859.35"/>
    <n v="1825.61"/>
    <n v="0.187"/>
    <n v="0"/>
    <n v="24"/>
    <s v="ok"/>
    <n v="25"/>
    <n v="25"/>
    <n v="35621.302319999995"/>
    <n v="20624.400000000001"/>
    <n v="14996.902319999994"/>
    <n v="606.37750000000005"/>
    <n v="1193.865"/>
    <n v="1912.0450000000001"/>
    <s v="High"/>
    <n v="0.42100937762681989"/>
    <d v="2023-01-15T00:00:00"/>
    <x v="0"/>
  </r>
  <r>
    <s v="ORD-2023-292714"/>
    <d v="2023-07-10T00:00:00"/>
    <s v="Q3-2023"/>
    <x v="24"/>
    <d v="2023-08-01T00:00:00"/>
    <n v="22"/>
    <n v="0"/>
    <d v="2023-08-01T00:00:00"/>
    <x v="3"/>
    <x v="7"/>
    <s v="Marseille"/>
    <s v="Consumer"/>
    <x v="2"/>
    <x v="5"/>
    <x v="1"/>
    <s v="High"/>
    <x v="49"/>
    <n v="1303.56"/>
    <n v="1791.37"/>
    <n v="0.126"/>
    <n v="0"/>
    <n v="22"/>
    <s v="ok"/>
    <n v="22"/>
    <n v="22"/>
    <n v="34444.462359999998"/>
    <n v="28678.32"/>
    <n v="5766.142359999998"/>
    <n v="606.37750000000005"/>
    <n v="1193.865"/>
    <n v="1912.0450000000001"/>
    <s v="Medium"/>
    <n v="0.16740404596055358"/>
    <d v="2023-01-10T00:00:00"/>
    <x v="0"/>
  </r>
  <r>
    <s v="ORD-2024-468501"/>
    <d v="2024-11-06T00:00:00"/>
    <s v="Q4-2024"/>
    <x v="18"/>
    <d v="2024-11-22T00:00:00"/>
    <n v="16"/>
    <n v="0"/>
    <d v="2024-11-22T00:00:00"/>
    <x v="2"/>
    <x v="3"/>
    <s v="Toronto"/>
    <s v="Non-Profit"/>
    <x v="3"/>
    <x v="14"/>
    <x v="6"/>
    <s v="High"/>
    <x v="50"/>
    <n v="1454.11"/>
    <n v="2629.75"/>
    <n v="0.29199999999999998"/>
    <n v="1"/>
    <n v="8"/>
    <s v="ok"/>
    <n v="16"/>
    <n v="16"/>
    <n v="14894.903999999999"/>
    <n v="11632.88"/>
    <n v="3262.0239999999994"/>
    <n v="606.37750000000005"/>
    <n v="1193.865"/>
    <n v="1912.0450000000001"/>
    <s v="Medium"/>
    <n v="0.21900268709351867"/>
    <d v="2023-01-02T00:00:00"/>
    <x v="0"/>
  </r>
  <r>
    <s v="ORD-2024-260775"/>
    <d v="2024-10-17T00:00:00"/>
    <s v="Q4-2024"/>
    <x v="1"/>
    <d v="2024-11-06T00:00:00"/>
    <n v="20"/>
    <n v="0"/>
    <d v="2024-11-06T00:00:00"/>
    <x v="1"/>
    <x v="4"/>
    <s v="Bengaluru"/>
    <s v="Enterprise"/>
    <x v="3"/>
    <x v="7"/>
    <x v="5"/>
    <s v="Low"/>
    <x v="51"/>
    <n v="72.94"/>
    <n v="106.3"/>
    <n v="0.29499999999999998"/>
    <n v="1"/>
    <n v="8"/>
    <s v="ok"/>
    <n v="20"/>
    <n v="20"/>
    <n v="599.53200000000004"/>
    <n v="583.52"/>
    <n v="16.012000000000057"/>
    <n v="606.37750000000005"/>
    <n v="1193.865"/>
    <n v="1912.0450000000001"/>
    <s v="High"/>
    <n v="2.6707498515508857E-2"/>
    <d v="2023-01-29T00:00:00"/>
    <x v="0"/>
  </r>
  <r>
    <s v="ORD-2023-419187"/>
    <d v="2023-03-31T00:00:00"/>
    <s v="Q1-2023"/>
    <x v="22"/>
    <d v="2023-04-05T00:00:00"/>
    <n v="5"/>
    <n v="1"/>
    <d v="2023-04-05T00:00:00"/>
    <x v="0"/>
    <x v="0"/>
    <s v="Nakuru"/>
    <s v="Education"/>
    <x v="2"/>
    <x v="5"/>
    <x v="4"/>
    <s v="Low"/>
    <x v="52"/>
    <n v="533.26"/>
    <n v="385.72"/>
    <n v="0"/>
    <n v="0"/>
    <n v="15"/>
    <s v="ok"/>
    <n v="5"/>
    <n v="5"/>
    <n v="5785.8"/>
    <n v="7998.9"/>
    <n v="-2213.0999999999995"/>
    <n v="606.37750000000005"/>
    <n v="1193.865"/>
    <n v="1912.0450000000001"/>
    <s v="Low"/>
    <n v="-0.38250544436378708"/>
    <d v="2023-01-20T00:00:00"/>
    <x v="0"/>
  </r>
  <r>
    <s v="ORD-2025-578007"/>
    <d v="2025-01-21T00:00:00"/>
    <s v="Q1-2025"/>
    <x v="10"/>
    <d v="2025-02-16T00:00:00"/>
    <n v="26"/>
    <n v="0"/>
    <d v="2025-02-16T00:00:00"/>
    <x v="3"/>
    <x v="7"/>
    <s v="Lyon"/>
    <s v="Corporate"/>
    <x v="3"/>
    <x v="7"/>
    <x v="4"/>
    <s v="Low"/>
    <x v="53"/>
    <n v="204.11"/>
    <n v="236.87"/>
    <n v="0.182"/>
    <n v="0"/>
    <n v="13"/>
    <s v="ok"/>
    <n v="26"/>
    <n v="26"/>
    <n v="2518.8755800000004"/>
    <n v="2653.4300000000003"/>
    <n v="-134.55441999999994"/>
    <n v="606.37750000000005"/>
    <n v="1193.865"/>
    <n v="1912.0450000000001"/>
    <s v="Low"/>
    <n v="-5.3418446337075494E-2"/>
    <d v="2023-01-10T00:00:00"/>
    <x v="0"/>
  </r>
  <r>
    <s v="ORD-2023-235230"/>
    <d v="2023-08-30T00:00:00"/>
    <s v="Q3-2023"/>
    <x v="25"/>
    <d v="2023-09-01T00:00:00"/>
    <n v="2"/>
    <n v="1"/>
    <d v="2023-09-01T00:00:00"/>
    <x v="3"/>
    <x v="6"/>
    <s v="Munich"/>
    <s v="Corporate"/>
    <x v="4"/>
    <x v="13"/>
    <x v="2"/>
    <s v="Low"/>
    <x v="54"/>
    <n v="44.42"/>
    <n v="41.9"/>
    <n v="0.14399999999999999"/>
    <n v="0"/>
    <n v="6"/>
    <s v="ok"/>
    <n v="2"/>
    <n v="2"/>
    <n v="215.19839999999996"/>
    <n v="266.52"/>
    <n v="-51.321600000000018"/>
    <n v="606.37750000000005"/>
    <n v="1193.865"/>
    <n v="1912.0450000000001"/>
    <s v="Low"/>
    <n v="-0.23848504449847224"/>
    <d v="2023-01-22T00:00:00"/>
    <x v="0"/>
  </r>
  <r>
    <s v="ORD-2025-765220"/>
    <d v="2025-04-06T00:00:00"/>
    <s v="Q2-2025"/>
    <x v="19"/>
    <d v="2025-04-30T00:00:00"/>
    <n v="24"/>
    <n v="0"/>
    <d v="2025-04-30T00:00:00"/>
    <x v="2"/>
    <x v="5"/>
    <s v="Brasília"/>
    <s v="Education"/>
    <x v="1"/>
    <x v="11"/>
    <x v="5"/>
    <s v="Medium"/>
    <x v="55"/>
    <n v="855.78"/>
    <n v="977.38"/>
    <n v="0.14699999999999999"/>
    <n v="0"/>
    <n v="38"/>
    <s v="ok"/>
    <n v="24"/>
    <n v="24"/>
    <n v="31680.795320000001"/>
    <n v="32519.64"/>
    <n v="-838.84467999999833"/>
    <n v="606.37750000000005"/>
    <n v="1193.865"/>
    <n v="1912.0450000000001"/>
    <s v="Low"/>
    <n v="-2.6478018355506307E-2"/>
    <d v="2023-01-29T00:00:00"/>
    <x v="0"/>
  </r>
  <r>
    <s v="ORD-2025-931538"/>
    <d v="2025-02-09T00:00:00"/>
    <s v="Q1-2025"/>
    <x v="26"/>
    <d v="2025-03-01T00:00:00"/>
    <n v="20"/>
    <n v="0"/>
    <d v="2025-03-01T00:00:00"/>
    <x v="2"/>
    <x v="5"/>
    <s v="São Paulo"/>
    <s v="Corporate"/>
    <x v="3"/>
    <x v="5"/>
    <x v="4"/>
    <s v="High"/>
    <x v="56"/>
    <n v="1154.6400000000001"/>
    <n v="2794.13"/>
    <n v="3.5000000000000003E-2"/>
    <n v="0"/>
    <n v="11"/>
    <s v="ok"/>
    <n v="20"/>
    <n v="20"/>
    <n v="29659.68995"/>
    <n v="12701.04"/>
    <n v="16958.649949999999"/>
    <n v="606.37750000000005"/>
    <n v="1193.865"/>
    <n v="1912.0450000000001"/>
    <s v="Medium"/>
    <n v="0.57177435025749479"/>
    <d v="2023-01-29T00:00:00"/>
    <x v="0"/>
  </r>
  <r>
    <s v="ORD-2024-289089"/>
    <d v="2024-12-17T00:00:00"/>
    <s v="Q4-2024"/>
    <x v="6"/>
    <d v="2024-12-18T00:00:00"/>
    <n v="1"/>
    <n v="1"/>
    <d v="2024-12-18T00:00:00"/>
    <x v="3"/>
    <x v="6"/>
    <s v="Munich"/>
    <s v="Education"/>
    <x v="0"/>
    <x v="4"/>
    <x v="6"/>
    <s v="Low"/>
    <x v="57"/>
    <n v="346.82"/>
    <n v="701.95"/>
    <n v="0.14699999999999999"/>
    <n v="0"/>
    <n v="8"/>
    <s v="ok"/>
    <n v="1"/>
    <n v="1"/>
    <n v="4790.1068000000005"/>
    <n v="2774.56"/>
    <n v="2015.5468000000005"/>
    <n v="606.37750000000005"/>
    <n v="1193.865"/>
    <n v="1912.0450000000001"/>
    <s v="High"/>
    <n v="0.42077283120284509"/>
    <d v="2023-01-22T00:00:00"/>
    <x v="0"/>
  </r>
  <r>
    <s v="ORD-2025-639542"/>
    <d v="2025-06-09T00:00:00"/>
    <s v="Q2-2025"/>
    <x v="16"/>
    <d v="2025-06-18T00:00:00"/>
    <n v="9"/>
    <n v="0"/>
    <d v="2025-06-18T00:00:00"/>
    <x v="3"/>
    <x v="7"/>
    <s v="Marseille"/>
    <s v="Small Business"/>
    <x v="2"/>
    <x v="10"/>
    <x v="6"/>
    <s v="Low"/>
    <x v="58"/>
    <n v="1225.5"/>
    <n v="5.27"/>
    <n v="7.4999999999999997E-2"/>
    <n v="0"/>
    <n v="56"/>
    <s v="ok"/>
    <n v="9"/>
    <n v="9"/>
    <n v="272.98599999999999"/>
    <n v="68628"/>
    <n v="-68355.013999999996"/>
    <n v="606.37750000000005"/>
    <n v="1193.865"/>
    <n v="1912.0450000000001"/>
    <s v="Medium"/>
    <n v="-250.39750756449047"/>
    <d v="2023-01-10T00:00:00"/>
    <x v="0"/>
  </r>
  <r>
    <s v="ORD-2025-762301"/>
    <d v="2025-05-02T00:00:00"/>
    <s v="Q2-2025"/>
    <x v="8"/>
    <d v="2025-05-13T00:00:00"/>
    <n v="11"/>
    <n v="0"/>
    <d v="2025-05-13T00:00:00"/>
    <x v="0"/>
    <x v="0"/>
    <s v="Nakuru"/>
    <s v="Small Business"/>
    <x v="1"/>
    <x v="8"/>
    <x v="6"/>
    <s v="Medium"/>
    <x v="59"/>
    <n v="1057.5999999999999"/>
    <n v="1437.06"/>
    <n v="0.20499999999999999"/>
    <n v="1"/>
    <n v="4"/>
    <s v="ok"/>
    <n v="11"/>
    <n v="11"/>
    <n v="4569.8508000000002"/>
    <n v="4230.3999999999996"/>
    <n v="339.45080000000053"/>
    <n v="606.37750000000005"/>
    <n v="1193.865"/>
    <n v="1912.0450000000001"/>
    <s v="Low"/>
    <n v="7.4280499485891424E-2"/>
    <d v="2023-01-20T00:00:00"/>
    <x v="0"/>
  </r>
  <r>
    <s v="ORD-2024-906395"/>
    <d v="2024-03-10T00:00:00"/>
    <s v="Q1-2024"/>
    <x v="0"/>
    <d v="2024-04-09T00:00:00"/>
    <n v="30"/>
    <n v="0"/>
    <d v="2024-04-09T00:00:00"/>
    <x v="3"/>
    <x v="7"/>
    <s v="Lyon"/>
    <s v="Corporate"/>
    <x v="4"/>
    <x v="2"/>
    <x v="0"/>
    <s v="High"/>
    <x v="60"/>
    <n v="1176.56"/>
    <n v="1911.89"/>
    <n v="0.11899999999999999"/>
    <n v="0"/>
    <n v="20"/>
    <s v="ok"/>
    <n v="30"/>
    <n v="30"/>
    <n v="33687.501800000005"/>
    <n v="23531.199999999997"/>
    <n v="10156.301800000008"/>
    <n v="606.37750000000005"/>
    <n v="1193.865"/>
    <n v="1912.0450000000001"/>
    <s v="Medium"/>
    <n v="0.30148575160892477"/>
    <d v="2023-01-10T00:00:00"/>
    <x v="0"/>
  </r>
  <r>
    <s v="ORD-2025-779574"/>
    <d v="2025-09-10T00:00:00"/>
    <s v="Q3-2025"/>
    <x v="11"/>
    <d v="2025-09-12T00:00:00"/>
    <n v="2"/>
    <n v="1"/>
    <d v="2025-09-12T00:00:00"/>
    <x v="1"/>
    <x v="2"/>
    <s v="Tokyo"/>
    <s v="Consumer"/>
    <x v="1"/>
    <x v="7"/>
    <x v="0"/>
    <s v="High"/>
    <x v="61"/>
    <n v="1470.15"/>
    <n v="2593.7800000000002"/>
    <n v="0.11"/>
    <n v="0"/>
    <n v="12"/>
    <s v="ok"/>
    <n v="2"/>
    <n v="2"/>
    <n v="27701.570400000001"/>
    <n v="17641.800000000003"/>
    <n v="10059.770399999998"/>
    <n v="606.37750000000005"/>
    <n v="1193.865"/>
    <n v="1912.0450000000001"/>
    <s v="Medium"/>
    <n v="0.36314801849645306"/>
    <d v="2023-03-03T00:00:00"/>
    <x v="1"/>
  </r>
  <r>
    <s v="ORD-2025-526650"/>
    <d v="2025-04-27T00:00:00"/>
    <s v="Q2-2025"/>
    <x v="19"/>
    <d v="2025-05-25T00:00:00"/>
    <n v="28"/>
    <n v="0"/>
    <d v="2025-05-25T00:00:00"/>
    <x v="3"/>
    <x v="7"/>
    <s v="Paris"/>
    <s v="Small Business"/>
    <x v="2"/>
    <x v="2"/>
    <x v="3"/>
    <s v="Medium"/>
    <x v="62"/>
    <n v="603.45000000000005"/>
    <n v="1244.08"/>
    <n v="0.2"/>
    <n v="0"/>
    <n v="11"/>
    <s v="ok"/>
    <n v="28"/>
    <n v="28"/>
    <n v="10947.904"/>
    <n v="6637.9500000000007"/>
    <n v="4309.9539999999997"/>
    <n v="606.37750000000005"/>
    <n v="1193.865"/>
    <n v="1912.0450000000001"/>
    <s v="High"/>
    <n v="0.39367846119220623"/>
    <d v="2023-01-10T00:00:00"/>
    <x v="0"/>
  </r>
  <r>
    <s v="ORD-2024-247979"/>
    <d v="2024-11-02T00:00:00"/>
    <s v="Q4-2024"/>
    <x v="18"/>
    <d v="2024-11-18T00:00:00"/>
    <n v="16"/>
    <n v="0"/>
    <d v="2024-11-18T00:00:00"/>
    <x v="1"/>
    <x v="4"/>
    <s v="Mumbai"/>
    <s v="Small Business"/>
    <x v="3"/>
    <x v="7"/>
    <x v="5"/>
    <s v="High"/>
    <x v="63"/>
    <n v="1233.58"/>
    <n v="1912.51"/>
    <n v="0.255"/>
    <n v="1"/>
    <n v="51"/>
    <s v="ok"/>
    <n v="16"/>
    <n v="16"/>
    <n v="72665.817450000002"/>
    <n v="62912.579999999994"/>
    <n v="9753.2374500000078"/>
    <n v="606.37750000000005"/>
    <n v="1193.865"/>
    <n v="1912.0450000000001"/>
    <s v="Medium"/>
    <n v="0.134220432553601"/>
    <d v="2023-01-29T00:00:00"/>
    <x v="0"/>
  </r>
  <r>
    <s v="ORD-2023-480975"/>
    <d v="2023-02-15T00:00:00"/>
    <s v="Q1-2023"/>
    <x v="2"/>
    <d v="2023-02-26T00:00:00"/>
    <n v="11"/>
    <n v="0"/>
    <d v="2023-02-26T00:00:00"/>
    <x v="0"/>
    <x v="11"/>
    <s v="Johannesburg"/>
    <s v="Non-Profit"/>
    <x v="0"/>
    <x v="11"/>
    <x v="4"/>
    <s v="Low"/>
    <x v="64"/>
    <n v="498.5"/>
    <n v="755.87"/>
    <n v="0.13"/>
    <n v="0"/>
    <n v="40"/>
    <s v="ok"/>
    <n v="11"/>
    <n v="11"/>
    <n v="26304.275999999998"/>
    <n v="19940"/>
    <n v="6364.275999999998"/>
    <n v="606.37750000000005"/>
    <n v="1193.865"/>
    <n v="1912.0450000000001"/>
    <s v="High"/>
    <n v="0.24194834330357537"/>
    <d v="2023-01-07T00:00:00"/>
    <x v="0"/>
  </r>
  <r>
    <s v="ORD-2023-239789"/>
    <d v="2023-12-03T00:00:00"/>
    <s v="Q4-2023"/>
    <x v="4"/>
    <d v="2023-12-26T00:00:00"/>
    <n v="23"/>
    <n v="0"/>
    <d v="2023-12-26T00:00:00"/>
    <x v="2"/>
    <x v="5"/>
    <s v="Rio de Janeiro"/>
    <s v="Education"/>
    <x v="0"/>
    <x v="7"/>
    <x v="3"/>
    <s v="Medium"/>
    <x v="65"/>
    <n v="1303.1099999999999"/>
    <n v="1145.67"/>
    <n v="0.184"/>
    <n v="0"/>
    <n v="13"/>
    <s v="ok"/>
    <n v="23"/>
    <n v="23"/>
    <n v="12153.267360000002"/>
    <n v="16940.43"/>
    <n v="-4787.1626399999986"/>
    <n v="606.37750000000005"/>
    <n v="1193.865"/>
    <n v="1912.0450000000001"/>
    <s v="Medium"/>
    <n v="-0.39389922875851208"/>
    <d v="2023-01-29T00:00:00"/>
    <x v="0"/>
  </r>
  <r>
    <s v="ORD-2023-548874"/>
    <d v="2023-03-19T00:00:00"/>
    <s v="Q1-2023"/>
    <x v="22"/>
    <d v="2023-04-09T00:00:00"/>
    <n v="21"/>
    <n v="0"/>
    <d v="2023-04-09T00:00:00"/>
    <x v="3"/>
    <x v="8"/>
    <s v="Manchester"/>
    <s v="Consumer"/>
    <x v="0"/>
    <x v="4"/>
    <x v="6"/>
    <s v="Medium"/>
    <x v="66"/>
    <n v="1082.17"/>
    <n v="1234.0999999999999"/>
    <n v="0.189"/>
    <n v="0"/>
    <n v="16"/>
    <s v="ok"/>
    <n v="21"/>
    <n v="21"/>
    <n v="16013.681599999998"/>
    <n v="17314.72"/>
    <n v="-1301.0384000000031"/>
    <n v="606.37750000000005"/>
    <n v="1193.865"/>
    <n v="1912.0450000000001"/>
    <s v="Medium"/>
    <n v="-8.124542703534228E-2"/>
    <d v="2023-01-19T00:00:00"/>
    <x v="0"/>
  </r>
  <r>
    <s v="ORD-2024-347736"/>
    <d v="2024-05-22T00:00:00"/>
    <s v="Q2-2024"/>
    <x v="7"/>
    <d v="2024-06-06T00:00:00"/>
    <n v="15"/>
    <n v="0"/>
    <d v="2024-06-06T00:00:00"/>
    <x v="1"/>
    <x v="2"/>
    <s v="Nagoya"/>
    <s v="Corporate"/>
    <x v="3"/>
    <x v="0"/>
    <x v="5"/>
    <s v="Medium"/>
    <x v="67"/>
    <n v="673.88"/>
    <n v="1228.01"/>
    <n v="0.105"/>
    <n v="0"/>
    <n v="13"/>
    <s v="ok"/>
    <n v="15"/>
    <n v="15"/>
    <n v="14287.896349999999"/>
    <n v="8760.44"/>
    <n v="5527.4563499999986"/>
    <n v="606.37750000000005"/>
    <n v="1193.865"/>
    <n v="1912.0450000000001"/>
    <s v="Medium"/>
    <n v="0.38686285332689996"/>
    <d v="2023-03-03T00:00:00"/>
    <x v="1"/>
  </r>
  <r>
    <s v="ORD-2023-749324"/>
    <d v="2023-08-19T00:00:00"/>
    <s v="Q3-2023"/>
    <x v="25"/>
    <d v="2023-09-07T00:00:00"/>
    <n v="19"/>
    <n v="0"/>
    <d v="2023-09-07T00:00:00"/>
    <x v="0"/>
    <x v="11"/>
    <s v="Johannesburg"/>
    <s v="Enterprise"/>
    <x v="0"/>
    <x v="14"/>
    <x v="5"/>
    <s v="Low"/>
    <x v="68"/>
    <n v="494.61"/>
    <n v="605.23"/>
    <n v="0.20399999999999999"/>
    <n v="1"/>
    <n v="18"/>
    <s v="ok"/>
    <n v="19"/>
    <n v="19"/>
    <n v="8671.7354400000004"/>
    <n v="8902.98"/>
    <n v="-231.24455999999918"/>
    <n v="606.37750000000005"/>
    <n v="1193.865"/>
    <n v="1912.0450000000001"/>
    <s v="Medium"/>
    <n v="-2.6666468505639647E-2"/>
    <d v="2023-01-07T00:00:00"/>
    <x v="0"/>
  </r>
  <r>
    <s v="ORD-2023-809913"/>
    <d v="2023-04-21T00:00:00"/>
    <s v="Q2-2023"/>
    <x v="12"/>
    <d v="2023-05-10T00:00:00"/>
    <n v="19"/>
    <n v="0"/>
    <d v="2023-05-10T00:00:00"/>
    <x v="1"/>
    <x v="9"/>
    <s v="Shanghai"/>
    <s v="Corporate"/>
    <x v="0"/>
    <x v="8"/>
    <x v="0"/>
    <s v="High"/>
    <x v="69"/>
    <n v="882.33"/>
    <n v="1880.15"/>
    <n v="0.05"/>
    <n v="0"/>
    <n v="5"/>
    <s v="ok"/>
    <n v="19"/>
    <n v="19"/>
    <n v="8930.7124999999996"/>
    <n v="4411.6500000000005"/>
    <n v="4519.0624999999991"/>
    <n v="606.37750000000005"/>
    <n v="1193.865"/>
    <n v="1912.0450000000001"/>
    <s v="Low"/>
    <n v="0.50601365792482955"/>
    <d v="2023-01-12T00:00:00"/>
    <x v="0"/>
  </r>
  <r>
    <s v="ORD-2024-287210"/>
    <d v="2024-03-18T00:00:00"/>
    <s v="Q1-2024"/>
    <x v="0"/>
    <d v="2024-03-21T00:00:00"/>
    <n v="3"/>
    <n v="1"/>
    <d v="2024-03-21T00:00:00"/>
    <x v="3"/>
    <x v="6"/>
    <s v="Munich"/>
    <s v="Small Business"/>
    <x v="1"/>
    <x v="12"/>
    <x v="6"/>
    <s v="Medium"/>
    <x v="70"/>
    <n v="910.63"/>
    <n v="1269.4000000000001"/>
    <n v="6.8000000000000005E-2"/>
    <n v="0"/>
    <n v="9"/>
    <s v="ok"/>
    <n v="3"/>
    <n v="3"/>
    <n v="10647.727199999999"/>
    <n v="8195.67"/>
    <n v="2452.0571999999993"/>
    <n v="606.37750000000005"/>
    <n v="1193.865"/>
    <n v="1912.0450000000001"/>
    <s v="Medium"/>
    <n v="0.23028925834989455"/>
    <d v="2023-01-22T00:00:00"/>
    <x v="0"/>
  </r>
  <r>
    <s v="ORD-2025-640677"/>
    <d v="2025-04-09T00:00:00"/>
    <s v="Q2-2025"/>
    <x v="19"/>
    <d v="2025-05-06T00:00:00"/>
    <n v="27"/>
    <n v="0"/>
    <d v="2025-05-06T00:00:00"/>
    <x v="2"/>
    <x v="5"/>
    <s v="Brasília"/>
    <s v="Enterprise"/>
    <x v="2"/>
    <x v="9"/>
    <x v="4"/>
    <s v="Low"/>
    <x v="71"/>
    <n v="264.19"/>
    <n v="620.92999999999995"/>
    <n v="0.14199999999999999"/>
    <n v="0"/>
    <n v="12"/>
    <s v="ok"/>
    <n v="27"/>
    <n v="27"/>
    <n v="6393.0952799999995"/>
    <n v="3170.2799999999997"/>
    <n v="3222.8152799999998"/>
    <n v="606.37750000000005"/>
    <n v="1193.865"/>
    <n v="1912.0450000000001"/>
    <s v="Medium"/>
    <n v="0.50410875152794532"/>
    <d v="2023-01-29T00:00:00"/>
    <x v="0"/>
  </r>
  <r>
    <s v="ORD-2024-939873"/>
    <d v="2024-04-12T00:00:00"/>
    <s v="Q2-2024"/>
    <x v="20"/>
    <d v="2024-05-07T00:00:00"/>
    <n v="25"/>
    <n v="0"/>
    <d v="2024-05-07T00:00:00"/>
    <x v="0"/>
    <x v="11"/>
    <s v="Johannesburg"/>
    <s v="Education"/>
    <x v="3"/>
    <x v="8"/>
    <x v="4"/>
    <s v="Medium"/>
    <x v="72"/>
    <n v="1376.51"/>
    <n v="1455.91"/>
    <n v="0.185"/>
    <n v="0"/>
    <n v="17"/>
    <s v="ok"/>
    <n v="25"/>
    <n v="25"/>
    <n v="20171.63305"/>
    <n v="23400.67"/>
    <n v="-3229.0369499999979"/>
    <n v="606.37750000000005"/>
    <n v="1193.865"/>
    <n v="1912.0450000000001"/>
    <s v="Medium"/>
    <n v="-0.1600781127634085"/>
    <d v="2023-01-07T00:00:00"/>
    <x v="0"/>
  </r>
  <r>
    <s v="ORD-2024-800947"/>
    <d v="2024-12-15T00:00:00"/>
    <s v="Q4-2024"/>
    <x v="6"/>
    <d v="2024-12-20T00:00:00"/>
    <n v="5"/>
    <n v="1"/>
    <d v="2024-12-20T00:00:00"/>
    <x v="1"/>
    <x v="9"/>
    <s v="Shenzhen"/>
    <s v="Small Business"/>
    <x v="4"/>
    <x v="1"/>
    <x v="2"/>
    <s v="Low"/>
    <x v="73"/>
    <n v="717.55"/>
    <n v="546.42999999999995"/>
    <n v="4.7E-2"/>
    <n v="0"/>
    <n v="18"/>
    <s v="ok"/>
    <n v="5"/>
    <n v="5"/>
    <n v="9373.460219999999"/>
    <n v="12915.9"/>
    <n v="-3542.4397800000006"/>
    <n v="606.37750000000005"/>
    <n v="1193.865"/>
    <n v="1912.0450000000001"/>
    <s v="Medium"/>
    <n v="-0.37792231437026369"/>
    <d v="2023-01-12T00:00:00"/>
    <x v="0"/>
  </r>
  <r>
    <s v="ORD-2023-382272"/>
    <d v="2023-05-20T00:00:00"/>
    <s v="Q2-2023"/>
    <x v="15"/>
    <d v="2023-05-18T00:00:00"/>
    <n v="14"/>
    <n v="0"/>
    <d v="2023-06-03T00:00:00"/>
    <x v="0"/>
    <x v="11"/>
    <s v="Durban"/>
    <s v="Corporate"/>
    <x v="3"/>
    <x v="8"/>
    <x v="0"/>
    <s v="Medium"/>
    <x v="74"/>
    <n v="917.88"/>
    <n v="1347.92"/>
    <n v="0.34300000000000003"/>
    <n v="1"/>
    <n v="5"/>
    <s v="sus"/>
    <n v="-2"/>
    <n v="2"/>
    <n v="4427.9172000000008"/>
    <n v="4589.3999999999996"/>
    <n v="-161.48279999999886"/>
    <n v="606.37750000000005"/>
    <n v="1193.865"/>
    <n v="1912.0450000000001"/>
    <s v="Low"/>
    <n v="-3.6469245630880096E-2"/>
    <d v="2023-01-07T00:00:00"/>
    <x v="0"/>
  </r>
  <r>
    <s v="ORD-2023-722117"/>
    <d v="2023-09-18T00:00:00"/>
    <s v="Q3-2023"/>
    <x v="27"/>
    <d v="2023-10-08T00:00:00"/>
    <n v="20"/>
    <n v="0"/>
    <d v="2023-10-08T00:00:00"/>
    <x v="1"/>
    <x v="4"/>
    <s v="Delhi"/>
    <s v="Small Business"/>
    <x v="4"/>
    <x v="5"/>
    <x v="0"/>
    <s v="Medium"/>
    <x v="75"/>
    <n v="825.64"/>
    <n v="1108.43"/>
    <n v="0.114"/>
    <n v="0"/>
    <n v="7"/>
    <s v="ok"/>
    <n v="20"/>
    <n v="20"/>
    <n v="6874.4828600000001"/>
    <n v="5779.48"/>
    <n v="1095.0028600000005"/>
    <n v="606.37750000000005"/>
    <n v="1193.865"/>
    <n v="1912.0450000000001"/>
    <s v="Medium"/>
    <n v="0.15928512475773349"/>
    <d v="2023-01-29T00:00:00"/>
    <x v="0"/>
  </r>
  <r>
    <s v="ORD-2024-446699"/>
    <d v="2024-08-28T00:00:00"/>
    <s v="Q3-2024"/>
    <x v="21"/>
    <d v="2024-09-25T00:00:00"/>
    <n v="28"/>
    <n v="0"/>
    <d v="2024-09-25T00:00:00"/>
    <x v="2"/>
    <x v="5"/>
    <s v="Rio de Janeiro"/>
    <s v="Non-Profit"/>
    <x v="1"/>
    <x v="15"/>
    <x v="6"/>
    <s v="High"/>
    <x v="76"/>
    <n v="1394.65"/>
    <n v="3144.1"/>
    <n v="0.13400000000000001"/>
    <n v="0"/>
    <n v="13"/>
    <s v="ok"/>
    <n v="28"/>
    <n v="28"/>
    <n v="35396.277799999996"/>
    <n v="18130.45"/>
    <n v="17265.827799999995"/>
    <n v="606.37750000000005"/>
    <n v="1193.865"/>
    <n v="1912.0450000000001"/>
    <s v="Medium"/>
    <n v="0.4877865378263021"/>
    <d v="2023-01-29T00:00:00"/>
    <x v="0"/>
  </r>
  <r>
    <s v="ORD-2024-451005"/>
    <d v="2024-06-30T00:00:00"/>
    <s v="Q2-2024"/>
    <x v="17"/>
    <d v="2024-06-28T00:00:00"/>
    <n v="14"/>
    <n v="0"/>
    <d v="2024-07-14T00:00:00"/>
    <x v="2"/>
    <x v="5"/>
    <s v="Rio de Janeiro"/>
    <s v="Small Business"/>
    <x v="4"/>
    <x v="4"/>
    <x v="6"/>
    <s v="High"/>
    <x v="77"/>
    <n v="1112.98"/>
    <n v="2095.73"/>
    <n v="7.1999999999999995E-2"/>
    <n v="0"/>
    <n v="17"/>
    <s v="sus"/>
    <n v="-2"/>
    <n v="2"/>
    <n v="33062.236480000007"/>
    <n v="18920.66"/>
    <n v="14141.576480000007"/>
    <n v="606.37750000000005"/>
    <n v="1193.865"/>
    <n v="1912.0450000000001"/>
    <s v="High"/>
    <n v="0.42772594916724777"/>
    <d v="2023-01-29T00:00:00"/>
    <x v="0"/>
  </r>
  <r>
    <s v="ORD-2023-290279"/>
    <d v="2023-06-14T00:00:00"/>
    <s v="Q2-2023"/>
    <x v="23"/>
    <d v="2023-06-16T00:00:00"/>
    <n v="2"/>
    <n v="1"/>
    <d v="2023-06-16T00:00:00"/>
    <x v="3"/>
    <x v="8"/>
    <s v="Manchester"/>
    <s v="Non-Profit"/>
    <x v="4"/>
    <x v="11"/>
    <x v="0"/>
    <s v="Low"/>
    <x v="78"/>
    <n v="357.36"/>
    <n v="703.62"/>
    <n v="0.25700000000000001"/>
    <n v="1"/>
    <n v="20"/>
    <s v="ok"/>
    <n v="2"/>
    <n v="2"/>
    <n v="10455.7932"/>
    <n v="7147.2000000000007"/>
    <n v="3308.5931999999993"/>
    <n v="606.37750000000005"/>
    <n v="1193.865"/>
    <n v="1912.0450000000001"/>
    <s v="High"/>
    <n v="0.31643636563125593"/>
    <d v="2023-01-19T00:00:00"/>
    <x v="0"/>
  </r>
  <r>
    <s v="ORD-2024-192263"/>
    <d v="2024-11-21T00:00:00"/>
    <s v="Q4-2024"/>
    <x v="18"/>
    <d v="2024-12-21T00:00:00"/>
    <n v="30"/>
    <n v="0"/>
    <d v="2024-12-21T00:00:00"/>
    <x v="3"/>
    <x v="7"/>
    <s v="Marseille"/>
    <s v="Small Business"/>
    <x v="4"/>
    <x v="2"/>
    <x v="5"/>
    <s v="High"/>
    <x v="79"/>
    <n v="1122.68"/>
    <n v="1997.19"/>
    <n v="0.186"/>
    <n v="0"/>
    <n v="3"/>
    <s v="ok"/>
    <n v="30"/>
    <n v="30"/>
    <n v="4877.1379800000004"/>
    <n v="3368.04"/>
    <n v="1509.0979800000005"/>
    <n v="606.37750000000005"/>
    <n v="1193.865"/>
    <n v="1912.0450000000001"/>
    <s v="Medium"/>
    <n v="0.30942285951073306"/>
    <d v="2023-01-10T00:00:00"/>
    <x v="0"/>
  </r>
  <r>
    <s v="ORD-2023-159379"/>
    <d v="2023-02-08T00:00:00"/>
    <s v="Q1-2023"/>
    <x v="2"/>
    <d v="2023-02-11T00:00:00"/>
    <n v="3"/>
    <n v="1"/>
    <d v="2023-02-11T00:00:00"/>
    <x v="0"/>
    <x v="11"/>
    <s v="Cape Town"/>
    <s v="Corporate"/>
    <x v="4"/>
    <x v="12"/>
    <x v="2"/>
    <s v="High"/>
    <x v="80"/>
    <n v="1410.05"/>
    <n v="2763.95"/>
    <n v="0.161"/>
    <n v="0"/>
    <n v="26"/>
    <s v="ok"/>
    <n v="3"/>
    <n v="3"/>
    <n v="60292.805299999993"/>
    <n v="36661.299999999996"/>
    <n v="23631.505299999997"/>
    <n v="606.37750000000005"/>
    <n v="1193.865"/>
    <n v="1912.0450000000001"/>
    <s v="High"/>
    <n v="0.39194569206750779"/>
    <d v="2023-01-07T00:00:00"/>
    <x v="0"/>
  </r>
  <r>
    <s v="ORD-2023-343322"/>
    <d v="2023-08-19T00:00:00"/>
    <s v="Q3-2023"/>
    <x v="25"/>
    <d v="2023-09-12T00:00:00"/>
    <n v="24"/>
    <n v="0"/>
    <d v="2023-09-12T00:00:00"/>
    <x v="2"/>
    <x v="3"/>
    <s v="Vancouver"/>
    <s v="Enterprise"/>
    <x v="0"/>
    <x v="2"/>
    <x v="1"/>
    <s v="Medium"/>
    <x v="81"/>
    <n v="1183.95"/>
    <n v="1503.53"/>
    <n v="0.24099999999999999"/>
    <n v="1"/>
    <n v="16"/>
    <s v="ok"/>
    <n v="24"/>
    <n v="24"/>
    <n v="18258.868320000001"/>
    <n v="18943.2"/>
    <n v="-684.33167999999932"/>
    <n v="606.37750000000005"/>
    <n v="1193.865"/>
    <n v="1912.0450000000001"/>
    <s v="High"/>
    <n v="-3.7479413729623705E-2"/>
    <d v="2023-01-02T00:00:00"/>
    <x v="0"/>
  </r>
  <r>
    <s v="ORD-2025-114382"/>
    <d v="2025-05-14T00:00:00"/>
    <s v="Q2-2025"/>
    <x v="8"/>
    <d v="2025-05-24T00:00:00"/>
    <n v="10"/>
    <n v="0"/>
    <d v="2025-05-24T00:00:00"/>
    <x v="3"/>
    <x v="7"/>
    <s v="Paris"/>
    <s v="Small Business"/>
    <x v="2"/>
    <x v="11"/>
    <x v="0"/>
    <s v="Low"/>
    <x v="82"/>
    <n v="170.39"/>
    <n v="388.04"/>
    <n v="8.4000000000000005E-2"/>
    <n v="0"/>
    <n v="15"/>
    <s v="ok"/>
    <n v="10"/>
    <n v="10"/>
    <n v="5331.6696000000002"/>
    <n v="2555.85"/>
    <n v="2775.8196000000003"/>
    <n v="606.37750000000005"/>
    <n v="1193.865"/>
    <n v="1912.0450000000001"/>
    <s v="Medium"/>
    <n v="0.52062858508711796"/>
    <d v="2023-01-10T00:00:00"/>
    <x v="0"/>
  </r>
  <r>
    <s v="ORD-2025-488349"/>
    <d v="2025-04-23T00:00:00"/>
    <s v="Q2-2025"/>
    <x v="19"/>
    <d v="2025-04-22T00:00:00"/>
    <n v="14"/>
    <n v="0"/>
    <d v="2025-05-07T00:00:00"/>
    <x v="2"/>
    <x v="10"/>
    <s v="San Francisco"/>
    <s v="Non-Profit"/>
    <x v="3"/>
    <x v="14"/>
    <x v="5"/>
    <s v="Low"/>
    <x v="83"/>
    <n v="23.24"/>
    <n v="44.57"/>
    <n v="0.215"/>
    <n v="1"/>
    <n v="15"/>
    <s v="sus"/>
    <n v="-1"/>
    <n v="1"/>
    <n v="524.81174999999996"/>
    <n v="348.59999999999997"/>
    <n v="176.21174999999999"/>
    <n v="606.37750000000005"/>
    <n v="1193.865"/>
    <n v="1912.0450000000001"/>
    <s v="Low"/>
    <n v="0.33576182316802167"/>
    <d v="2023-01-13T00:00:00"/>
    <x v="0"/>
  </r>
  <r>
    <s v="ORD-2025-330203"/>
    <d v="2025-03-25T00:00:00"/>
    <s v="Q1-2025"/>
    <x v="3"/>
    <d v="2025-04-17T00:00:00"/>
    <n v="23"/>
    <n v="0"/>
    <d v="2025-04-17T00:00:00"/>
    <x v="3"/>
    <x v="8"/>
    <s v="London"/>
    <s v="Consumer"/>
    <x v="0"/>
    <x v="10"/>
    <x v="2"/>
    <s v="High"/>
    <x v="84"/>
    <n v="1421.19"/>
    <n v="1808.26"/>
    <n v="0.104"/>
    <n v="0"/>
    <n v="13"/>
    <s v="ok"/>
    <n v="23"/>
    <n v="23"/>
    <n v="21062.61248"/>
    <n v="18475.47"/>
    <n v="2587.1424799999986"/>
    <n v="606.37750000000005"/>
    <n v="1193.865"/>
    <n v="1912.0450000000001"/>
    <s v="Low"/>
    <n v="0.12283103449093123"/>
    <d v="2023-01-19T00:00:00"/>
    <x v="0"/>
  </r>
  <r>
    <s v="ORD-2023-841426"/>
    <d v="2023-12-22T00:00:00"/>
    <s v="Q4-2023"/>
    <x v="4"/>
    <d v="2023-12-23T00:00:00"/>
    <n v="1"/>
    <n v="1"/>
    <d v="2023-12-23T00:00:00"/>
    <x v="0"/>
    <x v="11"/>
    <s v="Cape Town"/>
    <s v="Non-Profit"/>
    <x v="2"/>
    <x v="14"/>
    <x v="0"/>
    <s v="Medium"/>
    <x v="85"/>
    <n v="1186.18"/>
    <n v="1285.0899999999999"/>
    <n v="7.0000000000000007E-2"/>
    <n v="0"/>
    <n v="11"/>
    <s v="ok"/>
    <n v="1"/>
    <n v="1"/>
    <n v="13146.470699999998"/>
    <n v="13047.980000000001"/>
    <n v="98.49069999999665"/>
    <n v="606.37750000000005"/>
    <n v="1193.865"/>
    <n v="1912.0450000000001"/>
    <s v="Medium"/>
    <n v="7.4917977796121861E-3"/>
    <d v="2023-01-07T00:00:00"/>
    <x v="0"/>
  </r>
  <r>
    <s v="ORD-2024-594592"/>
    <d v="2024-04-06T00:00:00"/>
    <s v="Q2-2024"/>
    <x v="20"/>
    <d v="2024-04-25T00:00:00"/>
    <n v="19"/>
    <n v="0"/>
    <d v="2024-04-25T00:00:00"/>
    <x v="1"/>
    <x v="9"/>
    <s v="Shanghai"/>
    <s v="Corporate"/>
    <x v="0"/>
    <x v="11"/>
    <x v="0"/>
    <s v="High"/>
    <x v="86"/>
    <n v="1366.48"/>
    <n v="1678.14"/>
    <n v="0.154"/>
    <n v="0"/>
    <n v="10"/>
    <s v="ok"/>
    <n v="19"/>
    <n v="19"/>
    <n v="14197.064400000001"/>
    <n v="13664.8"/>
    <n v="532.26440000000184"/>
    <n v="606.37750000000005"/>
    <n v="1193.865"/>
    <n v="1912.0450000000001"/>
    <s v="Medium"/>
    <n v="3.7491159087790132E-2"/>
    <d v="2023-01-12T00:00:00"/>
    <x v="0"/>
  </r>
  <r>
    <s v="ORD-2025-863978"/>
    <d v="2025-08-07T00:00:00"/>
    <s v="Q3-2025"/>
    <x v="28"/>
    <d v="2025-08-19T00:00:00"/>
    <n v="12"/>
    <n v="0"/>
    <d v="2025-08-19T00:00:00"/>
    <x v="0"/>
    <x v="0"/>
    <s v="Nakuru"/>
    <s v="Corporate"/>
    <x v="5"/>
    <x v="12"/>
    <x v="0"/>
    <s v="Low"/>
    <x v="87"/>
    <n v="601.51"/>
    <n v="679.35"/>
    <n v="0.188"/>
    <n v="0"/>
    <n v="3"/>
    <s v="ok"/>
    <n v="12"/>
    <n v="12"/>
    <n v="1654.8966000000003"/>
    <n v="1804.53"/>
    <n v="-149.63339999999971"/>
    <n v="606.37750000000005"/>
    <n v="1193.865"/>
    <n v="1912.0450000000001"/>
    <s v="Medium"/>
    <n v="-9.0418579626062243E-2"/>
    <d v="2023-01-20T00:00:00"/>
    <x v="0"/>
  </r>
  <r>
    <s v="ORD-2024-604471"/>
    <d v="2024-01-21T00:00:00"/>
    <s v="Q1-2024"/>
    <x v="9"/>
    <d v="2024-01-25T00:00:00"/>
    <n v="4"/>
    <n v="1"/>
    <d v="2024-01-25T00:00:00"/>
    <x v="1"/>
    <x v="4"/>
    <s v="Delhi"/>
    <s v="Consumer"/>
    <x v="4"/>
    <x v="0"/>
    <x v="5"/>
    <s v="Medium"/>
    <x v="88"/>
    <n v="523.70000000000005"/>
    <n v="1109.92"/>
    <n v="0.03"/>
    <n v="0"/>
    <n v="11"/>
    <s v="ok"/>
    <n v="4"/>
    <n v="4"/>
    <n v="11842.8464"/>
    <n v="5760.7000000000007"/>
    <n v="6082.1463999999996"/>
    <n v="606.37750000000005"/>
    <n v="1193.865"/>
    <n v="1912.0450000000001"/>
    <s v="Medium"/>
    <n v="0.51357133197302973"/>
    <d v="2023-01-29T00:00:00"/>
    <x v="0"/>
  </r>
  <r>
    <s v="ORD-2023-258768"/>
    <d v="2023-06-29T00:00:00"/>
    <s v="Q2-2023"/>
    <x v="23"/>
    <d v="2023-07-02T00:00:00"/>
    <n v="3"/>
    <n v="1"/>
    <d v="2023-07-02T00:00:00"/>
    <x v="1"/>
    <x v="2"/>
    <s v="Nagoya"/>
    <s v="Education"/>
    <x v="2"/>
    <x v="9"/>
    <x v="5"/>
    <s v="Low"/>
    <x v="89"/>
    <n v="55.65"/>
    <n v="83.57"/>
    <n v="6.6000000000000003E-2"/>
    <n v="0"/>
    <n v="8"/>
    <s v="ok"/>
    <n v="3"/>
    <n v="3"/>
    <n v="624.43503999999996"/>
    <n v="445.2"/>
    <n v="179.23503999999997"/>
    <n v="606.37750000000005"/>
    <n v="1193.865"/>
    <n v="1912.0450000000001"/>
    <s v="Medium"/>
    <n v="0.2870355257449998"/>
    <d v="2023-03-03T00:00:00"/>
    <x v="1"/>
  </r>
  <r>
    <s v="ORD-2025-626047"/>
    <d v="2025-04-28T00:00:00"/>
    <s v="Q2-2025"/>
    <x v="19"/>
    <d v="2025-05-15T00:00:00"/>
    <n v="17"/>
    <n v="0"/>
    <d v="2025-05-15T00:00:00"/>
    <x v="1"/>
    <x v="2"/>
    <s v="Nagoya"/>
    <s v="Education"/>
    <x v="4"/>
    <x v="13"/>
    <x v="2"/>
    <s v="Medium"/>
    <x v="90"/>
    <n v="691.19"/>
    <n v="1284.3"/>
    <n v="7.3999999999999996E-2"/>
    <n v="0"/>
    <n v="7"/>
    <s v="ok"/>
    <n v="17"/>
    <n v="17"/>
    <n v="8324.8326000000015"/>
    <n v="4838.33"/>
    <n v="3486.5026000000016"/>
    <n v="606.37750000000005"/>
    <n v="1193.865"/>
    <n v="1912.0450000000001"/>
    <s v="Low"/>
    <n v="0.41880753253825198"/>
    <d v="2023-03-03T00:00:00"/>
    <x v="1"/>
  </r>
  <r>
    <s v="ORD-2025-526752"/>
    <d v="2025-06-09T00:00:00"/>
    <s v="Q2-2025"/>
    <x v="16"/>
    <d v="2025-06-25T00:00:00"/>
    <n v="16"/>
    <n v="0"/>
    <d v="2025-06-25T00:00:00"/>
    <x v="1"/>
    <x v="4"/>
    <s v="Hyderabad"/>
    <s v="Enterprise"/>
    <x v="3"/>
    <x v="12"/>
    <x v="3"/>
    <s v="Medium"/>
    <x v="91"/>
    <n v="527.33000000000004"/>
    <n v="911.72"/>
    <n v="0.14399999999999999"/>
    <n v="0"/>
    <n v="25"/>
    <s v="ok"/>
    <n v="16"/>
    <n v="16"/>
    <n v="19510.808000000001"/>
    <n v="13183.250000000002"/>
    <n v="6327.5579999999991"/>
    <n v="606.37750000000005"/>
    <n v="1193.865"/>
    <n v="1912.0450000000001"/>
    <s v="Medium"/>
    <n v="0.32431040272652978"/>
    <d v="2023-01-29T00:00:00"/>
    <x v="0"/>
  </r>
  <r>
    <s v="ORD-2023-374486"/>
    <d v="2023-06-24T00:00:00"/>
    <s v="Q2-2023"/>
    <x v="23"/>
    <d v="2023-06-23T00:00:00"/>
    <n v="14"/>
    <n v="0"/>
    <d v="2023-07-08T00:00:00"/>
    <x v="2"/>
    <x v="5"/>
    <s v="Rio de Janeiro"/>
    <s v="Non-Profit"/>
    <x v="0"/>
    <x v="6"/>
    <x v="1"/>
    <s v="Medium"/>
    <x v="92"/>
    <n v="804.01"/>
    <n v="1405.07"/>
    <n v="9.6000000000000002E-2"/>
    <n v="0"/>
    <n v="8"/>
    <s v="sus"/>
    <n v="-1"/>
    <n v="1"/>
    <n v="10161.46624"/>
    <n v="6432.08"/>
    <n v="3729.3862399999998"/>
    <n v="606.37750000000005"/>
    <n v="1193.865"/>
    <n v="1912.0450000000001"/>
    <s v="Medium"/>
    <n v="0.36701260939287439"/>
    <d v="2023-01-29T00:00:00"/>
    <x v="0"/>
  </r>
  <r>
    <s v="ORD-2024-997336"/>
    <d v="2024-10-04T00:00:00"/>
    <s v="Q4-2024"/>
    <x v="1"/>
    <d v="2024-11-02T00:00:00"/>
    <n v="29"/>
    <n v="0"/>
    <d v="2024-11-02T00:00:00"/>
    <x v="0"/>
    <x v="1"/>
    <s v="Abuja"/>
    <s v="Corporate"/>
    <x v="3"/>
    <x v="9"/>
    <x v="6"/>
    <s v="Medium"/>
    <x v="93"/>
    <n v="412.09"/>
    <n v="968.94"/>
    <n v="9.9000000000000005E-2"/>
    <n v="0"/>
    <n v="23"/>
    <s v="ok"/>
    <n v="29"/>
    <n v="29"/>
    <n v="20079.343620000003"/>
    <n v="9478.07"/>
    <n v="10601.273620000004"/>
    <n v="606.37750000000005"/>
    <n v="1193.865"/>
    <n v="1912.0450000000001"/>
    <s v="Medium"/>
    <n v="0.52796913189137418"/>
    <d v="2023-01-15T00:00:00"/>
    <x v="0"/>
  </r>
  <r>
    <s v="ORD-2025-725646"/>
    <d v="2025-09-10T00:00:00"/>
    <s v="Q3-2025"/>
    <x v="11"/>
    <d v="2025-09-30T00:00:00"/>
    <n v="20"/>
    <n v="0"/>
    <d v="2025-09-30T00:00:00"/>
    <x v="0"/>
    <x v="0"/>
    <s v="Mombasa"/>
    <s v="Corporate"/>
    <x v="4"/>
    <x v="4"/>
    <x v="3"/>
    <s v="Medium"/>
    <x v="94"/>
    <n v="1009.48"/>
    <n v="1088.81"/>
    <n v="0.16"/>
    <n v="0"/>
    <n v="6"/>
    <s v="ok"/>
    <n v="20"/>
    <n v="20"/>
    <n v="5487.6023999999998"/>
    <n v="6056.88"/>
    <n v="-569.27760000000035"/>
    <n v="606.37750000000005"/>
    <n v="1193.865"/>
    <n v="1912.0450000000001"/>
    <s v="Medium"/>
    <n v="-0.10373885688219693"/>
    <d v="2023-01-20T00:00:00"/>
    <x v="0"/>
  </r>
  <r>
    <s v="ORD-2023-868734"/>
    <d v="2023-04-06T00:00:00"/>
    <s v="Q2-2023"/>
    <x v="12"/>
    <d v="2023-04-27T00:00:00"/>
    <n v="21"/>
    <n v="0"/>
    <d v="2023-04-27T00:00:00"/>
    <x v="3"/>
    <x v="8"/>
    <s v="Manchester"/>
    <s v="Enterprise"/>
    <x v="3"/>
    <x v="2"/>
    <x v="1"/>
    <s v="High"/>
    <x v="95"/>
    <n v="1084.79"/>
    <n v="2484.9899999999998"/>
    <n v="3.4000000000000002E-2"/>
    <n v="0"/>
    <n v="18"/>
    <s v="ok"/>
    <n v="21"/>
    <n v="21"/>
    <n v="43209.006119999991"/>
    <n v="19526.22"/>
    <n v="23682.78611999999"/>
    <n v="606.37750000000005"/>
    <n v="1193.865"/>
    <n v="1912.0450000000001"/>
    <s v="Medium"/>
    <n v="0.54809837685755114"/>
    <d v="2023-01-19T00:00:00"/>
    <x v="0"/>
  </r>
  <r>
    <s v="ORD-2025-262491"/>
    <d v="2025-08-01T00:00:00"/>
    <s v="Q3-2025"/>
    <x v="28"/>
    <d v="2025-08-16T00:00:00"/>
    <n v="15"/>
    <n v="0"/>
    <d v="2025-08-16T00:00:00"/>
    <x v="1"/>
    <x v="4"/>
    <s v="unknown"/>
    <s v="Enterprise"/>
    <x v="4"/>
    <x v="7"/>
    <x v="5"/>
    <s v="Low"/>
    <x v="96"/>
    <n v="24.44"/>
    <n v="28.69"/>
    <n v="0.14599999999999999"/>
    <n v="0"/>
    <n v="6"/>
    <s v="ok"/>
    <n v="15"/>
    <n v="15"/>
    <n v="147.00756000000001"/>
    <n v="146.64000000000001"/>
    <n v="0.36755999999999744"/>
    <n v="606.37750000000005"/>
    <n v="1193.865"/>
    <n v="1912.0450000000001"/>
    <s v="High"/>
    <n v="2.5002795774584476E-3"/>
    <d v="2023-01-29T00:00:00"/>
    <x v="0"/>
  </r>
  <r>
    <s v="ORD-2024-638884"/>
    <d v="2024-05-28T00:00:00"/>
    <s v="Q2-2024"/>
    <x v="7"/>
    <d v="2024-05-26T00:00:00"/>
    <n v="14"/>
    <n v="0"/>
    <d v="2024-06-11T00:00:00"/>
    <x v="0"/>
    <x v="1"/>
    <s v="Abuja"/>
    <s v="Enterprise"/>
    <x v="1"/>
    <x v="9"/>
    <x v="6"/>
    <s v="High"/>
    <x v="97"/>
    <n v="1227.08"/>
    <n v="1896.62"/>
    <n v="0"/>
    <n v="0"/>
    <n v="18"/>
    <s v="sus"/>
    <n v="-2"/>
    <n v="2"/>
    <n v="34139.159999999996"/>
    <n v="22087.439999999999"/>
    <n v="12051.719999999998"/>
    <n v="606.37750000000005"/>
    <n v="1193.865"/>
    <n v="1912.0450000000001"/>
    <s v="Low"/>
    <n v="0.353017473189147"/>
    <d v="2023-01-15T00:00:00"/>
    <x v="0"/>
  </r>
  <r>
    <s v="ORD-2025-541501"/>
    <d v="2025-07-22T00:00:00"/>
    <s v="Q3-2025"/>
    <x v="13"/>
    <d v="2025-08-18T00:00:00"/>
    <n v="27"/>
    <n v="0"/>
    <d v="2025-08-18T00:00:00"/>
    <x v="1"/>
    <x v="9"/>
    <s v="Shenzhen"/>
    <s v="Non-Profit"/>
    <x v="2"/>
    <x v="12"/>
    <x v="2"/>
    <s v="Low"/>
    <x v="98"/>
    <n v="547.32000000000005"/>
    <n v="419.17"/>
    <n v="9.1999999999999998E-2"/>
    <n v="0"/>
    <n v="14"/>
    <s v="ok"/>
    <n v="27"/>
    <n v="27"/>
    <n v="5328.4890400000004"/>
    <n v="7662.4800000000005"/>
    <n v="-2333.9909600000001"/>
    <n v="606.37750000000005"/>
    <n v="1193.865"/>
    <n v="1912.0450000000001"/>
    <s v="Medium"/>
    <n v="-0.43802116181137907"/>
    <d v="2023-01-12T00:00:00"/>
    <x v="0"/>
  </r>
  <r>
    <s v="ORD-2023-422918"/>
    <d v="2023-02-28T00:00:00"/>
    <s v="Q1-2023"/>
    <x v="2"/>
    <d v="2023-03-20T00:00:00"/>
    <n v="20"/>
    <n v="0"/>
    <d v="2023-03-20T00:00:00"/>
    <x v="3"/>
    <x v="6"/>
    <s v="Berlin"/>
    <s v="Small Business"/>
    <x v="4"/>
    <x v="10"/>
    <x v="4"/>
    <s v="High"/>
    <x v="99"/>
    <n v="1200.78"/>
    <n v="2001.17"/>
    <n v="0.29199999999999998"/>
    <n v="1"/>
    <n v="18"/>
    <s v="ok"/>
    <n v="20"/>
    <n v="20"/>
    <n v="25502.910479999999"/>
    <n v="21614.04"/>
    <n v="3888.8704799999978"/>
    <n v="606.37750000000005"/>
    <n v="1193.865"/>
    <n v="1912.0450000000001"/>
    <s v="Low"/>
    <n v="0.15248732034132906"/>
    <d v="2023-01-22T00:00:00"/>
    <x v="0"/>
  </r>
  <r>
    <s v="ORD-2025-328504"/>
    <d v="2025-01-27T00:00:00"/>
    <s v="Q1-2025"/>
    <x v="10"/>
    <d v="2025-02-15T00:00:00"/>
    <n v="19"/>
    <n v="0"/>
    <d v="2025-02-15T00:00:00"/>
    <x v="1"/>
    <x v="9"/>
    <s v="Shenzhen"/>
    <s v="Non-Profit"/>
    <x v="4"/>
    <x v="4"/>
    <x v="3"/>
    <s v="High"/>
    <x v="100"/>
    <n v="1253.22"/>
    <n v="3104.71"/>
    <n v="0"/>
    <n v="0"/>
    <n v="17"/>
    <s v="ok"/>
    <n v="19"/>
    <n v="19"/>
    <n v="52780.07"/>
    <n v="21304.74"/>
    <n v="31475.329999999998"/>
    <n v="606.37750000000005"/>
    <n v="1193.865"/>
    <n v="1912.0450000000001"/>
    <s v="High"/>
    <n v="0.59634877331538205"/>
    <d v="2023-01-12T00:00:00"/>
    <x v="0"/>
  </r>
  <r>
    <s v="ORD-2024-851883"/>
    <d v="2024-01-13T00:00:00"/>
    <s v="Q1-2024"/>
    <x v="9"/>
    <d v="2024-01-22T00:00:00"/>
    <n v="9"/>
    <n v="0"/>
    <d v="2024-01-22T00:00:00"/>
    <x v="1"/>
    <x v="4"/>
    <s v="Mumbai"/>
    <s v="Enterprise"/>
    <x v="2"/>
    <x v="1"/>
    <x v="0"/>
    <s v="Low"/>
    <x v="101"/>
    <n v="313.60000000000002"/>
    <n v="334.28"/>
    <n v="0.14000000000000001"/>
    <n v="0"/>
    <n v="22"/>
    <s v="ok"/>
    <n v="9"/>
    <n v="9"/>
    <n v="6324.5775999999996"/>
    <n v="6899.2000000000007"/>
    <n v="-574.62240000000111"/>
    <n v="606.37750000000005"/>
    <n v="1193.865"/>
    <n v="1912.0450000000001"/>
    <s v="High"/>
    <n v="-9.0855458868905517E-2"/>
    <d v="2023-01-29T00:00:00"/>
    <x v="0"/>
  </r>
  <r>
    <s v="ORD-2025-662997"/>
    <d v="2025-03-31T00:00:00"/>
    <s v="Q1-2025"/>
    <x v="3"/>
    <d v="2025-04-04T00:00:00"/>
    <n v="4"/>
    <n v="1"/>
    <d v="2025-04-04T00:00:00"/>
    <x v="0"/>
    <x v="0"/>
    <s v="Nakuru"/>
    <s v="Corporate"/>
    <x v="4"/>
    <x v="0"/>
    <x v="4"/>
    <s v="High"/>
    <x v="102"/>
    <n v="862.08"/>
    <n v="1952.83"/>
    <n v="0"/>
    <n v="0"/>
    <n v="7"/>
    <s v="ok"/>
    <n v="4"/>
    <n v="4"/>
    <n v="13669.81"/>
    <n v="6034.56"/>
    <n v="7635.2499999999991"/>
    <n v="606.37750000000005"/>
    <n v="1193.865"/>
    <n v="1912.0450000000001"/>
    <s v="Low"/>
    <n v="0.5585483631447693"/>
    <d v="2023-01-20T00:00:00"/>
    <x v="0"/>
  </r>
  <r>
    <s v="ORD-2024-478165"/>
    <d v="2024-12-05T00:00:00"/>
    <s v="Q4-2024"/>
    <x v="6"/>
    <d v="2024-12-28T00:00:00"/>
    <n v="23"/>
    <n v="0"/>
    <d v="2024-12-28T00:00:00"/>
    <x v="2"/>
    <x v="3"/>
    <s v="Vancouver"/>
    <s v="Corporate"/>
    <x v="4"/>
    <x v="9"/>
    <x v="6"/>
    <s v="Low"/>
    <x v="103"/>
    <n v="107.03"/>
    <n v="242.29"/>
    <n v="0.18"/>
    <n v="0"/>
    <n v="30"/>
    <s v="ok"/>
    <n v="23"/>
    <n v="23"/>
    <n v="5960.3340000000007"/>
    <n v="3210.9"/>
    <n v="2749.4340000000007"/>
    <n v="606.37750000000005"/>
    <n v="1193.865"/>
    <n v="1912.0450000000001"/>
    <s v="High"/>
    <n v="0.46128857879440988"/>
    <d v="2023-01-02T00:00:00"/>
    <x v="0"/>
  </r>
  <r>
    <s v="ORD-2024-771210"/>
    <d v="2024-09-14T00:00:00"/>
    <s v="Q3-2024"/>
    <x v="29"/>
    <d v="2024-10-05T00:00:00"/>
    <n v="21"/>
    <n v="0"/>
    <d v="2024-10-05T00:00:00"/>
    <x v="1"/>
    <x v="9"/>
    <s v="Shanghai"/>
    <s v="Small Business"/>
    <x v="1"/>
    <x v="10"/>
    <x v="4"/>
    <s v="High"/>
    <x v="104"/>
    <n v="1405.56"/>
    <n v="2968.87"/>
    <n v="0.16900000000000001"/>
    <n v="0"/>
    <n v="5"/>
    <s v="ok"/>
    <n v="21"/>
    <n v="21"/>
    <n v="12335.654849999999"/>
    <n v="7027.7999999999993"/>
    <n v="5307.8548499999997"/>
    <n v="606.37750000000005"/>
    <n v="1193.865"/>
    <n v="1912.0450000000001"/>
    <s v="Low"/>
    <n v="0.4302856163327235"/>
    <d v="2023-01-12T00:00:00"/>
    <x v="0"/>
  </r>
  <r>
    <s v="ORD-2024-155337"/>
    <d v="2024-05-21T00:00:00"/>
    <s v="Q2-2024"/>
    <x v="7"/>
    <d v="2024-05-27T00:00:00"/>
    <n v="6"/>
    <n v="1"/>
    <d v="2024-05-27T00:00:00"/>
    <x v="0"/>
    <x v="11"/>
    <s v="Johannesburg"/>
    <s v="Non-Profit"/>
    <x v="1"/>
    <x v="12"/>
    <x v="0"/>
    <s v="Medium"/>
    <x v="105"/>
    <n v="1157.51"/>
    <n v="1394.3"/>
    <n v="0.27800000000000002"/>
    <n v="1"/>
    <n v="12"/>
    <s v="ok"/>
    <n v="6"/>
    <n v="6"/>
    <n v="12080.215199999999"/>
    <n v="13890.119999999999"/>
    <n v="-1809.9048000000003"/>
    <n v="606.37750000000005"/>
    <n v="1193.865"/>
    <n v="1912.0450000000001"/>
    <s v="High"/>
    <n v="-0.14982388724333326"/>
    <d v="2023-01-07T00:00:00"/>
    <x v="0"/>
  </r>
  <r>
    <s v="ORD-2023-251563"/>
    <d v="2023-05-11T00:00:00"/>
    <s v="Q2-2023"/>
    <x v="15"/>
    <d v="2023-06-07T00:00:00"/>
    <n v="27"/>
    <n v="0"/>
    <d v="2023-06-07T00:00:00"/>
    <x v="0"/>
    <x v="0"/>
    <s v="Mombasa"/>
    <s v="Corporate"/>
    <x v="1"/>
    <x v="1"/>
    <x v="3"/>
    <s v="Low"/>
    <x v="106"/>
    <n v="12.85"/>
    <n v="15.41"/>
    <n v="0.13700000000000001"/>
    <n v="0"/>
    <n v="39"/>
    <s v="ok"/>
    <n v="27"/>
    <n v="27"/>
    <n v="518.65436999999997"/>
    <n v="501.15"/>
    <n v="17.504369999999994"/>
    <n v="606.37750000000005"/>
    <n v="1193.865"/>
    <n v="1912.0450000000001"/>
    <s v="Medium"/>
    <n v="3.3749585489851353E-2"/>
    <d v="2023-01-20T00:00:00"/>
    <x v="0"/>
  </r>
  <r>
    <s v="ORD-2024-286833"/>
    <d v="2024-08-14T00:00:00"/>
    <s v="Q3-2024"/>
    <x v="21"/>
    <d v="2024-09-04T00:00:00"/>
    <n v="21"/>
    <n v="0"/>
    <d v="2024-09-04T00:00:00"/>
    <x v="3"/>
    <x v="8"/>
    <s v="Manchester"/>
    <s v="Non-Profit"/>
    <x v="1"/>
    <x v="1"/>
    <x v="3"/>
    <s v="High"/>
    <x v="107"/>
    <n v="1138.8"/>
    <n v="2250.81"/>
    <n v="0.123"/>
    <n v="0"/>
    <n v="12"/>
    <s v="ok"/>
    <n v="21"/>
    <n v="21"/>
    <n v="23687.524440000001"/>
    <n v="13665.599999999999"/>
    <n v="10021.924440000003"/>
    <n v="606.37750000000005"/>
    <n v="1193.865"/>
    <n v="1912.0450000000001"/>
    <s v="Low"/>
    <n v="0.42308872188756258"/>
    <d v="2023-01-19T00:00:00"/>
    <x v="0"/>
  </r>
  <r>
    <s v="ORD-2024-792558"/>
    <d v="2024-10-16T00:00:00"/>
    <s v="Q4-2024"/>
    <x v="1"/>
    <d v="2024-11-08T00:00:00"/>
    <n v="23"/>
    <n v="0"/>
    <d v="2024-11-08T00:00:00"/>
    <x v="1"/>
    <x v="2"/>
    <s v="Osaka"/>
    <s v="Small Business"/>
    <x v="0"/>
    <x v="1"/>
    <x v="2"/>
    <s v="Low"/>
    <x v="108"/>
    <n v="82.14"/>
    <n v="166.04"/>
    <n v="0"/>
    <n v="0"/>
    <n v="10"/>
    <s v="ok"/>
    <n v="23"/>
    <n v="23"/>
    <n v="1660.3999999999999"/>
    <n v="821.4"/>
    <n v="838.99999999999989"/>
    <n v="606.37750000000005"/>
    <n v="1193.865"/>
    <n v="1912.0450000000001"/>
    <s v="High"/>
    <n v="0.50529992772825827"/>
    <d v="2023-03-03T00:00:00"/>
    <x v="1"/>
  </r>
  <r>
    <s v="ORD-2024-166150"/>
    <d v="2024-06-02T00:00:00"/>
    <s v="Q2-2024"/>
    <x v="17"/>
    <d v="2024-06-08T00:00:00"/>
    <n v="6"/>
    <n v="1"/>
    <d v="2024-06-08T00:00:00"/>
    <x v="0"/>
    <x v="0"/>
    <s v="Kisumu"/>
    <s v="Consumer"/>
    <x v="2"/>
    <x v="8"/>
    <x v="6"/>
    <s v="Low"/>
    <x v="109"/>
    <n v="292.94"/>
    <n v="356.55"/>
    <n v="0.22900000000000001"/>
    <n v="1"/>
    <n v="2"/>
    <s v="ok"/>
    <n v="6"/>
    <n v="6"/>
    <n v="549.80010000000004"/>
    <n v="585.88"/>
    <n v="-36.079899999999952"/>
    <n v="606.37750000000005"/>
    <n v="1193.865"/>
    <n v="1912.0450000000001"/>
    <s v="Low"/>
    <n v="-6.5623669402751925E-2"/>
    <d v="2023-01-20T00:00:00"/>
    <x v="0"/>
  </r>
  <r>
    <s v="ORD-2024-909942"/>
    <d v="2024-06-09T00:00:00"/>
    <s v="Q2-2024"/>
    <x v="17"/>
    <d v="2024-07-07T00:00:00"/>
    <n v="28"/>
    <n v="0"/>
    <d v="2024-07-07T00:00:00"/>
    <x v="1"/>
    <x v="9"/>
    <s v="Shenzhen"/>
    <s v="Corporate"/>
    <x v="1"/>
    <x v="1"/>
    <x v="0"/>
    <s v="Medium"/>
    <x v="110"/>
    <n v="550.22"/>
    <n v="1025.05"/>
    <n v="0"/>
    <n v="0"/>
    <n v="27"/>
    <s v="ok"/>
    <n v="28"/>
    <n v="28"/>
    <n v="27676.35"/>
    <n v="14855.94"/>
    <n v="12820.409999999998"/>
    <n v="606.37750000000005"/>
    <n v="1193.865"/>
    <n v="1912.0450000000001"/>
    <s v="Low"/>
    <n v="0.46322618408858102"/>
    <d v="2023-01-12T00:00:00"/>
    <x v="0"/>
  </r>
  <r>
    <s v="ORD-2024-223618"/>
    <d v="2024-06-10T00:00:00"/>
    <s v="Q2-2024"/>
    <x v="17"/>
    <d v="2024-06-11T00:00:00"/>
    <n v="1"/>
    <n v="1"/>
    <d v="2024-06-11T00:00:00"/>
    <x v="3"/>
    <x v="8"/>
    <s v="Birmingham"/>
    <s v="Small Business"/>
    <x v="2"/>
    <x v="12"/>
    <x v="4"/>
    <s v="High"/>
    <x v="111"/>
    <n v="1187.1300000000001"/>
    <n v="1795.17"/>
    <n v="1.2E-2"/>
    <n v="0"/>
    <n v="17"/>
    <s v="ok"/>
    <n v="1"/>
    <n v="1"/>
    <n v="30151.675319999998"/>
    <n v="20181.210000000003"/>
    <n v="9970.4653199999957"/>
    <n v="606.37750000000005"/>
    <n v="1193.865"/>
    <n v="1912.0450000000001"/>
    <s v="Medium"/>
    <n v="0.33067699271046663"/>
    <d v="2023-01-19T00:00:00"/>
    <x v="0"/>
  </r>
  <r>
    <s v="ORD-2024-919471"/>
    <d v="2024-06-29T00:00:00"/>
    <s v="Q2-2024"/>
    <x v="17"/>
    <d v="2024-07-26T00:00:00"/>
    <n v="27"/>
    <n v="0"/>
    <d v="2024-07-26T00:00:00"/>
    <x v="0"/>
    <x v="11"/>
    <s v="Durban"/>
    <s v="Enterprise"/>
    <x v="3"/>
    <x v="5"/>
    <x v="2"/>
    <s v="Low"/>
    <x v="112"/>
    <n v="5.36"/>
    <n v="4.37"/>
    <n v="0.11799999999999999"/>
    <n v="0"/>
    <n v="9"/>
    <s v="ok"/>
    <n v="27"/>
    <n v="27"/>
    <n v="34.689059999999998"/>
    <n v="48.24"/>
    <n v="-13.550940000000004"/>
    <n v="606.37750000000005"/>
    <n v="1193.865"/>
    <n v="1912.0450000000001"/>
    <s v="Medium"/>
    <n v="-0.39064016148030545"/>
    <d v="2023-01-07T00:00:00"/>
    <x v="0"/>
  </r>
  <r>
    <s v="ORD-2025-649239"/>
    <d v="2025-01-17T00:00:00"/>
    <s v="Q1-2025"/>
    <x v="10"/>
    <d v="2025-01-24T00:00:00"/>
    <n v="7"/>
    <n v="1"/>
    <d v="2025-01-24T00:00:00"/>
    <x v="2"/>
    <x v="10"/>
    <s v="Austin"/>
    <s v="Enterprise"/>
    <x v="1"/>
    <x v="3"/>
    <x v="6"/>
    <s v="Low"/>
    <x v="113"/>
    <n v="142.09"/>
    <n v="218.5"/>
    <n v="0.11899999999999999"/>
    <n v="0"/>
    <n v="11"/>
    <s v="ok"/>
    <n v="7"/>
    <n v="7"/>
    <n v="2117.4834999999998"/>
    <n v="1562.99"/>
    <n v="554.49349999999981"/>
    <n v="606.37750000000005"/>
    <n v="1193.865"/>
    <n v="1912.0450000000001"/>
    <s v="Low"/>
    <n v="0.26186437816398561"/>
    <d v="2023-01-13T00:00:00"/>
    <x v="0"/>
  </r>
  <r>
    <s v="ORD-2023-975863"/>
    <d v="2023-11-20T00:00:00"/>
    <s v="Q4-2023"/>
    <x v="30"/>
    <d v="2023-12-05T00:00:00"/>
    <n v="15"/>
    <n v="0"/>
    <d v="2023-12-05T00:00:00"/>
    <x v="1"/>
    <x v="2"/>
    <s v="Tokyo"/>
    <s v="Enterprise"/>
    <x v="0"/>
    <x v="4"/>
    <x v="2"/>
    <s v="Low"/>
    <x v="114"/>
    <n v="354.24"/>
    <n v="249.87"/>
    <n v="0"/>
    <n v="0"/>
    <n v="6"/>
    <s v="ok"/>
    <n v="15"/>
    <n v="15"/>
    <n v="1499.22"/>
    <n v="2125.44"/>
    <n v="-626.22"/>
    <n v="606.37750000000005"/>
    <n v="1193.865"/>
    <n v="1912.0450000000001"/>
    <s v="Low"/>
    <n v="-0.41769720254532355"/>
    <d v="2023-03-03T00:00:00"/>
    <x v="1"/>
  </r>
  <r>
    <s v="ORD-2023-869884"/>
    <d v="2023-03-02T00:00:00"/>
    <s v="Q1-2023"/>
    <x v="22"/>
    <d v="2023-03-05T00:00:00"/>
    <n v="3"/>
    <n v="1"/>
    <d v="2023-03-05T00:00:00"/>
    <x v="2"/>
    <x v="5"/>
    <s v="Brasília"/>
    <s v="Enterprise"/>
    <x v="4"/>
    <x v="3"/>
    <x v="5"/>
    <s v="High"/>
    <x v="115"/>
    <n v="1473.58"/>
    <n v="3436.52"/>
    <n v="0.108"/>
    <n v="0"/>
    <n v="8"/>
    <s v="ok"/>
    <n v="3"/>
    <n v="3"/>
    <n v="24523.006720000001"/>
    <n v="11788.64"/>
    <n v="12734.366720000002"/>
    <n v="606.37750000000005"/>
    <n v="1193.865"/>
    <n v="1912.0450000000001"/>
    <s v="Low"/>
    <n v="0.51928243813652564"/>
    <d v="2023-01-29T00:00:00"/>
    <x v="0"/>
  </r>
  <r>
    <s v="ORD-2025-698069"/>
    <d v="2025-06-03T00:00:00"/>
    <s v="Q2-2025"/>
    <x v="16"/>
    <d v="2025-06-10T00:00:00"/>
    <n v="7"/>
    <n v="1"/>
    <d v="2025-06-10T00:00:00"/>
    <x v="2"/>
    <x v="3"/>
    <s v="Toronto"/>
    <s v="Consumer"/>
    <x v="3"/>
    <x v="7"/>
    <x v="1"/>
    <s v="Low"/>
    <x v="116"/>
    <n v="75.180000000000007"/>
    <n v="53.45"/>
    <n v="0.157"/>
    <n v="0"/>
    <n v="17"/>
    <s v="ok"/>
    <n v="7"/>
    <n v="7"/>
    <n v="765.99195000000009"/>
    <n v="1278.0600000000002"/>
    <n v="-512.06805000000008"/>
    <n v="606.37750000000005"/>
    <n v="1193.865"/>
    <n v="1912.0450000000001"/>
    <s v="High"/>
    <n v="-0.66850317421743144"/>
    <d v="2023-01-02T00:00:00"/>
    <x v="0"/>
  </r>
  <r>
    <s v="ORD-2024-474999"/>
    <d v="2024-12-27T00:00:00"/>
    <s v="Q4-2024"/>
    <x v="6"/>
    <d v="2025-01-02T00:00:00"/>
    <n v="6"/>
    <n v="1"/>
    <d v="2025-01-02T00:00:00"/>
    <x v="3"/>
    <x v="6"/>
    <s v="Frankfurt"/>
    <s v="Education"/>
    <x v="4"/>
    <x v="9"/>
    <x v="4"/>
    <s v="High"/>
    <x v="117"/>
    <n v="1391.99"/>
    <n v="3469.7"/>
    <n v="0.184"/>
    <n v="0"/>
    <n v="23"/>
    <s v="ok"/>
    <n v="6"/>
    <n v="6"/>
    <n v="65119.329599999997"/>
    <n v="32015.77"/>
    <n v="33103.559599999993"/>
    <n v="606.37750000000005"/>
    <n v="1193.865"/>
    <n v="1912.0450000000001"/>
    <s v="Low"/>
    <n v="0.50835227886006973"/>
    <d v="2023-01-22T00:00:00"/>
    <x v="0"/>
  </r>
  <r>
    <s v="ORD-2023-427304"/>
    <d v="2023-06-09T00:00:00"/>
    <s v="Q2-2023"/>
    <x v="23"/>
    <d v="2023-06-19T00:00:00"/>
    <n v="10"/>
    <n v="0"/>
    <d v="2023-06-19T00:00:00"/>
    <x v="1"/>
    <x v="9"/>
    <s v="Beijing"/>
    <s v="Enterprise"/>
    <x v="0"/>
    <x v="9"/>
    <x v="5"/>
    <s v="Low"/>
    <x v="118"/>
    <n v="339.61"/>
    <n v="621.02"/>
    <n v="7.0999999999999994E-2"/>
    <n v="0"/>
    <n v="10"/>
    <s v="ok"/>
    <n v="10"/>
    <n v="10"/>
    <n v="5769.2758000000003"/>
    <n v="3396.1000000000004"/>
    <n v="2373.1758"/>
    <n v="606.37750000000005"/>
    <n v="1193.865"/>
    <n v="1912.0450000000001"/>
    <s v="High"/>
    <n v="0.41134726129750981"/>
    <d v="2023-01-12T00:00:00"/>
    <x v="0"/>
  </r>
  <r>
    <s v="ORD-2025-956101"/>
    <d v="2025-07-09T00:00:00"/>
    <s v="Q3-2025"/>
    <x v="13"/>
    <d v="2025-07-18T00:00:00"/>
    <n v="9"/>
    <n v="0"/>
    <d v="2025-07-18T00:00:00"/>
    <x v="2"/>
    <x v="3"/>
    <s v="Vancouver"/>
    <s v="Education"/>
    <x v="3"/>
    <x v="2"/>
    <x v="4"/>
    <s v="Low"/>
    <x v="119"/>
    <n v="57.96"/>
    <n v="88.51"/>
    <n v="4.2999999999999997E-2"/>
    <n v="0"/>
    <n v="7"/>
    <s v="ok"/>
    <n v="9"/>
    <n v="9"/>
    <n v="592.92849000000001"/>
    <n v="405.72"/>
    <n v="187.20848999999998"/>
    <n v="606.37750000000005"/>
    <n v="1193.865"/>
    <n v="1912.0450000000001"/>
    <s v="Medium"/>
    <n v="0.3157353595877978"/>
    <d v="2023-01-02T00:00:00"/>
    <x v="0"/>
  </r>
  <r>
    <s v="ORD-2025-184082"/>
    <d v="2025-06-19T00:00:00"/>
    <s v="Q2-2025"/>
    <x v="16"/>
    <d v="2025-07-12T00:00:00"/>
    <n v="23"/>
    <n v="0"/>
    <d v="2025-07-12T00:00:00"/>
    <x v="3"/>
    <x v="8"/>
    <s v="unknown"/>
    <s v="Non-Profit"/>
    <x v="4"/>
    <x v="15"/>
    <x v="2"/>
    <s v="High"/>
    <x v="120"/>
    <n v="801.24"/>
    <n v="1959.09"/>
    <n v="0.123"/>
    <n v="0"/>
    <n v="23"/>
    <s v="ok"/>
    <n v="23"/>
    <n v="23"/>
    <n v="39516.804389999998"/>
    <n v="18428.52"/>
    <n v="21088.284389999997"/>
    <n v="606.37750000000005"/>
    <n v="1193.865"/>
    <n v="1912.0450000000001"/>
    <s v="Low"/>
    <n v="0.53365358650651762"/>
    <d v="2023-01-19T00:00:00"/>
    <x v="0"/>
  </r>
  <r>
    <s v="ORD-2023-576840"/>
    <d v="2023-11-19T00:00:00"/>
    <s v="Q4-2023"/>
    <x v="30"/>
    <d v="2023-12-13T00:00:00"/>
    <n v="24"/>
    <n v="0"/>
    <d v="2023-12-13T00:00:00"/>
    <x v="3"/>
    <x v="7"/>
    <s v="Lyon"/>
    <s v="Non-Profit"/>
    <x v="4"/>
    <x v="10"/>
    <x v="5"/>
    <s v="High"/>
    <x v="121"/>
    <n v="1297.42"/>
    <n v="2742.97"/>
    <n v="6.9000000000000006E-2"/>
    <n v="0"/>
    <n v="9"/>
    <s v="ok"/>
    <n v="24"/>
    <n v="24"/>
    <n v="22983.34563"/>
    <n v="11676.78"/>
    <n v="11306.565629999999"/>
    <n v="606.37750000000005"/>
    <n v="1193.865"/>
    <n v="1912.0450000000001"/>
    <s v="High"/>
    <n v="0.49194602961727291"/>
    <d v="2023-01-10T00:00:00"/>
    <x v="0"/>
  </r>
  <r>
    <s v="ORD-2023-178249"/>
    <d v="2023-12-29T00:00:00"/>
    <s v="Q4-2023"/>
    <x v="4"/>
    <d v="2024-01-20T00:00:00"/>
    <n v="22"/>
    <n v="0"/>
    <d v="2024-01-20T00:00:00"/>
    <x v="0"/>
    <x v="0"/>
    <s v="Kisumu"/>
    <s v="Corporate"/>
    <x v="4"/>
    <x v="4"/>
    <x v="3"/>
    <s v="High"/>
    <x v="122"/>
    <n v="1395.49"/>
    <n v="1679.42"/>
    <n v="0.20300000000000001"/>
    <n v="1"/>
    <n v="12"/>
    <s v="ok"/>
    <n v="22"/>
    <n v="22"/>
    <n v="16061.972879999999"/>
    <n v="16745.88"/>
    <n v="-683.90712000000167"/>
    <n v="606.37750000000005"/>
    <n v="1193.865"/>
    <n v="1912.0450000000001"/>
    <s v="High"/>
    <n v="-4.2579272490964493E-2"/>
    <d v="2023-01-20T00:00:00"/>
    <x v="0"/>
  </r>
  <r>
    <s v="ORD-2024-588972"/>
    <d v="2024-11-02T00:00:00"/>
    <s v="Q4-2024"/>
    <x v="18"/>
    <d v="2024-11-29T00:00:00"/>
    <n v="27"/>
    <n v="0"/>
    <d v="2024-11-29T00:00:00"/>
    <x v="2"/>
    <x v="5"/>
    <s v="Brasília"/>
    <s v="Small Business"/>
    <x v="4"/>
    <x v="2"/>
    <x v="2"/>
    <s v="Medium"/>
    <x v="123"/>
    <n v="1363.51"/>
    <n v="1433.9"/>
    <n v="5.7000000000000002E-2"/>
    <n v="0"/>
    <n v="8"/>
    <s v="ok"/>
    <n v="27"/>
    <n v="27"/>
    <n v="10817.3416"/>
    <n v="10908.08"/>
    <n v="-90.738400000000183"/>
    <n v="606.37750000000005"/>
    <n v="1193.865"/>
    <n v="1912.0450000000001"/>
    <s v="Medium"/>
    <n v="-8.3882346842037592E-3"/>
    <d v="2023-01-29T00:00:00"/>
    <x v="0"/>
  </r>
  <r>
    <s v="ORD-2023-603238"/>
    <d v="2023-08-21T00:00:00"/>
    <s v="Q3-2023"/>
    <x v="25"/>
    <d v="2023-09-04T00:00:00"/>
    <n v="14"/>
    <n v="0"/>
    <d v="2023-09-04T00:00:00"/>
    <x v="2"/>
    <x v="3"/>
    <s v="Montreal"/>
    <s v="Education"/>
    <x v="3"/>
    <x v="9"/>
    <x v="0"/>
    <s v="Low"/>
    <x v="124"/>
    <n v="178.19"/>
    <n v="284.43"/>
    <n v="8.8999999999999996E-2"/>
    <n v="0"/>
    <n v="8"/>
    <s v="ok"/>
    <n v="14"/>
    <n v="14"/>
    <n v="2072.9258400000003"/>
    <n v="1425.52"/>
    <n v="647.40584000000035"/>
    <n v="606.37750000000005"/>
    <n v="1193.865"/>
    <n v="1912.0450000000001"/>
    <s v="Medium"/>
    <n v="0.31231500302972742"/>
    <d v="2023-01-02T00:00:00"/>
    <x v="0"/>
  </r>
  <r>
    <s v="ORD-2023-883066"/>
    <d v="2023-08-12T00:00:00"/>
    <s v="Q3-2023"/>
    <x v="25"/>
    <d v="2023-09-06T00:00:00"/>
    <n v="25"/>
    <n v="0"/>
    <d v="2023-09-06T00:00:00"/>
    <x v="1"/>
    <x v="9"/>
    <s v="Shanghai"/>
    <s v="Small Business"/>
    <x v="0"/>
    <x v="5"/>
    <x v="0"/>
    <s v="Low"/>
    <x v="125"/>
    <n v="950.77"/>
    <n v="694.78"/>
    <n v="8.4000000000000005E-2"/>
    <n v="0"/>
    <n v="14"/>
    <s v="ok"/>
    <n v="25"/>
    <n v="25"/>
    <n v="8909.8587200000002"/>
    <n v="13310.779999999999"/>
    <n v="-4400.9212799999987"/>
    <n v="606.37750000000005"/>
    <n v="1193.865"/>
    <n v="1912.0450000000001"/>
    <s v="Low"/>
    <n v="-0.49393839097821279"/>
    <d v="2023-01-12T00:00:00"/>
    <x v="0"/>
  </r>
  <r>
    <s v="ORD-2024-584090"/>
    <d v="2024-06-07T00:00:00"/>
    <s v="Q2-2024"/>
    <x v="17"/>
    <d v="2024-06-26T00:00:00"/>
    <n v="19"/>
    <n v="0"/>
    <d v="2024-06-26T00:00:00"/>
    <x v="3"/>
    <x v="6"/>
    <s v="Berlin"/>
    <s v="Non-Profit"/>
    <x v="2"/>
    <x v="12"/>
    <x v="0"/>
    <s v="High"/>
    <x v="126"/>
    <n v="1064.32"/>
    <n v="1848.39"/>
    <n v="7.2999999999999995E-2"/>
    <n v="0"/>
    <n v="38"/>
    <s v="ok"/>
    <n v="19"/>
    <n v="19"/>
    <n v="65111.38614000001"/>
    <n v="40444.159999999996"/>
    <n v="24667.226140000013"/>
    <n v="606.37750000000005"/>
    <n v="1193.865"/>
    <n v="1912.0450000000001"/>
    <s v="Medium"/>
    <n v="0.3788465827921631"/>
    <d v="2023-01-22T00:00:00"/>
    <x v="0"/>
  </r>
  <r>
    <s v="ORD-2025-537785"/>
    <d v="2025-08-05T00:00:00"/>
    <s v="Q3-2025"/>
    <x v="28"/>
    <d v="2025-08-14T00:00:00"/>
    <n v="9"/>
    <n v="0"/>
    <d v="2025-08-14T00:00:00"/>
    <x v="3"/>
    <x v="8"/>
    <s v="London"/>
    <s v="Non-Profit"/>
    <x v="4"/>
    <x v="6"/>
    <x v="0"/>
    <s v="Low"/>
    <x v="127"/>
    <n v="41.76"/>
    <n v="45.19"/>
    <n v="0.17899999999999999"/>
    <n v="0"/>
    <n v="23"/>
    <s v="ok"/>
    <n v="9"/>
    <n v="9"/>
    <n v="853.32276999999988"/>
    <n v="960.4799999999999"/>
    <n v="-107.15723000000003"/>
    <n v="606.37750000000005"/>
    <n v="1193.865"/>
    <n v="1912.0450000000001"/>
    <s v="Medium"/>
    <n v="-0.12557643340514638"/>
    <d v="2023-01-19T00:00:00"/>
    <x v="0"/>
  </r>
  <r>
    <s v="ORD-2024-605518"/>
    <d v="2024-05-30T00:00:00"/>
    <s v="Q2-2024"/>
    <x v="7"/>
    <d v="2024-06-13T00:00:00"/>
    <n v="14"/>
    <n v="0"/>
    <d v="2024-06-13T00:00:00"/>
    <x v="2"/>
    <x v="10"/>
    <s v="San Francisco"/>
    <s v="Small Business"/>
    <x v="0"/>
    <x v="9"/>
    <x v="3"/>
    <s v="Low"/>
    <x v="128"/>
    <n v="157.78"/>
    <n v="361.1"/>
    <n v="0.187"/>
    <n v="0"/>
    <n v="9"/>
    <s v="ok"/>
    <n v="14"/>
    <n v="14"/>
    <n v="2642.1686999999997"/>
    <n v="1420.02"/>
    <n v="1222.1486999999997"/>
    <n v="606.37750000000005"/>
    <n v="1193.865"/>
    <n v="1912.0450000000001"/>
    <s v="Low"/>
    <n v="0.46255513510549112"/>
    <d v="2023-01-13T00:00:00"/>
    <x v="0"/>
  </r>
  <r>
    <s v="ORD-2023-521818"/>
    <d v="2023-01-22T00:00:00"/>
    <s v="Q1-2023"/>
    <x v="5"/>
    <d v="2023-01-30T00:00:00"/>
    <n v="8"/>
    <n v="0"/>
    <d v="2023-01-30T00:00:00"/>
    <x v="2"/>
    <x v="10"/>
    <s v="San Francisco"/>
    <s v="Small Business"/>
    <x v="1"/>
    <x v="8"/>
    <x v="2"/>
    <s v="Medium"/>
    <x v="129"/>
    <n v="413.52"/>
    <n v="1004.34"/>
    <n v="0.111"/>
    <n v="0"/>
    <n v="18"/>
    <s v="ok"/>
    <n v="8"/>
    <n v="8"/>
    <n v="16071.44868"/>
    <n v="7443.36"/>
    <n v="8628.0886800000007"/>
    <n v="606.37750000000005"/>
    <n v="1193.865"/>
    <n v="1912.0450000000001"/>
    <s v="Low"/>
    <n v="0.53685817948304593"/>
    <d v="2023-01-15T00:00:00"/>
    <x v="0"/>
  </r>
  <r>
    <s v="ORD-2025-650719"/>
    <d v="2025-02-12T00:00:00"/>
    <s v="Q1-2025"/>
    <x v="26"/>
    <d v="2025-02-28T00:00:00"/>
    <n v="16"/>
    <n v="0"/>
    <d v="2025-02-28T00:00:00"/>
    <x v="2"/>
    <x v="5"/>
    <s v="São Paulo"/>
    <s v="Non-Profit"/>
    <x v="4"/>
    <x v="5"/>
    <x v="5"/>
    <s v="Medium"/>
    <x v="130"/>
    <n v="414.95"/>
    <n v="1027.73"/>
    <n v="6.3E-2"/>
    <n v="0"/>
    <n v="8"/>
    <s v="ok"/>
    <n v="16"/>
    <n v="16"/>
    <n v="7703.8640800000003"/>
    <n v="3319.6"/>
    <n v="4384.2640800000008"/>
    <n v="606.37750000000005"/>
    <n v="1193.865"/>
    <n v="1912.0450000000001"/>
    <s v="Medium"/>
    <n v="0.56909935513815568"/>
    <d v="2023-01-20T00:00:00"/>
    <x v="0"/>
  </r>
  <r>
    <s v="ORD-2025-501927"/>
    <d v="2025-03-03T00:00:00"/>
    <s v="Q1-2025"/>
    <x v="3"/>
    <d v="2025-03-24T00:00:00"/>
    <n v="21"/>
    <n v="0"/>
    <d v="2025-03-24T00:00:00"/>
    <x v="0"/>
    <x v="1"/>
    <s v="Abuja"/>
    <s v="Enterprise"/>
    <x v="4"/>
    <x v="10"/>
    <x v="6"/>
    <s v="Low"/>
    <x v="131"/>
    <n v="555.95000000000005"/>
    <n v="468.09"/>
    <n v="0.14199999999999999"/>
    <n v="0"/>
    <n v="11"/>
    <s v="ok"/>
    <n v="21"/>
    <n v="21"/>
    <n v="4417.8334199999999"/>
    <n v="6115.4500000000007"/>
    <n v="-1697.6165800000008"/>
    <n v="606.37750000000005"/>
    <n v="1193.865"/>
    <n v="1912.0450000000001"/>
    <s v="Medium"/>
    <n v="-0.38426450674095375"/>
    <d v="2023-01-15T00:00:00"/>
    <x v="0"/>
  </r>
  <r>
    <s v="ORD-2023-430904"/>
    <d v="2023-01-27T00:00:00"/>
    <s v="Q1-2023"/>
    <x v="5"/>
    <d v="2023-01-31T00:00:00"/>
    <n v="4"/>
    <n v="1"/>
    <d v="2023-01-31T00:00:00"/>
    <x v="3"/>
    <x v="8"/>
    <s v="Manchester"/>
    <s v="Enterprise"/>
    <x v="1"/>
    <x v="13"/>
    <x v="4"/>
    <s v="Low"/>
    <x v="132"/>
    <n v="941.2"/>
    <n v="668.02"/>
    <n v="0.22"/>
    <n v="1"/>
    <n v="16"/>
    <s v="ok"/>
    <n v="4"/>
    <n v="4"/>
    <n v="8336.8896000000004"/>
    <n v="15059.2"/>
    <n v="-6722.3104000000003"/>
    <n v="606.37750000000005"/>
    <n v="1193.865"/>
    <n v="1912.0450000000001"/>
    <s v="Low"/>
    <n v="-0.80633314371825193"/>
    <d v="2023-03-03T00:00:00"/>
    <x v="1"/>
  </r>
  <r>
    <s v="ORD-2025-354346"/>
    <d v="2025-01-09T00:00:00"/>
    <s v="Q1-2025"/>
    <x v="10"/>
    <d v="2025-01-15T00:00:00"/>
    <n v="6"/>
    <n v="1"/>
    <d v="2025-01-15T00:00:00"/>
    <x v="1"/>
    <x v="9"/>
    <s v="Beijing"/>
    <s v="Education"/>
    <x v="1"/>
    <x v="0"/>
    <x v="3"/>
    <s v="Low"/>
    <x v="133"/>
    <n v="304.77999999999997"/>
    <n v="537.27"/>
    <n v="0.187"/>
    <n v="0"/>
    <n v="8"/>
    <s v="ok"/>
    <n v="6"/>
    <n v="6"/>
    <n v="3494.4040799999998"/>
    <n v="2438.2399999999998"/>
    <n v="1056.16408"/>
    <n v="606.37750000000005"/>
    <n v="1193.865"/>
    <n v="1912.0450000000001"/>
    <s v="Medium"/>
    <n v="0.3022444044307549"/>
    <d v="2023-01-02T00:00:00"/>
    <x v="0"/>
  </r>
  <r>
    <s v="ORD-2024-164288"/>
    <d v="2024-12-21T00:00:00"/>
    <s v="Q4-2024"/>
    <x v="6"/>
    <d v="2024-12-26T00:00:00"/>
    <n v="5"/>
    <n v="1"/>
    <d v="2024-12-26T00:00:00"/>
    <x v="2"/>
    <x v="10"/>
    <s v="San Francisco"/>
    <s v="Consumer"/>
    <x v="2"/>
    <x v="12"/>
    <x v="1"/>
    <s v="Low"/>
    <x v="134"/>
    <n v="699.57"/>
    <n v="572.71"/>
    <n v="0.192"/>
    <n v="0"/>
    <n v="26"/>
    <s v="ok"/>
    <n v="5"/>
    <n v="5"/>
    <n v="12031.491680000001"/>
    <n v="18188.82"/>
    <n v="-6157.3283199999987"/>
    <n v="606.37750000000005"/>
    <n v="1193.865"/>
    <n v="1912.0450000000001"/>
    <s v="Low"/>
    <n v="-0.51176765805651114"/>
    <d v="2023-01-29T00:00:00"/>
    <x v="0"/>
  </r>
  <r>
    <s v="ORD-2023-867285"/>
    <d v="2023-04-12T00:00:00"/>
    <s v="Q2-2023"/>
    <x v="12"/>
    <d v="2023-04-17T00:00:00"/>
    <n v="5"/>
    <n v="1"/>
    <d v="2023-04-17T00:00:00"/>
    <x v="3"/>
    <x v="7"/>
    <s v="Lyon"/>
    <s v="Enterprise"/>
    <x v="4"/>
    <x v="6"/>
    <x v="5"/>
    <s v="High"/>
    <x v="135"/>
    <n v="1087.81"/>
    <n v="2323.87"/>
    <n v="9.4E-2"/>
    <n v="0"/>
    <n v="13"/>
    <s v="ok"/>
    <n v="5"/>
    <n v="5"/>
    <n v="27370.540859999997"/>
    <n v="14141.529999999999"/>
    <n v="13229.010859999999"/>
    <n v="606.37750000000005"/>
    <n v="1193.865"/>
    <n v="1912.0450000000001"/>
    <s v="Low"/>
    <n v="0.48333026839572651"/>
    <d v="2023-01-15T00:00:00"/>
    <x v="0"/>
  </r>
  <r>
    <s v="ORD-2024-836421"/>
    <d v="2024-12-14T00:00:00"/>
    <s v="Q4-2024"/>
    <x v="6"/>
    <d v="2025-01-12T00:00:00"/>
    <n v="29"/>
    <n v="0"/>
    <d v="2025-01-12T00:00:00"/>
    <x v="1"/>
    <x v="9"/>
    <s v="Shenzhen"/>
    <s v="Education"/>
    <x v="1"/>
    <x v="1"/>
    <x v="0"/>
    <s v="High"/>
    <x v="136"/>
    <n v="1412.15"/>
    <n v="1631.04"/>
    <n v="8.9999999999999993E-3"/>
    <n v="0"/>
    <n v="6"/>
    <s v="ok"/>
    <n v="29"/>
    <n v="29"/>
    <n v="9698.1638399999993"/>
    <n v="8472.9000000000015"/>
    <n v="1225.2638399999978"/>
    <n v="606.37750000000005"/>
    <n v="1193.865"/>
    <n v="1912.0450000000001"/>
    <s v="High"/>
    <n v="0.12633977526203535"/>
    <d v="2023-01-15T00:00:00"/>
    <x v="0"/>
  </r>
  <r>
    <s v="ORD-2023-613287"/>
    <d v="2023-03-31T00:00:00"/>
    <s v="Q1-2023"/>
    <x v="22"/>
    <d v="2023-04-12T00:00:00"/>
    <n v="12"/>
    <n v="0"/>
    <d v="2023-04-12T00:00:00"/>
    <x v="0"/>
    <x v="0"/>
    <s v="Mombasa"/>
    <s v="Small Business"/>
    <x v="1"/>
    <x v="0"/>
    <x v="3"/>
    <s v="Low"/>
    <x v="137"/>
    <n v="304.22000000000003"/>
    <n v="393.31"/>
    <n v="0.26500000000000001"/>
    <n v="1"/>
    <n v="15"/>
    <s v="ok"/>
    <n v="12"/>
    <n v="12"/>
    <n v="4336.2427499999994"/>
    <n v="4563.3"/>
    <n v="-227.05725000000075"/>
    <n v="606.37750000000005"/>
    <n v="1193.865"/>
    <n v="1912.0450000000001"/>
    <s v="Medium"/>
    <n v="-5.2362670424759034E-2"/>
    <d v="2023-01-29T00:00:00"/>
    <x v="0"/>
  </r>
  <r>
    <s v="ORD-2024-783321"/>
    <d v="2024-11-20T00:00:00"/>
    <s v="Q4-2024"/>
    <x v="18"/>
    <d v="2024-12-15T00:00:00"/>
    <n v="25"/>
    <n v="0"/>
    <d v="2024-12-15T00:00:00"/>
    <x v="3"/>
    <x v="7"/>
    <s v="Paris"/>
    <s v="Corporate"/>
    <x v="1"/>
    <x v="3"/>
    <x v="1"/>
    <s v="High"/>
    <x v="138"/>
    <n v="1203.58"/>
    <n v="1856.16"/>
    <n v="0.129"/>
    <n v="0"/>
    <n v="22"/>
    <s v="ok"/>
    <n v="25"/>
    <n v="25"/>
    <n v="35567.737920000007"/>
    <n v="26478.76"/>
    <n v="9088.9779200000085"/>
    <n v="606.37750000000005"/>
    <n v="1193.865"/>
    <n v="1912.0450000000001"/>
    <s v="Low"/>
    <n v="0.25553994860295032"/>
    <d v="2023-01-22T00:00:00"/>
    <x v="0"/>
  </r>
  <r>
    <s v="ORD-2024-232632"/>
    <d v="2024-02-14T00:00:00"/>
    <s v="Q1-2024"/>
    <x v="31"/>
    <d v="2024-02-14T00:00:00"/>
    <n v="0"/>
    <n v="1"/>
    <d v="2024-02-14T00:00:00"/>
    <x v="1"/>
    <x v="9"/>
    <s v="Beijing"/>
    <s v="Corporate"/>
    <x v="3"/>
    <x v="4"/>
    <x v="6"/>
    <s v="Low"/>
    <x v="139"/>
    <n v="65.930000000000007"/>
    <n v="84.9"/>
    <n v="0.25900000000000001"/>
    <n v="1"/>
    <n v="23"/>
    <s v="sus"/>
    <n v="0"/>
    <n v="0"/>
    <n v="1446.9507000000001"/>
    <n v="1516.39"/>
    <n v="-69.439300000000003"/>
    <n v="606.37750000000005"/>
    <n v="1193.865"/>
    <n v="1912.0450000000001"/>
    <s v="Medium"/>
    <n v="-4.7990093926489688E-2"/>
    <d v="2023-03-03T00:00:00"/>
    <x v="1"/>
  </r>
  <r>
    <s v="ORD-2023-906481"/>
    <d v="2023-05-02T00:00:00"/>
    <s v="Q2-2023"/>
    <x v="15"/>
    <d v="2023-05-18T00:00:00"/>
    <n v="16"/>
    <n v="0"/>
    <d v="2023-05-18T00:00:00"/>
    <x v="1"/>
    <x v="4"/>
    <s v="Delhi"/>
    <s v="Small Business"/>
    <x v="2"/>
    <x v="11"/>
    <x v="5"/>
    <s v="High"/>
    <x v="140"/>
    <n v="1463.92"/>
    <n v="2252.2399999999998"/>
    <n v="0.11799999999999999"/>
    <n v="0"/>
    <n v="44"/>
    <s v="ok"/>
    <n v="16"/>
    <n v="16"/>
    <n v="87404.929919999995"/>
    <n v="64412.480000000003"/>
    <n v="22992.449919999992"/>
    <n v="606.37750000000005"/>
    <n v="1193.865"/>
    <n v="1912.0450000000001"/>
    <s v="Low"/>
    <n v="0.26305667130040061"/>
    <d v="2023-01-29T00:00:00"/>
    <x v="0"/>
  </r>
  <r>
    <s v="ORD-2024-902741"/>
    <d v="2024-12-23T00:00:00"/>
    <s v="Q4-2024"/>
    <x v="6"/>
    <d v="2025-01-11T00:00:00"/>
    <n v="19"/>
    <n v="0"/>
    <d v="2025-01-11T00:00:00"/>
    <x v="3"/>
    <x v="6"/>
    <s v="Berlin"/>
    <s v="Education"/>
    <x v="0"/>
    <x v="11"/>
    <x v="3"/>
    <s v="Medium"/>
    <x v="141"/>
    <n v="501.81"/>
    <n v="921.62"/>
    <n v="0.01"/>
    <n v="0"/>
    <n v="9"/>
    <s v="ok"/>
    <n v="19"/>
    <n v="19"/>
    <n v="8211.6342000000004"/>
    <n v="4516.29"/>
    <n v="3695.3442000000005"/>
    <n v="606.37750000000005"/>
    <n v="1193.865"/>
    <n v="1912.0450000000001"/>
    <s v="High"/>
    <n v="0.45001325071202031"/>
    <d v="2023-01-10T00:00:00"/>
    <x v="0"/>
  </r>
  <r>
    <s v="ORD-2023-912395"/>
    <d v="2023-07-26T00:00:00"/>
    <s v="Q3-2023"/>
    <x v="24"/>
    <d v="2023-08-25T00:00:00"/>
    <n v="30"/>
    <n v="0"/>
    <d v="2023-08-25T00:00:00"/>
    <x v="2"/>
    <x v="10"/>
    <s v="New York"/>
    <s v="Consumer"/>
    <x v="0"/>
    <x v="12"/>
    <x v="6"/>
    <s v="High"/>
    <x v="142"/>
    <n v="1261.48"/>
    <n v="1643.18"/>
    <n v="0.151"/>
    <n v="0"/>
    <n v="23"/>
    <s v="ok"/>
    <n v="30"/>
    <n v="30"/>
    <n v="32086.37586"/>
    <n v="29014.04"/>
    <n v="3072.3358599999992"/>
    <n v="606.37750000000005"/>
    <n v="1193.865"/>
    <n v="1912.0450000000001"/>
    <s v="Medium"/>
    <n v="9.5752037357079045E-2"/>
    <d v="2023-01-29T00:00:00"/>
    <x v="0"/>
  </r>
  <r>
    <s v="ORD-2024-389102"/>
    <d v="2024-06-15T00:00:00"/>
    <s v="Q2-2024"/>
    <x v="17"/>
    <d v="2024-07-06T00:00:00"/>
    <n v="21"/>
    <n v="0"/>
    <d v="2024-07-06T00:00:00"/>
    <x v="2"/>
    <x v="3"/>
    <s v="Toronto"/>
    <s v="Enterprise"/>
    <x v="3"/>
    <x v="4"/>
    <x v="1"/>
    <s v="Medium"/>
    <x v="143"/>
    <n v="817.23"/>
    <n v="1467.17"/>
    <n v="0.245"/>
    <n v="1"/>
    <n v="9"/>
    <s v="ok"/>
    <n v="21"/>
    <n v="21"/>
    <n v="9969.4201499999999"/>
    <n v="7355.07"/>
    <n v="2614.3501500000002"/>
    <n v="606.37750000000005"/>
    <n v="1193.865"/>
    <n v="1912.0450000000001"/>
    <s v="Medium"/>
    <n v="0.26223693160328893"/>
    <d v="2023-01-20T00:00:00"/>
    <x v="0"/>
  </r>
  <r>
    <s v="ORD-2023-309373"/>
    <d v="2023-07-05T00:00:00"/>
    <s v="Q3-2023"/>
    <x v="24"/>
    <d v="2023-07-14T00:00:00"/>
    <n v="9"/>
    <n v="0"/>
    <d v="2023-07-14T00:00:00"/>
    <x v="2"/>
    <x v="5"/>
    <s v="Brasília"/>
    <s v="Enterprise"/>
    <x v="4"/>
    <x v="5"/>
    <x v="2"/>
    <s v="Medium"/>
    <x v="144"/>
    <n v="578.85"/>
    <n v="998.76"/>
    <n v="8.2000000000000003E-2"/>
    <n v="0"/>
    <n v="28"/>
    <s v="ok"/>
    <n v="9"/>
    <n v="9"/>
    <n v="25672.127039999999"/>
    <n v="16207.800000000001"/>
    <n v="9464.3270399999983"/>
    <n v="606.37750000000005"/>
    <n v="1193.865"/>
    <n v="1912.0450000000001"/>
    <s v="Medium"/>
    <n v="0.36866158480960831"/>
    <d v="2023-01-10T00:00:00"/>
    <x v="0"/>
  </r>
  <r>
    <s v="ORD-2023-825495"/>
    <d v="2023-11-30T00:00:00"/>
    <s v="Q4-2023"/>
    <x v="30"/>
    <d v="2023-11-29T00:00:00"/>
    <n v="14"/>
    <n v="0"/>
    <d v="2023-12-14T00:00:00"/>
    <x v="0"/>
    <x v="11"/>
    <s v="Durban"/>
    <s v="Small Business"/>
    <x v="2"/>
    <x v="6"/>
    <x v="4"/>
    <s v="Low"/>
    <x v="145"/>
    <n v="275.56"/>
    <n v="630.72"/>
    <n v="0.107"/>
    <n v="0"/>
    <n v="23"/>
    <s v="sus"/>
    <n v="-1"/>
    <n v="1"/>
    <n v="12954.358080000002"/>
    <n v="6337.88"/>
    <n v="6616.4780800000017"/>
    <n v="606.37750000000005"/>
    <n v="1193.865"/>
    <n v="1912.0450000000001"/>
    <s v="Medium"/>
    <n v="0.5107530638831933"/>
    <d v="2023-03-03T00:00:00"/>
    <x v="1"/>
  </r>
  <r>
    <s v="ORD-2025-244832"/>
    <d v="2025-09-11T00:00:00"/>
    <s v="Q3-2025"/>
    <x v="11"/>
    <d v="2025-09-28T00:00:00"/>
    <n v="17"/>
    <n v="0"/>
    <d v="2025-09-28T00:00:00"/>
    <x v="0"/>
    <x v="0"/>
    <s v="Nairobi"/>
    <s v="Non-Profit"/>
    <x v="3"/>
    <x v="1"/>
    <x v="4"/>
    <s v="Low"/>
    <x v="146"/>
    <n v="891.46"/>
    <n v="728.61"/>
    <n v="0.185"/>
    <n v="0"/>
    <n v="6"/>
    <s v="ok"/>
    <n v="17"/>
    <n v="17"/>
    <n v="3562.9028999999996"/>
    <n v="5348.76"/>
    <n v="-1785.8571000000006"/>
    <n v="606.37750000000005"/>
    <n v="1193.865"/>
    <n v="1912.0450000000001"/>
    <s v="Medium"/>
    <n v="-0.50123653383874167"/>
    <d v="2023-01-29T00:00:00"/>
    <x v="0"/>
  </r>
  <r>
    <s v="ORD-2024-211453"/>
    <d v="2024-04-04T00:00:00"/>
    <s v="Q2-2024"/>
    <x v="20"/>
    <d v="2024-04-24T00:00:00"/>
    <n v="20"/>
    <n v="0"/>
    <d v="2024-04-24T00:00:00"/>
    <x v="3"/>
    <x v="6"/>
    <s v="Frankfurt"/>
    <s v="Non-Profit"/>
    <x v="4"/>
    <x v="7"/>
    <x v="6"/>
    <s v="Medium"/>
    <x v="147"/>
    <n v="683.42"/>
    <n v="951.51"/>
    <n v="0"/>
    <n v="0"/>
    <n v="14"/>
    <s v="ok"/>
    <n v="20"/>
    <n v="20"/>
    <n v="13321.14"/>
    <n v="9567.8799999999992"/>
    <n v="3753.26"/>
    <n v="606.37750000000005"/>
    <n v="1193.865"/>
    <n v="1912.0450000000001"/>
    <s v="Medium"/>
    <n v="0.28175216235247136"/>
    <d v="2023-01-19T00:00:00"/>
    <x v="0"/>
  </r>
  <r>
    <s v="ORD-2023-192324"/>
    <d v="2023-09-14T00:00:00"/>
    <s v="Q3-2023"/>
    <x v="27"/>
    <d v="2023-09-16T00:00:00"/>
    <n v="2"/>
    <n v="1"/>
    <d v="2023-09-16T00:00:00"/>
    <x v="3"/>
    <x v="7"/>
    <s v="Lyon"/>
    <s v="Non-Profit"/>
    <x v="4"/>
    <x v="5"/>
    <x v="1"/>
    <s v="Low"/>
    <x v="148"/>
    <n v="376.83"/>
    <n v="732.88"/>
    <n v="0.188"/>
    <n v="0"/>
    <n v="25"/>
    <s v="ok"/>
    <n v="2"/>
    <n v="2"/>
    <n v="14877.464000000002"/>
    <n v="9420.75"/>
    <n v="5456.7140000000018"/>
    <n v="606.37750000000005"/>
    <n v="1193.865"/>
    <n v="1912.0450000000001"/>
    <s v="Medium"/>
    <n v="0.36677716040852132"/>
    <d v="2023-01-20T00:00:00"/>
    <x v="0"/>
  </r>
  <r>
    <s v="ORD-2024-438404"/>
    <d v="2024-09-23T00:00:00"/>
    <s v="Q3-2024"/>
    <x v="29"/>
    <d v="2024-10-18T00:00:00"/>
    <n v="25"/>
    <n v="0"/>
    <d v="2024-10-18T00:00:00"/>
    <x v="2"/>
    <x v="3"/>
    <s v="Vancouver"/>
    <s v="Small Business"/>
    <x v="1"/>
    <x v="13"/>
    <x v="3"/>
    <s v="High"/>
    <x v="149"/>
    <n v="1297"/>
    <n v="2411.52"/>
    <n v="2.1000000000000001E-2"/>
    <n v="0"/>
    <n v="18"/>
    <s v="ok"/>
    <n v="25"/>
    <n v="25"/>
    <n v="42495.805439999996"/>
    <n v="23346"/>
    <n v="19149.805439999996"/>
    <n v="606.37750000000005"/>
    <n v="1193.865"/>
    <n v="1912.0450000000001"/>
    <s v="Medium"/>
    <n v="0.45062813239385913"/>
    <d v="2023-01-12T00:00:00"/>
    <x v="0"/>
  </r>
  <r>
    <s v="ORD-2025-246470"/>
    <d v="2025-04-16T00:00:00"/>
    <s v="Q2-2025"/>
    <x v="19"/>
    <d v="2025-05-16T00:00:00"/>
    <n v="30"/>
    <n v="0"/>
    <d v="2025-05-16T00:00:00"/>
    <x v="2"/>
    <x v="3"/>
    <s v="Montreal"/>
    <s v="Enterprise"/>
    <x v="3"/>
    <x v="11"/>
    <x v="1"/>
    <s v="Low"/>
    <x v="150"/>
    <n v="763.32"/>
    <n v="568.29"/>
    <n v="0.13100000000000001"/>
    <n v="0"/>
    <n v="16"/>
    <s v="ok"/>
    <n v="30"/>
    <n v="30"/>
    <n v="7901.5041599999995"/>
    <n v="12213.12"/>
    <n v="-4311.6158400000013"/>
    <n v="606.37750000000005"/>
    <n v="1193.865"/>
    <n v="1912.0450000000001"/>
    <s v="High"/>
    <n v="-0.54567026134426555"/>
    <d v="2023-01-15T00:00:00"/>
    <x v="0"/>
  </r>
  <r>
    <s v="ORD-2023-497686"/>
    <d v="2023-07-03T00:00:00"/>
    <s v="Q3-2023"/>
    <x v="24"/>
    <d v="2023-07-23T00:00:00"/>
    <n v="20"/>
    <n v="0"/>
    <d v="2023-07-23T00:00:00"/>
    <x v="0"/>
    <x v="11"/>
    <s v="Johannesburg"/>
    <s v="Small Business"/>
    <x v="3"/>
    <x v="9"/>
    <x v="4"/>
    <s v="Medium"/>
    <x v="151"/>
    <n v="1001.96"/>
    <n v="1254.95"/>
    <n v="4.4999999999999998E-2"/>
    <n v="0"/>
    <n v="18"/>
    <s v="ok"/>
    <n v="20"/>
    <n v="20"/>
    <n v="21572.590500000002"/>
    <n v="18035.28"/>
    <n v="3537.3105000000032"/>
    <n v="606.37750000000005"/>
    <n v="1193.865"/>
    <n v="1912.0450000000001"/>
    <s v="Low"/>
    <n v="0.16397244920585699"/>
    <d v="2023-01-13T00:00:00"/>
    <x v="0"/>
  </r>
  <r>
    <s v="ORD-2023-596758"/>
    <d v="2023-12-07T00:00:00"/>
    <s v="Q4-2023"/>
    <x v="4"/>
    <d v="2023-12-05T00:00:00"/>
    <n v="14"/>
    <n v="0"/>
    <d v="2023-12-21T00:00:00"/>
    <x v="1"/>
    <x v="2"/>
    <s v="Tokyo"/>
    <s v="Non-Profit"/>
    <x v="2"/>
    <x v="10"/>
    <x v="1"/>
    <s v="Medium"/>
    <x v="152"/>
    <n v="1097.5899999999999"/>
    <n v="845.55"/>
    <n v="0.184"/>
    <n v="0"/>
    <n v="6"/>
    <s v="sus"/>
    <n v="-2"/>
    <n v="2"/>
    <n v="4139.8127999999997"/>
    <n v="6585.5399999999991"/>
    <n v="-2445.7271999999994"/>
    <n v="606.37750000000005"/>
    <n v="1193.865"/>
    <n v="1912.0450000000001"/>
    <s v="Medium"/>
    <n v="-0.59078207594314402"/>
    <d v="2023-01-29T00:00:00"/>
    <x v="0"/>
  </r>
  <r>
    <s v="ORD-2024-201376"/>
    <d v="2024-02-18T00:00:00"/>
    <s v="Q1-2024"/>
    <x v="31"/>
    <d v="2024-03-04T00:00:00"/>
    <n v="15"/>
    <n v="0"/>
    <d v="2024-03-04T00:00:00"/>
    <x v="0"/>
    <x v="0"/>
    <s v="Kisumu"/>
    <s v="Education"/>
    <x v="4"/>
    <x v="11"/>
    <x v="1"/>
    <s v="High"/>
    <x v="153"/>
    <n v="928.68"/>
    <n v="2145.17"/>
    <n v="0.13600000000000001"/>
    <n v="0"/>
    <n v="16"/>
    <s v="ok"/>
    <n v="15"/>
    <n v="15"/>
    <n v="29654.83008"/>
    <n v="14858.88"/>
    <n v="14795.950080000001"/>
    <n v="606.37750000000005"/>
    <n v="1193.865"/>
    <n v="1912.0450000000001"/>
    <s v="Medium"/>
    <n v="0.49893896003062177"/>
    <d v="2023-01-29T00:00:00"/>
    <x v="0"/>
  </r>
  <r>
    <s v="ORD-2023-842488"/>
    <d v="2023-10-31T00:00:00"/>
    <s v="Q4-2023"/>
    <x v="32"/>
    <d v="2023-11-02T00:00:00"/>
    <n v="2"/>
    <n v="1"/>
    <d v="2023-11-02T00:00:00"/>
    <x v="0"/>
    <x v="0"/>
    <s v="Kisumu"/>
    <s v="Education"/>
    <x v="0"/>
    <x v="7"/>
    <x v="6"/>
    <s v="Medium"/>
    <x v="154"/>
    <n v="867.89"/>
    <n v="1349.94"/>
    <n v="0.184"/>
    <n v="0"/>
    <n v="10"/>
    <s v="ok"/>
    <n v="2"/>
    <n v="2"/>
    <n v="11015.510400000003"/>
    <n v="8678.9"/>
    <n v="2336.6104000000032"/>
    <n v="606.37750000000005"/>
    <n v="1193.865"/>
    <n v="1912.0450000000001"/>
    <s v="High"/>
    <n v="0.21212003031652557"/>
    <d v="2023-01-10T00:00:00"/>
    <x v="0"/>
  </r>
  <r>
    <s v="ORD-2024-136321"/>
    <d v="2024-08-07T00:00:00"/>
    <s v="Q3-2024"/>
    <x v="21"/>
    <d v="2024-08-17T00:00:00"/>
    <n v="10"/>
    <n v="0"/>
    <d v="2024-08-17T00:00:00"/>
    <x v="1"/>
    <x v="2"/>
    <s v="Osaka"/>
    <s v="Consumer"/>
    <x v="1"/>
    <x v="11"/>
    <x v="2"/>
    <s v="Low"/>
    <x v="155"/>
    <n v="436.58"/>
    <n v="527.48"/>
    <n v="0.111"/>
    <n v="0"/>
    <n v="19"/>
    <s v="ok"/>
    <n v="10"/>
    <n v="10"/>
    <n v="8909.6646800000017"/>
    <n v="8295.02"/>
    <n v="614.64468000000124"/>
    <n v="606.37750000000005"/>
    <n v="1193.865"/>
    <n v="1912.0450000000001"/>
    <s v="Medium"/>
    <n v="6.8986286473802644E-2"/>
    <d v="2023-01-20T00:00:00"/>
    <x v="0"/>
  </r>
  <r>
    <s v="ORD-2024-764468"/>
    <d v="2024-02-01T00:00:00"/>
    <s v="Q1-2024"/>
    <x v="31"/>
    <d v="2024-02-21T00:00:00"/>
    <n v="20"/>
    <n v="0"/>
    <d v="2024-02-21T00:00:00"/>
    <x v="3"/>
    <x v="7"/>
    <s v="Paris"/>
    <s v="Small Business"/>
    <x v="2"/>
    <x v="8"/>
    <x v="2"/>
    <s v="Medium"/>
    <x v="156"/>
    <n v="656.2"/>
    <n v="1467.17"/>
    <n v="1.7999999999999999E-2"/>
    <n v="0"/>
    <n v="5"/>
    <s v="ok"/>
    <n v="20"/>
    <n v="20"/>
    <n v="7203.8047000000006"/>
    <n v="3281"/>
    <n v="3922.8047000000006"/>
    <n v="606.37750000000005"/>
    <n v="1193.865"/>
    <n v="1912.0450000000001"/>
    <s v="Low"/>
    <n v="0.54454623124360946"/>
    <d v="2023-01-20T00:00:00"/>
    <x v="0"/>
  </r>
  <r>
    <s v="ORD-2024-553449"/>
    <d v="2024-08-27T00:00:00"/>
    <s v="Q3-2024"/>
    <x v="21"/>
    <d v="2024-09-18T00:00:00"/>
    <n v="22"/>
    <n v="0"/>
    <d v="2024-09-18T00:00:00"/>
    <x v="1"/>
    <x v="4"/>
    <s v="Delhi"/>
    <s v="Consumer"/>
    <x v="4"/>
    <x v="5"/>
    <x v="0"/>
    <s v="High"/>
    <x v="157"/>
    <n v="896.75"/>
    <n v="1651.14"/>
    <n v="2.5000000000000001E-2"/>
    <n v="0"/>
    <n v="15"/>
    <s v="ok"/>
    <n v="22"/>
    <n v="22"/>
    <n v="24147.922500000001"/>
    <n v="13451.25"/>
    <n v="10696.672500000001"/>
    <n v="606.37750000000005"/>
    <n v="1193.865"/>
    <n v="1912.0450000000001"/>
    <s v="Medium"/>
    <n v="0.44296450346815552"/>
    <d v="2023-01-10T00:00:00"/>
    <x v="0"/>
  </r>
  <r>
    <s v="ORD-2025-766923"/>
    <d v="2025-02-15T00:00:00"/>
    <s v="Q1-2025"/>
    <x v="26"/>
    <d v="2025-02-15T00:00:00"/>
    <n v="0"/>
    <n v="1"/>
    <d v="2025-02-15T00:00:00"/>
    <x v="3"/>
    <x v="6"/>
    <s v="Frankfurt"/>
    <s v="Small Business"/>
    <x v="2"/>
    <x v="4"/>
    <x v="6"/>
    <s v="High"/>
    <x v="158"/>
    <n v="815.83"/>
    <n v="1982.18"/>
    <n v="0.127"/>
    <n v="0"/>
    <n v="6"/>
    <s v="sus"/>
    <n v="0"/>
    <n v="0"/>
    <n v="10382.65884"/>
    <n v="4894.9800000000005"/>
    <n v="5487.6788399999996"/>
    <n v="606.37750000000005"/>
    <n v="1193.865"/>
    <n v="1912.0450000000001"/>
    <s v="Medium"/>
    <n v="0.52854272923408507"/>
    <d v="2023-01-29T00:00:00"/>
    <x v="0"/>
  </r>
  <r>
    <s v="ORD-2025-418232"/>
    <d v="2025-08-01T00:00:00"/>
    <s v="Q3-2025"/>
    <x v="28"/>
    <d v="2025-08-21T00:00:00"/>
    <n v="20"/>
    <n v="0"/>
    <d v="2025-08-21T00:00:00"/>
    <x v="1"/>
    <x v="9"/>
    <s v="Shanghai"/>
    <s v="Corporate"/>
    <x v="4"/>
    <x v="2"/>
    <x v="3"/>
    <s v="High"/>
    <x v="159"/>
    <n v="1220.4100000000001"/>
    <n v="2552.2199999999998"/>
    <n v="0.18099999999999999"/>
    <n v="0"/>
    <n v="14"/>
    <s v="ok"/>
    <n v="20"/>
    <n v="20"/>
    <n v="29263.754519999995"/>
    <n v="17085.740000000002"/>
    <n v="12178.014519999993"/>
    <n v="606.37750000000005"/>
    <n v="1193.865"/>
    <n v="1912.0450000000001"/>
    <s v="High"/>
    <n v="0.41614668793360271"/>
    <d v="2023-01-02T00:00:00"/>
    <x v="0"/>
  </r>
  <r>
    <s v="ORD-2023-848013"/>
    <d v="2023-02-20T00:00:00"/>
    <s v="Q1-2023"/>
    <x v="2"/>
    <d v="2023-03-04T00:00:00"/>
    <n v="12"/>
    <n v="0"/>
    <d v="2023-03-04T00:00:00"/>
    <x v="1"/>
    <x v="4"/>
    <s v="Delhi"/>
    <s v="Consumer"/>
    <x v="3"/>
    <x v="12"/>
    <x v="5"/>
    <s v="Low"/>
    <x v="160"/>
    <n v="299.75"/>
    <n v="523.01"/>
    <n v="0.157"/>
    <n v="0"/>
    <n v="50"/>
    <s v="ok"/>
    <n v="12"/>
    <n v="12"/>
    <n v="22044.871499999997"/>
    <n v="14987.5"/>
    <n v="7057.3714999999975"/>
    <n v="606.37750000000005"/>
    <n v="1193.865"/>
    <n v="1912.0450000000001"/>
    <s v="High"/>
    <n v="0.32013665854210122"/>
    <d v="2023-01-07T00:00:00"/>
    <x v="0"/>
  </r>
  <r>
    <s v="ORD-2024-357368"/>
    <d v="2024-10-30T00:00:00"/>
    <s v="Q4-2024"/>
    <x v="1"/>
    <d v="2024-11-24T00:00:00"/>
    <n v="25"/>
    <n v="0"/>
    <d v="2024-11-24T00:00:00"/>
    <x v="1"/>
    <x v="9"/>
    <s v="Shenzhen"/>
    <s v="Small Business"/>
    <x v="1"/>
    <x v="6"/>
    <x v="0"/>
    <s v="Medium"/>
    <x v="161"/>
    <n v="811.05"/>
    <n v="1217.71"/>
    <n v="7.1999999999999995E-2"/>
    <n v="0"/>
    <n v="5"/>
    <s v="ok"/>
    <n v="25"/>
    <n v="25"/>
    <n v="5650.1744000000008"/>
    <n v="4055.25"/>
    <n v="1594.9244000000008"/>
    <n v="606.37750000000005"/>
    <n v="1193.865"/>
    <n v="1912.0450000000001"/>
    <s v="Low"/>
    <n v="0.28227879125288602"/>
    <d v="2023-01-19T00:00:00"/>
    <x v="0"/>
  </r>
  <r>
    <s v="ORD-2024-219735"/>
    <d v="2024-04-03T00:00:00"/>
    <s v="Q2-2024"/>
    <x v="20"/>
    <d v="2024-04-07T00:00:00"/>
    <n v="4"/>
    <n v="1"/>
    <d v="2024-04-07T00:00:00"/>
    <x v="2"/>
    <x v="5"/>
    <s v="Brasília"/>
    <s v="Non-Profit"/>
    <x v="4"/>
    <x v="13"/>
    <x v="3"/>
    <s v="Medium"/>
    <x v="162"/>
    <n v="1023.27"/>
    <n v="1343.64"/>
    <n v="0.13300000000000001"/>
    <n v="0"/>
    <n v="7"/>
    <s v="ok"/>
    <n v="4"/>
    <n v="4"/>
    <n v="8154.5511600000009"/>
    <n v="7162.8899999999994"/>
    <n v="991.66116000000147"/>
    <n v="606.37750000000005"/>
    <n v="1193.865"/>
    <n v="1912.0450000000001"/>
    <s v="Medium"/>
    <n v="0.12160830688810116"/>
    <d v="2023-01-07T00:00:00"/>
    <x v="0"/>
  </r>
  <r>
    <s v="ORD-2023-240507"/>
    <d v="2023-03-25T00:00:00"/>
    <s v="Q1-2023"/>
    <x v="22"/>
    <d v="2023-03-26T00:00:00"/>
    <n v="1"/>
    <n v="1"/>
    <d v="2023-03-26T00:00:00"/>
    <x v="1"/>
    <x v="2"/>
    <s v="Osaka"/>
    <s v="Small Business"/>
    <x v="3"/>
    <x v="2"/>
    <x v="5"/>
    <s v="Low"/>
    <x v="163"/>
    <n v="135.12"/>
    <n v="301.7"/>
    <n v="0.14000000000000001"/>
    <n v="0"/>
    <n v="47"/>
    <s v="ok"/>
    <n v="1"/>
    <n v="1"/>
    <n v="12194.714"/>
    <n v="6350.64"/>
    <n v="5844.0739999999996"/>
    <n v="606.37750000000005"/>
    <n v="1193.865"/>
    <n v="1912.0450000000001"/>
    <s v="Medium"/>
    <n v="0.47923009920527859"/>
    <d v="2023-01-29T00:00:00"/>
    <x v="0"/>
  </r>
  <r>
    <s v="ORD-2024-134084"/>
    <d v="2024-06-04T00:00:00"/>
    <s v="Q2-2024"/>
    <x v="17"/>
    <d v="2024-06-16T00:00:00"/>
    <n v="12"/>
    <n v="0"/>
    <d v="2024-06-16T00:00:00"/>
    <x v="1"/>
    <x v="9"/>
    <s v="Shanghai"/>
    <s v="Corporate"/>
    <x v="0"/>
    <x v="1"/>
    <x v="1"/>
    <s v="Medium"/>
    <x v="164"/>
    <n v="918.42"/>
    <n v="1511.71"/>
    <n v="0.02"/>
    <n v="0"/>
    <n v="8"/>
    <s v="ok"/>
    <n v="12"/>
    <n v="12"/>
    <n v="11851.806399999999"/>
    <n v="7347.36"/>
    <n v="4504.4463999999998"/>
    <n v="606.37750000000005"/>
    <n v="1193.865"/>
    <n v="1912.0450000000001"/>
    <s v="Low"/>
    <n v="0.38006412254590999"/>
    <d v="2023-01-22T00:00:00"/>
    <x v="0"/>
  </r>
  <r>
    <s v="ORD-2023-884625"/>
    <d v="2023-02-19T00:00:00"/>
    <s v="Q1-2023"/>
    <x v="2"/>
    <d v="2023-03-12T00:00:00"/>
    <n v="21"/>
    <n v="0"/>
    <d v="2023-03-12T00:00:00"/>
    <x v="3"/>
    <x v="6"/>
    <s v="Berlin"/>
    <s v="Small Business"/>
    <x v="4"/>
    <x v="4"/>
    <x v="5"/>
    <s v="High"/>
    <x v="165"/>
    <n v="1234.81"/>
    <n v="2055.2399999999998"/>
    <n v="5.2999999999999999E-2"/>
    <n v="0"/>
    <n v="44"/>
    <s v="ok"/>
    <n v="21"/>
    <n v="21"/>
    <n v="85637.740319999997"/>
    <n v="54331.64"/>
    <n v="31306.100319999998"/>
    <n v="606.37750000000005"/>
    <n v="1193.865"/>
    <n v="1912.0450000000001"/>
    <s v="Medium"/>
    <n v="0.36556429680441616"/>
    <d v="2023-01-12T00:00:00"/>
    <x v="0"/>
  </r>
  <r>
    <s v="ORD-2023-157993"/>
    <d v="2023-04-18T00:00:00"/>
    <s v="Q2-2023"/>
    <x v="12"/>
    <d v="2023-05-18T00:00:00"/>
    <n v="30"/>
    <n v="0"/>
    <d v="2023-05-18T00:00:00"/>
    <x v="1"/>
    <x v="9"/>
    <s v="Shenzhen"/>
    <s v="Non-Profit"/>
    <x v="0"/>
    <x v="10"/>
    <x v="4"/>
    <s v="Low"/>
    <x v="166"/>
    <n v="329.03"/>
    <n v="391.15"/>
    <n v="0.19700000000000001"/>
    <n v="0"/>
    <n v="46"/>
    <s v="ok"/>
    <n v="30"/>
    <n v="30"/>
    <n v="14448.298699999998"/>
    <n v="15135.38"/>
    <n v="-687.08130000000165"/>
    <n v="606.37750000000005"/>
    <n v="1193.865"/>
    <n v="1912.0450000000001"/>
    <s v="High"/>
    <n v="-4.7554477815440081E-2"/>
    <d v="2023-01-15T00:00:00"/>
    <x v="0"/>
  </r>
  <r>
    <s v="ORD-2024-329104"/>
    <d v="2024-05-23T00:00:00"/>
    <s v="Q2-2024"/>
    <x v="7"/>
    <d v="2024-06-14T00:00:00"/>
    <n v="22"/>
    <n v="0"/>
    <d v="2024-06-14T00:00:00"/>
    <x v="3"/>
    <x v="7"/>
    <s v="Marseille"/>
    <s v="Small Business"/>
    <x v="1"/>
    <x v="13"/>
    <x v="5"/>
    <s v="High"/>
    <x v="167"/>
    <n v="1481.74"/>
    <n v="1848.97"/>
    <n v="0.254"/>
    <n v="1"/>
    <n v="9"/>
    <s v="ok"/>
    <n v="22"/>
    <n v="22"/>
    <n v="12413.98458"/>
    <n v="13335.66"/>
    <n v="-921.67541999999958"/>
    <n v="606.37750000000005"/>
    <n v="1193.865"/>
    <n v="1912.0450000000001"/>
    <s v="Low"/>
    <n v="-7.4244930309072407E-2"/>
    <d v="2023-01-13T00:00:00"/>
    <x v="0"/>
  </r>
  <r>
    <s v="ORD-2023-304451"/>
    <d v="2023-10-07T00:00:00"/>
    <s v="Q4-2023"/>
    <x v="32"/>
    <d v="2023-10-23T00:00:00"/>
    <n v="16"/>
    <n v="0"/>
    <d v="2023-10-23T00:00:00"/>
    <x v="1"/>
    <x v="4"/>
    <s v="Hyderabad"/>
    <s v="Consumer"/>
    <x v="0"/>
    <x v="3"/>
    <x v="5"/>
    <s v="Medium"/>
    <x v="168"/>
    <n v="906.81"/>
    <n v="1395.56"/>
    <n v="0.185"/>
    <n v="0"/>
    <n v="6"/>
    <s v="ok"/>
    <n v="16"/>
    <n v="16"/>
    <n v="6824.2884000000004"/>
    <n v="5440.86"/>
    <n v="1383.4284000000007"/>
    <n v="606.37750000000005"/>
    <n v="1193.865"/>
    <n v="1912.0450000000001"/>
    <s v="Medium"/>
    <n v="0.20272126834498974"/>
    <d v="2023-01-22T00:00:00"/>
    <x v="0"/>
  </r>
  <r>
    <s v="ORD-2024-942981"/>
    <d v="2024-10-09T00:00:00"/>
    <s v="Q4-2024"/>
    <x v="1"/>
    <d v="2024-11-08T00:00:00"/>
    <n v="30"/>
    <n v="0"/>
    <d v="2024-11-08T00:00:00"/>
    <x v="3"/>
    <x v="8"/>
    <s v="Manchester"/>
    <s v="Small Business"/>
    <x v="3"/>
    <x v="1"/>
    <x v="0"/>
    <s v="Low"/>
    <x v="169"/>
    <n v="343.85"/>
    <n v="538.04"/>
    <n v="0.13900000000000001"/>
    <n v="0"/>
    <n v="5"/>
    <s v="ok"/>
    <n v="30"/>
    <n v="30"/>
    <n v="2316.2621999999997"/>
    <n v="1719.25"/>
    <n v="597.01219999999967"/>
    <n v="606.37750000000005"/>
    <n v="1193.865"/>
    <n v="1912.0450000000001"/>
    <s v="Medium"/>
    <n v="0.25774810813732563"/>
    <d v="2023-01-07T00:00:00"/>
    <x v="0"/>
  </r>
  <r>
    <s v="ORD-2024-605629"/>
    <d v="2024-07-15T00:00:00"/>
    <s v="Q3-2024"/>
    <x v="14"/>
    <d v="2024-07-15T00:00:00"/>
    <n v="0"/>
    <n v="1"/>
    <d v="2024-07-15T00:00:00"/>
    <x v="1"/>
    <x v="2"/>
    <s v="Tokyo"/>
    <s v="Small Business"/>
    <x v="2"/>
    <x v="3"/>
    <x v="6"/>
    <s v="Medium"/>
    <x v="170"/>
    <n v="801.77"/>
    <n v="1218.92"/>
    <n v="0.254"/>
    <n v="1"/>
    <n v="16"/>
    <s v="sus"/>
    <n v="0"/>
    <n v="0"/>
    <n v="14549.029120000001"/>
    <n v="12828.32"/>
    <n v="1720.7091200000013"/>
    <n v="606.37750000000005"/>
    <n v="1193.865"/>
    <n v="1912.0450000000001"/>
    <s v="Low"/>
    <n v="0.11826968698788344"/>
    <d v="2023-01-20T00:00:00"/>
    <x v="0"/>
  </r>
  <r>
    <s v="ORD-2023-450877"/>
    <d v="2023-09-21T00:00:00"/>
    <s v="Q3-2023"/>
    <x v="27"/>
    <d v="2023-10-10T00:00:00"/>
    <n v="19"/>
    <n v="0"/>
    <d v="2023-10-10T00:00:00"/>
    <x v="1"/>
    <x v="2"/>
    <s v="Tokyo"/>
    <s v="Education"/>
    <x v="1"/>
    <x v="14"/>
    <x v="0"/>
    <s v="High"/>
    <x v="171"/>
    <n v="845.63"/>
    <n v="2062.12"/>
    <n v="0.13400000000000001"/>
    <n v="0"/>
    <n v="5"/>
    <s v="ok"/>
    <n v="19"/>
    <n v="19"/>
    <n v="8928.9795999999988"/>
    <n v="4228.1499999999996"/>
    <n v="4700.8295999999991"/>
    <n v="606.37750000000005"/>
    <n v="1193.865"/>
    <n v="1912.0450000000001"/>
    <s v="Medium"/>
    <n v="0.52646884757133949"/>
    <d v="2023-01-22T00:00:00"/>
    <x v="0"/>
  </r>
  <r>
    <s v="ORD-2023-286994"/>
    <d v="2023-02-24T00:00:00"/>
    <s v="Q1-2023"/>
    <x v="2"/>
    <d v="2023-03-09T00:00:00"/>
    <n v="13"/>
    <n v="0"/>
    <d v="2023-03-09T00:00:00"/>
    <x v="2"/>
    <x v="10"/>
    <s v="New York"/>
    <s v="Enterprise"/>
    <x v="1"/>
    <x v="12"/>
    <x v="0"/>
    <s v="Low"/>
    <x v="172"/>
    <n v="6.85"/>
    <n v="10.18"/>
    <n v="4.7E-2"/>
    <n v="0"/>
    <n v="10"/>
    <s v="ok"/>
    <n v="13"/>
    <n v="13"/>
    <n v="97.0154"/>
    <n v="68.5"/>
    <n v="28.5154"/>
    <n v="606.37750000000005"/>
    <n v="1193.865"/>
    <n v="1912.0450000000001"/>
    <s v="High"/>
    <n v="0.2939265312517394"/>
    <d v="2023-01-02T00:00:00"/>
    <x v="0"/>
  </r>
  <r>
    <s v="ORD-2025-700847"/>
    <d v="2025-05-21T00:00:00"/>
    <s v="Q2-2025"/>
    <x v="8"/>
    <d v="2025-05-19T00:00:00"/>
    <n v="14"/>
    <n v="0"/>
    <d v="2025-06-04T00:00:00"/>
    <x v="0"/>
    <x v="11"/>
    <s v="Johannesburg"/>
    <s v="Non-Profit"/>
    <x v="3"/>
    <x v="7"/>
    <x v="4"/>
    <s v="High"/>
    <x v="173"/>
    <n v="1263.8399999999999"/>
    <n v="2281.7199999999998"/>
    <n v="7.8E-2"/>
    <n v="0"/>
    <n v="15"/>
    <s v="sus"/>
    <n v="-2"/>
    <n v="2"/>
    <n v="31556.187599999997"/>
    <n v="18957.599999999999"/>
    <n v="12598.587599999999"/>
    <n v="606.37750000000005"/>
    <n v="1193.865"/>
    <n v="1912.0450000000001"/>
    <s v="Low"/>
    <n v="0.39924301882398494"/>
    <d v="2023-01-29T00:00:00"/>
    <x v="0"/>
  </r>
  <r>
    <s v="ORD-2024-970848"/>
    <d v="2024-05-23T00:00:00"/>
    <s v="Q2-2024"/>
    <x v="7"/>
    <d v="2024-06-03T00:00:00"/>
    <n v="11"/>
    <n v="0"/>
    <d v="2024-06-03T00:00:00"/>
    <x v="0"/>
    <x v="11"/>
    <s v="Johannesburg"/>
    <s v="Small Business"/>
    <x v="3"/>
    <x v="9"/>
    <x v="1"/>
    <s v="Low"/>
    <x v="174"/>
    <n v="180.89"/>
    <n v="249.57"/>
    <n v="2.1999999999999999E-2"/>
    <n v="0"/>
    <n v="8"/>
    <s v="ok"/>
    <n v="11"/>
    <n v="11"/>
    <n v="1952.6356799999999"/>
    <n v="1447.12"/>
    <n v="505.51567999999997"/>
    <n v="606.37750000000005"/>
    <n v="1193.865"/>
    <n v="1912.0450000000001"/>
    <s v="High"/>
    <n v="0.25888888806948362"/>
    <d v="2023-01-15T00:00:00"/>
    <x v="0"/>
  </r>
  <r>
    <s v="ORD-2025-845715"/>
    <d v="2025-04-14T00:00:00"/>
    <s v="Q2-2025"/>
    <x v="19"/>
    <d v="2025-05-04T00:00:00"/>
    <n v="20"/>
    <n v="0"/>
    <d v="2025-05-04T00:00:00"/>
    <x v="3"/>
    <x v="8"/>
    <s v="Birmingham"/>
    <s v="Enterprise"/>
    <x v="2"/>
    <x v="11"/>
    <x v="5"/>
    <s v="High"/>
    <x v="175"/>
    <n v="1413.87"/>
    <n v="3275"/>
    <n v="0.255"/>
    <n v="1"/>
    <n v="38"/>
    <s v="ok"/>
    <n v="20"/>
    <n v="20"/>
    <n v="92715.25"/>
    <n v="53727.06"/>
    <n v="38988.19"/>
    <n v="606.37750000000005"/>
    <n v="1193.865"/>
    <n v="1912.0450000000001"/>
    <s v="Low"/>
    <n v="0.42051539525590453"/>
    <d v="2023-01-19T00:00:00"/>
    <x v="0"/>
  </r>
  <r>
    <s v="ORD-2023-664749"/>
    <d v="2023-08-27T00:00:00"/>
    <s v="Q3-2023"/>
    <x v="25"/>
    <d v="2023-09-11T00:00:00"/>
    <n v="15"/>
    <n v="0"/>
    <d v="2023-09-11T00:00:00"/>
    <x v="3"/>
    <x v="8"/>
    <s v="London"/>
    <s v="Consumer"/>
    <x v="2"/>
    <x v="13"/>
    <x v="1"/>
    <s v="High"/>
    <x v="176"/>
    <n v="943.79"/>
    <n v="1913.76"/>
    <n v="9.0999999999999998E-2"/>
    <n v="0"/>
    <n v="9"/>
    <s v="ok"/>
    <n v="15"/>
    <n v="15"/>
    <n v="15656.47056"/>
    <n v="8494.11"/>
    <n v="7162.3605599999992"/>
    <n v="606.37750000000005"/>
    <n v="1193.865"/>
    <n v="1912.0450000000001"/>
    <s v="High"/>
    <n v="0.45746967891338081"/>
    <d v="2023-01-15T00:00:00"/>
    <x v="0"/>
  </r>
  <r>
    <s v="ORD-2024-960952"/>
    <d v="2024-02-03T00:00:00"/>
    <s v="Q1-2024"/>
    <x v="31"/>
    <d v="2024-02-21T00:00:00"/>
    <n v="18"/>
    <n v="0"/>
    <d v="2024-02-21T00:00:00"/>
    <x v="3"/>
    <x v="6"/>
    <s v="Frankfurt"/>
    <s v="Corporate"/>
    <x v="0"/>
    <x v="10"/>
    <x v="0"/>
    <s v="Low"/>
    <x v="177"/>
    <n v="39.229999999999997"/>
    <n v="30.09"/>
    <n v="0.17699999999999999"/>
    <n v="0"/>
    <n v="13"/>
    <s v="ok"/>
    <n v="18"/>
    <n v="18"/>
    <n v="321.93290999999999"/>
    <n v="509.98999999999995"/>
    <n v="-188.05708999999996"/>
    <n v="606.37750000000005"/>
    <n v="1193.865"/>
    <n v="1912.0450000000001"/>
    <s v="High"/>
    <n v="-0.58414993981199359"/>
    <d v="2023-01-10T00:00:00"/>
    <x v="0"/>
  </r>
  <r>
    <s v="ORD-2023-987700"/>
    <d v="2023-04-05T00:00:00"/>
    <s v="Q2-2023"/>
    <x v="12"/>
    <d v="2023-04-16T00:00:00"/>
    <n v="11"/>
    <n v="0"/>
    <d v="2023-04-16T00:00:00"/>
    <x v="2"/>
    <x v="3"/>
    <s v="Vancouver"/>
    <s v="Non-Profit"/>
    <x v="1"/>
    <x v="7"/>
    <x v="5"/>
    <s v="Low"/>
    <x v="178"/>
    <n v="213.1"/>
    <n v="501.31"/>
    <n v="5.6000000000000001E-2"/>
    <n v="0"/>
    <n v="15"/>
    <s v="ok"/>
    <n v="11"/>
    <n v="11"/>
    <n v="7098.5495999999994"/>
    <n v="3196.5"/>
    <n v="3902.0495999999994"/>
    <n v="606.37750000000005"/>
    <n v="1193.865"/>
    <n v="1912.0450000000001"/>
    <s v="Low"/>
    <n v="0.54969674368409005"/>
    <d v="2023-01-02T00:00:00"/>
    <x v="0"/>
  </r>
  <r>
    <s v="ORD-2025-652467"/>
    <d v="2025-08-21T00:00:00"/>
    <s v="Q3-2025"/>
    <x v="28"/>
    <d v="2025-09-12T00:00:00"/>
    <n v="22"/>
    <n v="0"/>
    <d v="2025-09-12T00:00:00"/>
    <x v="1"/>
    <x v="9"/>
    <s v="Shenzhen"/>
    <s v="Education"/>
    <x v="0"/>
    <x v="5"/>
    <x v="1"/>
    <s v="Low"/>
    <x v="179"/>
    <n v="352.66"/>
    <n v="411.18"/>
    <n v="0.17299999999999999"/>
    <n v="0"/>
    <n v="13"/>
    <s v="ok"/>
    <n v="22"/>
    <n v="22"/>
    <n v="4420.5961799999995"/>
    <n v="4584.58"/>
    <n v="-163.98382000000038"/>
    <n v="606.37750000000005"/>
    <n v="1193.865"/>
    <n v="1912.0450000000001"/>
    <s v="Low"/>
    <n v="-3.7095408248758066E-2"/>
    <d v="2023-01-29T00:00:00"/>
    <x v="0"/>
  </r>
  <r>
    <s v="ORD-2025-667201"/>
    <d v="2025-09-15T00:00:00"/>
    <s v="Q3-2025"/>
    <x v="11"/>
    <d v="2025-09-18T00:00:00"/>
    <n v="3"/>
    <n v="1"/>
    <d v="2025-09-18T00:00:00"/>
    <x v="2"/>
    <x v="5"/>
    <s v="Rio de Janeiro"/>
    <s v="Non-Profit"/>
    <x v="4"/>
    <x v="4"/>
    <x v="6"/>
    <s v="Low"/>
    <x v="180"/>
    <n v="5.5"/>
    <n v="5.92"/>
    <n v="0.21199999999999999"/>
    <n v="1"/>
    <n v="4"/>
    <s v="ok"/>
    <n v="3"/>
    <n v="3"/>
    <n v="18.659839999999999"/>
    <n v="22"/>
    <n v="-3.3401600000000009"/>
    <n v="606.37750000000005"/>
    <n v="1193.865"/>
    <n v="1912.0450000000001"/>
    <s v="Low"/>
    <n v="-0.17900260666758133"/>
    <d v="2023-01-20T00:00:00"/>
    <x v="0"/>
  </r>
  <r>
    <s v="ORD-2024-237478"/>
    <d v="2024-10-03T00:00:00"/>
    <s v="Q4-2024"/>
    <x v="1"/>
    <d v="2024-10-11T00:00:00"/>
    <n v="8"/>
    <n v="0"/>
    <d v="2024-10-11T00:00:00"/>
    <x v="1"/>
    <x v="9"/>
    <s v="Beijing"/>
    <s v="Enterprise"/>
    <x v="4"/>
    <x v="5"/>
    <x v="3"/>
    <s v="High"/>
    <x v="181"/>
    <n v="1132.6099999999999"/>
    <n v="2206.63"/>
    <n v="6.3E-2"/>
    <n v="0"/>
    <n v="20"/>
    <s v="ok"/>
    <n v="8"/>
    <n v="8"/>
    <n v="41352.246200000009"/>
    <n v="22652.199999999997"/>
    <n v="18700.046200000012"/>
    <n v="606.37750000000005"/>
    <n v="1193.865"/>
    <n v="1912.0450000000001"/>
    <s v="Low"/>
    <n v="0.45221355351671338"/>
    <d v="2023-01-10T00:00:00"/>
    <x v="0"/>
  </r>
  <r>
    <s v="ORD-2025-898843"/>
    <d v="2025-02-02T00:00:00"/>
    <s v="Q1-2025"/>
    <x v="26"/>
    <d v="2025-03-04T00:00:00"/>
    <n v="30"/>
    <n v="0"/>
    <d v="2025-03-04T00:00:00"/>
    <x v="1"/>
    <x v="2"/>
    <s v="Osaka"/>
    <s v="Education"/>
    <x v="3"/>
    <x v="4"/>
    <x v="6"/>
    <s v="High"/>
    <x v="182"/>
    <n v="766.59"/>
    <n v="1912.8"/>
    <n v="0.19600000000000001"/>
    <n v="0"/>
    <n v="5"/>
    <s v="ok"/>
    <n v="30"/>
    <n v="30"/>
    <n v="7689.4560000000001"/>
    <n v="3832.9500000000003"/>
    <n v="3856.5059999999999"/>
    <n v="606.37750000000005"/>
    <n v="1193.865"/>
    <n v="1912.0450000000001"/>
    <s v="High"/>
    <n v="0.50153170783472845"/>
    <d v="2023-01-22T00:00:00"/>
    <x v="0"/>
  </r>
  <r>
    <s v="ORD-2023-334213"/>
    <d v="2023-08-19T00:00:00"/>
    <s v="Q3-2023"/>
    <x v="25"/>
    <d v="2023-08-23T00:00:00"/>
    <n v="4"/>
    <n v="1"/>
    <d v="2023-08-23T00:00:00"/>
    <x v="0"/>
    <x v="1"/>
    <s v="Abuja"/>
    <s v="Small Business"/>
    <x v="1"/>
    <x v="1"/>
    <x v="5"/>
    <s v="Medium"/>
    <x v="183"/>
    <n v="790.63"/>
    <n v="1382.31"/>
    <n v="0.10100000000000001"/>
    <n v="0"/>
    <n v="7"/>
    <s v="ok"/>
    <n v="4"/>
    <n v="4"/>
    <n v="8698.8768300000011"/>
    <n v="5534.41"/>
    <n v="3164.4668300000012"/>
    <n v="606.37750000000005"/>
    <n v="1193.865"/>
    <n v="1912.0450000000001"/>
    <s v="High"/>
    <n v="0.36377878338116448"/>
    <d v="2023-01-29T00:00:00"/>
    <x v="0"/>
  </r>
  <r>
    <s v="ORD-2024-640340"/>
    <d v="2024-10-22T00:00:00"/>
    <s v="Q4-2024"/>
    <x v="1"/>
    <d v="2024-10-29T00:00:00"/>
    <n v="7"/>
    <n v="1"/>
    <d v="2024-10-29T00:00:00"/>
    <x v="0"/>
    <x v="1"/>
    <s v="Port Harcourt"/>
    <s v="Enterprise"/>
    <x v="3"/>
    <x v="12"/>
    <x v="5"/>
    <s v="Medium"/>
    <x v="184"/>
    <n v="1023.06"/>
    <n v="1355.61"/>
    <n v="0.153"/>
    <n v="0"/>
    <n v="23"/>
    <s v="ok"/>
    <n v="7"/>
    <n v="7"/>
    <n v="26408.63841"/>
    <n v="23530.379999999997"/>
    <n v="2878.2584100000022"/>
    <n v="606.37750000000005"/>
    <n v="1193.865"/>
    <n v="1912.0450000000001"/>
    <s v="Medium"/>
    <n v="0.10898927711888809"/>
    <d v="2023-01-29T00:00:00"/>
    <x v="0"/>
  </r>
  <r>
    <s v="ORD-2023-399631"/>
    <d v="2023-06-22T00:00:00"/>
    <s v="Q2-2023"/>
    <x v="23"/>
    <d v="2023-07-21T00:00:00"/>
    <n v="29"/>
    <n v="0"/>
    <d v="2023-07-21T00:00:00"/>
    <x v="3"/>
    <x v="7"/>
    <s v="Lyon"/>
    <s v="Corporate"/>
    <x v="0"/>
    <x v="1"/>
    <x v="6"/>
    <s v="Medium"/>
    <x v="185"/>
    <n v="734.34"/>
    <n v="887.9"/>
    <n v="2.5000000000000001E-2"/>
    <n v="0"/>
    <n v="12"/>
    <s v="ok"/>
    <n v="29"/>
    <n v="29"/>
    <n v="10388.429999999998"/>
    <n v="8812.08"/>
    <n v="1576.3499999999985"/>
    <n v="606.37750000000005"/>
    <n v="1193.865"/>
    <n v="1912.0450000000001"/>
    <s v="Medium"/>
    <n v="0.15174092716608753"/>
    <d v="2023-01-22T00:00:00"/>
    <x v="0"/>
  </r>
  <r>
    <s v="ORD-2025-542939"/>
    <d v="2025-01-13T00:00:00"/>
    <s v="Q1-2025"/>
    <x v="10"/>
    <d v="2025-02-08T00:00:00"/>
    <n v="26"/>
    <n v="0"/>
    <d v="2025-02-08T00:00:00"/>
    <x v="3"/>
    <x v="7"/>
    <s v="Paris"/>
    <s v="Non-Profit"/>
    <x v="5"/>
    <x v="6"/>
    <x v="5"/>
    <s v="Medium"/>
    <x v="186"/>
    <n v="594.74"/>
    <n v="1020.69"/>
    <n v="0.21099999999999999"/>
    <n v="1"/>
    <n v="6"/>
    <s v="ok"/>
    <n v="26"/>
    <n v="26"/>
    <n v="4831.9464600000001"/>
    <n v="3568.44"/>
    <n v="1263.5064600000001"/>
    <n v="606.37750000000005"/>
    <n v="1193.865"/>
    <n v="1912.0450000000001"/>
    <s v="Medium"/>
    <n v="0.26149016146176424"/>
    <d v="2023-01-10T00:00:00"/>
    <x v="0"/>
  </r>
  <r>
    <s v="ORD-2023-521818"/>
    <d v="2023-01-29T00:00:00"/>
    <s v="Q1-2023"/>
    <x v="5"/>
    <d v="2023-02-28T00:00:00"/>
    <n v="30"/>
    <n v="0"/>
    <d v="2023-02-28T00:00:00"/>
    <x v="1"/>
    <x v="4"/>
    <s v="Bengaluru"/>
    <s v="Non-Profit"/>
    <x v="0"/>
    <x v="5"/>
    <x v="6"/>
    <s v="Medium"/>
    <x v="187"/>
    <n v="1262.0999999999999"/>
    <n v="1395.53"/>
    <n v="0.23300000000000001"/>
    <n v="1"/>
    <n v="25"/>
    <s v="ok"/>
    <n v="30"/>
    <n v="30"/>
    <n v="26759.28775"/>
    <n v="31552.499999999996"/>
    <n v="-4793.2122499999969"/>
    <n v="606.37750000000005"/>
    <n v="1193.865"/>
    <n v="1912.0450000000001"/>
    <s v="Medium"/>
    <n v="-0.17912331205452198"/>
    <d v="2023-01-20T00:00:00"/>
    <x v="0"/>
  </r>
  <r>
    <s v="ORD-2023-825836"/>
    <d v="2023-07-19T00:00:00"/>
    <s v="Q3-2023"/>
    <x v="24"/>
    <d v="2023-07-31T00:00:00"/>
    <n v="12"/>
    <n v="0"/>
    <d v="2023-07-31T00:00:00"/>
    <x v="2"/>
    <x v="5"/>
    <s v="Rio de Janeiro"/>
    <s v="Corporate"/>
    <x v="0"/>
    <x v="0"/>
    <x v="5"/>
    <s v="High"/>
    <x v="188"/>
    <n v="1334.64"/>
    <n v="2273.42"/>
    <n v="0.11799999999999999"/>
    <n v="0"/>
    <n v="14"/>
    <s v="ok"/>
    <n v="12"/>
    <n v="12"/>
    <n v="28072.190160000002"/>
    <n v="18684.960000000003"/>
    <n v="9387.2301599999992"/>
    <n v="606.37750000000005"/>
    <n v="1193.865"/>
    <n v="1912.0450000000001"/>
    <s v="Medium"/>
    <n v="0.33439607335575267"/>
    <d v="2023-01-10T00:00:00"/>
    <x v="0"/>
  </r>
  <r>
    <s v="ORD-2024-503082"/>
    <d v="2024-05-19T00:00:00"/>
    <s v="Q2-2024"/>
    <x v="7"/>
    <d v="2024-06-08T00:00:00"/>
    <n v="20"/>
    <n v="0"/>
    <d v="2024-06-08T00:00:00"/>
    <x v="2"/>
    <x v="5"/>
    <s v="Brasília"/>
    <s v="Small Business"/>
    <x v="0"/>
    <x v="6"/>
    <x v="5"/>
    <s v="Medium"/>
    <x v="189"/>
    <n v="1075.9000000000001"/>
    <n v="1242.1500000000001"/>
    <n v="1.2E-2"/>
    <n v="0"/>
    <n v="7"/>
    <s v="ok"/>
    <n v="20"/>
    <n v="20"/>
    <n v="8590.7094000000016"/>
    <n v="7531.3000000000011"/>
    <n v="1059.4094000000005"/>
    <n v="606.37750000000005"/>
    <n v="1193.865"/>
    <n v="1912.0450000000001"/>
    <s v="High"/>
    <n v="0.12332036280961853"/>
    <d v="2023-03-03T00:00:00"/>
    <x v="1"/>
  </r>
  <r>
    <s v="ORD-2024-760799"/>
    <d v="2024-02-03T00:00:00"/>
    <s v="Q1-2024"/>
    <x v="31"/>
    <d v="2024-02-19T00:00:00"/>
    <n v="16"/>
    <n v="0"/>
    <d v="2024-02-19T00:00:00"/>
    <x v="1"/>
    <x v="9"/>
    <s v="Shenzhen"/>
    <s v="Small Business"/>
    <x v="1"/>
    <x v="10"/>
    <x v="4"/>
    <s v="Medium"/>
    <x v="190"/>
    <n v="993.75"/>
    <n v="1310.29"/>
    <n v="0.215"/>
    <n v="1"/>
    <n v="19"/>
    <s v="ok"/>
    <n v="16"/>
    <n v="16"/>
    <n v="19542.975350000001"/>
    <n v="18881.25"/>
    <n v="661.72535000000062"/>
    <n v="606.37750000000005"/>
    <n v="1193.865"/>
    <n v="1912.0450000000001"/>
    <s v="Medium"/>
    <n v="3.3860010471742245E-2"/>
    <d v="2023-01-10T00:00:00"/>
    <x v="0"/>
  </r>
  <r>
    <s v="ORD-2023-197661"/>
    <d v="2023-08-08T00:00:00"/>
    <s v="Q3-2023"/>
    <x v="25"/>
    <d v="2023-08-22T00:00:00"/>
    <n v="14"/>
    <n v="0"/>
    <d v="2023-08-22T00:00:00"/>
    <x v="3"/>
    <x v="8"/>
    <s v="Birmingham"/>
    <s v="Non-Profit"/>
    <x v="4"/>
    <x v="13"/>
    <x v="5"/>
    <s v="Medium"/>
    <x v="191"/>
    <n v="446.69"/>
    <n v="967.25"/>
    <n v="9.4E-2"/>
    <n v="0"/>
    <n v="10"/>
    <s v="ok"/>
    <n v="14"/>
    <n v="14"/>
    <n v="8763.2849999999999"/>
    <n v="4466.8999999999996"/>
    <n v="4296.3850000000002"/>
    <n v="606.37750000000005"/>
    <n v="1193.865"/>
    <n v="1912.0450000000001"/>
    <s v="Medium"/>
    <n v="0.49027105702941309"/>
    <d v="2023-01-29T00:00:00"/>
    <x v="0"/>
  </r>
  <r>
    <s v="ORD-2024-212990"/>
    <d v="2024-08-12T00:00:00"/>
    <s v="Q3-2024"/>
    <x v="21"/>
    <d v="2024-09-03T00:00:00"/>
    <n v="22"/>
    <n v="0"/>
    <d v="2024-09-03T00:00:00"/>
    <x v="2"/>
    <x v="10"/>
    <s v="Austin"/>
    <s v="Consumer"/>
    <x v="3"/>
    <x v="2"/>
    <x v="4"/>
    <s v="Medium"/>
    <x v="192"/>
    <n v="797.8"/>
    <n v="886.22"/>
    <n v="0.23599999999999999"/>
    <n v="1"/>
    <n v="36"/>
    <s v="ok"/>
    <n v="22"/>
    <n v="22"/>
    <n v="24374.594880000001"/>
    <n v="28720.799999999999"/>
    <n v="-4346.2051199999987"/>
    <n v="606.37750000000005"/>
    <n v="1193.865"/>
    <n v="1912.0450000000001"/>
    <s v="Medium"/>
    <n v="-0.17830881462428633"/>
    <d v="2023-01-07T00:00:00"/>
    <x v="0"/>
  </r>
  <r>
    <s v="ORD-2023-925146"/>
    <d v="2023-10-15T00:00:00"/>
    <s v="Q4-2023"/>
    <x v="32"/>
    <d v="2023-11-13T00:00:00"/>
    <n v="29"/>
    <n v="0"/>
    <d v="2023-11-13T00:00:00"/>
    <x v="1"/>
    <x v="9"/>
    <s v="Shenzhen"/>
    <s v="Non-Profit"/>
    <x v="3"/>
    <x v="1"/>
    <x v="1"/>
    <s v="Low"/>
    <x v="193"/>
    <n v="986.44"/>
    <n v="790.61"/>
    <n v="7.1999999999999995E-2"/>
    <n v="0"/>
    <n v="6"/>
    <s v="ok"/>
    <n v="29"/>
    <n v="29"/>
    <n v="4402.1164799999997"/>
    <n v="5918.64"/>
    <n v="-1516.5235200000006"/>
    <n v="606.37750000000005"/>
    <n v="1193.865"/>
    <n v="1912.0450000000001"/>
    <s v="Medium"/>
    <n v="-0.34449872621271499"/>
    <d v="2023-01-29T00:00:00"/>
    <x v="0"/>
  </r>
  <r>
    <s v="ORD-2023-177794"/>
    <d v="2023-05-04T00:00:00"/>
    <s v="Q2-2023"/>
    <x v="15"/>
    <d v="2023-05-26T00:00:00"/>
    <n v="22"/>
    <n v="0"/>
    <d v="2023-05-26T00:00:00"/>
    <x v="2"/>
    <x v="10"/>
    <s v="San Francisco"/>
    <s v="Enterprise"/>
    <x v="1"/>
    <x v="1"/>
    <x v="2"/>
    <s v="Low"/>
    <x v="194"/>
    <n v="249.71"/>
    <n v="361.33"/>
    <n v="9.4E-2"/>
    <n v="0"/>
    <n v="12"/>
    <s v="ok"/>
    <n v="22"/>
    <n v="22"/>
    <n v="3928.3797600000003"/>
    <n v="2996.52"/>
    <n v="931.85976000000028"/>
    <n v="606.37750000000005"/>
    <n v="1193.865"/>
    <n v="1912.0450000000001"/>
    <s v="Medium"/>
    <n v="0.23721223937881206"/>
    <d v="2023-01-19T00:00:00"/>
    <x v="0"/>
  </r>
  <r>
    <s v="ORD-2024-444710"/>
    <d v="2024-09-22T00:00:00"/>
    <s v="Q3-2024"/>
    <x v="29"/>
    <d v="2024-10-01T00:00:00"/>
    <n v="9"/>
    <n v="0"/>
    <d v="2024-10-01T00:00:00"/>
    <x v="2"/>
    <x v="5"/>
    <s v="São Paulo"/>
    <s v="Non-Profit"/>
    <x v="1"/>
    <x v="11"/>
    <x v="5"/>
    <s v="High"/>
    <x v="195"/>
    <n v="1378.8"/>
    <n v="1952.04"/>
    <n v="0.159"/>
    <n v="0"/>
    <n v="19"/>
    <s v="ok"/>
    <n v="9"/>
    <n v="9"/>
    <n v="31191.64716"/>
    <n v="26197.200000000001"/>
    <n v="4994.4471599999997"/>
    <n v="606.37750000000005"/>
    <n v="1193.865"/>
    <n v="1912.0450000000001"/>
    <s v="Low"/>
    <n v="0.16012130216723058"/>
    <d v="2023-03-03T00:00:00"/>
    <x v="1"/>
  </r>
  <r>
    <s v="ORD-2024-668926"/>
    <d v="2024-10-23T00:00:00"/>
    <s v="Q4-2024"/>
    <x v="1"/>
    <d v="2024-11-14T00:00:00"/>
    <n v="22"/>
    <n v="0"/>
    <d v="2024-11-14T00:00:00"/>
    <x v="1"/>
    <x v="2"/>
    <s v="Osaka"/>
    <s v="Non-Profit"/>
    <x v="4"/>
    <x v="5"/>
    <x v="3"/>
    <s v="Medium"/>
    <x v="196"/>
    <n v="1406.4"/>
    <n v="1564.76"/>
    <n v="0.185"/>
    <n v="0"/>
    <n v="17"/>
    <s v="ok"/>
    <n v="22"/>
    <n v="22"/>
    <n v="21679.749799999998"/>
    <n v="23908.800000000003"/>
    <n v="-2229.0502000000051"/>
    <n v="606.37750000000005"/>
    <n v="1193.865"/>
    <n v="1912.0450000000001"/>
    <s v="High"/>
    <n v="-0.10281715520536151"/>
    <d v="2023-01-07T00:00:00"/>
    <x v="0"/>
  </r>
  <r>
    <s v="ORD-2024-968374"/>
    <d v="2024-02-11T00:00:00"/>
    <s v="Q1-2024"/>
    <x v="31"/>
    <d v="2024-03-03T00:00:00"/>
    <n v="21"/>
    <n v="0"/>
    <d v="2024-03-03T00:00:00"/>
    <x v="0"/>
    <x v="0"/>
    <s v="Kisumu"/>
    <s v="Enterprise"/>
    <x v="1"/>
    <x v="5"/>
    <x v="3"/>
    <s v="Medium"/>
    <x v="197"/>
    <n v="516.86"/>
    <n v="852.54"/>
    <n v="5.0999999999999997E-2"/>
    <n v="0"/>
    <n v="14"/>
    <s v="ok"/>
    <n v="21"/>
    <n v="21"/>
    <n v="11326.846439999999"/>
    <n v="7236.04"/>
    <n v="4090.8064399999994"/>
    <n v="606.37750000000005"/>
    <n v="1193.865"/>
    <n v="1912.0450000000001"/>
    <s v="Medium"/>
    <n v="0.36116022775355994"/>
    <d v="2023-01-12T00:00:00"/>
    <x v="0"/>
  </r>
  <r>
    <s v="ORD-2023-575584"/>
    <d v="2023-01-30T00:00:00"/>
    <s v="Q1-2023"/>
    <x v="5"/>
    <d v="2023-02-21T00:00:00"/>
    <n v="22"/>
    <n v="0"/>
    <d v="2023-02-21T00:00:00"/>
    <x v="3"/>
    <x v="6"/>
    <s v="Munich"/>
    <s v="Small Business"/>
    <x v="2"/>
    <x v="3"/>
    <x v="2"/>
    <s v="Medium"/>
    <x v="198"/>
    <n v="1142.8800000000001"/>
    <n v="1465.29"/>
    <n v="0.186"/>
    <n v="0"/>
    <n v="7"/>
    <s v="ok"/>
    <n v="22"/>
    <n v="22"/>
    <n v="8349.2224200000001"/>
    <n v="8000.1600000000008"/>
    <n v="349.06241999999929"/>
    <n v="606.37750000000005"/>
    <n v="1193.865"/>
    <n v="1912.0450000000001"/>
    <s v="Medium"/>
    <n v="4.1807775915017401E-2"/>
    <d v="2023-01-22T00:00:00"/>
    <x v="0"/>
  </r>
  <r>
    <s v="ORD-2023-701153"/>
    <d v="2023-04-14T00:00:00"/>
    <s v="Q2-2023"/>
    <x v="12"/>
    <d v="2023-05-13T00:00:00"/>
    <n v="29"/>
    <n v="0"/>
    <d v="2023-05-13T00:00:00"/>
    <x v="3"/>
    <x v="6"/>
    <s v="Frankfurt"/>
    <s v="Consumer"/>
    <x v="4"/>
    <x v="1"/>
    <x v="1"/>
    <s v="High"/>
    <x v="199"/>
    <n v="1320.33"/>
    <n v="2645.23"/>
    <n v="0.155"/>
    <n v="0"/>
    <n v="25"/>
    <s v="ok"/>
    <n v="29"/>
    <n v="29"/>
    <n v="55880.483749999999"/>
    <n v="33008.25"/>
    <n v="22872.233749999999"/>
    <n v="606.37750000000005"/>
    <n v="1193.865"/>
    <n v="1912.0450000000001"/>
    <s v="Medium"/>
    <n v="0.40930629470436536"/>
    <d v="2023-01-29T00:00:00"/>
    <x v="0"/>
  </r>
  <r>
    <s v="ORD-2023-382017"/>
    <d v="2023-01-13T00:00:00"/>
    <s v="Q1-2023"/>
    <x v="5"/>
    <d v="2023-01-19T00:00:00"/>
    <n v="6"/>
    <n v="1"/>
    <d v="2023-01-19T00:00:00"/>
    <x v="2"/>
    <x v="10"/>
    <s v="Chicago"/>
    <s v="Corporate"/>
    <x v="4"/>
    <x v="10"/>
    <x v="3"/>
    <s v="Medium"/>
    <x v="200"/>
    <n v="833.57"/>
    <n v="881.57"/>
    <n v="5.7000000000000002E-2"/>
    <n v="0"/>
    <n v="18"/>
    <s v="ok"/>
    <n v="6"/>
    <n v="6"/>
    <n v="14963.769179999999"/>
    <n v="15004.26"/>
    <n v="-40.490820000000895"/>
    <n v="606.37750000000005"/>
    <n v="1193.865"/>
    <n v="1912.0450000000001"/>
    <s v="High"/>
    <n v="-2.7059238560107821E-3"/>
    <d v="2023-01-07T00:00:00"/>
    <x v="0"/>
  </r>
  <r>
    <s v="ORD-2024-999607"/>
    <d v="2024-01-12T00:00:00"/>
    <s v="Q1-2024"/>
    <x v="9"/>
    <d v="2024-01-29T00:00:00"/>
    <n v="17"/>
    <n v="0"/>
    <d v="2024-01-29T00:00:00"/>
    <x v="2"/>
    <x v="10"/>
    <s v="Chicago"/>
    <s v="Education"/>
    <x v="3"/>
    <x v="8"/>
    <x v="1"/>
    <s v="Low"/>
    <x v="201"/>
    <n v="493.76"/>
    <n v="625.04"/>
    <n v="0.25800000000000001"/>
    <n v="1"/>
    <n v="10"/>
    <s v="ok"/>
    <n v="17"/>
    <n v="17"/>
    <n v="4637.7968000000001"/>
    <n v="4937.6000000000004"/>
    <n v="-299.80320000000029"/>
    <n v="606.37750000000005"/>
    <n v="1193.865"/>
    <n v="1912.0450000000001"/>
    <s v="Medium"/>
    <n v="-6.464345311549663E-2"/>
    <d v="2023-01-12T00:00:00"/>
    <x v="0"/>
  </r>
  <r>
    <s v="ORD-2023-133848"/>
    <d v="2023-08-15T00:00:00"/>
    <s v="Q3-2023"/>
    <x v="25"/>
    <d v="2023-09-07T00:00:00"/>
    <n v="23"/>
    <n v="0"/>
    <d v="2023-09-07T00:00:00"/>
    <x v="2"/>
    <x v="10"/>
    <s v="New York"/>
    <s v="Enterprise"/>
    <x v="1"/>
    <x v="11"/>
    <x v="3"/>
    <s v="Medium"/>
    <x v="202"/>
    <n v="590.33000000000004"/>
    <n v="973.04"/>
    <n v="0"/>
    <n v="0"/>
    <n v="26"/>
    <s v="ok"/>
    <n v="23"/>
    <n v="23"/>
    <n v="25299.040000000001"/>
    <n v="15348.580000000002"/>
    <n v="9950.4599999999991"/>
    <n v="606.37750000000005"/>
    <n v="1193.865"/>
    <n v="1912.0450000000001"/>
    <s v="Medium"/>
    <n v="0.39331373838691108"/>
    <d v="2023-01-07T00:00:00"/>
    <x v="0"/>
  </r>
  <r>
    <s v="ORD-2023-586275"/>
    <d v="2023-01-20T00:00:00"/>
    <s v="Q1-2023"/>
    <x v="5"/>
    <d v="2023-02-03T00:00:00"/>
    <n v="14"/>
    <n v="0"/>
    <d v="2023-02-03T00:00:00"/>
    <x v="0"/>
    <x v="0"/>
    <s v="Kisumu"/>
    <s v="Corporate"/>
    <x v="0"/>
    <x v="12"/>
    <x v="2"/>
    <s v="Medium"/>
    <x v="203"/>
    <n v="884.36"/>
    <n v="1545.34"/>
    <n v="0.24299999999999999"/>
    <n v="1"/>
    <n v="41"/>
    <s v="ok"/>
    <n v="14"/>
    <n v="14"/>
    <n v="47962.717579999997"/>
    <n v="36258.76"/>
    <n v="11703.957579999995"/>
    <n v="606.37750000000005"/>
    <n v="1193.865"/>
    <n v="1912.0450000000001"/>
    <s v="Medium"/>
    <n v="0.24402198562827965"/>
    <d v="2023-01-29T00:00:00"/>
    <x v="0"/>
  </r>
  <r>
    <s v="ORD-2025-964661"/>
    <d v="2025-02-04T00:00:00"/>
    <s v="Q1-2025"/>
    <x v="26"/>
    <d v="2025-02-25T00:00:00"/>
    <n v="21"/>
    <n v="0"/>
    <d v="2025-02-25T00:00:00"/>
    <x v="3"/>
    <x v="8"/>
    <s v="Birmingham"/>
    <s v="Corporate"/>
    <x v="2"/>
    <x v="14"/>
    <x v="5"/>
    <s v="High"/>
    <x v="204"/>
    <n v="1016.32"/>
    <n v="2253.42"/>
    <n v="5.5E-2"/>
    <n v="0"/>
    <n v="12"/>
    <s v="ok"/>
    <n v="21"/>
    <n v="21"/>
    <n v="25553.782800000001"/>
    <n v="12195.84"/>
    <n v="13357.942800000001"/>
    <n v="606.37750000000005"/>
    <n v="1193.865"/>
    <n v="1912.0450000000001"/>
    <s v="Medium"/>
    <n v="0.52273837124419797"/>
    <d v="2023-01-29T00:00:00"/>
    <x v="0"/>
  </r>
  <r>
    <s v="ORD-2023-390998"/>
    <d v="2023-04-19T00:00:00"/>
    <s v="Q2-2023"/>
    <x v="12"/>
    <d v="2023-04-28T00:00:00"/>
    <n v="9"/>
    <n v="0"/>
    <d v="2023-04-28T00:00:00"/>
    <x v="3"/>
    <x v="6"/>
    <s v="Berlin"/>
    <s v="Education"/>
    <x v="1"/>
    <x v="6"/>
    <x v="5"/>
    <s v="High"/>
    <x v="205"/>
    <n v="1178.42"/>
    <n v="2446.56"/>
    <n v="2.9000000000000001E-2"/>
    <n v="0"/>
    <n v="11"/>
    <s v="ok"/>
    <n v="9"/>
    <n v="9"/>
    <n v="26131.70736"/>
    <n v="12962.62"/>
    <n v="13169.08736"/>
    <n v="606.37750000000005"/>
    <n v="1193.865"/>
    <n v="1912.0450000000001"/>
    <s v="High"/>
    <n v="0.5039505141618883"/>
    <d v="2023-01-29T00:00:00"/>
    <x v="0"/>
  </r>
  <r>
    <s v="ORD-2023-920483"/>
    <d v="2023-07-02T00:00:00"/>
    <s v="Q3-2023"/>
    <x v="24"/>
    <d v="2023-08-01T00:00:00"/>
    <n v="30"/>
    <n v="0"/>
    <d v="2023-08-01T00:00:00"/>
    <x v="3"/>
    <x v="8"/>
    <s v="Birmingham"/>
    <s v="Small Business"/>
    <x v="0"/>
    <x v="5"/>
    <x v="0"/>
    <s v="Low"/>
    <x v="206"/>
    <n v="137.46"/>
    <n v="188.3"/>
    <n v="3.7999999999999999E-2"/>
    <n v="0"/>
    <n v="37"/>
    <s v="ok"/>
    <n v="30"/>
    <n v="30"/>
    <n v="6702.3501999999999"/>
    <n v="5086.0200000000004"/>
    <n v="1616.3301999999994"/>
    <n v="606.37750000000005"/>
    <n v="1193.865"/>
    <n v="1912.0450000000001"/>
    <s v="High"/>
    <n v="0.24115872071262398"/>
    <d v="2023-01-19T00:00:00"/>
    <x v="0"/>
  </r>
  <r>
    <s v="ORD-2025-146850"/>
    <d v="2025-01-21T00:00:00"/>
    <s v="Q1-2025"/>
    <x v="10"/>
    <d v="2025-02-14T00:00:00"/>
    <n v="24"/>
    <n v="0"/>
    <d v="2025-02-14T00:00:00"/>
    <x v="0"/>
    <x v="0"/>
    <s v="Nairobi"/>
    <s v="Small Business"/>
    <x v="0"/>
    <x v="1"/>
    <x v="6"/>
    <s v="High"/>
    <x v="207"/>
    <n v="1030.44"/>
    <n v="2562.84"/>
    <n v="0.14799999999999999"/>
    <n v="0"/>
    <n v="13"/>
    <s v="ok"/>
    <n v="24"/>
    <n v="24"/>
    <n v="28386.015839999996"/>
    <n v="13395.720000000001"/>
    <n v="14990.295839999995"/>
    <n v="606.37750000000005"/>
    <n v="1193.865"/>
    <n v="1912.0450000000001"/>
    <s v="Low"/>
    <n v="0.52808734852027039"/>
    <d v="2023-01-10T00:00:00"/>
    <x v="0"/>
  </r>
  <r>
    <s v="ORD-2024-687100"/>
    <d v="2024-09-10T00:00:00"/>
    <s v="Q3-2024"/>
    <x v="29"/>
    <d v="2024-10-07T00:00:00"/>
    <n v="27"/>
    <n v="0"/>
    <d v="2024-10-07T00:00:00"/>
    <x v="0"/>
    <x v="0"/>
    <s v="Kisumu"/>
    <s v="Consumer"/>
    <x v="0"/>
    <x v="4"/>
    <x v="1"/>
    <s v="High"/>
    <x v="208"/>
    <n v="1248.3900000000001"/>
    <n v="1805.11"/>
    <n v="0.20300000000000001"/>
    <n v="1"/>
    <n v="11"/>
    <s v="ok"/>
    <n v="27"/>
    <n v="27"/>
    <n v="15825.399369999997"/>
    <n v="13732.29"/>
    <n v="2093.1093699999965"/>
    <n v="606.37750000000005"/>
    <n v="1193.865"/>
    <n v="1912.0450000000001"/>
    <s v="High"/>
    <n v="0.13226265707820786"/>
    <d v="2023-01-07T00:00:00"/>
    <x v="0"/>
  </r>
  <r>
    <s v="ORD-2025-629393"/>
    <d v="2025-07-21T00:00:00"/>
    <s v="Q3-2025"/>
    <x v="13"/>
    <d v="2025-08-07T00:00:00"/>
    <n v="17"/>
    <n v="0"/>
    <d v="2025-08-07T00:00:00"/>
    <x v="0"/>
    <x v="1"/>
    <s v="Lagos"/>
    <s v="Enterprise"/>
    <x v="4"/>
    <x v="12"/>
    <x v="6"/>
    <s v="High"/>
    <x v="209"/>
    <n v="1204.95"/>
    <n v="2065.73"/>
    <n v="0.13600000000000001"/>
    <n v="0"/>
    <n v="10"/>
    <s v="ok"/>
    <n v="17"/>
    <n v="17"/>
    <n v="17847.907199999998"/>
    <n v="12049.5"/>
    <n v="5798.4071999999978"/>
    <n v="606.37750000000005"/>
    <n v="1193.865"/>
    <n v="1912.0450000000001"/>
    <s v="Medium"/>
    <n v="0.32487882949100039"/>
    <d v="2023-01-02T00:00:00"/>
    <x v="0"/>
  </r>
  <r>
    <s v="ORD-2024-686712"/>
    <d v="2024-10-02T00:00:00"/>
    <s v="Q4-2024"/>
    <x v="1"/>
    <d v="2024-10-23T00:00:00"/>
    <n v="21"/>
    <n v="0"/>
    <d v="2024-10-23T00:00:00"/>
    <x v="0"/>
    <x v="11"/>
    <s v="Durban"/>
    <s v="Corporate"/>
    <x v="2"/>
    <x v="8"/>
    <x v="0"/>
    <s v="High"/>
    <x v="210"/>
    <n v="1095.6099999999999"/>
    <n v="2366.5100000000002"/>
    <n v="0.152"/>
    <n v="0"/>
    <n v="9"/>
    <s v="ok"/>
    <n v="21"/>
    <n v="21"/>
    <n v="18061.204320000004"/>
    <n v="9860.49"/>
    <n v="8200.7143200000046"/>
    <n v="606.37750000000005"/>
    <n v="1193.865"/>
    <n v="1912.0450000000001"/>
    <s v="High"/>
    <n v="0.4540513564158607"/>
    <d v="2023-01-10T00:00:00"/>
    <x v="0"/>
  </r>
  <r>
    <s v="ORD-2025-586799"/>
    <d v="2025-07-14T00:00:00"/>
    <s v="Q3-2025"/>
    <x v="13"/>
    <d v="2025-08-04T00:00:00"/>
    <n v="21"/>
    <n v="0"/>
    <d v="2025-08-04T00:00:00"/>
    <x v="2"/>
    <x v="3"/>
    <s v="Montreal"/>
    <s v="Consumer"/>
    <x v="1"/>
    <x v="10"/>
    <x v="5"/>
    <s v="Low"/>
    <x v="211"/>
    <n v="90.3"/>
    <n v="131.76"/>
    <n v="0.10199999999999999"/>
    <n v="0"/>
    <n v="15"/>
    <s v="ok"/>
    <n v="21"/>
    <n v="21"/>
    <n v="1774.8072"/>
    <n v="1354.5"/>
    <n v="420.30719999999997"/>
    <n v="606.37750000000005"/>
    <n v="1193.865"/>
    <n v="1912.0450000000001"/>
    <s v="High"/>
    <n v="0.23681851189244668"/>
    <d v="2023-01-13T00:00:00"/>
    <x v="0"/>
  </r>
  <r>
    <s v="ORD-2024-988736"/>
    <d v="2024-09-09T00:00:00"/>
    <s v="Q3-2024"/>
    <x v="29"/>
    <d v="2024-10-01T00:00:00"/>
    <n v="22"/>
    <n v="0"/>
    <d v="2024-10-01T00:00:00"/>
    <x v="1"/>
    <x v="9"/>
    <s v="Shenzhen"/>
    <s v="Consumer"/>
    <x v="4"/>
    <x v="4"/>
    <x v="1"/>
    <s v="Medium"/>
    <x v="212"/>
    <n v="1166.18"/>
    <n v="1335.02"/>
    <n v="0.128"/>
    <n v="0"/>
    <n v="6"/>
    <s v="ok"/>
    <n v="22"/>
    <n v="22"/>
    <n v="6984.8246399999998"/>
    <n v="6997.08"/>
    <n v="-12.25536000000011"/>
    <n v="606.37750000000005"/>
    <n v="1193.865"/>
    <n v="1912.0450000000001"/>
    <s v="Low"/>
    <n v="-1.7545694604582242E-3"/>
    <d v="2023-01-19T00:00:00"/>
    <x v="0"/>
  </r>
  <r>
    <s v="ORD-2025-564184"/>
    <d v="2025-01-29T00:00:00"/>
    <s v="Q1-2025"/>
    <x v="10"/>
    <d v="2025-02-06T00:00:00"/>
    <n v="8"/>
    <n v="0"/>
    <d v="2025-02-06T00:00:00"/>
    <x v="0"/>
    <x v="0"/>
    <s v="Kisumu"/>
    <s v="Education"/>
    <x v="0"/>
    <x v="5"/>
    <x v="3"/>
    <s v="High"/>
    <x v="213"/>
    <n v="1445.27"/>
    <n v="2691.45"/>
    <n v="0"/>
    <n v="0"/>
    <n v="9"/>
    <s v="ok"/>
    <n v="8"/>
    <n v="8"/>
    <n v="24223.05"/>
    <n v="13007.43"/>
    <n v="11215.619999999999"/>
    <n v="606.37750000000005"/>
    <n v="1193.865"/>
    <n v="1912.0450000000001"/>
    <s v="Medium"/>
    <n v="0.46301436028906351"/>
    <d v="2023-01-07T00:00:00"/>
    <x v="0"/>
  </r>
  <r>
    <s v="ORD-2023-653343"/>
    <d v="2023-11-10T00:00:00"/>
    <s v="Q4-2023"/>
    <x v="30"/>
    <d v="2023-11-28T00:00:00"/>
    <n v="18"/>
    <n v="0"/>
    <d v="2023-11-28T00:00:00"/>
    <x v="2"/>
    <x v="5"/>
    <s v="Brasília"/>
    <s v="Education"/>
    <x v="2"/>
    <x v="4"/>
    <x v="6"/>
    <s v="Low"/>
    <x v="214"/>
    <n v="388.51"/>
    <n v="776.46"/>
    <n v="0.157"/>
    <n v="0"/>
    <n v="12"/>
    <s v="ok"/>
    <n v="18"/>
    <n v="18"/>
    <n v="7854.6693599999999"/>
    <n v="4662.12"/>
    <n v="3192.54936"/>
    <n v="606.37750000000005"/>
    <n v="1193.865"/>
    <n v="1912.0450000000001"/>
    <s v="High"/>
    <n v="0.40645241876864946"/>
    <d v="2023-01-12T00:00:00"/>
    <x v="0"/>
  </r>
  <r>
    <s v="ORD-2024-197852"/>
    <d v="2024-02-29T00:00:00"/>
    <s v="Q1-2024"/>
    <x v="31"/>
    <d v="2024-03-30T00:00:00"/>
    <n v="30"/>
    <n v="0"/>
    <d v="2024-03-30T00:00:00"/>
    <x v="1"/>
    <x v="2"/>
    <s v="Nagoya"/>
    <s v="Small Business"/>
    <x v="4"/>
    <x v="2"/>
    <x v="2"/>
    <s v="Low"/>
    <x v="215"/>
    <n v="231.11"/>
    <n v="318.17"/>
    <n v="0.20100000000000001"/>
    <n v="1"/>
    <n v="60"/>
    <s v="ok"/>
    <n v="30"/>
    <n v="30"/>
    <n v="15253.069799999999"/>
    <n v="13866.6"/>
    <n v="1386.4697999999989"/>
    <n v="606.37750000000005"/>
    <n v="1193.865"/>
    <n v="1912.0450000000001"/>
    <s v="Medium"/>
    <n v="9.0897754889969692E-2"/>
    <d v="2023-01-20T00:00:00"/>
    <x v="0"/>
  </r>
  <r>
    <s v="ORD-2023-431328"/>
    <d v="2023-12-20T00:00:00"/>
    <s v="Q4-2023"/>
    <x v="4"/>
    <d v="2024-01-14T00:00:00"/>
    <n v="25"/>
    <n v="0"/>
    <d v="2024-01-14T00:00:00"/>
    <x v="1"/>
    <x v="4"/>
    <s v="Mumbai"/>
    <s v="Non-Profit"/>
    <x v="2"/>
    <x v="4"/>
    <x v="5"/>
    <s v="Medium"/>
    <x v="216"/>
    <n v="1085.6099999999999"/>
    <n v="1246.4100000000001"/>
    <n v="0.113"/>
    <n v="0"/>
    <n v="7"/>
    <s v="ok"/>
    <n v="25"/>
    <n v="25"/>
    <n v="7738.9596900000006"/>
    <n v="7599.2699999999995"/>
    <n v="139.68969000000106"/>
    <n v="606.37750000000005"/>
    <n v="1193.865"/>
    <n v="1912.0450000000001"/>
    <s v="Low"/>
    <n v="1.8050189637310417E-2"/>
    <d v="2023-01-29T00:00:00"/>
    <x v="0"/>
  </r>
  <r>
    <s v="ORD-2023-613317"/>
    <d v="2023-01-22T00:00:00"/>
    <s v="Q1-2023"/>
    <x v="5"/>
    <d v="2023-01-21T00:00:00"/>
    <n v="14"/>
    <n v="0"/>
    <d v="2023-02-05T00:00:00"/>
    <x v="3"/>
    <x v="6"/>
    <s v="Munich"/>
    <s v="Corporate"/>
    <x v="4"/>
    <x v="9"/>
    <x v="5"/>
    <s v="Low"/>
    <x v="217"/>
    <n v="150.86000000000001"/>
    <n v="346.96"/>
    <n v="0.19600000000000001"/>
    <n v="0"/>
    <n v="8"/>
    <s v="sus"/>
    <n v="-1"/>
    <n v="1"/>
    <n v="2231.6467200000002"/>
    <n v="1206.8800000000001"/>
    <n v="1024.7667200000001"/>
    <n v="606.37750000000005"/>
    <n v="1193.865"/>
    <n v="1912.0450000000001"/>
    <s v="Medium"/>
    <n v="0.45919755614365343"/>
    <d v="2023-03-03T00:00:00"/>
    <x v="1"/>
  </r>
  <r>
    <s v="ORD-2024-720756"/>
    <d v="2024-10-11T00:00:00"/>
    <s v="Q4-2024"/>
    <x v="1"/>
    <d v="2024-11-09T00:00:00"/>
    <n v="29"/>
    <n v="0"/>
    <d v="2024-11-09T00:00:00"/>
    <x v="1"/>
    <x v="9"/>
    <s v="Shanghai"/>
    <s v="Non-Profit"/>
    <x v="1"/>
    <x v="9"/>
    <x v="1"/>
    <s v="Low"/>
    <x v="218"/>
    <n v="391.64"/>
    <n v="504.76"/>
    <n v="4.0000000000000001E-3"/>
    <n v="0"/>
    <n v="13"/>
    <s v="ok"/>
    <n v="29"/>
    <n v="29"/>
    <n v="6535.6324800000002"/>
    <n v="5091.32"/>
    <n v="1444.3124800000005"/>
    <n v="606.37750000000005"/>
    <n v="1193.865"/>
    <n v="1912.0450000000001"/>
    <s v="Low"/>
    <n v="0.22099046793402319"/>
    <d v="2023-03-03T00:00:00"/>
    <x v="1"/>
  </r>
  <r>
    <s v="ORD-2024-777623"/>
    <d v="2024-09-19T00:00:00"/>
    <s v="Q3-2024"/>
    <x v="29"/>
    <d v="2024-10-14T00:00:00"/>
    <n v="25"/>
    <n v="0"/>
    <d v="2024-10-14T00:00:00"/>
    <x v="2"/>
    <x v="5"/>
    <s v="Rio de Janeiro"/>
    <s v="Small Business"/>
    <x v="0"/>
    <x v="11"/>
    <x v="1"/>
    <s v="Medium"/>
    <x v="219"/>
    <n v="386.96"/>
    <n v="937.46"/>
    <n v="0.26600000000000001"/>
    <n v="1"/>
    <n v="41"/>
    <s v="ok"/>
    <n v="25"/>
    <n v="25"/>
    <n v="28211.92124"/>
    <n v="15865.359999999999"/>
    <n v="12346.561240000001"/>
    <n v="606.37750000000005"/>
    <n v="1193.865"/>
    <n v="1912.0450000000001"/>
    <s v="Low"/>
    <n v="0.43763631462626335"/>
    <d v="2023-01-29T00:00:00"/>
    <x v="0"/>
  </r>
  <r>
    <s v="ORD-2025-762212"/>
    <d v="2025-08-25T00:00:00"/>
    <s v="Q3-2025"/>
    <x v="28"/>
    <d v="2025-09-24T00:00:00"/>
    <n v="30"/>
    <n v="0"/>
    <d v="2025-09-24T00:00:00"/>
    <x v="0"/>
    <x v="0"/>
    <s v="Nairobi"/>
    <s v="Consumer"/>
    <x v="4"/>
    <x v="5"/>
    <x v="0"/>
    <s v="Medium"/>
    <x v="220"/>
    <n v="589.14"/>
    <n v="1300.58"/>
    <n v="5.5E-2"/>
    <n v="0"/>
    <n v="11"/>
    <s v="ok"/>
    <n v="30"/>
    <n v="30"/>
    <n v="13519.529099999998"/>
    <n v="6480.54"/>
    <n v="7038.989099999998"/>
    <n v="606.37750000000005"/>
    <n v="1193.865"/>
    <n v="1912.0450000000001"/>
    <s v="Medium"/>
    <n v="0.52065342275863724"/>
    <d v="2023-01-29T00:00:00"/>
    <x v="0"/>
  </r>
  <r>
    <s v="ORD-2023-271918"/>
    <d v="2023-09-25T00:00:00"/>
    <s v="Q3-2023"/>
    <x v="27"/>
    <d v="2023-10-02T00:00:00"/>
    <n v="7"/>
    <n v="1"/>
    <d v="2023-10-02T00:00:00"/>
    <x v="2"/>
    <x v="10"/>
    <s v="New York"/>
    <s v="Education"/>
    <x v="2"/>
    <x v="2"/>
    <x v="6"/>
    <s v="Low"/>
    <x v="221"/>
    <n v="145.58000000000001"/>
    <n v="228.15"/>
    <n v="0.20399999999999999"/>
    <n v="1"/>
    <n v="5"/>
    <s v="ok"/>
    <n v="7"/>
    <n v="7"/>
    <n v="908.03700000000003"/>
    <n v="727.90000000000009"/>
    <n v="180.13699999999994"/>
    <n v="606.37750000000005"/>
    <n v="1193.865"/>
    <n v="1912.0450000000001"/>
    <s v="Medium"/>
    <n v="0.19838068272548359"/>
    <d v="2023-01-15T00:00:00"/>
    <x v="0"/>
  </r>
  <r>
    <s v="ORD-2023-713375"/>
    <d v="2023-08-26T00:00:00"/>
    <s v="Q3-2023"/>
    <x v="25"/>
    <d v="2023-09-10T00:00:00"/>
    <n v="15"/>
    <n v="0"/>
    <d v="2023-09-10T00:00:00"/>
    <x v="0"/>
    <x v="11"/>
    <s v="Cape Town"/>
    <s v="Non-Profit"/>
    <x v="4"/>
    <x v="13"/>
    <x v="0"/>
    <s v="Low"/>
    <x v="222"/>
    <n v="241.14"/>
    <n v="496.52"/>
    <n v="9.2999999999999999E-2"/>
    <n v="0"/>
    <n v="10"/>
    <s v="ok"/>
    <n v="15"/>
    <n v="15"/>
    <n v="4503.4363999999996"/>
    <n v="2411.3999999999996"/>
    <n v="2092.0364"/>
    <n v="606.37750000000005"/>
    <n v="1193.865"/>
    <n v="1912.0450000000001"/>
    <s v="Low"/>
    <n v="0.46454223268257994"/>
    <d v="2023-01-20T00:00:00"/>
    <x v="0"/>
  </r>
  <r>
    <s v="ORD-2025-678688"/>
    <d v="2025-07-16T00:00:00"/>
    <s v="Q3-2025"/>
    <x v="13"/>
    <d v="2025-07-17T00:00:00"/>
    <n v="1"/>
    <n v="1"/>
    <d v="2025-07-17T00:00:00"/>
    <x v="0"/>
    <x v="11"/>
    <s v="Durban"/>
    <s v="Small Business"/>
    <x v="3"/>
    <x v="5"/>
    <x v="2"/>
    <s v="High"/>
    <x v="223"/>
    <n v="1198.9000000000001"/>
    <n v="2941.2"/>
    <n v="5.0999999999999997E-2"/>
    <n v="0"/>
    <n v="24"/>
    <s v="ok"/>
    <n v="1"/>
    <n v="1"/>
    <n v="66988.771199999988"/>
    <n v="28773.600000000002"/>
    <n v="38215.171199999982"/>
    <n v="606.37750000000005"/>
    <n v="1193.865"/>
    <n v="1912.0450000000001"/>
    <s v="Low"/>
    <n v="0.57047129713583977"/>
    <d v="2023-01-19T00:00:00"/>
    <x v="0"/>
  </r>
  <r>
    <s v="ORD-2023-501220"/>
    <d v="2023-04-19T00:00:00"/>
    <s v="Q2-2023"/>
    <x v="12"/>
    <d v="2023-05-07T00:00:00"/>
    <n v="18"/>
    <n v="0"/>
    <d v="2023-05-07T00:00:00"/>
    <x v="3"/>
    <x v="8"/>
    <s v="Birmingham"/>
    <s v="Enterprise"/>
    <x v="0"/>
    <x v="13"/>
    <x v="4"/>
    <s v="Medium"/>
    <x v="224"/>
    <n v="1089.1500000000001"/>
    <n v="1088.2"/>
    <n v="5.0999999999999997E-2"/>
    <n v="0"/>
    <n v="15"/>
    <s v="ok"/>
    <n v="18"/>
    <n v="18"/>
    <n v="15490.527"/>
    <n v="16337.250000000002"/>
    <n v="-846.72300000000178"/>
    <n v="606.37750000000005"/>
    <n v="1193.865"/>
    <n v="1912.0450000000001"/>
    <s v="High"/>
    <n v="-5.4660696824582002E-2"/>
    <d v="2023-01-29T00:00:00"/>
    <x v="0"/>
  </r>
  <r>
    <s v="ORD-2023-195665"/>
    <d v="2023-12-19T00:00:00"/>
    <s v="Q4-2023"/>
    <x v="4"/>
    <d v="2023-12-20T00:00:00"/>
    <n v="1"/>
    <n v="1"/>
    <d v="2023-12-20T00:00:00"/>
    <x v="2"/>
    <x v="5"/>
    <s v="Rio de Janeiro"/>
    <s v="Consumer"/>
    <x v="3"/>
    <x v="1"/>
    <x v="3"/>
    <s v="High"/>
    <x v="225"/>
    <n v="1080.43"/>
    <n v="2529.15"/>
    <n v="0.14699999999999999"/>
    <n v="0"/>
    <n v="10"/>
    <s v="ok"/>
    <n v="1"/>
    <n v="1"/>
    <n v="21573.6495"/>
    <n v="10804.300000000001"/>
    <n v="10769.349499999998"/>
    <n v="606.37750000000005"/>
    <n v="1193.865"/>
    <n v="1912.0450000000001"/>
    <s v="Medium"/>
    <n v="0.49918997247081437"/>
    <d v="2023-01-15T00:00:00"/>
    <x v="0"/>
  </r>
  <r>
    <s v="ORD-2023-290237"/>
    <d v="2023-07-30T00:00:00"/>
    <s v="Q3-2023"/>
    <x v="24"/>
    <d v="2023-08-07T00:00:00"/>
    <n v="8"/>
    <n v="0"/>
    <d v="2023-08-07T00:00:00"/>
    <x v="1"/>
    <x v="2"/>
    <s v="Nagoya"/>
    <s v="Education"/>
    <x v="2"/>
    <x v="8"/>
    <x v="2"/>
    <s v="High"/>
    <x v="226"/>
    <n v="1352.44"/>
    <n v="2698.01"/>
    <n v="0.13100000000000001"/>
    <n v="0"/>
    <n v="13"/>
    <s v="ok"/>
    <n v="8"/>
    <n v="8"/>
    <n v="30479.418970000002"/>
    <n v="17581.72"/>
    <n v="12897.698970000001"/>
    <n v="606.37750000000005"/>
    <n v="1193.865"/>
    <n v="1912.0450000000001"/>
    <s v="High"/>
    <n v="0.42316091992090887"/>
    <d v="2023-01-12T00:00:00"/>
    <x v="0"/>
  </r>
  <r>
    <s v="ORD-2023-302041"/>
    <d v="2023-10-04T00:00:00"/>
    <s v="Q4-2023"/>
    <x v="32"/>
    <d v="2023-10-29T00:00:00"/>
    <n v="25"/>
    <n v="0"/>
    <d v="2023-10-29T00:00:00"/>
    <x v="2"/>
    <x v="10"/>
    <s v="San Francisco"/>
    <s v="Small Business"/>
    <x v="3"/>
    <x v="7"/>
    <x v="6"/>
    <s v="Medium"/>
    <x v="227"/>
    <n v="1239.8399999999999"/>
    <n v="1482.75"/>
    <n v="6.7000000000000004E-2"/>
    <n v="0"/>
    <n v="4"/>
    <s v="ok"/>
    <n v="25"/>
    <n v="25"/>
    <n v="5533.6230000000005"/>
    <n v="4959.3599999999997"/>
    <n v="574.26300000000083"/>
    <n v="606.37750000000005"/>
    <n v="1193.865"/>
    <n v="1912.0450000000001"/>
    <s v="High"/>
    <n v="0.10377703721413634"/>
    <d v="2023-01-22T00:00:00"/>
    <x v="0"/>
  </r>
  <r>
    <s v="ORD-2025-289139"/>
    <d v="2025-08-10T00:00:00"/>
    <s v="Q3-2025"/>
    <x v="28"/>
    <d v="2025-08-30T00:00:00"/>
    <n v="20"/>
    <n v="0"/>
    <d v="2025-08-30T00:00:00"/>
    <x v="2"/>
    <x v="10"/>
    <s v="San Francisco"/>
    <s v="Corporate"/>
    <x v="2"/>
    <x v="11"/>
    <x v="1"/>
    <s v="Medium"/>
    <x v="228"/>
    <n v="933.29"/>
    <n v="1456.81"/>
    <n v="0.123"/>
    <n v="0"/>
    <n v="13"/>
    <s v="ok"/>
    <n v="20"/>
    <n v="20"/>
    <n v="16609.090809999998"/>
    <n v="12132.77"/>
    <n v="4476.3208099999974"/>
    <n v="606.37750000000005"/>
    <n v="1193.865"/>
    <n v="1912.0450000000001"/>
    <s v="Medium"/>
    <n v="0.26951028573489977"/>
    <d v="2023-01-12T00:00:00"/>
    <x v="0"/>
  </r>
  <r>
    <s v="ORD-2023-949710"/>
    <d v="2023-03-07T00:00:00"/>
    <s v="Q1-2023"/>
    <x v="22"/>
    <d v="2023-04-01T00:00:00"/>
    <n v="25"/>
    <n v="0"/>
    <d v="2023-04-01T00:00:00"/>
    <x v="0"/>
    <x v="0"/>
    <s v="Nairobi"/>
    <s v="Consumer"/>
    <x v="2"/>
    <x v="14"/>
    <x v="1"/>
    <s v="Medium"/>
    <x v="229"/>
    <n v="1024.0999999999999"/>
    <n v="918.19"/>
    <n v="0.189"/>
    <n v="0"/>
    <n v="10"/>
    <s v="ok"/>
    <n v="25"/>
    <n v="25"/>
    <n v="7446.5209000000004"/>
    <n v="10241"/>
    <n v="-2794.4790999999996"/>
    <n v="606.37750000000005"/>
    <n v="1193.865"/>
    <n v="1912.0450000000001"/>
    <s v="Medium"/>
    <n v="-0.37527311579827827"/>
    <d v="2023-01-29T00:00:00"/>
    <x v="0"/>
  </r>
  <r>
    <s v="ORD-2023-603650"/>
    <d v="2023-05-23T00:00:00"/>
    <s v="Q2-2023"/>
    <x v="15"/>
    <d v="2023-06-10T00:00:00"/>
    <n v="18"/>
    <n v="0"/>
    <d v="2023-06-10T00:00:00"/>
    <x v="1"/>
    <x v="9"/>
    <s v="Shanghai"/>
    <s v="Corporate"/>
    <x v="3"/>
    <x v="6"/>
    <x v="0"/>
    <s v="Low"/>
    <x v="230"/>
    <n v="54.62"/>
    <n v="48.94"/>
    <n v="0.14799999999999999"/>
    <n v="0"/>
    <n v="16"/>
    <s v="ok"/>
    <n v="18"/>
    <n v="18"/>
    <n v="667.15008"/>
    <n v="873.92"/>
    <n v="-206.76991999999996"/>
    <n v="606.37750000000005"/>
    <n v="1193.865"/>
    <n v="1912.0450000000001"/>
    <s v="Medium"/>
    <n v="-0.3099301434543783"/>
    <d v="2023-01-20T00:00:00"/>
    <x v="0"/>
  </r>
  <r>
    <s v="ORD-2025-757957"/>
    <d v="2025-04-24T00:00:00"/>
    <s v="Q2-2025"/>
    <x v="19"/>
    <d v="2025-05-06T00:00:00"/>
    <n v="12"/>
    <n v="0"/>
    <d v="2025-05-06T00:00:00"/>
    <x v="2"/>
    <x v="5"/>
    <s v="Brasília"/>
    <s v="Consumer"/>
    <x v="1"/>
    <x v="0"/>
    <x v="3"/>
    <s v="Medium"/>
    <x v="231"/>
    <n v="394.13"/>
    <n v="932.29"/>
    <n v="0.109"/>
    <n v="0"/>
    <n v="7"/>
    <s v="ok"/>
    <n v="12"/>
    <n v="12"/>
    <n v="5814.6927299999998"/>
    <n v="2758.91"/>
    <n v="3055.7827299999999"/>
    <n v="606.37750000000005"/>
    <n v="1193.865"/>
    <n v="1912.0450000000001"/>
    <s v="Low"/>
    <n v="0.5255278089303268"/>
    <d v="2023-01-02T00:00:00"/>
    <x v="0"/>
  </r>
  <r>
    <s v="ORD-2024-423853"/>
    <d v="2024-09-03T00:00:00"/>
    <s v="Q3-2024"/>
    <x v="29"/>
    <d v="2024-09-08T00:00:00"/>
    <n v="5"/>
    <n v="1"/>
    <d v="2024-09-08T00:00:00"/>
    <x v="0"/>
    <x v="1"/>
    <s v="Lagos"/>
    <s v="Small Business"/>
    <x v="4"/>
    <x v="11"/>
    <x v="1"/>
    <s v="Low"/>
    <x v="232"/>
    <n v="197.63"/>
    <n v="325.79000000000002"/>
    <n v="0.11600000000000001"/>
    <n v="0"/>
    <n v="10"/>
    <s v="ok"/>
    <n v="5"/>
    <n v="5"/>
    <n v="2879.9836"/>
    <n v="1976.3"/>
    <n v="903.68360000000007"/>
    <n v="606.37750000000005"/>
    <n v="1193.865"/>
    <n v="1912.0450000000001"/>
    <s v="Medium"/>
    <n v="0.31378081458519419"/>
    <d v="2023-01-12T00:00:00"/>
    <x v="0"/>
  </r>
  <r>
    <s v="ORD-2024-569164"/>
    <d v="2024-09-05T00:00:00"/>
    <s v="Q3-2024"/>
    <x v="29"/>
    <d v="2024-09-25T00:00:00"/>
    <n v="20"/>
    <n v="0"/>
    <d v="2024-09-25T00:00:00"/>
    <x v="1"/>
    <x v="2"/>
    <s v="Osaka"/>
    <s v="Enterprise"/>
    <x v="3"/>
    <x v="14"/>
    <x v="5"/>
    <s v="Low"/>
    <x v="233"/>
    <n v="195.54"/>
    <n v="405.97"/>
    <n v="0.187"/>
    <n v="0"/>
    <n v="16"/>
    <s v="ok"/>
    <n v="20"/>
    <n v="20"/>
    <n v="5280.8577599999999"/>
    <n v="3128.64"/>
    <n v="2152.21776"/>
    <n v="606.37750000000005"/>
    <n v="1193.865"/>
    <n v="1912.0450000000001"/>
    <s v="Low"/>
    <n v="0.40755079152141377"/>
    <d v="2023-01-07T00:00:00"/>
    <x v="0"/>
  </r>
  <r>
    <s v="ORD-2023-946143"/>
    <d v="2023-03-14T00:00:00"/>
    <s v="Q1-2023"/>
    <x v="22"/>
    <d v="2023-03-30T00:00:00"/>
    <n v="16"/>
    <n v="0"/>
    <d v="2023-03-30T00:00:00"/>
    <x v="0"/>
    <x v="11"/>
    <s v="Cape Town"/>
    <s v="Consumer"/>
    <x v="3"/>
    <x v="11"/>
    <x v="0"/>
    <s v="Medium"/>
    <x v="234"/>
    <n v="1309.77"/>
    <n v="1589.07"/>
    <n v="0.10199999999999999"/>
    <n v="0"/>
    <n v="10"/>
    <s v="ok"/>
    <n v="16"/>
    <n v="16"/>
    <n v="14269.848599999999"/>
    <n v="13097.7"/>
    <n v="1172.1485999999986"/>
    <n v="606.37750000000005"/>
    <n v="1193.865"/>
    <n v="1912.0450000000001"/>
    <s v="Low"/>
    <n v="8.2141628328137886E-2"/>
    <d v="2023-01-20T00:00:00"/>
    <x v="0"/>
  </r>
  <r>
    <s v="ORD-2024-281211"/>
    <d v="2024-01-11T00:00:00"/>
    <s v="Q1-2024"/>
    <x v="9"/>
    <d v="2024-02-02T00:00:00"/>
    <n v="22"/>
    <n v="0"/>
    <d v="2024-02-02T00:00:00"/>
    <x v="1"/>
    <x v="2"/>
    <s v="Nagoya"/>
    <s v="Small Business"/>
    <x v="1"/>
    <x v="15"/>
    <x v="1"/>
    <s v="Medium"/>
    <x v="235"/>
    <n v="1237.68"/>
    <n v="1432.8"/>
    <n v="6.8000000000000005E-2"/>
    <n v="0"/>
    <n v="13"/>
    <s v="ok"/>
    <n v="22"/>
    <n v="22"/>
    <n v="17359.804799999998"/>
    <n v="16089.84"/>
    <n v="1269.9647999999979"/>
    <n v="606.37750000000005"/>
    <n v="1193.865"/>
    <n v="1912.0450000000001"/>
    <s v="Medium"/>
    <n v="7.315547695559331E-2"/>
    <d v="2023-01-19T00:00:00"/>
    <x v="0"/>
  </r>
  <r>
    <s v="ORD-2024-805860"/>
    <d v="2024-09-13T00:00:00"/>
    <s v="Q3-2024"/>
    <x v="29"/>
    <d v="2024-10-02T00:00:00"/>
    <n v="19"/>
    <n v="0"/>
    <d v="2024-10-02T00:00:00"/>
    <x v="0"/>
    <x v="0"/>
    <s v="Mombasa"/>
    <s v="Small Business"/>
    <x v="0"/>
    <x v="12"/>
    <x v="3"/>
    <s v="High"/>
    <x v="236"/>
    <n v="1338.99"/>
    <n v="1765.76"/>
    <n v="0.126"/>
    <n v="0"/>
    <n v="24"/>
    <s v="ok"/>
    <n v="19"/>
    <n v="19"/>
    <n v="37038.581760000001"/>
    <n v="32135.760000000002"/>
    <n v="4902.8217599999989"/>
    <n v="606.37750000000005"/>
    <n v="1193.865"/>
    <n v="1912.0450000000001"/>
    <s v="Medium"/>
    <n v="0.1323706666677725"/>
    <d v="2023-03-03T00:00:00"/>
    <x v="1"/>
  </r>
  <r>
    <s v="ORD-2025-132174"/>
    <d v="2025-07-17T00:00:00"/>
    <s v="Q3-2025"/>
    <x v="13"/>
    <d v="2025-07-23T00:00:00"/>
    <n v="6"/>
    <n v="1"/>
    <d v="2025-07-23T00:00:00"/>
    <x v="2"/>
    <x v="3"/>
    <s v="Vancouver"/>
    <s v="Consumer"/>
    <x v="1"/>
    <x v="10"/>
    <x v="0"/>
    <s v="High"/>
    <x v="237"/>
    <n v="1364.89"/>
    <n v="2757.54"/>
    <n v="0.17199999999999999"/>
    <n v="0"/>
    <n v="61"/>
    <s v="ok"/>
    <n v="6"/>
    <n v="6"/>
    <n v="139277.83032000001"/>
    <n v="83258.290000000008"/>
    <n v="56019.54032"/>
    <n v="606.37750000000005"/>
    <n v="1193.865"/>
    <n v="1912.0450000000001"/>
    <s v="Medium"/>
    <n v="0.4022143379983118"/>
    <d v="2023-01-20T00:00:00"/>
    <x v="0"/>
  </r>
  <r>
    <s v="ORD-2023-964434"/>
    <d v="2023-11-28T00:00:00"/>
    <s v="Q4-2023"/>
    <x v="30"/>
    <d v="2023-12-07T00:00:00"/>
    <n v="9"/>
    <n v="0"/>
    <d v="2023-12-07T00:00:00"/>
    <x v="1"/>
    <x v="4"/>
    <s v="Delhi"/>
    <s v="Enterprise"/>
    <x v="2"/>
    <x v="4"/>
    <x v="3"/>
    <s v="Medium"/>
    <x v="238"/>
    <n v="699.33"/>
    <n v="873.75"/>
    <n v="0.23499999999999999"/>
    <n v="1"/>
    <n v="10"/>
    <s v="ok"/>
    <n v="9"/>
    <n v="9"/>
    <n v="6684.1875"/>
    <n v="6993.3"/>
    <n v="-309.11250000000018"/>
    <n v="606.37750000000005"/>
    <n v="1193.865"/>
    <n v="1912.0450000000001"/>
    <s v="High"/>
    <n v="-4.6245336475076469E-2"/>
    <d v="2023-01-12T00:00:00"/>
    <x v="0"/>
  </r>
  <r>
    <s v="ORD-2024-897622"/>
    <d v="2024-03-30T00:00:00"/>
    <s v="Q1-2024"/>
    <x v="0"/>
    <d v="2024-04-24T00:00:00"/>
    <n v="25"/>
    <n v="0"/>
    <d v="2024-04-24T00:00:00"/>
    <x v="2"/>
    <x v="10"/>
    <s v="Austin"/>
    <s v="Non-Profit"/>
    <x v="1"/>
    <x v="3"/>
    <x v="4"/>
    <s v="Low"/>
    <x v="239"/>
    <n v="160.82"/>
    <n v="258.52"/>
    <n v="0.13"/>
    <n v="0"/>
    <n v="17"/>
    <s v="ok"/>
    <n v="25"/>
    <n v="25"/>
    <n v="3823.5108"/>
    <n v="2733.94"/>
    <n v="1089.5708"/>
    <n v="606.37750000000005"/>
    <n v="1193.865"/>
    <n v="1912.0450000000001"/>
    <s v="Medium"/>
    <n v="0.28496605789631874"/>
    <d v="2023-01-19T00:00:00"/>
    <x v="0"/>
  </r>
  <r>
    <s v="ORD-2023-517216"/>
    <d v="2023-09-19T00:00:00"/>
    <s v="Q3-2023"/>
    <x v="27"/>
    <d v="2023-10-08T00:00:00"/>
    <n v="19"/>
    <n v="0"/>
    <d v="2023-10-08T00:00:00"/>
    <x v="1"/>
    <x v="4"/>
    <s v="Bengaluru"/>
    <s v="Education"/>
    <x v="4"/>
    <x v="1"/>
    <x v="1"/>
    <s v="Low"/>
    <x v="240"/>
    <n v="385.32"/>
    <n v="606.76"/>
    <n v="8.5999999999999993E-2"/>
    <n v="0"/>
    <n v="8"/>
    <s v="ok"/>
    <n v="19"/>
    <n v="19"/>
    <n v="4436.6291200000005"/>
    <n v="3082.56"/>
    <n v="1354.0691200000006"/>
    <n v="606.37750000000005"/>
    <n v="1193.865"/>
    <n v="1912.0450000000001"/>
    <s v="Low"/>
    <n v="0.30520223425842735"/>
    <d v="2023-01-07T00:00:00"/>
    <x v="0"/>
  </r>
  <r>
    <s v="ORD-2025-509940"/>
    <d v="2025-05-16T00:00:00"/>
    <s v="Q2-2025"/>
    <x v="8"/>
    <d v="2025-05-27T00:00:00"/>
    <n v="11"/>
    <n v="0"/>
    <d v="2025-05-27T00:00:00"/>
    <x v="1"/>
    <x v="9"/>
    <s v="Beijing"/>
    <s v="Enterprise"/>
    <x v="1"/>
    <x v="9"/>
    <x v="3"/>
    <s v="Medium"/>
    <x v="241"/>
    <n v="918.12"/>
    <n v="1337.69"/>
    <n v="9.5000000000000001E-2"/>
    <n v="0"/>
    <n v="8"/>
    <s v="ok"/>
    <n v="11"/>
    <n v="11"/>
    <n v="9684.8756000000012"/>
    <n v="7344.96"/>
    <n v="2339.9156000000012"/>
    <n v="606.37750000000005"/>
    <n v="1193.865"/>
    <n v="1912.0450000000001"/>
    <s v="Medium"/>
    <n v="0.24160512707050164"/>
    <d v="2023-01-13T00:00:00"/>
    <x v="0"/>
  </r>
  <r>
    <s v="ORD-2025-646342"/>
    <d v="2025-08-02T00:00:00"/>
    <s v="Q3-2025"/>
    <x v="28"/>
    <d v="2025-08-08T00:00:00"/>
    <n v="6"/>
    <n v="1"/>
    <d v="2025-08-08T00:00:00"/>
    <x v="1"/>
    <x v="2"/>
    <s v="Osaka"/>
    <s v="Consumer"/>
    <x v="4"/>
    <x v="13"/>
    <x v="4"/>
    <s v="High"/>
    <x v="242"/>
    <n v="1225.94"/>
    <n v="1793.08"/>
    <n v="0.13600000000000001"/>
    <n v="0"/>
    <n v="22"/>
    <s v="ok"/>
    <n v="6"/>
    <n v="6"/>
    <n v="34082.864639999993"/>
    <n v="26970.68"/>
    <n v="7112.1846399999922"/>
    <n v="606.37750000000005"/>
    <n v="1193.865"/>
    <n v="1912.0450000000001"/>
    <s v="Medium"/>
    <n v="0.20867332353434462"/>
    <d v="2023-03-03T00:00:00"/>
    <x v="1"/>
  </r>
  <r>
    <s v="ORD-2024-866535"/>
    <d v="2024-12-04T00:00:00"/>
    <s v="Q4-2024"/>
    <x v="6"/>
    <d v="2024-12-12T00:00:00"/>
    <n v="8"/>
    <n v="0"/>
    <d v="2024-12-12T00:00:00"/>
    <x v="3"/>
    <x v="6"/>
    <s v="Frankfurt"/>
    <s v="Enterprise"/>
    <x v="2"/>
    <x v="5"/>
    <x v="1"/>
    <s v="Low"/>
    <x v="243"/>
    <n v="72.06"/>
    <n v="122.74"/>
    <n v="0.23799999999999999"/>
    <n v="1"/>
    <n v="8"/>
    <s v="ok"/>
    <n v="8"/>
    <n v="8"/>
    <n v="748.22303999999997"/>
    <n v="576.48"/>
    <n v="171.74303999999995"/>
    <n v="606.37750000000005"/>
    <n v="1193.865"/>
    <n v="1912.0450000000001"/>
    <s v="Medium"/>
    <n v="0.22953455162246802"/>
    <d v="2023-01-29T00:00:00"/>
    <x v="0"/>
  </r>
  <r>
    <s v="ORD-2023-747341"/>
    <d v="2023-04-19T00:00:00"/>
    <s v="Q2-2023"/>
    <x v="12"/>
    <d v="2023-04-28T00:00:00"/>
    <n v="9"/>
    <n v="0"/>
    <d v="2023-04-28T00:00:00"/>
    <x v="2"/>
    <x v="5"/>
    <s v="Rio de Janeiro"/>
    <s v="Corporate"/>
    <x v="3"/>
    <x v="12"/>
    <x v="3"/>
    <s v="Medium"/>
    <x v="244"/>
    <n v="1013.54"/>
    <n v="927.93"/>
    <n v="0.17499999999999999"/>
    <n v="0"/>
    <n v="16"/>
    <s v="ok"/>
    <n v="9"/>
    <n v="9"/>
    <n v="12248.675999999999"/>
    <n v="16216.64"/>
    <n v="-3967.9639999999999"/>
    <n v="606.37750000000005"/>
    <n v="1193.865"/>
    <n v="1912.0450000000001"/>
    <s v="Low"/>
    <n v="-0.32395044166406234"/>
    <d v="2023-01-02T00:00:00"/>
    <x v="0"/>
  </r>
  <r>
    <s v="ORD-2024-853298"/>
    <d v="2024-03-06T00:00:00"/>
    <s v="Q1-2024"/>
    <x v="0"/>
    <d v="2024-03-26T00:00:00"/>
    <n v="20"/>
    <n v="0"/>
    <d v="2024-03-26T00:00:00"/>
    <x v="0"/>
    <x v="1"/>
    <s v="Port Harcourt"/>
    <s v="Consumer"/>
    <x v="2"/>
    <x v="2"/>
    <x v="3"/>
    <s v="Low"/>
    <x v="245"/>
    <n v="65.64"/>
    <n v="151.88"/>
    <n v="0.16700000000000001"/>
    <n v="0"/>
    <n v="23"/>
    <s v="ok"/>
    <n v="20"/>
    <n v="20"/>
    <n v="2909.8689199999999"/>
    <n v="1509.72"/>
    <n v="1400.1489199999999"/>
    <n v="606.37750000000005"/>
    <n v="1193.865"/>
    <n v="1912.0450000000001"/>
    <s v="Medium"/>
    <n v="0.48117250587356353"/>
    <d v="2023-01-22T00:00:00"/>
    <x v="0"/>
  </r>
  <r>
    <s v="ORD-2024-544865"/>
    <d v="2024-02-16T00:00:00"/>
    <s v="Q1-2024"/>
    <x v="31"/>
    <d v="2024-03-04T00:00:00"/>
    <n v="17"/>
    <n v="0"/>
    <d v="2024-03-04T00:00:00"/>
    <x v="2"/>
    <x v="3"/>
    <s v="Montreal"/>
    <s v="Non-Profit"/>
    <x v="0"/>
    <x v="14"/>
    <x v="4"/>
    <s v="High"/>
    <x v="246"/>
    <n v="1350.98"/>
    <n v="2210.4"/>
    <n v="0.26300000000000001"/>
    <n v="1"/>
    <n v="6"/>
    <s v="ok"/>
    <n v="17"/>
    <n v="17"/>
    <n v="9774.3888000000006"/>
    <n v="8105.88"/>
    <n v="1668.5088000000005"/>
    <n v="606.37750000000005"/>
    <n v="1193.865"/>
    <n v="1912.0450000000001"/>
    <s v="Low"/>
    <n v="0.17070211080615091"/>
    <d v="2023-01-12T00:00:00"/>
    <x v="0"/>
  </r>
  <r>
    <s v="ORD-2025-946490"/>
    <d v="2025-04-22T00:00:00"/>
    <s v="Q2-2025"/>
    <x v="19"/>
    <d v="2025-05-02T00:00:00"/>
    <n v="10"/>
    <n v="0"/>
    <d v="2025-05-02T00:00:00"/>
    <x v="3"/>
    <x v="6"/>
    <s v="Berlin"/>
    <s v="Corporate"/>
    <x v="2"/>
    <x v="0"/>
    <x v="5"/>
    <s v="Low"/>
    <x v="247"/>
    <n v="20.149999999999999"/>
    <n v="39.74"/>
    <n v="0.151"/>
    <n v="0"/>
    <n v="18"/>
    <s v="ok"/>
    <n v="10"/>
    <n v="10"/>
    <n v="607.30668000000003"/>
    <n v="362.7"/>
    <n v="244.60668000000004"/>
    <n v="606.37750000000005"/>
    <n v="1193.865"/>
    <n v="1912.0450000000001"/>
    <s v="High"/>
    <n v="0.4027729120318585"/>
    <d v="2023-01-02T00:00:00"/>
    <x v="0"/>
  </r>
  <r>
    <s v="ORD-2024-320972"/>
    <d v="2024-11-08T00:00:00"/>
    <s v="Q4-2024"/>
    <x v="18"/>
    <d v="2024-11-08T00:00:00"/>
    <n v="0"/>
    <n v="1"/>
    <d v="2024-11-08T00:00:00"/>
    <x v="0"/>
    <x v="0"/>
    <s v="Nakuru"/>
    <s v="Enterprise"/>
    <x v="2"/>
    <x v="12"/>
    <x v="2"/>
    <s v="Medium"/>
    <x v="248"/>
    <n v="803.28"/>
    <n v="1009"/>
    <n v="0.11"/>
    <n v="0"/>
    <n v="4"/>
    <s v="sus"/>
    <n v="0"/>
    <n v="0"/>
    <n v="3592.04"/>
    <n v="3213.12"/>
    <n v="378.92000000000007"/>
    <n v="606.37750000000005"/>
    <n v="1193.865"/>
    <n v="1912.0450000000001"/>
    <s v="Low"/>
    <n v="0.10548880302001093"/>
    <d v="2023-01-19T00:00:00"/>
    <x v="0"/>
  </r>
  <r>
    <s v="ORD-2025-248586"/>
    <d v="2025-09-12T00:00:00"/>
    <s v="Q3-2025"/>
    <x v="11"/>
    <d v="2025-09-30T00:00:00"/>
    <n v="18"/>
    <n v="0"/>
    <d v="2025-09-30T00:00:00"/>
    <x v="1"/>
    <x v="2"/>
    <s v="Nagoya"/>
    <s v="Non-Profit"/>
    <x v="2"/>
    <x v="9"/>
    <x v="5"/>
    <s v="High"/>
    <x v="249"/>
    <n v="1212.99"/>
    <n v="1653.64"/>
    <n v="0.107"/>
    <n v="0"/>
    <n v="8"/>
    <s v="ok"/>
    <n v="18"/>
    <n v="18"/>
    <n v="11813.604160000001"/>
    <n v="9703.92"/>
    <n v="2109.6841600000007"/>
    <n v="606.37750000000005"/>
    <n v="1193.865"/>
    <n v="1912.0450000000001"/>
    <s v="Medium"/>
    <n v="0.17858090819931455"/>
    <d v="2023-01-10T00:00:00"/>
    <x v="0"/>
  </r>
  <r>
    <s v="ORD-2024-664046"/>
    <d v="2024-09-02T00:00:00"/>
    <s v="Q3-2024"/>
    <x v="29"/>
    <d v="2024-09-08T00:00:00"/>
    <n v="6"/>
    <n v="1"/>
    <d v="2024-09-08T00:00:00"/>
    <x v="2"/>
    <x v="10"/>
    <s v="Austin"/>
    <s v="Consumer"/>
    <x v="4"/>
    <x v="10"/>
    <x v="0"/>
    <s v="Medium"/>
    <x v="250"/>
    <n v="462.94"/>
    <n v="1015.7"/>
    <n v="0.14299999999999999"/>
    <n v="0"/>
    <n v="14"/>
    <s v="ok"/>
    <n v="6"/>
    <n v="6"/>
    <n v="12186.368600000002"/>
    <n v="6481.16"/>
    <n v="5705.2086000000018"/>
    <n v="606.37750000000005"/>
    <n v="1193.865"/>
    <n v="1912.0450000000001"/>
    <s v="Medium"/>
    <n v="0.46816314090483041"/>
    <d v="2023-01-20T00:00:00"/>
    <x v="0"/>
  </r>
  <r>
    <s v="ORD-2023-276806"/>
    <d v="2023-03-04T00:00:00"/>
    <s v="Q1-2023"/>
    <x v="22"/>
    <d v="2023-03-24T00:00:00"/>
    <n v="20"/>
    <n v="0"/>
    <d v="2023-03-24T00:00:00"/>
    <x v="2"/>
    <x v="3"/>
    <s v="Montreal"/>
    <s v="Consumer"/>
    <x v="3"/>
    <x v="2"/>
    <x v="4"/>
    <s v="Medium"/>
    <x v="251"/>
    <n v="481.71"/>
    <n v="912.45"/>
    <n v="0.20300000000000001"/>
    <n v="1"/>
    <n v="24"/>
    <s v="ok"/>
    <n v="20"/>
    <n v="20"/>
    <n v="17453.3436"/>
    <n v="11561.039999999999"/>
    <n v="5892.3036000000011"/>
    <n v="606.37750000000005"/>
    <n v="1193.865"/>
    <n v="1912.0450000000001"/>
    <s v="Medium"/>
    <n v="0.33760313983619739"/>
    <d v="2023-01-29T00:00:00"/>
    <x v="0"/>
  </r>
  <r>
    <s v="ORD-2024-220234"/>
    <d v="2024-03-15T00:00:00"/>
    <s v="Q1-2024"/>
    <x v="0"/>
    <d v="2024-04-09T00:00:00"/>
    <n v="25"/>
    <n v="0"/>
    <d v="2024-04-09T00:00:00"/>
    <x v="2"/>
    <x v="3"/>
    <s v="Vancouver"/>
    <s v="Consumer"/>
    <x v="1"/>
    <x v="9"/>
    <x v="5"/>
    <s v="Low"/>
    <x v="252"/>
    <n v="648.64"/>
    <n v="815.19"/>
    <n v="0.22500000000000001"/>
    <n v="1"/>
    <n v="28"/>
    <s v="ok"/>
    <n v="25"/>
    <n v="25"/>
    <n v="17689.623"/>
    <n v="18161.919999999998"/>
    <n v="-472.29699999999866"/>
    <n v="606.37750000000005"/>
    <n v="1193.865"/>
    <n v="1912.0450000000001"/>
    <s v="Medium"/>
    <n v="-2.6699099240272032E-2"/>
    <d v="2023-01-02T00:00:00"/>
    <x v="0"/>
  </r>
  <r>
    <s v="ORD-2024-301260"/>
    <d v="2024-07-29T00:00:00"/>
    <s v="Q3-2024"/>
    <x v="14"/>
    <d v="2024-07-31T00:00:00"/>
    <n v="2"/>
    <n v="1"/>
    <d v="2024-07-31T00:00:00"/>
    <x v="2"/>
    <x v="10"/>
    <s v="New York"/>
    <s v="Education"/>
    <x v="2"/>
    <x v="2"/>
    <x v="1"/>
    <s v="High"/>
    <x v="253"/>
    <n v="798.97"/>
    <n v="1814.06"/>
    <n v="0.122"/>
    <n v="0"/>
    <n v="16"/>
    <s v="ok"/>
    <n v="2"/>
    <n v="2"/>
    <n v="25483.91488"/>
    <n v="12783.52"/>
    <n v="12700.39488"/>
    <n v="606.37750000000005"/>
    <n v="1193.865"/>
    <n v="1912.0450000000001"/>
    <s v="Medium"/>
    <n v="0.49836906691159061"/>
    <d v="2023-01-12T00:00:00"/>
    <x v="0"/>
  </r>
  <r>
    <s v="ORD-2024-350100"/>
    <d v="2024-10-27T00:00:00"/>
    <s v="Q4-2024"/>
    <x v="1"/>
    <d v="2024-11-20T00:00:00"/>
    <n v="24"/>
    <n v="0"/>
    <d v="2024-11-20T00:00:00"/>
    <x v="1"/>
    <x v="2"/>
    <s v="Nagoya"/>
    <s v="Non-Profit"/>
    <x v="1"/>
    <x v="10"/>
    <x v="5"/>
    <s v="Low"/>
    <x v="254"/>
    <n v="317.25"/>
    <n v="758.92"/>
    <n v="5.2999999999999999E-2"/>
    <n v="0"/>
    <n v="9"/>
    <s v="ok"/>
    <n v="24"/>
    <n v="24"/>
    <n v="6468.2751599999992"/>
    <n v="2855.25"/>
    <n v="3613.0251599999992"/>
    <n v="606.37750000000005"/>
    <n v="1193.865"/>
    <n v="1912.0450000000001"/>
    <s v="Medium"/>
    <n v="0.5585762928489888"/>
    <d v="2023-01-22T00:00:00"/>
    <x v="0"/>
  </r>
  <r>
    <s v="ORD-2024-855600"/>
    <d v="2024-04-29T00:00:00"/>
    <s v="Q2-2024"/>
    <x v="20"/>
    <d v="2024-05-19T00:00:00"/>
    <n v="20"/>
    <n v="0"/>
    <d v="2024-05-19T00:00:00"/>
    <x v="3"/>
    <x v="6"/>
    <s v="Frankfurt"/>
    <s v="Enterprise"/>
    <x v="2"/>
    <x v="0"/>
    <x v="4"/>
    <s v="High"/>
    <x v="255"/>
    <n v="668.97"/>
    <n v="1667.44"/>
    <n v="3.4000000000000002E-2"/>
    <n v="0"/>
    <n v="15"/>
    <s v="ok"/>
    <n v="20"/>
    <n v="20"/>
    <n v="24161.205600000001"/>
    <n v="10034.550000000001"/>
    <n v="14126.6556"/>
    <n v="606.37750000000005"/>
    <n v="1193.865"/>
    <n v="1912.0450000000001"/>
    <s v="Medium"/>
    <n v="0.58468339013679016"/>
    <d v="2023-01-19T00:00:00"/>
    <x v="0"/>
  </r>
  <r>
    <s v="ORD-2023-474313"/>
    <d v="2023-10-05T00:00:00"/>
    <s v="Q4-2023"/>
    <x v="32"/>
    <d v="2023-10-06T00:00:00"/>
    <n v="1"/>
    <n v="1"/>
    <d v="2023-10-06T00:00:00"/>
    <x v="1"/>
    <x v="4"/>
    <s v="Bengaluru"/>
    <s v="Non-Profit"/>
    <x v="1"/>
    <x v="2"/>
    <x v="0"/>
    <s v="High"/>
    <x v="256"/>
    <n v="1470.26"/>
    <n v="2562.5500000000002"/>
    <n v="0.17299999999999999"/>
    <n v="0"/>
    <n v="9"/>
    <s v="ok"/>
    <n v="1"/>
    <n v="1"/>
    <n v="19073.059649999999"/>
    <n v="13232.34"/>
    <n v="5840.7196499999991"/>
    <n v="606.37750000000005"/>
    <n v="1193.865"/>
    <n v="1912.0450000000001"/>
    <s v="Medium"/>
    <n v="0.30622877279157462"/>
    <d v="2023-01-13T00:00:00"/>
    <x v="0"/>
  </r>
  <r>
    <s v="ORD-2023-256951"/>
    <d v="2023-04-19T00:00:00"/>
    <s v="Q2-2023"/>
    <x v="12"/>
    <d v="2023-05-07T00:00:00"/>
    <n v="18"/>
    <n v="0"/>
    <d v="2023-05-07T00:00:00"/>
    <x v="3"/>
    <x v="8"/>
    <s v="London"/>
    <s v="Non-Profit"/>
    <x v="4"/>
    <x v="10"/>
    <x v="2"/>
    <s v="Low"/>
    <x v="257"/>
    <n v="516.96"/>
    <n v="745.38"/>
    <n v="0.19700000000000001"/>
    <n v="0"/>
    <n v="4"/>
    <s v="ok"/>
    <n v="18"/>
    <n v="18"/>
    <n v="2394.1605599999998"/>
    <n v="2067.84"/>
    <n v="326.32055999999966"/>
    <n v="606.37750000000005"/>
    <n v="1193.865"/>
    <n v="1912.0450000000001"/>
    <s v="High"/>
    <n v="0.13629852794835101"/>
    <d v="2023-01-13T00:00:00"/>
    <x v="0"/>
  </r>
  <r>
    <s v="ORD-2025-184754"/>
    <d v="2025-06-27T00:00:00"/>
    <s v="Q2-2025"/>
    <x v="16"/>
    <d v="2025-07-05T00:00:00"/>
    <n v="8"/>
    <n v="0"/>
    <d v="2025-07-05T00:00:00"/>
    <x v="3"/>
    <x v="6"/>
    <s v="Munich"/>
    <s v="Small Business"/>
    <x v="4"/>
    <x v="3"/>
    <x v="5"/>
    <s v="Low"/>
    <x v="258"/>
    <n v="314.93"/>
    <n v="687.95"/>
    <n v="0.20499999999999999"/>
    <n v="1"/>
    <n v="8"/>
    <s v="ok"/>
    <n v="8"/>
    <n v="8"/>
    <n v="4375.3620000000001"/>
    <n v="2519.44"/>
    <n v="1855.922"/>
    <n v="606.37750000000005"/>
    <n v="1193.865"/>
    <n v="1912.0450000000001"/>
    <s v="Medium"/>
    <n v="0.424175645352316"/>
    <d v="2023-01-29T00:00:00"/>
    <x v="0"/>
  </r>
  <r>
    <s v="ORD-2023-888140"/>
    <d v="2023-10-11T00:00:00"/>
    <s v="Q4-2023"/>
    <x v="32"/>
    <d v="2023-10-13T00:00:00"/>
    <n v="2"/>
    <n v="1"/>
    <d v="2023-10-13T00:00:00"/>
    <x v="2"/>
    <x v="5"/>
    <s v="Brasília"/>
    <s v="Consumer"/>
    <x v="3"/>
    <x v="15"/>
    <x v="6"/>
    <s v="Low"/>
    <x v="259"/>
    <n v="715.94"/>
    <n v="550.07000000000005"/>
    <n v="0.14000000000000001"/>
    <n v="0"/>
    <n v="16"/>
    <s v="ok"/>
    <n v="2"/>
    <n v="2"/>
    <n v="7568.9632000000001"/>
    <n v="11455.04"/>
    <n v="-3886.0768000000007"/>
    <n v="606.37750000000005"/>
    <n v="1193.865"/>
    <n v="1912.0450000000001"/>
    <s v="Medium"/>
    <n v="-0.51342260456491595"/>
    <d v="2023-01-15T00:00:00"/>
    <x v="0"/>
  </r>
  <r>
    <s v="ORD-2023-638181"/>
    <d v="2023-05-20T00:00:00"/>
    <s v="Q2-2023"/>
    <x v="15"/>
    <d v="2023-06-07T00:00:00"/>
    <n v="18"/>
    <n v="0"/>
    <d v="2023-06-07T00:00:00"/>
    <x v="0"/>
    <x v="1"/>
    <s v="Port Harcourt"/>
    <s v="Enterprise"/>
    <x v="3"/>
    <x v="6"/>
    <x v="0"/>
    <s v="High"/>
    <x v="260"/>
    <n v="1120.06"/>
    <n v="2068.21"/>
    <n v="7.8E-2"/>
    <n v="0"/>
    <n v="12"/>
    <s v="ok"/>
    <n v="18"/>
    <n v="18"/>
    <n v="22882.675440000003"/>
    <n v="13440.72"/>
    <n v="9441.9554400000034"/>
    <n v="606.37750000000005"/>
    <n v="1193.865"/>
    <n v="1912.0450000000001"/>
    <s v="Low"/>
    <n v="0.41262462795303284"/>
    <d v="2023-01-19T00:00:00"/>
    <x v="0"/>
  </r>
  <r>
    <s v="ORD-2023-521280"/>
    <d v="2023-05-27T00:00:00"/>
    <s v="Q2-2023"/>
    <x v="15"/>
    <d v="2023-06-19T00:00:00"/>
    <n v="23"/>
    <n v="0"/>
    <d v="2023-06-19T00:00:00"/>
    <x v="3"/>
    <x v="6"/>
    <s v="Berlin"/>
    <s v="Education"/>
    <x v="0"/>
    <x v="7"/>
    <x v="6"/>
    <s v="High"/>
    <x v="261"/>
    <n v="1471.58"/>
    <n v="2576.65"/>
    <n v="4.0000000000000001E-3"/>
    <n v="0"/>
    <n v="7"/>
    <s v="ok"/>
    <n v="23"/>
    <n v="23"/>
    <n v="17964.4038"/>
    <n v="10301.06"/>
    <n v="7663.3438000000006"/>
    <n v="606.37750000000005"/>
    <n v="1193.865"/>
    <n v="1912.0450000000001"/>
    <s v="High"/>
    <n v="0.4265849223451546"/>
    <d v="2023-01-12T00:00:00"/>
    <x v="0"/>
  </r>
  <r>
    <s v="ORD-2023-630430"/>
    <d v="2023-08-04T00:00:00"/>
    <s v="Q3-2023"/>
    <x v="25"/>
    <d v="2023-08-24T00:00:00"/>
    <n v="20"/>
    <n v="0"/>
    <d v="2023-08-24T00:00:00"/>
    <x v="2"/>
    <x v="5"/>
    <s v="Brasília"/>
    <s v="Non-Profit"/>
    <x v="4"/>
    <x v="15"/>
    <x v="2"/>
    <s v="Medium"/>
    <x v="262"/>
    <n v="582.88"/>
    <n v="1044.1400000000001"/>
    <n v="0.216"/>
    <n v="1"/>
    <n v="10"/>
    <s v="ok"/>
    <n v="20"/>
    <n v="20"/>
    <n v="8186.057600000001"/>
    <n v="5828.8"/>
    <n v="2357.2576000000008"/>
    <n v="606.37750000000005"/>
    <n v="1193.865"/>
    <n v="1912.0450000000001"/>
    <s v="High"/>
    <n v="0.28796005539956138"/>
    <d v="2023-01-13T00:00:00"/>
    <x v="0"/>
  </r>
  <r>
    <s v="ORD-2025-908258"/>
    <d v="2025-06-21T00:00:00"/>
    <s v="Q2-2025"/>
    <x v="16"/>
    <d v="2025-06-27T00:00:00"/>
    <n v="6"/>
    <n v="1"/>
    <d v="2025-06-27T00:00:00"/>
    <x v="0"/>
    <x v="11"/>
    <s v="Durban"/>
    <s v="Enterprise"/>
    <x v="3"/>
    <x v="13"/>
    <x v="3"/>
    <s v="Low"/>
    <x v="263"/>
    <n v="93.91"/>
    <n v="99.04"/>
    <n v="5.7000000000000002E-2"/>
    <n v="0"/>
    <n v="6"/>
    <s v="ok"/>
    <n v="6"/>
    <n v="6"/>
    <n v="560.36831999999993"/>
    <n v="563.46"/>
    <n v="-3.0916800000001103"/>
    <n v="606.37750000000005"/>
    <n v="1193.865"/>
    <n v="1912.0450000000001"/>
    <s v="Medium"/>
    <n v="-5.5172283829323376E-3"/>
    <d v="2023-01-10T00:00:00"/>
    <x v="0"/>
  </r>
  <r>
    <s v="ORD-2025-440093"/>
    <d v="2025-04-16T00:00:00"/>
    <s v="Q2-2025"/>
    <x v="19"/>
    <d v="2025-04-26T00:00:00"/>
    <n v="10"/>
    <n v="0"/>
    <d v="2025-04-26T00:00:00"/>
    <x v="0"/>
    <x v="1"/>
    <s v="Port Harcourt"/>
    <s v="Enterprise"/>
    <x v="2"/>
    <x v="9"/>
    <x v="4"/>
    <s v="High"/>
    <x v="264"/>
    <n v="1457.44"/>
    <n v="1996.81"/>
    <n v="0.126"/>
    <n v="0"/>
    <n v="23"/>
    <s v="ok"/>
    <n v="10"/>
    <n v="10"/>
    <n v="40139.874619999995"/>
    <n v="33521.120000000003"/>
    <n v="6618.7546199999924"/>
    <n v="606.37750000000005"/>
    <n v="1193.865"/>
    <n v="1912.0450000000001"/>
    <s v="Low"/>
    <n v="0.16489225944672353"/>
    <d v="2023-01-12T00:00:00"/>
    <x v="0"/>
  </r>
  <r>
    <s v="ORD-2025-898022"/>
    <d v="2025-09-02T00:00:00"/>
    <s v="Q3-2025"/>
    <x v="11"/>
    <d v="2025-09-11T00:00:00"/>
    <n v="9"/>
    <n v="0"/>
    <d v="2025-09-11T00:00:00"/>
    <x v="2"/>
    <x v="3"/>
    <s v="Toronto"/>
    <s v="Corporate"/>
    <x v="3"/>
    <x v="12"/>
    <x v="1"/>
    <s v="Medium"/>
    <x v="265"/>
    <n v="1207.6300000000001"/>
    <n v="921.68"/>
    <n v="0.19600000000000001"/>
    <n v="0"/>
    <n v="17"/>
    <s v="ok"/>
    <n v="9"/>
    <n v="9"/>
    <n v="12597.52224"/>
    <n v="20529.710000000003"/>
    <n v="-7932.1877600000025"/>
    <n v="606.37750000000005"/>
    <n v="1193.865"/>
    <n v="1912.0450000000001"/>
    <s v="High"/>
    <n v="-0.62966253274897988"/>
    <d v="2023-01-20T00:00:00"/>
    <x v="0"/>
  </r>
  <r>
    <s v="ORD-2024-500511"/>
    <d v="2024-10-08T00:00:00"/>
    <s v="Q4-2024"/>
    <x v="1"/>
    <d v="2024-10-08T00:00:00"/>
    <n v="0"/>
    <n v="1"/>
    <d v="2024-10-08T00:00:00"/>
    <x v="3"/>
    <x v="8"/>
    <s v="London"/>
    <s v="Corporate"/>
    <x v="1"/>
    <x v="6"/>
    <x v="5"/>
    <s v="High"/>
    <x v="266"/>
    <n v="1108.1099999999999"/>
    <n v="2503.79"/>
    <n v="0.184"/>
    <n v="0"/>
    <n v="19"/>
    <s v="sus"/>
    <n v="0"/>
    <n v="0"/>
    <n v="38818.760160000005"/>
    <n v="21054.089999999997"/>
    <n v="17764.670160000009"/>
    <n v="606.37750000000005"/>
    <n v="1193.865"/>
    <n v="1912.0450000000001"/>
    <s v="Medium"/>
    <n v="0.45763105485025896"/>
    <d v="2023-01-10T00:00:00"/>
    <x v="0"/>
  </r>
  <r>
    <s v="ORD-2023-632893"/>
    <d v="2023-05-07T00:00:00"/>
    <s v="Q2-2023"/>
    <x v="15"/>
    <d v="2023-05-05T00:00:00"/>
    <n v="14"/>
    <n v="0"/>
    <d v="2023-05-21T00:00:00"/>
    <x v="0"/>
    <x v="1"/>
    <s v="Port Harcourt"/>
    <s v="Non-Profit"/>
    <x v="2"/>
    <x v="8"/>
    <x v="0"/>
    <s v="High"/>
    <x v="267"/>
    <n v="1269.6500000000001"/>
    <n v="2462.77"/>
    <n v="0.107"/>
    <n v="0"/>
    <n v="8"/>
    <s v="sus"/>
    <n v="-2"/>
    <n v="2"/>
    <n v="17594.028880000002"/>
    <n v="10157.200000000001"/>
    <n v="7436.8288800000009"/>
    <n v="606.37750000000005"/>
    <n v="1193.865"/>
    <n v="1912.0450000000001"/>
    <s v="High"/>
    <n v="0.42269050089225502"/>
    <d v="2023-01-12T00:00:00"/>
    <x v="0"/>
  </r>
  <r>
    <s v="ORD-2023-967239"/>
    <d v="2023-12-24T00:00:00"/>
    <s v="Q4-2023"/>
    <x v="4"/>
    <d v="2024-01-01T00:00:00"/>
    <n v="8"/>
    <n v="0"/>
    <d v="2024-01-01T00:00:00"/>
    <x v="2"/>
    <x v="5"/>
    <s v="São Paulo"/>
    <s v="Education"/>
    <x v="4"/>
    <x v="0"/>
    <x v="3"/>
    <s v="Low"/>
    <x v="268"/>
    <n v="526.49"/>
    <n v="496.2"/>
    <n v="0"/>
    <n v="0"/>
    <n v="14"/>
    <s v="ok"/>
    <n v="8"/>
    <n v="8"/>
    <n v="6946.8"/>
    <n v="7370.8600000000006"/>
    <n v="-424.0600000000004"/>
    <n v="606.37750000000005"/>
    <n v="1193.865"/>
    <n v="1912.0450000000001"/>
    <s v="High"/>
    <n v="-6.1043933897621985E-2"/>
    <d v="2023-01-29T00:00:00"/>
    <x v="0"/>
  </r>
  <r>
    <s v="ORD-2024-885858"/>
    <d v="2024-01-10T00:00:00"/>
    <s v="Q1-2024"/>
    <x v="9"/>
    <d v="2024-01-23T00:00:00"/>
    <n v="13"/>
    <n v="0"/>
    <d v="2024-01-23T00:00:00"/>
    <x v="3"/>
    <x v="7"/>
    <s v="Marseille"/>
    <s v="Corporate"/>
    <x v="4"/>
    <x v="8"/>
    <x v="1"/>
    <s v="Medium"/>
    <x v="269"/>
    <n v="720"/>
    <n v="907.59"/>
    <n v="0.154"/>
    <n v="0"/>
    <n v="10"/>
    <s v="ok"/>
    <n v="13"/>
    <n v="13"/>
    <n v="7678.2113999999992"/>
    <n v="7200"/>
    <n v="478.21139999999923"/>
    <n v="606.37750000000005"/>
    <n v="1193.865"/>
    <n v="1912.0450000000001"/>
    <s v="Low"/>
    <n v="6.2281614179052078E-2"/>
    <d v="2023-01-22T00:00:00"/>
    <x v="0"/>
  </r>
  <r>
    <s v="ORD-2023-253245"/>
    <d v="2023-08-03T00:00:00"/>
    <s v="Q3-2023"/>
    <x v="25"/>
    <d v="2023-08-14T00:00:00"/>
    <n v="11"/>
    <n v="0"/>
    <d v="2023-08-14T00:00:00"/>
    <x v="2"/>
    <x v="5"/>
    <s v="Brasília"/>
    <s v="Corporate"/>
    <x v="4"/>
    <x v="1"/>
    <x v="6"/>
    <s v="Low"/>
    <x v="270"/>
    <n v="232.73"/>
    <n v="334.19"/>
    <n v="0.13400000000000001"/>
    <n v="0"/>
    <n v="25"/>
    <s v="ok"/>
    <n v="11"/>
    <n v="11"/>
    <n v="7235.2134999999998"/>
    <n v="5818.25"/>
    <n v="1416.9634999999998"/>
    <n v="606.37750000000005"/>
    <n v="1193.865"/>
    <n v="1912.0450000000001"/>
    <s v="Medium"/>
    <n v="0.1958426658729559"/>
    <d v="2023-01-13T00:00:00"/>
    <x v="0"/>
  </r>
  <r>
    <s v="ORD-2025-484073"/>
    <d v="2025-02-19T00:00:00"/>
    <s v="Q1-2025"/>
    <x v="26"/>
    <d v="2025-03-09T00:00:00"/>
    <n v="18"/>
    <n v="0"/>
    <d v="2025-03-09T00:00:00"/>
    <x v="1"/>
    <x v="4"/>
    <s v="Delhi"/>
    <s v="Small Business"/>
    <x v="4"/>
    <x v="7"/>
    <x v="5"/>
    <s v="Low"/>
    <x v="271"/>
    <n v="325.87"/>
    <n v="538.79"/>
    <n v="0.17399999999999999"/>
    <n v="0"/>
    <n v="16"/>
    <s v="ok"/>
    <n v="18"/>
    <n v="18"/>
    <n v="7120.6486400000003"/>
    <n v="5213.92"/>
    <n v="1906.7286400000003"/>
    <n v="606.37750000000005"/>
    <n v="1193.865"/>
    <n v="1912.0450000000001"/>
    <s v="Low"/>
    <n v="0.26777457172778013"/>
    <d v="2023-01-02T00:00:00"/>
    <x v="0"/>
  </r>
  <r>
    <s v="ORD-2024-745822"/>
    <d v="2024-03-31T00:00:00"/>
    <s v="Q1-2024"/>
    <x v="0"/>
    <d v="2024-04-17T00:00:00"/>
    <n v="17"/>
    <n v="0"/>
    <d v="2024-04-17T00:00:00"/>
    <x v="3"/>
    <x v="6"/>
    <s v="Frankfurt"/>
    <s v="Education"/>
    <x v="4"/>
    <x v="10"/>
    <x v="5"/>
    <s v="Medium"/>
    <x v="272"/>
    <n v="1025.51"/>
    <n v="1436.54"/>
    <n v="0.13900000000000001"/>
    <n v="0"/>
    <n v="28"/>
    <s v="ok"/>
    <n v="17"/>
    <n v="17"/>
    <n v="34632.106319999999"/>
    <n v="28714.28"/>
    <n v="5917.8263200000001"/>
    <n v="606.37750000000005"/>
    <n v="1193.865"/>
    <n v="1912.0450000000001"/>
    <s v="Low"/>
    <n v="0.17087688127656453"/>
    <d v="2023-01-29T00:00:00"/>
    <x v="0"/>
  </r>
  <r>
    <s v="ORD-2023-369160"/>
    <d v="2023-07-24T00:00:00"/>
    <s v="Q3-2023"/>
    <x v="24"/>
    <d v="2023-08-13T00:00:00"/>
    <n v="20"/>
    <n v="0"/>
    <d v="2023-08-13T00:00:00"/>
    <x v="2"/>
    <x v="3"/>
    <s v="Montreal"/>
    <s v="Education"/>
    <x v="4"/>
    <x v="0"/>
    <x v="5"/>
    <s v="High"/>
    <x v="273"/>
    <n v="1082.3800000000001"/>
    <n v="1766.55"/>
    <n v="0.16400000000000001"/>
    <n v="0"/>
    <n v="20"/>
    <s v="ok"/>
    <n v="20"/>
    <n v="20"/>
    <n v="29536.716"/>
    <n v="21647.600000000002"/>
    <n v="7889.1159999999982"/>
    <n v="606.37750000000005"/>
    <n v="1193.865"/>
    <n v="1912.0450000000001"/>
    <s v="Medium"/>
    <n v="0.26709523157550752"/>
    <d v="2023-01-07T00:00:00"/>
    <x v="0"/>
  </r>
  <r>
    <s v="ORD-2024-834983"/>
    <d v="2024-03-16T00:00:00"/>
    <s v="Q1-2024"/>
    <x v="0"/>
    <d v="2024-04-13T00:00:00"/>
    <n v="28"/>
    <n v="0"/>
    <d v="2024-04-13T00:00:00"/>
    <x v="3"/>
    <x v="7"/>
    <s v="Paris"/>
    <s v="Small Business"/>
    <x v="1"/>
    <x v="11"/>
    <x v="1"/>
    <s v="Low"/>
    <x v="274"/>
    <n v="287.61"/>
    <n v="628.54"/>
    <n v="0.13500000000000001"/>
    <n v="0"/>
    <n v="21"/>
    <s v="ok"/>
    <n v="28"/>
    <n v="28"/>
    <n v="11417.429099999999"/>
    <n v="6039.81"/>
    <n v="5377.619099999999"/>
    <n v="606.37750000000005"/>
    <n v="1193.865"/>
    <n v="1912.0450000000001"/>
    <s v="Medium"/>
    <n v="0.47100087531964613"/>
    <d v="2023-01-20T00:00:00"/>
    <x v="0"/>
  </r>
  <r>
    <s v="ORD-2024-499009"/>
    <d v="2024-01-25T00:00:00"/>
    <s v="Q1-2024"/>
    <x v="9"/>
    <d v="2024-01-27T00:00:00"/>
    <n v="2"/>
    <n v="1"/>
    <d v="2024-01-27T00:00:00"/>
    <x v="2"/>
    <x v="5"/>
    <s v="São Paulo"/>
    <s v="Non-Profit"/>
    <x v="2"/>
    <x v="13"/>
    <x v="4"/>
    <s v="High"/>
    <x v="275"/>
    <n v="1410.97"/>
    <n v="1650.75"/>
    <n v="0.13500000000000001"/>
    <n v="0"/>
    <n v="6"/>
    <s v="ok"/>
    <n v="2"/>
    <n v="2"/>
    <n v="8567.3924999999999"/>
    <n v="8465.82"/>
    <n v="101.57250000000022"/>
    <n v="606.37750000000005"/>
    <n v="1193.865"/>
    <n v="1912.0450000000001"/>
    <s v="Medium"/>
    <n v="1.1855707556295596E-2"/>
    <d v="2023-01-22T00:00:00"/>
    <x v="0"/>
  </r>
  <r>
    <s v="ORD-2024-948800"/>
    <d v="2024-03-27T00:00:00"/>
    <s v="Q1-2024"/>
    <x v="0"/>
    <d v="2024-04-11T00:00:00"/>
    <n v="15"/>
    <n v="0"/>
    <d v="2024-04-11T00:00:00"/>
    <x v="2"/>
    <x v="10"/>
    <s v="San Francisco"/>
    <s v="Small Business"/>
    <x v="4"/>
    <x v="7"/>
    <x v="2"/>
    <s v="High"/>
    <x v="276"/>
    <n v="1338.35"/>
    <n v="2247.14"/>
    <n v="0.115"/>
    <n v="0"/>
    <n v="40"/>
    <s v="ok"/>
    <n v="15"/>
    <n v="15"/>
    <n v="79548.755999999994"/>
    <n v="53534"/>
    <n v="26014.755999999994"/>
    <n v="606.37750000000005"/>
    <n v="1193.865"/>
    <n v="1912.0450000000001"/>
    <s v="Medium"/>
    <n v="0.32702907384246205"/>
    <d v="2023-01-10T00:00:00"/>
    <x v="0"/>
  </r>
  <r>
    <s v="ORD-2025-678328"/>
    <d v="2025-06-24T00:00:00"/>
    <s v="Q2-2025"/>
    <x v="16"/>
    <d v="2025-07-14T00:00:00"/>
    <n v="20"/>
    <n v="0"/>
    <d v="2025-07-14T00:00:00"/>
    <x v="3"/>
    <x v="6"/>
    <s v="Berlin"/>
    <s v="Corporate"/>
    <x v="4"/>
    <x v="7"/>
    <x v="6"/>
    <s v="Medium"/>
    <x v="277"/>
    <n v="385.08"/>
    <n v="893.19"/>
    <n v="0.151"/>
    <n v="0"/>
    <n v="8"/>
    <s v="ok"/>
    <n v="20"/>
    <n v="20"/>
    <n v="6066.54648"/>
    <n v="3080.64"/>
    <n v="2985.9064800000001"/>
    <n v="606.37750000000005"/>
    <n v="1193.865"/>
    <n v="1912.0450000000001"/>
    <s v="High"/>
    <n v="0.49219213762621666"/>
    <d v="2023-01-02T00:00:00"/>
    <x v="0"/>
  </r>
  <r>
    <s v="ORD-2024-580808"/>
    <d v="2024-06-16T00:00:00"/>
    <s v="Q2-2024"/>
    <x v="17"/>
    <d v="2024-07-03T00:00:00"/>
    <n v="17"/>
    <n v="0"/>
    <d v="2024-07-03T00:00:00"/>
    <x v="0"/>
    <x v="11"/>
    <s v="Johannesburg"/>
    <s v="Enterprise"/>
    <x v="2"/>
    <x v="9"/>
    <x v="3"/>
    <s v="High"/>
    <x v="278"/>
    <n v="1173.83"/>
    <n v="2328.9"/>
    <n v="0.12"/>
    <n v="0"/>
    <n v="17"/>
    <s v="ok"/>
    <n v="17"/>
    <n v="17"/>
    <n v="34840.344000000005"/>
    <n v="19955.11"/>
    <n v="14885.234000000004"/>
    <n v="606.37750000000005"/>
    <n v="1193.865"/>
    <n v="1912.0450000000001"/>
    <s v="Medium"/>
    <n v="0.42724130393201637"/>
    <d v="2023-01-02T00:00:00"/>
    <x v="0"/>
  </r>
  <r>
    <s v="ORD-2023-211715"/>
    <d v="2023-10-30T00:00:00"/>
    <s v="Q4-2023"/>
    <x v="32"/>
    <d v="2023-11-14T00:00:00"/>
    <n v="15"/>
    <n v="0"/>
    <d v="2023-11-14T00:00:00"/>
    <x v="1"/>
    <x v="4"/>
    <s v="Bengaluru"/>
    <s v="Corporate"/>
    <x v="1"/>
    <x v="9"/>
    <x v="4"/>
    <s v="High"/>
    <x v="279"/>
    <n v="953.46"/>
    <n v="2066.75"/>
    <n v="0.13800000000000001"/>
    <n v="0"/>
    <n v="5"/>
    <s v="ok"/>
    <n v="15"/>
    <n v="15"/>
    <n v="8907.6924999999992"/>
    <n v="4767.3"/>
    <n v="4140.392499999999"/>
    <n v="606.37750000000005"/>
    <n v="1193.865"/>
    <n v="1912.0450000000001"/>
    <s v="High"/>
    <n v="0.46481089238318446"/>
    <d v="2023-01-07T00:00:00"/>
    <x v="0"/>
  </r>
  <r>
    <s v="ORD-2023-715175"/>
    <d v="2023-06-15T00:00:00"/>
    <s v="Q2-2023"/>
    <x v="23"/>
    <d v="2023-06-23T00:00:00"/>
    <n v="8"/>
    <n v="0"/>
    <d v="2023-06-23T00:00:00"/>
    <x v="2"/>
    <x v="10"/>
    <s v="San Francisco"/>
    <s v="Consumer"/>
    <x v="3"/>
    <x v="7"/>
    <x v="5"/>
    <s v="High"/>
    <x v="280"/>
    <n v="1097.0899999999999"/>
    <n v="2182.31"/>
    <n v="0.112"/>
    <n v="0"/>
    <n v="9"/>
    <s v="ok"/>
    <n v="8"/>
    <n v="8"/>
    <n v="17441.021520000002"/>
    <n v="9873.81"/>
    <n v="7567.2115200000026"/>
    <n v="606.37750000000005"/>
    <n v="1193.865"/>
    <n v="1912.0450000000001"/>
    <s v="High"/>
    <n v="0.43387432962699546"/>
    <d v="2023-03-03T00:00:00"/>
    <x v="1"/>
  </r>
  <r>
    <s v="ORD-2025-685236"/>
    <d v="2025-03-14T00:00:00"/>
    <s v="Q1-2025"/>
    <x v="3"/>
    <d v="2025-03-29T00:00:00"/>
    <n v="15"/>
    <n v="0"/>
    <d v="2025-03-29T00:00:00"/>
    <x v="1"/>
    <x v="2"/>
    <s v="Tokyo"/>
    <s v="Non-Profit"/>
    <x v="4"/>
    <x v="10"/>
    <x v="2"/>
    <s v="High"/>
    <x v="281"/>
    <n v="1106.96"/>
    <n v="2726.62"/>
    <n v="0.317"/>
    <n v="1"/>
    <n v="7"/>
    <s v="ok"/>
    <n v="15"/>
    <n v="15"/>
    <n v="13035.970220000001"/>
    <n v="7748.72"/>
    <n v="5287.2502200000008"/>
    <n v="606.37750000000005"/>
    <n v="1193.865"/>
    <n v="1912.0450000000001"/>
    <s v="High"/>
    <n v="0.40558931408789306"/>
    <d v="2023-01-20T00:00:00"/>
    <x v="0"/>
  </r>
  <r>
    <s v="ORD-2023-274037"/>
    <d v="2023-08-15T00:00:00"/>
    <s v="Q3-2023"/>
    <x v="25"/>
    <d v="2023-08-25T00:00:00"/>
    <n v="10"/>
    <n v="0"/>
    <d v="2023-08-25T00:00:00"/>
    <x v="0"/>
    <x v="0"/>
    <s v="Nairobi"/>
    <s v="Small Business"/>
    <x v="0"/>
    <x v="13"/>
    <x v="3"/>
    <s v="Low"/>
    <x v="282"/>
    <n v="91.85"/>
    <n v="111.29"/>
    <n v="0"/>
    <n v="0"/>
    <n v="6"/>
    <s v="ok"/>
    <n v="10"/>
    <n v="10"/>
    <n v="667.74"/>
    <n v="551.09999999999991"/>
    <n v="116.6400000000001"/>
    <n v="606.37750000000005"/>
    <n v="1193.865"/>
    <n v="1912.0450000000001"/>
    <s v="High"/>
    <n v="0.17467876718483258"/>
    <d v="2023-01-20T00:00:00"/>
    <x v="0"/>
  </r>
  <r>
    <s v="ORD-2025-983096"/>
    <d v="2025-05-17T00:00:00"/>
    <s v="Q2-2025"/>
    <x v="8"/>
    <d v="2025-05-28T00:00:00"/>
    <n v="11"/>
    <n v="0"/>
    <d v="2025-05-28T00:00:00"/>
    <x v="1"/>
    <x v="4"/>
    <s v="Bengaluru"/>
    <s v="Corporate"/>
    <x v="3"/>
    <x v="5"/>
    <x v="4"/>
    <s v="Medium"/>
    <x v="283"/>
    <n v="623.4"/>
    <n v="1100.0899999999999"/>
    <n v="0.114"/>
    <n v="0"/>
    <n v="12"/>
    <s v="ok"/>
    <n v="11"/>
    <n v="11"/>
    <n v="11696.156879999999"/>
    <n v="7480.7999999999993"/>
    <n v="4215.3568799999994"/>
    <n v="606.37750000000005"/>
    <n v="1193.865"/>
    <n v="1912.0450000000001"/>
    <s v="Low"/>
    <n v="0.36040529579490388"/>
    <d v="2023-03-03T00:00:00"/>
    <x v="1"/>
  </r>
  <r>
    <s v="ORD-2024-366010"/>
    <d v="2024-01-13T00:00:00"/>
    <s v="Q1-2024"/>
    <x v="9"/>
    <d v="2024-02-05T00:00:00"/>
    <n v="23"/>
    <n v="0"/>
    <d v="2024-02-05T00:00:00"/>
    <x v="3"/>
    <x v="6"/>
    <s v="Frankfurt"/>
    <s v="Education"/>
    <x v="4"/>
    <x v="5"/>
    <x v="4"/>
    <s v="Medium"/>
    <x v="284"/>
    <n v="1017.93"/>
    <n v="1529.14"/>
    <n v="0.155"/>
    <n v="0"/>
    <n v="12"/>
    <s v="ok"/>
    <n v="23"/>
    <n v="23"/>
    <n v="15505.479600000001"/>
    <n v="12215.16"/>
    <n v="3290.3196000000007"/>
    <n v="606.37750000000005"/>
    <n v="1193.865"/>
    <n v="1912.0450000000001"/>
    <s v="Medium"/>
    <n v="0.21220366508366503"/>
    <d v="2023-01-10T00:00:00"/>
    <x v="0"/>
  </r>
  <r>
    <s v="ORD-2023-610470"/>
    <d v="2023-06-24T00:00:00"/>
    <s v="Q2-2023"/>
    <x v="23"/>
    <d v="2023-07-21T00:00:00"/>
    <n v="27"/>
    <n v="0"/>
    <d v="2023-07-21T00:00:00"/>
    <x v="1"/>
    <x v="2"/>
    <s v="Nagoya"/>
    <s v="Consumer"/>
    <x v="2"/>
    <x v="1"/>
    <x v="3"/>
    <s v="Low"/>
    <x v="285"/>
    <n v="554.76"/>
    <n v="728.69"/>
    <n v="0.22"/>
    <n v="1"/>
    <n v="7"/>
    <s v="ok"/>
    <n v="27"/>
    <n v="27"/>
    <n v="3978.6474000000003"/>
    <n v="3883.3199999999997"/>
    <n v="95.32740000000058"/>
    <n v="606.37750000000005"/>
    <n v="1193.865"/>
    <n v="1912.0450000000001"/>
    <s v="Medium"/>
    <n v="2.395975074343119E-2"/>
    <d v="2023-01-29T00:00:00"/>
    <x v="0"/>
  </r>
  <r>
    <s v="ORD-2025-541048"/>
    <d v="2025-04-04T00:00:00"/>
    <s v="Q2-2025"/>
    <x v="19"/>
    <d v="2025-04-13T00:00:00"/>
    <n v="9"/>
    <n v="0"/>
    <d v="2025-04-13T00:00:00"/>
    <x v="3"/>
    <x v="6"/>
    <s v="Munich"/>
    <s v="Consumer"/>
    <x v="2"/>
    <x v="9"/>
    <x v="3"/>
    <s v="Low"/>
    <x v="286"/>
    <n v="7.02"/>
    <n v="6.28"/>
    <n v="0.13400000000000001"/>
    <n v="0"/>
    <n v="14"/>
    <s v="ok"/>
    <n v="9"/>
    <n v="9"/>
    <n v="76.138720000000006"/>
    <n v="98.28"/>
    <n v="-22.141279999999995"/>
    <n v="606.37750000000005"/>
    <n v="1193.865"/>
    <n v="1912.0450000000001"/>
    <s v="Medium"/>
    <n v="-0.29080184169106066"/>
    <d v="2023-01-22T00:00:00"/>
    <x v="0"/>
  </r>
  <r>
    <s v="ORD-2024-862371"/>
    <d v="2024-09-07T00:00:00"/>
    <s v="Q3-2024"/>
    <x v="29"/>
    <d v="2024-09-07T00:00:00"/>
    <n v="0"/>
    <n v="1"/>
    <d v="2024-09-07T00:00:00"/>
    <x v="1"/>
    <x v="4"/>
    <s v="Mumbai"/>
    <s v="Education"/>
    <x v="3"/>
    <x v="5"/>
    <x v="2"/>
    <s v="High"/>
    <x v="287"/>
    <n v="1066.6500000000001"/>
    <n v="2569.77"/>
    <n v="0.13400000000000001"/>
    <n v="0"/>
    <n v="9"/>
    <s v="sus"/>
    <n v="0"/>
    <n v="0"/>
    <n v="20028.787380000002"/>
    <n v="9599.85"/>
    <n v="10428.937380000001"/>
    <n v="606.37750000000005"/>
    <n v="1193.865"/>
    <n v="1912.0450000000001"/>
    <s v="Low"/>
    <n v="0.52069739331368348"/>
    <d v="2023-01-12T00:00:00"/>
    <x v="0"/>
  </r>
  <r>
    <s v="ORD-2024-277241"/>
    <d v="2024-01-28T00:00:00"/>
    <s v="Q1-2024"/>
    <x v="9"/>
    <d v="2024-01-30T00:00:00"/>
    <n v="2"/>
    <n v="1"/>
    <d v="2024-01-30T00:00:00"/>
    <x v="0"/>
    <x v="11"/>
    <s v="Cape Town"/>
    <s v="Consumer"/>
    <x v="4"/>
    <x v="9"/>
    <x v="6"/>
    <s v="Medium"/>
    <x v="288"/>
    <n v="798.45"/>
    <n v="1592.02"/>
    <n v="6.6000000000000003E-2"/>
    <n v="0"/>
    <n v="18"/>
    <s v="ok"/>
    <n v="2"/>
    <n v="2"/>
    <n v="26765.040239999998"/>
    <n v="14372.1"/>
    <n v="12392.940239999998"/>
    <n v="606.37750000000005"/>
    <n v="1193.865"/>
    <n v="1912.0450000000001"/>
    <s v="High"/>
    <n v="0.46302714768494585"/>
    <d v="2023-01-29T00:00:00"/>
    <x v="0"/>
  </r>
  <r>
    <s v="ORD-2023-369150"/>
    <d v="2023-07-18T00:00:00"/>
    <s v="Q3-2023"/>
    <x v="24"/>
    <d v="2023-08-10T00:00:00"/>
    <n v="23"/>
    <n v="0"/>
    <d v="2023-08-10T00:00:00"/>
    <x v="0"/>
    <x v="11"/>
    <s v="Johannesburg"/>
    <s v="Small Business"/>
    <x v="0"/>
    <x v="4"/>
    <x v="0"/>
    <s v="Medium"/>
    <x v="289"/>
    <n v="1271.56"/>
    <n v="995.47"/>
    <n v="0.192"/>
    <n v="0"/>
    <n v="13"/>
    <s v="ok"/>
    <n v="23"/>
    <n v="23"/>
    <n v="10456.416880000001"/>
    <n v="16530.28"/>
    <n v="-6073.8631199999982"/>
    <n v="606.37750000000005"/>
    <n v="1193.865"/>
    <n v="1912.0450000000001"/>
    <s v="Medium"/>
    <n v="-0.58087423155607754"/>
    <d v="2023-01-12T00:00:00"/>
    <x v="0"/>
  </r>
  <r>
    <s v="ORD-2025-922513"/>
    <d v="2025-08-28T00:00:00"/>
    <s v="Q3-2025"/>
    <x v="28"/>
    <d v="2025-08-26T00:00:00"/>
    <n v="14"/>
    <n v="0"/>
    <d v="2025-09-11T00:00:00"/>
    <x v="0"/>
    <x v="1"/>
    <s v="Port Harcourt"/>
    <s v="Small Business"/>
    <x v="0"/>
    <x v="8"/>
    <x v="6"/>
    <s v="Medium"/>
    <x v="290"/>
    <n v="521.05999999999995"/>
    <n v="1240.31"/>
    <n v="0.14599999999999999"/>
    <n v="0"/>
    <n v="18"/>
    <s v="sus"/>
    <n v="-2"/>
    <n v="2"/>
    <n v="19066.045319999997"/>
    <n v="9379.0799999999981"/>
    <n v="9686.9653199999993"/>
    <n v="606.37750000000005"/>
    <n v="1193.865"/>
    <n v="1912.0450000000001"/>
    <s v="Medium"/>
    <n v="0.50807417885650974"/>
    <d v="2023-01-29T00:00:00"/>
    <x v="0"/>
  </r>
  <r>
    <s v="ORD-2025-752845"/>
    <d v="2025-03-30T00:00:00"/>
    <s v="Q1-2025"/>
    <x v="3"/>
    <d v="2025-04-07T00:00:00"/>
    <n v="8"/>
    <n v="0"/>
    <d v="2025-04-07T00:00:00"/>
    <x v="2"/>
    <x v="5"/>
    <s v="São Paulo"/>
    <s v="Non-Profit"/>
    <x v="4"/>
    <x v="4"/>
    <x v="1"/>
    <s v="Low"/>
    <x v="291"/>
    <n v="71.62"/>
    <n v="118.37"/>
    <n v="0.156"/>
    <n v="0"/>
    <n v="11"/>
    <s v="ok"/>
    <n v="8"/>
    <n v="8"/>
    <n v="1098.9470800000001"/>
    <n v="787.82"/>
    <n v="311.12708000000009"/>
    <n v="606.37750000000005"/>
    <n v="1193.865"/>
    <n v="1912.0450000000001"/>
    <s v="Medium"/>
    <n v="0.28311379652603474"/>
    <d v="2023-03-03T00:00:00"/>
    <x v="1"/>
  </r>
  <r>
    <s v="ORD-2023-667815"/>
    <d v="2023-10-21T00:00:00"/>
    <s v="Q4-2023"/>
    <x v="32"/>
    <d v="2023-11-09T00:00:00"/>
    <n v="19"/>
    <n v="0"/>
    <d v="2023-11-09T00:00:00"/>
    <x v="3"/>
    <x v="8"/>
    <s v="London"/>
    <s v="Non-Profit"/>
    <x v="4"/>
    <x v="8"/>
    <x v="6"/>
    <s v="High"/>
    <x v="292"/>
    <n v="1142.48"/>
    <n v="2105.5300000000002"/>
    <n v="0.20699999999999999"/>
    <n v="1"/>
    <n v="14"/>
    <s v="ok"/>
    <n v="19"/>
    <n v="19"/>
    <n v="23375.594060000003"/>
    <n v="15994.720000000001"/>
    <n v="7380.8740600000019"/>
    <n v="606.37750000000005"/>
    <n v="1193.865"/>
    <n v="1912.0450000000001"/>
    <s v="Low"/>
    <n v="0.31575129346680658"/>
    <d v="2023-01-12T00:00:00"/>
    <x v="0"/>
  </r>
  <r>
    <s v="ORD-2023-375011"/>
    <d v="2023-08-23T00:00:00"/>
    <s v="Q3-2023"/>
    <x v="25"/>
    <d v="2023-09-22T00:00:00"/>
    <n v="30"/>
    <n v="0"/>
    <d v="2023-09-22T00:00:00"/>
    <x v="3"/>
    <x v="8"/>
    <s v="London"/>
    <s v="Consumer"/>
    <x v="3"/>
    <x v="7"/>
    <x v="6"/>
    <s v="Low"/>
    <x v="293"/>
    <n v="209.81"/>
    <n v="523"/>
    <n v="5.8999999999999997E-2"/>
    <n v="0"/>
    <n v="15"/>
    <s v="ok"/>
    <n v="30"/>
    <n v="30"/>
    <n v="7382.1450000000004"/>
    <n v="3147.15"/>
    <n v="4234.9950000000008"/>
    <n v="606.37750000000005"/>
    <n v="1193.865"/>
    <n v="1912.0450000000001"/>
    <s v="High"/>
    <n v="0.57368082041195356"/>
    <d v="2023-01-22T00:00:00"/>
    <x v="0"/>
  </r>
  <r>
    <s v="ORD-2025-487025"/>
    <d v="2025-04-11T00:00:00"/>
    <s v="Q2-2025"/>
    <x v="19"/>
    <d v="2025-05-04T00:00:00"/>
    <n v="23"/>
    <n v="0"/>
    <d v="2025-05-04T00:00:00"/>
    <x v="1"/>
    <x v="2"/>
    <s v="Osaka"/>
    <s v="Small Business"/>
    <x v="1"/>
    <x v="12"/>
    <x v="0"/>
    <s v="Medium"/>
    <x v="294"/>
    <n v="786.2"/>
    <n v="1075.3"/>
    <n v="0.08"/>
    <n v="0"/>
    <n v="9"/>
    <s v="ok"/>
    <n v="23"/>
    <n v="23"/>
    <n v="8903.4839999999986"/>
    <n v="7075.8"/>
    <n v="1827.6839999999984"/>
    <n v="606.37750000000005"/>
    <n v="1193.865"/>
    <n v="1912.0450000000001"/>
    <s v="Low"/>
    <n v="0.20527739478163815"/>
    <d v="2023-01-12T00:00:00"/>
    <x v="0"/>
  </r>
  <r>
    <s v="ORD-2025-398335"/>
    <d v="2025-06-01T00:00:00"/>
    <s v="Q2-2025"/>
    <x v="16"/>
    <d v="2025-06-27T00:00:00"/>
    <n v="26"/>
    <n v="0"/>
    <d v="2025-06-27T00:00:00"/>
    <x v="3"/>
    <x v="6"/>
    <s v="Munich"/>
    <s v="Consumer"/>
    <x v="3"/>
    <x v="6"/>
    <x v="4"/>
    <s v="High"/>
    <x v="295"/>
    <n v="1362.31"/>
    <n v="3294.57"/>
    <n v="0.113"/>
    <n v="0"/>
    <n v="7"/>
    <s v="ok"/>
    <n v="26"/>
    <n v="26"/>
    <n v="20455.985130000001"/>
    <n v="9536.17"/>
    <n v="10919.815130000001"/>
    <n v="606.37750000000005"/>
    <n v="1193.865"/>
    <n v="1912.0450000000001"/>
    <s v="Medium"/>
    <n v="0.5338200561157721"/>
    <d v="2023-01-10T00:00:00"/>
    <x v="0"/>
  </r>
  <r>
    <s v="ORD-2024-792137"/>
    <d v="2024-03-02T00:00:00"/>
    <s v="Q1-2024"/>
    <x v="0"/>
    <d v="2024-03-16T00:00:00"/>
    <n v="14"/>
    <n v="0"/>
    <d v="2024-03-16T00:00:00"/>
    <x v="2"/>
    <x v="3"/>
    <s v="Vancouver"/>
    <s v="Non-Profit"/>
    <x v="4"/>
    <x v="7"/>
    <x v="1"/>
    <s v="Low"/>
    <x v="296"/>
    <n v="248.24"/>
    <n v="464.05"/>
    <n v="0.16900000000000001"/>
    <n v="0"/>
    <n v="11"/>
    <s v="ok"/>
    <n v="14"/>
    <n v="14"/>
    <n v="4241.88105"/>
    <n v="2730.6400000000003"/>
    <n v="1511.2410499999996"/>
    <n v="606.37750000000005"/>
    <n v="1193.865"/>
    <n v="1912.0450000000001"/>
    <s v="High"/>
    <n v="0.3562667203975462"/>
    <d v="2023-01-29T00:00:00"/>
    <x v="0"/>
  </r>
  <r>
    <s v="ORD-2023-602648"/>
    <d v="2023-06-20T00:00:00"/>
    <s v="Q2-2023"/>
    <x v="23"/>
    <d v="2023-07-08T00:00:00"/>
    <n v="18"/>
    <n v="0"/>
    <d v="2023-07-08T00:00:00"/>
    <x v="2"/>
    <x v="10"/>
    <s v="Austin"/>
    <s v="Non-Profit"/>
    <x v="4"/>
    <x v="9"/>
    <x v="5"/>
    <s v="Low"/>
    <x v="297"/>
    <n v="337"/>
    <n v="511.03"/>
    <n v="0.108"/>
    <n v="0"/>
    <n v="7"/>
    <s v="ok"/>
    <n v="18"/>
    <n v="18"/>
    <n v="3190.8713200000002"/>
    <n v="2359"/>
    <n v="831.8713200000002"/>
    <n v="606.37750000000005"/>
    <n v="1193.865"/>
    <n v="1912.0450000000001"/>
    <s v="Low"/>
    <n v="0.26070349963219458"/>
    <d v="2023-01-19T00:00:00"/>
    <x v="0"/>
  </r>
  <r>
    <s v="ORD-2024-207096"/>
    <d v="2024-03-26T00:00:00"/>
    <s v="Q1-2024"/>
    <x v="0"/>
    <d v="2024-04-05T00:00:00"/>
    <n v="10"/>
    <n v="0"/>
    <d v="2024-04-05T00:00:00"/>
    <x v="2"/>
    <x v="10"/>
    <s v="Austin"/>
    <s v="Consumer"/>
    <x v="4"/>
    <x v="1"/>
    <x v="5"/>
    <s v="Low"/>
    <x v="298"/>
    <n v="5.66"/>
    <n v="4.22"/>
    <n v="0.11899999999999999"/>
    <n v="0"/>
    <n v="18"/>
    <s v="ok"/>
    <n v="10"/>
    <n v="10"/>
    <n v="66.920760000000001"/>
    <n v="101.88"/>
    <n v="-34.959239999999994"/>
    <n v="606.37750000000005"/>
    <n v="1193.865"/>
    <n v="1912.0450000000001"/>
    <s v="Low"/>
    <n v="-0.52239753403876454"/>
    <d v="2023-03-03T00:00:00"/>
    <x v="1"/>
  </r>
  <r>
    <s v="ORD-2025-939953"/>
    <d v="2025-01-22T00:00:00"/>
    <s v="Q1-2025"/>
    <x v="10"/>
    <d v="2025-01-22T00:00:00"/>
    <n v="0"/>
    <n v="1"/>
    <d v="2025-01-22T00:00:00"/>
    <x v="3"/>
    <x v="7"/>
    <s v="Lyon"/>
    <s v="Small Business"/>
    <x v="1"/>
    <x v="5"/>
    <x v="6"/>
    <s v="Low"/>
    <x v="299"/>
    <n v="591.72"/>
    <n v="577.24"/>
    <n v="0"/>
    <n v="0"/>
    <n v="22"/>
    <s v="sus"/>
    <n v="0"/>
    <n v="0"/>
    <n v="12699.28"/>
    <n v="13017.84"/>
    <n v="-318.55999999999949"/>
    <n v="606.37750000000005"/>
    <n v="1193.865"/>
    <n v="1912.0450000000001"/>
    <s v="Low"/>
    <n v="-2.5084886702238195E-2"/>
    <d v="2023-03-03T00:00:00"/>
    <x v="1"/>
  </r>
  <r>
    <s v="ORD-2025-191328"/>
    <d v="2025-05-10T00:00:00"/>
    <s v="Q2-2025"/>
    <x v="8"/>
    <d v="2025-05-27T00:00:00"/>
    <n v="17"/>
    <n v="0"/>
    <d v="2025-05-27T00:00:00"/>
    <x v="2"/>
    <x v="3"/>
    <s v="Vancouver"/>
    <s v="Education"/>
    <x v="4"/>
    <x v="0"/>
    <x v="0"/>
    <s v="Medium"/>
    <x v="300"/>
    <n v="862.89"/>
    <n v="1426.03"/>
    <n v="5.6000000000000001E-2"/>
    <n v="0"/>
    <n v="19"/>
    <s v="ok"/>
    <n v="17"/>
    <n v="17"/>
    <n v="25577.274079999999"/>
    <n v="16394.91"/>
    <n v="9182.3640799999994"/>
    <n v="606.37750000000005"/>
    <n v="1193.865"/>
    <n v="1912.0450000000001"/>
    <s v="Low"/>
    <n v="0.35900479665188778"/>
    <d v="2023-01-13T00:00:00"/>
    <x v="0"/>
  </r>
  <r>
    <s v="ORD-2023-166668"/>
    <d v="2023-10-05T00:00:00"/>
    <s v="Q4-2023"/>
    <x v="32"/>
    <d v="2023-10-31T00:00:00"/>
    <n v="26"/>
    <n v="0"/>
    <d v="2023-10-31T00:00:00"/>
    <x v="1"/>
    <x v="9"/>
    <s v="Shanghai"/>
    <s v="Consumer"/>
    <x v="5"/>
    <x v="1"/>
    <x v="1"/>
    <s v="Medium"/>
    <x v="301"/>
    <n v="649.91"/>
    <n v="1360.12"/>
    <n v="0.19400000000000001"/>
    <n v="0"/>
    <n v="9"/>
    <s v="ok"/>
    <n v="26"/>
    <n v="26"/>
    <n v="9866.3104799999983"/>
    <n v="5849.19"/>
    <n v="4017.1204799999987"/>
    <n v="606.37750000000005"/>
    <n v="1193.865"/>
    <n v="1912.0450000000001"/>
    <s v="Medium"/>
    <n v="0.40715528749506769"/>
    <d v="2023-01-07T00:00:00"/>
    <x v="0"/>
  </r>
  <r>
    <s v="ORD-2023-594700"/>
    <d v="2023-07-18T00:00:00"/>
    <s v="Q3-2023"/>
    <x v="24"/>
    <d v="2023-07-22T00:00:00"/>
    <n v="4"/>
    <n v="1"/>
    <d v="2023-07-22T00:00:00"/>
    <x v="2"/>
    <x v="5"/>
    <s v="São Paulo"/>
    <s v="Consumer"/>
    <x v="4"/>
    <x v="9"/>
    <x v="2"/>
    <s v="High"/>
    <x v="302"/>
    <n v="1269.55"/>
    <n v="2071.1"/>
    <n v="0.129"/>
    <n v="0"/>
    <n v="22"/>
    <s v="ok"/>
    <n v="4"/>
    <n v="4"/>
    <n v="39686.4182"/>
    <n v="27930.1"/>
    <n v="11756.318200000002"/>
    <n v="606.37750000000005"/>
    <n v="1193.865"/>
    <n v="1912.0450000000001"/>
    <s v="Medium"/>
    <n v="0.29623026549672354"/>
    <d v="2023-01-07T00:00:00"/>
    <x v="0"/>
  </r>
  <r>
    <s v="ORD-2025-278048"/>
    <d v="2025-06-22T00:00:00"/>
    <s v="Q2-2025"/>
    <x v="16"/>
    <d v="2025-07-08T00:00:00"/>
    <n v="16"/>
    <n v="0"/>
    <d v="2025-07-08T00:00:00"/>
    <x v="3"/>
    <x v="8"/>
    <s v="London"/>
    <s v="Education"/>
    <x v="4"/>
    <x v="8"/>
    <x v="3"/>
    <s v="Medium"/>
    <x v="303"/>
    <n v="892.73"/>
    <n v="979.84"/>
    <n v="0.17399999999999999"/>
    <n v="0"/>
    <n v="10"/>
    <s v="ok"/>
    <n v="16"/>
    <n v="16"/>
    <n v="8093.4784"/>
    <n v="8927.2999999999993"/>
    <n v="-833.82159999999931"/>
    <n v="606.37750000000005"/>
    <n v="1193.865"/>
    <n v="1912.0450000000001"/>
    <s v="High"/>
    <n v="-0.10302388649112838"/>
    <d v="2023-01-19T00:00:00"/>
    <x v="0"/>
  </r>
  <r>
    <s v="ORD-2024-878493"/>
    <d v="2024-06-19T00:00:00"/>
    <s v="Q2-2024"/>
    <x v="17"/>
    <d v="2024-06-20T00:00:00"/>
    <n v="1"/>
    <n v="1"/>
    <d v="2024-06-20T00:00:00"/>
    <x v="0"/>
    <x v="0"/>
    <s v="Kisumu"/>
    <s v="Small Business"/>
    <x v="4"/>
    <x v="1"/>
    <x v="4"/>
    <s v="Low"/>
    <x v="304"/>
    <n v="231.63"/>
    <n v="537.39"/>
    <n v="0.08"/>
    <n v="0"/>
    <n v="12"/>
    <s v="ok"/>
    <n v="1"/>
    <n v="1"/>
    <n v="5932.7856000000002"/>
    <n v="2779.56"/>
    <n v="3153.2256000000002"/>
    <n v="606.37750000000005"/>
    <n v="1193.865"/>
    <n v="1912.0450000000001"/>
    <s v="Medium"/>
    <n v="0.53149158129024587"/>
    <d v="2023-01-19T00:00:00"/>
    <x v="0"/>
  </r>
  <r>
    <s v="ORD-2025-138578"/>
    <d v="2025-04-09T00:00:00"/>
    <s v="Q2-2025"/>
    <x v="19"/>
    <d v="2025-04-12T00:00:00"/>
    <n v="3"/>
    <n v="1"/>
    <d v="2025-04-12T00:00:00"/>
    <x v="3"/>
    <x v="7"/>
    <s v="Lyon"/>
    <s v="Small Business"/>
    <x v="3"/>
    <x v="10"/>
    <x v="5"/>
    <s v="Low"/>
    <x v="305"/>
    <n v="86.68"/>
    <n v="213.32"/>
    <n v="3.7999999999999999E-2"/>
    <n v="0"/>
    <n v="8"/>
    <s v="ok"/>
    <n v="3"/>
    <n v="3"/>
    <n v="1641.7107199999998"/>
    <n v="693.44"/>
    <n v="948.27071999999976"/>
    <n v="606.37750000000005"/>
    <n v="1193.865"/>
    <n v="1912.0450000000001"/>
    <s v="Low"/>
    <n v="0.57761133459614611"/>
    <d v="2023-01-22T00:00:00"/>
    <x v="0"/>
  </r>
  <r>
    <s v="ORD-2025-944081"/>
    <d v="2025-03-25T00:00:00"/>
    <s v="Q1-2025"/>
    <x v="3"/>
    <d v="2025-03-26T00:00:00"/>
    <n v="1"/>
    <n v="1"/>
    <d v="2025-03-26T00:00:00"/>
    <x v="0"/>
    <x v="1"/>
    <s v="Lagos"/>
    <s v="Education"/>
    <x v="3"/>
    <x v="3"/>
    <x v="6"/>
    <s v="High"/>
    <x v="306"/>
    <n v="1450.43"/>
    <n v="1994.67"/>
    <n v="0.1"/>
    <n v="0"/>
    <n v="24"/>
    <s v="ok"/>
    <n v="1"/>
    <n v="1"/>
    <n v="43084.872000000003"/>
    <n v="34810.32"/>
    <n v="8274.5520000000033"/>
    <n v="606.37750000000005"/>
    <n v="1193.865"/>
    <n v="1912.0450000000001"/>
    <s v="Low"/>
    <n v="0.19205237513529116"/>
    <d v="2023-01-02T00:00:00"/>
    <x v="0"/>
  </r>
  <r>
    <s v="ORD-2025-364852"/>
    <d v="2025-05-18T00:00:00"/>
    <s v="Q2-2025"/>
    <x v="8"/>
    <d v="2025-06-09T00:00:00"/>
    <n v="22"/>
    <n v="0"/>
    <d v="2025-06-09T00:00:00"/>
    <x v="2"/>
    <x v="10"/>
    <s v="New York"/>
    <s v="Consumer"/>
    <x v="0"/>
    <x v="10"/>
    <x v="2"/>
    <s v="Low"/>
    <x v="307"/>
    <n v="382.96"/>
    <n v="552.84"/>
    <n v="0.17599999999999999"/>
    <n v="0"/>
    <n v="8"/>
    <s v="ok"/>
    <n v="22"/>
    <n v="22"/>
    <n v="3644.3212800000006"/>
    <n v="3063.68"/>
    <n v="580.64128000000073"/>
    <n v="606.37750000000005"/>
    <n v="1193.865"/>
    <n v="1912.0450000000001"/>
    <s v="High"/>
    <n v="0.15932768693763483"/>
    <d v="2023-01-12T00:00:00"/>
    <x v="0"/>
  </r>
  <r>
    <s v="ORD-2025-415018"/>
    <d v="2025-01-22T00:00:00"/>
    <s v="Q1-2025"/>
    <x v="10"/>
    <d v="2025-02-04T00:00:00"/>
    <n v="13"/>
    <n v="0"/>
    <d v="2025-02-04T00:00:00"/>
    <x v="1"/>
    <x v="2"/>
    <s v="Tokyo"/>
    <s v="Small Business"/>
    <x v="3"/>
    <x v="4"/>
    <x v="1"/>
    <s v="Low"/>
    <x v="308"/>
    <n v="122.29"/>
    <n v="224.95"/>
    <n v="0.153"/>
    <n v="0"/>
    <n v="28"/>
    <s v="ok"/>
    <n v="13"/>
    <n v="13"/>
    <n v="5334.9141999999993"/>
    <n v="3424.1200000000003"/>
    <n v="1910.7941999999989"/>
    <n v="606.37750000000005"/>
    <n v="1193.865"/>
    <n v="1912.0450000000001"/>
    <s v="Low"/>
    <n v="0.3581677471026618"/>
    <d v="2023-01-29T00:00:00"/>
    <x v="0"/>
  </r>
  <r>
    <s v="ORD-2023-884192"/>
    <d v="2023-01-10T00:00:00"/>
    <s v="Q1-2023"/>
    <x v="5"/>
    <d v="2023-01-29T00:00:00"/>
    <n v="19"/>
    <n v="0"/>
    <d v="2023-01-29T00:00:00"/>
    <x v="3"/>
    <x v="7"/>
    <s v="Lyon"/>
    <s v="Non-Profit"/>
    <x v="4"/>
    <x v="14"/>
    <x v="4"/>
    <s v="Low"/>
    <x v="309"/>
    <n v="401.66"/>
    <n v="772.09"/>
    <n v="8.8999999999999996E-2"/>
    <n v="0"/>
    <n v="14"/>
    <s v="ok"/>
    <n v="19"/>
    <n v="19"/>
    <n v="9847.2358600000007"/>
    <n v="5623.2400000000007"/>
    <n v="4223.99586"/>
    <n v="606.37750000000005"/>
    <n v="1193.865"/>
    <n v="1912.0450000000001"/>
    <s v="Low"/>
    <n v="0.42895244107619046"/>
    <d v="2023-01-12T00:00:00"/>
    <x v="0"/>
  </r>
  <r>
    <s v="ORD-2024-165942"/>
    <d v="2024-12-29T00:00:00"/>
    <s v="Q4-2024"/>
    <x v="6"/>
    <d v="2025-01-12T00:00:00"/>
    <n v="14"/>
    <n v="0"/>
    <d v="2025-01-12T00:00:00"/>
    <x v="3"/>
    <x v="8"/>
    <s v="Manchester"/>
    <s v="Corporate"/>
    <x v="4"/>
    <x v="5"/>
    <x v="5"/>
    <s v="High"/>
    <x v="310"/>
    <n v="1399.72"/>
    <n v="3149.21"/>
    <n v="0.185"/>
    <n v="0"/>
    <n v="12"/>
    <s v="ok"/>
    <n v="14"/>
    <n v="14"/>
    <n v="30799.273800000003"/>
    <n v="16796.64"/>
    <n v="14002.633800000003"/>
    <n v="606.37750000000005"/>
    <n v="1193.865"/>
    <n v="1912.0450000000001"/>
    <s v="Medium"/>
    <n v="0.45464168703873797"/>
    <d v="2023-03-03T00:00:00"/>
    <x v="1"/>
  </r>
  <r>
    <s v="ORD-2024-403664"/>
    <d v="2024-05-23T00:00:00"/>
    <s v="Q2-2024"/>
    <x v="7"/>
    <d v="2024-06-06T00:00:00"/>
    <n v="14"/>
    <n v="0"/>
    <d v="2024-06-06T00:00:00"/>
    <x v="2"/>
    <x v="5"/>
    <s v="Rio de Janeiro"/>
    <s v="Non-Profit"/>
    <x v="1"/>
    <x v="2"/>
    <x v="2"/>
    <s v="Low"/>
    <x v="311"/>
    <n v="51.13"/>
    <n v="57.53"/>
    <n v="4.4999999999999998E-2"/>
    <n v="0"/>
    <n v="16"/>
    <s v="ok"/>
    <n v="14"/>
    <n v="14"/>
    <n v="879.05840000000001"/>
    <n v="818.08"/>
    <n v="60.978399999999965"/>
    <n v="606.37750000000005"/>
    <n v="1193.865"/>
    <n v="1912.0450000000001"/>
    <s v="High"/>
    <n v="6.9367859973808302E-2"/>
    <d v="2023-01-15T00:00:00"/>
    <x v="0"/>
  </r>
  <r>
    <s v="ORD-2023-890605"/>
    <d v="2023-06-24T00:00:00"/>
    <s v="Q2-2023"/>
    <x v="23"/>
    <d v="2023-06-22T00:00:00"/>
    <n v="14"/>
    <n v="0"/>
    <d v="2023-07-08T00:00:00"/>
    <x v="2"/>
    <x v="3"/>
    <s v="Toronto"/>
    <s v="Non-Profit"/>
    <x v="0"/>
    <x v="12"/>
    <x v="6"/>
    <s v="Medium"/>
    <x v="312"/>
    <n v="471.42"/>
    <n v="824.81"/>
    <n v="8.7999999999999995E-2"/>
    <n v="0"/>
    <n v="15"/>
    <s v="sus"/>
    <n v="-2"/>
    <n v="2"/>
    <n v="11283.400799999999"/>
    <n v="7071.3"/>
    <n v="4212.1007999999993"/>
    <n v="606.37750000000005"/>
    <n v="1193.865"/>
    <n v="1912.0450000000001"/>
    <s v="Low"/>
    <n v="0.37330064531608231"/>
    <d v="2023-01-15T00:00:00"/>
    <x v="0"/>
  </r>
  <r>
    <s v="ORD-2024-925626"/>
    <d v="2024-11-04T00:00:00"/>
    <s v="Q4-2024"/>
    <x v="18"/>
    <d v="2024-11-05T00:00:00"/>
    <n v="1"/>
    <n v="1"/>
    <d v="2024-11-05T00:00:00"/>
    <x v="3"/>
    <x v="8"/>
    <s v="London"/>
    <s v="Corporate"/>
    <x v="0"/>
    <x v="12"/>
    <x v="1"/>
    <s v="Medium"/>
    <x v="313"/>
    <n v="840.68"/>
    <n v="1493.53"/>
    <n v="0"/>
    <n v="0"/>
    <n v="27"/>
    <s v="ok"/>
    <n v="1"/>
    <n v="1"/>
    <n v="40325.31"/>
    <n v="22698.359999999997"/>
    <n v="17626.95"/>
    <n v="606.37750000000005"/>
    <n v="1193.865"/>
    <n v="1912.0450000000001"/>
    <s v="Medium"/>
    <n v="0.43711877230454027"/>
    <d v="2023-01-10T00:00:00"/>
    <x v="0"/>
  </r>
  <r>
    <s v="ORD-2024-427031"/>
    <d v="2024-06-08T00:00:00"/>
    <s v="Q2-2024"/>
    <x v="17"/>
    <d v="2024-06-24T00:00:00"/>
    <n v="16"/>
    <n v="0"/>
    <d v="2024-06-24T00:00:00"/>
    <x v="0"/>
    <x v="11"/>
    <s v="Durban"/>
    <s v="Education"/>
    <x v="3"/>
    <x v="10"/>
    <x v="5"/>
    <s v="Low"/>
    <x v="314"/>
    <n v="597.85"/>
    <n v="741.92"/>
    <n v="3.1E-2"/>
    <n v="0"/>
    <n v="7"/>
    <s v="ok"/>
    <n v="16"/>
    <n v="16"/>
    <n v="5032.4433599999993"/>
    <n v="4184.95"/>
    <n v="847.49335999999948"/>
    <n v="606.37750000000005"/>
    <n v="1193.865"/>
    <n v="1912.0450000000001"/>
    <s v="Medium"/>
    <n v="0.16840594108544515"/>
    <d v="2023-01-10T00:00:00"/>
    <x v="0"/>
  </r>
  <r>
    <s v="ORD-2025-231184"/>
    <d v="2025-06-01T00:00:00"/>
    <s v="Q2-2025"/>
    <x v="16"/>
    <d v="2025-06-06T00:00:00"/>
    <n v="5"/>
    <n v="1"/>
    <d v="2025-06-06T00:00:00"/>
    <x v="3"/>
    <x v="7"/>
    <s v="Paris"/>
    <s v="Consumer"/>
    <x v="3"/>
    <x v="3"/>
    <x v="0"/>
    <s v="Low"/>
    <x v="315"/>
    <n v="379.45"/>
    <n v="742.23"/>
    <n v="0.09"/>
    <n v="0"/>
    <n v="13"/>
    <s v="ok"/>
    <n v="5"/>
    <n v="5"/>
    <n v="8780.5809000000008"/>
    <n v="4932.8499999999995"/>
    <n v="3847.7309000000014"/>
    <n v="606.37750000000005"/>
    <n v="1193.865"/>
    <n v="1912.0450000000001"/>
    <s v="Medium"/>
    <n v="0.43820915083192286"/>
    <d v="2023-01-29T00:00:00"/>
    <x v="0"/>
  </r>
  <r>
    <s v="ORD-2023-363031"/>
    <d v="2023-05-06T00:00:00"/>
    <s v="Q2-2023"/>
    <x v="15"/>
    <d v="2023-05-14T00:00:00"/>
    <n v="8"/>
    <n v="0"/>
    <d v="2023-05-14T00:00:00"/>
    <x v="1"/>
    <x v="2"/>
    <s v="Osaka"/>
    <s v="Enterprise"/>
    <x v="2"/>
    <x v="5"/>
    <x v="3"/>
    <s v="Low"/>
    <x v="316"/>
    <n v="291.18"/>
    <n v="479.54"/>
    <n v="0.14099999999999999"/>
    <n v="0"/>
    <n v="22"/>
    <s v="ok"/>
    <n v="8"/>
    <n v="8"/>
    <n v="9062.34692"/>
    <n v="6405.96"/>
    <n v="2656.3869199999999"/>
    <n v="606.37750000000005"/>
    <n v="1193.865"/>
    <n v="1912.0450000000001"/>
    <s v="Medium"/>
    <n v="0.29312350801066001"/>
    <d v="2023-01-29T00:00:00"/>
    <x v="0"/>
  </r>
  <r>
    <s v="ORD-2023-619570"/>
    <d v="2023-11-14T00:00:00"/>
    <s v="Q4-2023"/>
    <x v="30"/>
    <d v="2023-11-30T00:00:00"/>
    <n v="16"/>
    <n v="0"/>
    <d v="2023-11-30T00:00:00"/>
    <x v="2"/>
    <x v="5"/>
    <s v="São Paulo"/>
    <s v="Enterprise"/>
    <x v="4"/>
    <x v="11"/>
    <x v="2"/>
    <s v="Medium"/>
    <x v="317"/>
    <n v="1017.92"/>
    <n v="1175.25"/>
    <n v="7.4999999999999997E-2"/>
    <n v="0"/>
    <n v="15"/>
    <s v="ok"/>
    <n v="16"/>
    <n v="16"/>
    <n v="16306.59375"/>
    <n v="15268.8"/>
    <n v="1037.7937500000007"/>
    <n v="606.37750000000005"/>
    <n v="1193.865"/>
    <n v="1912.0450000000001"/>
    <s v="Low"/>
    <n v="6.3642583234159542E-2"/>
    <d v="2023-01-29T00:00:00"/>
    <x v="0"/>
  </r>
  <r>
    <s v="ORD-2025-861401"/>
    <d v="2025-04-01T00:00:00"/>
    <s v="Q2-2025"/>
    <x v="19"/>
    <d v="2025-04-27T00:00:00"/>
    <n v="26"/>
    <n v="0"/>
    <d v="2025-04-27T00:00:00"/>
    <x v="2"/>
    <x v="10"/>
    <s v="San Francisco"/>
    <s v="Corporate"/>
    <x v="4"/>
    <x v="2"/>
    <x v="5"/>
    <s v="Low"/>
    <x v="318"/>
    <n v="156.55000000000001"/>
    <n v="227.45"/>
    <n v="1.4E-2"/>
    <n v="0"/>
    <n v="13"/>
    <s v="ok"/>
    <n v="26"/>
    <n v="26"/>
    <n v="2915.4540999999999"/>
    <n v="2035.15"/>
    <n v="880.30409999999983"/>
    <n v="606.37750000000005"/>
    <n v="1193.865"/>
    <n v="1912.0450000000001"/>
    <s v="Medium"/>
    <n v="0.3019440779396938"/>
    <d v="2023-01-12T00:00:00"/>
    <x v="0"/>
  </r>
  <r>
    <s v="ORD-2023-835010"/>
    <d v="2023-03-23T00:00:00"/>
    <s v="Q1-2023"/>
    <x v="22"/>
    <d v="2023-04-15T00:00:00"/>
    <n v="23"/>
    <n v="0"/>
    <d v="2023-04-15T00:00:00"/>
    <x v="0"/>
    <x v="0"/>
    <s v="Mombasa"/>
    <s v="Small Business"/>
    <x v="0"/>
    <x v="0"/>
    <x v="6"/>
    <s v="Medium"/>
    <x v="319"/>
    <n v="875.36"/>
    <n v="1178.6199999999999"/>
    <n v="0.151"/>
    <n v="0"/>
    <n v="53"/>
    <s v="ok"/>
    <n v="23"/>
    <n v="23"/>
    <n v="53034.364139999991"/>
    <n v="46394.080000000002"/>
    <n v="6640.2841399999888"/>
    <n v="606.37750000000005"/>
    <n v="1193.865"/>
    <n v="1912.0450000000001"/>
    <s v="Low"/>
    <n v="0.12520719815685888"/>
    <d v="2023-01-19T00:00:00"/>
    <x v="0"/>
  </r>
  <r>
    <s v="ORD-2024-819979"/>
    <d v="2024-05-28T00:00:00"/>
    <s v="Q2-2024"/>
    <x v="7"/>
    <d v="2024-06-18T00:00:00"/>
    <n v="21"/>
    <n v="0"/>
    <d v="2024-06-18T00:00:00"/>
    <x v="3"/>
    <x v="6"/>
    <s v="Frankfurt"/>
    <s v="Small Business"/>
    <x v="1"/>
    <x v="6"/>
    <x v="3"/>
    <s v="High"/>
    <x v="320"/>
    <n v="986.85"/>
    <n v="2422.1"/>
    <n v="7.5999999999999998E-2"/>
    <n v="0"/>
    <n v="10"/>
    <s v="ok"/>
    <n v="21"/>
    <n v="21"/>
    <n v="22380.204000000002"/>
    <n v="9868.5"/>
    <n v="12511.704000000002"/>
    <n v="606.37750000000005"/>
    <n v="1193.865"/>
    <n v="1912.0450000000001"/>
    <s v="Medium"/>
    <n v="0.55905227673527913"/>
    <d v="2023-01-13T00:00:00"/>
    <x v="0"/>
  </r>
  <r>
    <s v="ORD-2024-719055"/>
    <d v="2024-01-02T00:00:00"/>
    <s v="Q1-2024"/>
    <x v="9"/>
    <d v="2024-01-01T00:00:00"/>
    <n v="14"/>
    <n v="0"/>
    <d v="2024-01-16T00:00:00"/>
    <x v="2"/>
    <x v="10"/>
    <s v="Chicago"/>
    <s v="Education"/>
    <x v="2"/>
    <x v="5"/>
    <x v="2"/>
    <s v="Low"/>
    <x v="321"/>
    <n v="404.77"/>
    <n v="433.88"/>
    <n v="0.215"/>
    <n v="1"/>
    <n v="22"/>
    <s v="sus"/>
    <n v="-1"/>
    <n v="1"/>
    <n v="7493.1076000000012"/>
    <n v="8904.9399999999987"/>
    <n v="-1411.8323999999975"/>
    <n v="606.37750000000005"/>
    <n v="1193.865"/>
    <n v="1912.0450000000001"/>
    <s v="High"/>
    <n v="-0.18841747314558746"/>
    <d v="2023-01-12T00:00:00"/>
    <x v="0"/>
  </r>
  <r>
    <s v="ORD-2023-888245"/>
    <d v="2023-02-28T00:00:00"/>
    <s v="Q1-2023"/>
    <x v="2"/>
    <d v="2023-02-27T00:00:00"/>
    <n v="14"/>
    <n v="0"/>
    <d v="2023-03-14T00:00:00"/>
    <x v="3"/>
    <x v="7"/>
    <s v="Marseille"/>
    <s v="Corporate"/>
    <x v="0"/>
    <x v="11"/>
    <x v="2"/>
    <s v="High"/>
    <x v="322"/>
    <n v="1299.81"/>
    <n v="3149.13"/>
    <n v="0.10299999999999999"/>
    <n v="0"/>
    <n v="14"/>
    <s v="sus"/>
    <n v="-1"/>
    <n v="1"/>
    <n v="39546.774539999999"/>
    <n v="18197.34"/>
    <n v="21349.434539999998"/>
    <n v="606.37750000000005"/>
    <n v="1193.865"/>
    <n v="1912.0450000000001"/>
    <s v="Low"/>
    <n v="0.53985273864511729"/>
    <d v="2023-01-13T00:00:00"/>
    <x v="0"/>
  </r>
  <r>
    <s v="ORD-2024-206121"/>
    <d v="2024-02-18T00:00:00"/>
    <s v="Q1-2024"/>
    <x v="31"/>
    <d v="2024-03-11T00:00:00"/>
    <n v="22"/>
    <n v="0"/>
    <d v="2024-03-11T00:00:00"/>
    <x v="2"/>
    <x v="5"/>
    <s v="São Paulo"/>
    <s v="Consumer"/>
    <x v="1"/>
    <x v="8"/>
    <x v="0"/>
    <s v="Low"/>
    <x v="323"/>
    <n v="80.48"/>
    <n v="65.650000000000006"/>
    <n v="0.17599999999999999"/>
    <n v="0"/>
    <n v="13"/>
    <s v="ok"/>
    <n v="22"/>
    <n v="22"/>
    <n v="703.2428000000001"/>
    <n v="1046.24"/>
    <n v="-342.99719999999991"/>
    <n v="606.37750000000005"/>
    <n v="1193.865"/>
    <n v="1912.0450000000001"/>
    <s v="High"/>
    <n v="-0.48773652570634191"/>
    <d v="2023-01-29T00:00:00"/>
    <x v="0"/>
  </r>
  <r>
    <s v="ORD-2024-500890"/>
    <d v="2024-09-09T00:00:00"/>
    <s v="Q3-2024"/>
    <x v="29"/>
    <d v="2024-10-08T00:00:00"/>
    <n v="29"/>
    <n v="0"/>
    <d v="2024-10-08T00:00:00"/>
    <x v="2"/>
    <x v="5"/>
    <s v="São Paulo"/>
    <s v="Education"/>
    <x v="4"/>
    <x v="1"/>
    <x v="0"/>
    <s v="High"/>
    <x v="324"/>
    <n v="1010.33"/>
    <n v="2492.14"/>
    <n v="5.0999999999999997E-2"/>
    <n v="0"/>
    <n v="11"/>
    <s v="ok"/>
    <n v="29"/>
    <n v="29"/>
    <n v="26015.449459999996"/>
    <n v="11113.630000000001"/>
    <n v="14901.819459999995"/>
    <n v="606.37750000000005"/>
    <n v="1193.865"/>
    <n v="1912.0450000000001"/>
    <s v="Low"/>
    <n v="0.57280653493656752"/>
    <d v="2023-03-03T00:00:00"/>
    <x v="1"/>
  </r>
  <r>
    <s v="ORD-2023-144816"/>
    <d v="2023-05-07T00:00:00"/>
    <s v="Q2-2023"/>
    <x v="15"/>
    <d v="2023-05-29T00:00:00"/>
    <n v="22"/>
    <n v="0"/>
    <d v="2023-05-29T00:00:00"/>
    <x v="0"/>
    <x v="11"/>
    <s v="Durban"/>
    <s v="Education"/>
    <x v="3"/>
    <x v="11"/>
    <x v="6"/>
    <s v="Medium"/>
    <x v="325"/>
    <n v="653.86"/>
    <n v="931.84"/>
    <n v="0.121"/>
    <n v="0"/>
    <n v="12"/>
    <s v="ok"/>
    <n v="22"/>
    <n v="22"/>
    <n v="9829.0483199999999"/>
    <n v="7846.32"/>
    <n v="1982.7283200000002"/>
    <n v="606.37750000000005"/>
    <n v="1193.865"/>
    <n v="1912.0450000000001"/>
    <s v="High"/>
    <n v="0.20172129136506273"/>
    <d v="2023-01-20T00:00:00"/>
    <x v="0"/>
  </r>
  <r>
    <s v="ORD-2024-153053"/>
    <d v="2024-01-12T00:00:00"/>
    <s v="Q1-2024"/>
    <x v="9"/>
    <d v="2024-01-29T00:00:00"/>
    <n v="17"/>
    <n v="0"/>
    <d v="2024-01-29T00:00:00"/>
    <x v="1"/>
    <x v="4"/>
    <s v="Hyderabad"/>
    <s v="Small Business"/>
    <x v="4"/>
    <x v="5"/>
    <x v="0"/>
    <s v="Low"/>
    <x v="326"/>
    <n v="310.02"/>
    <n v="619.51"/>
    <n v="4.2000000000000003E-2"/>
    <n v="0"/>
    <n v="4"/>
    <s v="ok"/>
    <n v="17"/>
    <n v="17"/>
    <n v="2373.9623200000001"/>
    <n v="1240.08"/>
    <n v="1133.8823200000002"/>
    <n v="606.37750000000005"/>
    <n v="1193.865"/>
    <n v="1912.0450000000001"/>
    <s v="Medium"/>
    <n v="0.47763282106347843"/>
    <d v="2023-01-22T00:00:00"/>
    <x v="0"/>
  </r>
  <r>
    <s v="ORD-2023-536542"/>
    <d v="2023-06-10T00:00:00"/>
    <s v="Q2-2023"/>
    <x v="23"/>
    <d v="2023-06-18T00:00:00"/>
    <n v="8"/>
    <n v="0"/>
    <d v="2023-06-18T00:00:00"/>
    <x v="0"/>
    <x v="0"/>
    <s v="Nakuru"/>
    <s v="Enterprise"/>
    <x v="4"/>
    <x v="10"/>
    <x v="3"/>
    <s v="Medium"/>
    <x v="327"/>
    <n v="894.23"/>
    <n v="1421.55"/>
    <n v="0.109"/>
    <n v="0"/>
    <n v="3"/>
    <s v="ok"/>
    <n v="8"/>
    <n v="8"/>
    <n v="3799.8031499999997"/>
    <n v="2682.69"/>
    <n v="1117.1131499999997"/>
    <n v="606.37750000000005"/>
    <n v="1193.865"/>
    <n v="1912.0450000000001"/>
    <s v="Medium"/>
    <n v="0.29399237431549574"/>
    <d v="2023-01-22T00:00:00"/>
    <x v="0"/>
  </r>
  <r>
    <s v="ORD-2025-779530"/>
    <d v="2025-05-19T00:00:00"/>
    <s v="Q2-2025"/>
    <x v="8"/>
    <d v="2025-05-17T00:00:00"/>
    <n v="14"/>
    <n v="0"/>
    <d v="2025-06-02T00:00:00"/>
    <x v="2"/>
    <x v="5"/>
    <s v="São Paulo"/>
    <s v="Small Business"/>
    <x v="3"/>
    <x v="4"/>
    <x v="5"/>
    <s v="Medium"/>
    <x v="328"/>
    <n v="383.77"/>
    <n v="952.56"/>
    <n v="0.34599999999999997"/>
    <n v="1"/>
    <n v="10"/>
    <s v="sus"/>
    <n v="-2"/>
    <n v="2"/>
    <n v="6229.7423999999992"/>
    <n v="3837.7"/>
    <n v="2392.0423999999994"/>
    <n v="606.37750000000005"/>
    <n v="1193.865"/>
    <n v="1912.0450000000001"/>
    <s v="Medium"/>
    <n v="0.38397131797937578"/>
    <d v="2023-01-13T00:00:00"/>
    <x v="0"/>
  </r>
  <r>
    <s v="ORD-2023-163610"/>
    <d v="2023-10-22T00:00:00"/>
    <s v="Q4-2023"/>
    <x v="32"/>
    <d v="2023-11-16T00:00:00"/>
    <n v="25"/>
    <n v="0"/>
    <d v="2023-11-16T00:00:00"/>
    <x v="2"/>
    <x v="3"/>
    <s v="Toronto"/>
    <s v="Small Business"/>
    <x v="2"/>
    <x v="2"/>
    <x v="4"/>
    <s v="High"/>
    <x v="329"/>
    <n v="1373.31"/>
    <n v="3154.14"/>
    <n v="0.2"/>
    <n v="0"/>
    <n v="11"/>
    <s v="ok"/>
    <n v="25"/>
    <n v="25"/>
    <n v="27756.432000000001"/>
    <n v="15106.41"/>
    <n v="12650.022000000001"/>
    <n v="606.37750000000005"/>
    <n v="1193.865"/>
    <n v="1912.0450000000001"/>
    <s v="Medium"/>
    <n v="0.45575101295440279"/>
    <d v="2023-01-13T00:00:00"/>
    <x v="0"/>
  </r>
  <r>
    <s v="ORD-2025-653781"/>
    <d v="2025-01-11T00:00:00"/>
    <s v="Q1-2025"/>
    <x v="10"/>
    <d v="2025-01-23T00:00:00"/>
    <n v="12"/>
    <n v="0"/>
    <d v="2025-01-23T00:00:00"/>
    <x v="2"/>
    <x v="10"/>
    <s v="Austin"/>
    <s v="Consumer"/>
    <x v="3"/>
    <x v="10"/>
    <x v="3"/>
    <s v="Low"/>
    <x v="330"/>
    <n v="100.69"/>
    <n v="226.14"/>
    <n v="6.5000000000000002E-2"/>
    <n v="0"/>
    <n v="12"/>
    <s v="ok"/>
    <n v="12"/>
    <n v="12"/>
    <n v="2537.2908000000002"/>
    <n v="1208.28"/>
    <n v="1329.0108000000002"/>
    <n v="606.37750000000005"/>
    <n v="1193.865"/>
    <n v="1912.0450000000001"/>
    <s v="High"/>
    <n v="0.52379128162999689"/>
    <d v="2023-01-13T00:00:00"/>
    <x v="0"/>
  </r>
  <r>
    <s v="ORD-2025-737787"/>
    <d v="2025-09-14T00:00:00"/>
    <s v="Q3-2025"/>
    <x v="11"/>
    <d v="2025-09-26T00:00:00"/>
    <n v="12"/>
    <n v="0"/>
    <d v="2025-09-26T00:00:00"/>
    <x v="3"/>
    <x v="8"/>
    <s v="London"/>
    <s v="Small Business"/>
    <x v="4"/>
    <x v="13"/>
    <x v="2"/>
    <s v="Medium"/>
    <x v="331"/>
    <n v="425.15"/>
    <n v="885.92"/>
    <n v="0.23899999999999999"/>
    <n v="1"/>
    <n v="13"/>
    <s v="ok"/>
    <n v="12"/>
    <n v="12"/>
    <n v="8764.4065599999994"/>
    <n v="5526.95"/>
    <n v="3237.4565599999996"/>
    <n v="606.37750000000005"/>
    <n v="1193.865"/>
    <n v="1912.0450000000001"/>
    <s v="Low"/>
    <n v="0.3693868532725848"/>
    <d v="2023-01-20T00:00:00"/>
    <x v="0"/>
  </r>
  <r>
    <s v="ORD-2023-944052"/>
    <d v="2023-08-30T00:00:00"/>
    <s v="Q3-2023"/>
    <x v="25"/>
    <d v="2023-09-03T00:00:00"/>
    <n v="4"/>
    <n v="1"/>
    <d v="2023-09-03T00:00:00"/>
    <x v="1"/>
    <x v="4"/>
    <s v="Delhi"/>
    <s v="Small Business"/>
    <x v="2"/>
    <x v="4"/>
    <x v="6"/>
    <s v="High"/>
    <x v="332"/>
    <n v="1082.25"/>
    <n v="2433.34"/>
    <n v="0.27"/>
    <n v="1"/>
    <n v="4"/>
    <s v="ok"/>
    <n v="4"/>
    <n v="4"/>
    <n v="7105.3528000000006"/>
    <n v="4329"/>
    <n v="2776.3528000000006"/>
    <n v="606.37750000000005"/>
    <n v="1193.865"/>
    <n v="1912.0450000000001"/>
    <s v="Medium"/>
    <n v="0.3907410199251472"/>
    <d v="2023-01-19T00:00:00"/>
    <x v="0"/>
  </r>
  <r>
    <s v="ORD-2023-181257"/>
    <d v="2023-11-15T00:00:00"/>
    <s v="Q4-2023"/>
    <x v="30"/>
    <d v="2023-12-06T00:00:00"/>
    <n v="21"/>
    <n v="0"/>
    <d v="2023-12-06T00:00:00"/>
    <x v="3"/>
    <x v="8"/>
    <s v="Manchester"/>
    <s v="Education"/>
    <x v="4"/>
    <x v="10"/>
    <x v="6"/>
    <s v="Medium"/>
    <x v="333"/>
    <n v="1184.99"/>
    <n v="1154.3399999999999"/>
    <n v="2.8000000000000001E-2"/>
    <n v="0"/>
    <n v="5"/>
    <s v="ok"/>
    <n v="21"/>
    <n v="21"/>
    <n v="5610.0923999999995"/>
    <n v="5924.95"/>
    <n v="-314.85760000000028"/>
    <n v="606.37750000000005"/>
    <n v="1193.865"/>
    <n v="1912.0450000000001"/>
    <s v="High"/>
    <n v="-5.6123424990290764E-2"/>
    <d v="2023-01-22T00:00:00"/>
    <x v="0"/>
  </r>
  <r>
    <s v="ORD-2025-323492"/>
    <d v="2025-04-27T00:00:00"/>
    <s v="Q2-2025"/>
    <x v="19"/>
    <d v="2025-05-27T00:00:00"/>
    <n v="30"/>
    <n v="0"/>
    <d v="2025-05-27T00:00:00"/>
    <x v="1"/>
    <x v="4"/>
    <s v="unknown"/>
    <s v="Enterprise"/>
    <x v="2"/>
    <x v="10"/>
    <x v="3"/>
    <s v="Medium"/>
    <x v="334"/>
    <n v="481.32"/>
    <n v="1135.99"/>
    <n v="0.14499999999999999"/>
    <n v="0"/>
    <n v="5"/>
    <s v="ok"/>
    <n v="30"/>
    <n v="30"/>
    <n v="4856.35725"/>
    <n v="2406.6"/>
    <n v="2449.7572500000001"/>
    <n v="606.37750000000005"/>
    <n v="1193.865"/>
    <n v="1912.0450000000001"/>
    <s v="Medium"/>
    <n v="0.50444337677175621"/>
    <d v="2023-01-19T00:00:00"/>
    <x v="0"/>
  </r>
  <r>
    <s v="ORD-2024-332076"/>
    <d v="2024-04-09T00:00:00"/>
    <s v="Q2-2024"/>
    <x v="20"/>
    <d v="2024-04-18T00:00:00"/>
    <n v="9"/>
    <n v="0"/>
    <d v="2024-04-18T00:00:00"/>
    <x v="3"/>
    <x v="7"/>
    <s v="Lyon"/>
    <s v="Consumer"/>
    <x v="1"/>
    <x v="6"/>
    <x v="1"/>
    <s v="High"/>
    <x v="335"/>
    <n v="1288.8499999999999"/>
    <n v="2751.84"/>
    <n v="0.158"/>
    <n v="0"/>
    <n v="7"/>
    <s v="ok"/>
    <n v="9"/>
    <n v="9"/>
    <n v="16219.34496"/>
    <n v="9021.9499999999989"/>
    <n v="7197.3949600000014"/>
    <n v="606.37750000000005"/>
    <n v="1193.865"/>
    <n v="1912.0450000000001"/>
    <s v="Medium"/>
    <n v="0.44375373837538756"/>
    <d v="2023-01-20T00:00:00"/>
    <x v="0"/>
  </r>
  <r>
    <s v="ORD-2024-571797"/>
    <d v="2024-07-11T00:00:00"/>
    <s v="Q3-2024"/>
    <x v="14"/>
    <d v="2024-07-31T00:00:00"/>
    <n v="20"/>
    <n v="0"/>
    <d v="2024-07-31T00:00:00"/>
    <x v="1"/>
    <x v="9"/>
    <s v="Shenzhen"/>
    <s v="Consumer"/>
    <x v="1"/>
    <x v="3"/>
    <x v="3"/>
    <s v="Medium"/>
    <x v="336"/>
    <n v="647.26"/>
    <n v="1374.72"/>
    <n v="6.6000000000000003E-2"/>
    <n v="0"/>
    <n v="22"/>
    <s v="ok"/>
    <n v="20"/>
    <n v="20"/>
    <n v="28247.74656"/>
    <n v="14239.72"/>
    <n v="14008.02656"/>
    <n v="606.37750000000005"/>
    <n v="1193.865"/>
    <n v="1912.0450000000001"/>
    <s v="High"/>
    <n v="0.49589890401508901"/>
    <d v="2023-01-20T00:00:00"/>
    <x v="0"/>
  </r>
  <r>
    <s v="ORD-2024-129345"/>
    <d v="2024-02-18T00:00:00"/>
    <s v="Q1-2024"/>
    <x v="31"/>
    <d v="2024-03-03T00:00:00"/>
    <n v="14"/>
    <n v="0"/>
    <d v="2024-03-03T00:00:00"/>
    <x v="2"/>
    <x v="5"/>
    <s v="unknown"/>
    <s v="Enterprise"/>
    <x v="3"/>
    <x v="8"/>
    <x v="1"/>
    <s v="Medium"/>
    <x v="337"/>
    <n v="624.23"/>
    <n v="1318.37"/>
    <n v="0.21"/>
    <n v="1"/>
    <n v="37"/>
    <s v="ok"/>
    <n v="14"/>
    <n v="14"/>
    <n v="38535.955099999999"/>
    <n v="23096.510000000002"/>
    <n v="15439.445099999997"/>
    <n v="606.37750000000005"/>
    <n v="1193.865"/>
    <n v="1912.0450000000001"/>
    <s v="Medium"/>
    <n v="0.40065038118128793"/>
    <d v="2023-01-15T00:00:00"/>
    <x v="0"/>
  </r>
  <r>
    <s v="ORD-2023-660608"/>
    <d v="2023-07-25T00:00:00"/>
    <s v="Q3-2023"/>
    <x v="24"/>
    <d v="2023-08-10T00:00:00"/>
    <n v="16"/>
    <n v="0"/>
    <d v="2023-08-10T00:00:00"/>
    <x v="0"/>
    <x v="1"/>
    <s v="Port Harcourt"/>
    <s v="Corporate"/>
    <x v="3"/>
    <x v="2"/>
    <x v="6"/>
    <s v="Low"/>
    <x v="338"/>
    <n v="506.83"/>
    <n v="441.74"/>
    <n v="0.24"/>
    <n v="1"/>
    <n v="9"/>
    <s v="ok"/>
    <n v="16"/>
    <n v="16"/>
    <n v="3021.5016000000001"/>
    <n v="4561.47"/>
    <n v="-1539.9684000000002"/>
    <n v="606.37750000000005"/>
    <n v="1193.865"/>
    <n v="1912.0450000000001"/>
    <s v="Medium"/>
    <n v="-0.50966989393618067"/>
    <d v="2023-01-07T00:00:00"/>
    <x v="0"/>
  </r>
  <r>
    <s v="ORD-2023-825084"/>
    <d v="2023-07-14T00:00:00"/>
    <s v="Q3-2023"/>
    <x v="24"/>
    <d v="2023-07-21T00:00:00"/>
    <n v="7"/>
    <n v="1"/>
    <d v="2023-07-21T00:00:00"/>
    <x v="0"/>
    <x v="11"/>
    <s v="Durban"/>
    <s v="Enterprise"/>
    <x v="2"/>
    <x v="15"/>
    <x v="5"/>
    <s v="Medium"/>
    <x v="339"/>
    <n v="620.74"/>
    <n v="1330.07"/>
    <n v="0.29899999999999999"/>
    <n v="1"/>
    <n v="28"/>
    <s v="ok"/>
    <n v="7"/>
    <n v="7"/>
    <n v="26106.613960000002"/>
    <n v="17380.72"/>
    <n v="8725.8939600000012"/>
    <n v="606.37750000000005"/>
    <n v="1193.865"/>
    <n v="1912.0450000000001"/>
    <s v="Low"/>
    <n v="0.33424073965967516"/>
    <d v="2023-01-02T00:00:00"/>
    <x v="0"/>
  </r>
  <r>
    <s v="ORD-2023-261081"/>
    <d v="2023-07-24T00:00:00"/>
    <s v="Q3-2023"/>
    <x v="24"/>
    <d v="2023-08-19T00:00:00"/>
    <n v="26"/>
    <n v="0"/>
    <d v="2023-08-19T00:00:00"/>
    <x v="0"/>
    <x v="0"/>
    <s v="Nairobi"/>
    <s v="Enterprise"/>
    <x v="3"/>
    <x v="12"/>
    <x v="6"/>
    <s v="High"/>
    <x v="340"/>
    <n v="661.45"/>
    <n v="1634.86"/>
    <n v="0.56499999999999995"/>
    <n v="1"/>
    <n v="24"/>
    <s v="ok"/>
    <n v="26"/>
    <n v="26"/>
    <n v="17067.938400000003"/>
    <n v="15874.800000000001"/>
    <n v="1193.1384000000016"/>
    <n v="606.37750000000005"/>
    <n v="1193.865"/>
    <n v="1912.0450000000001"/>
    <s v="Medium"/>
    <n v="6.9905244092045793E-2"/>
    <d v="2023-01-12T00:00:00"/>
    <x v="0"/>
  </r>
  <r>
    <s v="ORD-2023-766015"/>
    <d v="2023-04-13T00:00:00"/>
    <s v="Q2-2023"/>
    <x v="12"/>
    <d v="2023-04-11T00:00:00"/>
    <n v="14"/>
    <n v="0"/>
    <d v="2023-04-27T00:00:00"/>
    <x v="2"/>
    <x v="10"/>
    <s v="San Francisco"/>
    <s v="Education"/>
    <x v="2"/>
    <x v="3"/>
    <x v="2"/>
    <s v="Low"/>
    <x v="341"/>
    <n v="32.1"/>
    <n v="70.599999999999994"/>
    <n v="0.28199999999999997"/>
    <n v="1"/>
    <n v="22"/>
    <s v="sus"/>
    <n v="-2"/>
    <n v="2"/>
    <n v="1115.1975999999997"/>
    <n v="706.2"/>
    <n v="408.99759999999969"/>
    <n v="606.37750000000005"/>
    <n v="1193.865"/>
    <n v="1912.0450000000001"/>
    <s v="Medium"/>
    <n v="0.36674899587301818"/>
    <d v="2023-01-20T00:00:00"/>
    <x v="0"/>
  </r>
  <r>
    <s v="ORD-2024-333192"/>
    <d v="2024-10-29T00:00:00"/>
    <s v="Q4-2024"/>
    <x v="1"/>
    <d v="2024-11-04T00:00:00"/>
    <n v="6"/>
    <n v="1"/>
    <d v="2024-11-04T00:00:00"/>
    <x v="0"/>
    <x v="0"/>
    <s v="Nairobi"/>
    <s v="Corporate"/>
    <x v="3"/>
    <x v="12"/>
    <x v="1"/>
    <s v="High"/>
    <x v="342"/>
    <n v="805.81"/>
    <n v="1823.04"/>
    <n v="0"/>
    <n v="0"/>
    <n v="11"/>
    <s v="ok"/>
    <n v="6"/>
    <n v="6"/>
    <n v="20053.439999999999"/>
    <n v="8863.91"/>
    <n v="11189.529999999999"/>
    <n v="606.37750000000005"/>
    <n v="1193.865"/>
    <n v="1912.0450000000001"/>
    <s v="Low"/>
    <n v="0.55798556257679477"/>
    <d v="2023-01-29T00:00:00"/>
    <x v="0"/>
  </r>
  <r>
    <s v="ORD-2024-647473"/>
    <d v="2024-02-17T00:00:00"/>
    <s v="Q1-2024"/>
    <x v="31"/>
    <d v="2024-03-04T00:00:00"/>
    <n v="16"/>
    <n v="0"/>
    <d v="2024-03-04T00:00:00"/>
    <x v="1"/>
    <x v="4"/>
    <s v="Delhi"/>
    <s v="Small Business"/>
    <x v="2"/>
    <x v="9"/>
    <x v="3"/>
    <s v="High"/>
    <x v="343"/>
    <n v="1231.8"/>
    <n v="2015.99"/>
    <n v="0.26100000000000001"/>
    <n v="1"/>
    <n v="6"/>
    <s v="ok"/>
    <n v="16"/>
    <n v="16"/>
    <n v="8938.8996600000009"/>
    <n v="7390.7999999999993"/>
    <n v="1548.0996600000017"/>
    <n v="606.37750000000005"/>
    <n v="1193.865"/>
    <n v="1912.0450000000001"/>
    <s v="Medium"/>
    <n v="0.17318682599464391"/>
    <d v="2023-03-03T00:00:00"/>
    <x v="1"/>
  </r>
  <r>
    <s v="ORD-2024-892908"/>
    <d v="2024-07-13T00:00:00"/>
    <s v="Q3-2024"/>
    <x v="14"/>
    <d v="2024-07-12T00:00:00"/>
    <n v="14"/>
    <n v="0"/>
    <d v="2024-07-27T00:00:00"/>
    <x v="1"/>
    <x v="2"/>
    <s v="Nagoya"/>
    <s v="Small Business"/>
    <x v="2"/>
    <x v="9"/>
    <x v="2"/>
    <s v="Low"/>
    <x v="344"/>
    <n v="105.13"/>
    <n v="244.13"/>
    <n v="7.0999999999999994E-2"/>
    <n v="0"/>
    <n v="14"/>
    <s v="sus"/>
    <n v="-1"/>
    <n v="1"/>
    <n v="3175.1547799999998"/>
    <n v="1471.82"/>
    <n v="1703.3347799999999"/>
    <n v="606.37750000000005"/>
    <n v="1193.865"/>
    <n v="1912.0450000000001"/>
    <s v="High"/>
    <n v="0.53645724319618837"/>
    <d v="2023-01-29T00:00:00"/>
    <x v="0"/>
  </r>
  <r>
    <s v="ORD-2023-573146"/>
    <d v="2023-12-01T00:00:00"/>
    <s v="Q4-2023"/>
    <x v="4"/>
    <d v="2023-12-18T00:00:00"/>
    <n v="17"/>
    <n v="0"/>
    <d v="2023-12-18T00:00:00"/>
    <x v="1"/>
    <x v="2"/>
    <s v="Nagoya"/>
    <s v="Small Business"/>
    <x v="4"/>
    <x v="13"/>
    <x v="4"/>
    <s v="High"/>
    <x v="345"/>
    <n v="1495.79"/>
    <n v="2783.12"/>
    <n v="0.02"/>
    <n v="0"/>
    <n v="5"/>
    <s v="ok"/>
    <n v="17"/>
    <n v="17"/>
    <n v="13637.287999999999"/>
    <n v="7478.95"/>
    <n v="6158.3379999999988"/>
    <n v="606.37750000000005"/>
    <n v="1193.865"/>
    <n v="1912.0450000000001"/>
    <s v="Low"/>
    <n v="0.45158084217331185"/>
    <d v="2023-01-22T00:00:00"/>
    <x v="0"/>
  </r>
  <r>
    <s v="ORD-2024-901115"/>
    <d v="2024-07-25T00:00:00"/>
    <s v="Q3-2024"/>
    <x v="14"/>
    <d v="2024-08-02T00:00:00"/>
    <n v="8"/>
    <n v="0"/>
    <d v="2024-08-02T00:00:00"/>
    <x v="2"/>
    <x v="3"/>
    <s v="Montreal"/>
    <s v="Consumer"/>
    <x v="4"/>
    <x v="1"/>
    <x v="6"/>
    <s v="High"/>
    <x v="346"/>
    <n v="986.81"/>
    <n v="2050.31"/>
    <n v="0.10299999999999999"/>
    <n v="0"/>
    <n v="43"/>
    <s v="ok"/>
    <n v="8"/>
    <n v="8"/>
    <n v="79082.507010000001"/>
    <n v="42432.829999999994"/>
    <n v="36649.677010000007"/>
    <n v="606.37750000000005"/>
    <n v="1193.865"/>
    <n v="1912.0450000000001"/>
    <s v="High"/>
    <n v="0.46343595310358138"/>
    <d v="2023-01-12T00:00:00"/>
    <x v="0"/>
  </r>
  <r>
    <s v="ORD-2023-898009"/>
    <d v="2023-05-04T00:00:00"/>
    <s v="Q2-2023"/>
    <x v="15"/>
    <d v="2023-05-16T00:00:00"/>
    <n v="12"/>
    <n v="0"/>
    <d v="2023-05-16T00:00:00"/>
    <x v="0"/>
    <x v="1"/>
    <s v="Abuja"/>
    <s v="Small Business"/>
    <x v="2"/>
    <x v="1"/>
    <x v="3"/>
    <s v="Low"/>
    <x v="347"/>
    <n v="77.739999999999995"/>
    <n v="147.12"/>
    <n v="0"/>
    <n v="0"/>
    <n v="15"/>
    <s v="ok"/>
    <n v="12"/>
    <n v="12"/>
    <n v="2206.8000000000002"/>
    <n v="1166.0999999999999"/>
    <n v="1040.7000000000003"/>
    <n v="606.37750000000005"/>
    <n v="1193.865"/>
    <n v="1912.0450000000001"/>
    <s v="High"/>
    <n v="0.47158781946710177"/>
    <d v="2023-01-29T00:00:00"/>
    <x v="0"/>
  </r>
  <r>
    <s v="ORD-2023-208944"/>
    <d v="2023-12-21T00:00:00"/>
    <s v="Q4-2023"/>
    <x v="4"/>
    <d v="2024-01-06T00:00:00"/>
    <n v="16"/>
    <n v="0"/>
    <d v="2024-01-06T00:00:00"/>
    <x v="0"/>
    <x v="1"/>
    <s v="unknown"/>
    <s v="Corporate"/>
    <x v="2"/>
    <x v="11"/>
    <x v="0"/>
    <s v="High"/>
    <x v="348"/>
    <n v="932.61"/>
    <n v="1982.98"/>
    <n v="0.14399999999999999"/>
    <n v="0"/>
    <n v="16"/>
    <s v="ok"/>
    <n v="16"/>
    <n v="16"/>
    <n v="27158.894079999998"/>
    <n v="14921.76"/>
    <n v="12237.134079999998"/>
    <n v="606.37750000000005"/>
    <n v="1193.865"/>
    <n v="1912.0450000000001"/>
    <s v="Low"/>
    <n v="0.45057556629345635"/>
    <d v="2023-01-20T00:00:00"/>
    <x v="0"/>
  </r>
  <r>
    <s v="ORD-2025-480172"/>
    <d v="2025-06-17T00:00:00"/>
    <s v="Q2-2025"/>
    <x v="16"/>
    <d v="2025-07-05T00:00:00"/>
    <n v="18"/>
    <n v="0"/>
    <d v="2025-07-05T00:00:00"/>
    <x v="1"/>
    <x v="4"/>
    <s v="Delhi"/>
    <s v="Consumer"/>
    <x v="2"/>
    <x v="4"/>
    <x v="4"/>
    <s v="High"/>
    <x v="349"/>
    <n v="982.93"/>
    <n v="2299.3000000000002"/>
    <n v="0.113"/>
    <n v="0"/>
    <n v="6"/>
    <s v="ok"/>
    <n v="18"/>
    <n v="18"/>
    <n v="12236.874600000001"/>
    <n v="5897.58"/>
    <n v="6339.2946000000011"/>
    <n v="606.37750000000005"/>
    <n v="1193.865"/>
    <n v="1912.0450000000001"/>
    <s v="High"/>
    <n v="0.51804850562087157"/>
    <d v="2023-01-13T00:00:00"/>
    <x v="0"/>
  </r>
  <r>
    <s v="ORD-2023-735274"/>
    <d v="2023-02-23T00:00:00"/>
    <s v="Q1-2023"/>
    <x v="2"/>
    <d v="2023-03-08T00:00:00"/>
    <n v="13"/>
    <n v="0"/>
    <d v="2023-03-08T00:00:00"/>
    <x v="3"/>
    <x v="8"/>
    <s v="Manchester"/>
    <s v="Small Business"/>
    <x v="4"/>
    <x v="0"/>
    <x v="1"/>
    <s v="Low"/>
    <x v="350"/>
    <n v="307.37"/>
    <n v="462.61"/>
    <n v="0.188"/>
    <n v="0"/>
    <n v="11"/>
    <s v="ok"/>
    <n v="13"/>
    <n v="13"/>
    <n v="4132.0325200000007"/>
    <n v="3381.07"/>
    <n v="750.9625200000005"/>
    <n v="606.37750000000005"/>
    <n v="1193.865"/>
    <n v="1912.0450000000001"/>
    <s v="High"/>
    <n v="0.18174167709599739"/>
    <d v="2023-01-07T00:00:00"/>
    <x v="0"/>
  </r>
  <r>
    <s v="ORD-2023-212701"/>
    <d v="2023-12-02T00:00:00"/>
    <s v="Q4-2023"/>
    <x v="4"/>
    <d v="2023-12-16T00:00:00"/>
    <n v="14"/>
    <n v="0"/>
    <d v="2023-12-16T00:00:00"/>
    <x v="3"/>
    <x v="6"/>
    <s v="Frankfurt"/>
    <s v="Education"/>
    <x v="4"/>
    <x v="13"/>
    <x v="5"/>
    <s v="Medium"/>
    <x v="351"/>
    <n v="879.08"/>
    <n v="1093.3900000000001"/>
    <n v="0.113"/>
    <n v="0"/>
    <n v="17"/>
    <s v="ok"/>
    <n v="14"/>
    <n v="14"/>
    <n v="16487.22781"/>
    <n v="14944.36"/>
    <n v="1542.8678099999997"/>
    <n v="606.37750000000005"/>
    <n v="1193.865"/>
    <n v="1912.0450000000001"/>
    <s v="Low"/>
    <n v="9.3579577341935186E-2"/>
    <d v="2023-01-07T00:00:00"/>
    <x v="0"/>
  </r>
  <r>
    <s v="ORD-2023-479747"/>
    <d v="2023-07-14T00:00:00"/>
    <s v="Q3-2023"/>
    <x v="24"/>
    <d v="2023-07-14T00:00:00"/>
    <n v="0"/>
    <n v="1"/>
    <d v="2023-07-14T00:00:00"/>
    <x v="0"/>
    <x v="1"/>
    <s v="Lagos"/>
    <s v="Education"/>
    <x v="0"/>
    <x v="2"/>
    <x v="6"/>
    <s v="Medium"/>
    <x v="352"/>
    <n v="956.38"/>
    <n v="1454.22"/>
    <n v="3.9E-2"/>
    <n v="0"/>
    <n v="19"/>
    <s v="sus"/>
    <n v="0"/>
    <n v="0"/>
    <n v="26552.60298"/>
    <n v="18171.22"/>
    <n v="8381.3829799999985"/>
    <n v="606.37750000000005"/>
    <n v="1193.865"/>
    <n v="1912.0450000000001"/>
    <s v="Medium"/>
    <n v="0.31565202802576603"/>
    <d v="2023-01-19T00:00:00"/>
    <x v="0"/>
  </r>
  <r>
    <s v="ORD-2024-915495"/>
    <d v="2024-08-08T00:00:00"/>
    <s v="Q3-2024"/>
    <x v="21"/>
    <d v="2024-08-20T00:00:00"/>
    <n v="12"/>
    <n v="0"/>
    <d v="2024-08-20T00:00:00"/>
    <x v="1"/>
    <x v="2"/>
    <s v="Osaka"/>
    <s v="Small Business"/>
    <x v="0"/>
    <x v="10"/>
    <x v="2"/>
    <s v="High"/>
    <x v="353"/>
    <n v="1233.3599999999999"/>
    <n v="2120.4"/>
    <n v="0.17899999999999999"/>
    <n v="0"/>
    <n v="20"/>
    <s v="ok"/>
    <n v="12"/>
    <n v="12"/>
    <n v="34816.968000000001"/>
    <n v="24667.199999999997"/>
    <n v="10149.768000000004"/>
    <n v="606.37750000000005"/>
    <n v="1193.865"/>
    <n v="1912.0450000000001"/>
    <s v="Medium"/>
    <n v="0.29151785991244278"/>
    <d v="2023-01-29T00:00:00"/>
    <x v="0"/>
  </r>
  <r>
    <s v="ORD-2024-225829"/>
    <d v="2024-11-07T00:00:00"/>
    <s v="Q4-2024"/>
    <x v="18"/>
    <d v="2024-11-26T00:00:00"/>
    <n v="19"/>
    <n v="0"/>
    <d v="2024-11-26T00:00:00"/>
    <x v="2"/>
    <x v="5"/>
    <s v="Rio de Janeiro"/>
    <s v="Non-Profit"/>
    <x v="3"/>
    <x v="1"/>
    <x v="1"/>
    <s v="Low"/>
    <x v="354"/>
    <n v="55.35"/>
    <n v="128.68"/>
    <n v="0.128"/>
    <n v="0"/>
    <n v="10"/>
    <s v="ok"/>
    <n v="19"/>
    <n v="19"/>
    <n v="1122.0896000000002"/>
    <n v="553.5"/>
    <n v="568.58960000000025"/>
    <n v="606.37750000000005"/>
    <n v="1193.865"/>
    <n v="1912.0450000000001"/>
    <s v="High"/>
    <n v="0.50672388372550647"/>
    <d v="2023-03-03T00:00:00"/>
    <x v="1"/>
  </r>
  <r>
    <s v="ORD-2024-921935"/>
    <d v="2024-01-01T00:00:00"/>
    <s v="Q1-2024"/>
    <x v="9"/>
    <d v="2024-01-27T00:00:00"/>
    <n v="26"/>
    <n v="0"/>
    <d v="2024-01-27T00:00:00"/>
    <x v="3"/>
    <x v="8"/>
    <s v="Manchester"/>
    <s v="Education"/>
    <x v="3"/>
    <x v="14"/>
    <x v="6"/>
    <s v="Medium"/>
    <x v="355"/>
    <n v="657.45"/>
    <n v="1325.96"/>
    <n v="0.16700000000000001"/>
    <n v="0"/>
    <n v="21"/>
    <s v="ok"/>
    <n v="26"/>
    <n v="26"/>
    <n v="23195.01828"/>
    <n v="13806.45"/>
    <n v="9388.5682799999995"/>
    <n v="606.37750000000005"/>
    <n v="1193.865"/>
    <n v="1912.0450000000001"/>
    <s v="Low"/>
    <n v="0.40476658249048808"/>
    <d v="2023-01-13T00:00:00"/>
    <x v="0"/>
  </r>
  <r>
    <s v="ORD-2025-949776"/>
    <d v="2025-08-14T00:00:00"/>
    <s v="Q3-2025"/>
    <x v="28"/>
    <d v="2025-09-11T00:00:00"/>
    <n v="28"/>
    <n v="0"/>
    <d v="2025-09-11T00:00:00"/>
    <x v="2"/>
    <x v="5"/>
    <s v="São Paulo"/>
    <s v="Non-Profit"/>
    <x v="4"/>
    <x v="9"/>
    <x v="1"/>
    <s v="High"/>
    <x v="356"/>
    <n v="1203.02"/>
    <n v="2439.33"/>
    <n v="0"/>
    <n v="0"/>
    <n v="18"/>
    <s v="ok"/>
    <n v="28"/>
    <n v="28"/>
    <n v="43907.94"/>
    <n v="21654.36"/>
    <n v="22253.58"/>
    <n v="606.37750000000005"/>
    <n v="1193.865"/>
    <n v="1912.0450000000001"/>
    <s v="Medium"/>
    <n v="0.50682359500354612"/>
    <d v="2023-01-13T00:00:00"/>
    <x v="0"/>
  </r>
  <r>
    <s v="ORD-2024-510591"/>
    <d v="2024-04-03T00:00:00"/>
    <s v="Q2-2024"/>
    <x v="20"/>
    <d v="2024-04-21T00:00:00"/>
    <n v="18"/>
    <n v="0"/>
    <d v="2024-04-21T00:00:00"/>
    <x v="2"/>
    <x v="5"/>
    <s v="Brasília"/>
    <s v="Small Business"/>
    <x v="3"/>
    <x v="5"/>
    <x v="2"/>
    <s v="High"/>
    <x v="357"/>
    <n v="1176.69"/>
    <n v="2201.54"/>
    <n v="0.17"/>
    <n v="0"/>
    <n v="27"/>
    <s v="ok"/>
    <n v="18"/>
    <n v="18"/>
    <n v="49336.511399999996"/>
    <n v="31770.63"/>
    <n v="17565.881399999995"/>
    <n v="606.37750000000005"/>
    <n v="1193.865"/>
    <n v="1912.0450000000001"/>
    <s v="High"/>
    <n v="0.35604222717701106"/>
    <d v="2023-01-20T00:00:00"/>
    <x v="0"/>
  </r>
  <r>
    <s v="ORD-2024-961756"/>
    <d v="2024-11-25T00:00:00"/>
    <s v="Q4-2024"/>
    <x v="18"/>
    <d v="2024-12-07T00:00:00"/>
    <n v="12"/>
    <n v="0"/>
    <d v="2024-12-07T00:00:00"/>
    <x v="1"/>
    <x v="9"/>
    <s v="Shanghai"/>
    <s v="Corporate"/>
    <x v="3"/>
    <x v="8"/>
    <x v="6"/>
    <s v="Low"/>
    <x v="358"/>
    <n v="769.9"/>
    <n v="814.36"/>
    <n v="0"/>
    <n v="0"/>
    <n v="5"/>
    <s v="ok"/>
    <n v="12"/>
    <n v="12"/>
    <n v="4071.8"/>
    <n v="3849.5"/>
    <n v="222.30000000000018"/>
    <n v="606.37750000000005"/>
    <n v="1193.865"/>
    <n v="1912.0450000000001"/>
    <s v="High"/>
    <n v="5.4595019401738831E-2"/>
    <d v="2023-01-12T00:00:00"/>
    <x v="0"/>
  </r>
  <r>
    <s v="ORD-2024-892173"/>
    <d v="2024-01-18T00:00:00"/>
    <s v="Q1-2024"/>
    <x v="9"/>
    <d v="2024-02-03T00:00:00"/>
    <n v="16"/>
    <n v="0"/>
    <d v="2024-02-03T00:00:00"/>
    <x v="0"/>
    <x v="11"/>
    <s v="Cape Town"/>
    <s v="Non-Profit"/>
    <x v="3"/>
    <x v="4"/>
    <x v="1"/>
    <s v="Medium"/>
    <x v="359"/>
    <n v="666.23"/>
    <n v="1382.91"/>
    <n v="0.17599999999999999"/>
    <n v="0"/>
    <n v="13"/>
    <s v="ok"/>
    <n v="16"/>
    <n v="16"/>
    <n v="14813.731920000002"/>
    <n v="8660.99"/>
    <n v="6152.7419200000022"/>
    <n v="606.37750000000005"/>
    <n v="1193.865"/>
    <n v="1912.0450000000001"/>
    <s v="Medium"/>
    <n v="0.41534043907553048"/>
    <d v="2023-01-29T00:00:00"/>
    <x v="0"/>
  </r>
  <r>
    <s v="ORD-2024-704056"/>
    <d v="2024-06-23T00:00:00"/>
    <s v="Q2-2024"/>
    <x v="17"/>
    <d v="2024-06-25T00:00:00"/>
    <n v="2"/>
    <n v="1"/>
    <d v="2024-06-25T00:00:00"/>
    <x v="3"/>
    <x v="8"/>
    <s v="Birmingham"/>
    <s v="Small Business"/>
    <x v="2"/>
    <x v="4"/>
    <x v="6"/>
    <s v="High"/>
    <x v="360"/>
    <n v="951.44"/>
    <n v="1646.43"/>
    <n v="0.11"/>
    <n v="0"/>
    <n v="24"/>
    <s v="ok"/>
    <n v="2"/>
    <n v="2"/>
    <n v="35167.7448"/>
    <n v="22834.560000000001"/>
    <n v="12333.184799999999"/>
    <n v="606.37750000000005"/>
    <n v="1193.865"/>
    <n v="1912.0450000000001"/>
    <s v="Medium"/>
    <n v="0.35069592520473475"/>
    <d v="2023-01-15T00:00:00"/>
    <x v="0"/>
  </r>
  <r>
    <s v="ORD-2025-591006"/>
    <d v="2025-06-25T00:00:00"/>
    <s v="Q2-2025"/>
    <x v="16"/>
    <d v="2025-07-10T00:00:00"/>
    <n v="15"/>
    <n v="0"/>
    <d v="2025-07-10T00:00:00"/>
    <x v="3"/>
    <x v="8"/>
    <s v="Birmingham"/>
    <s v="Non-Profit"/>
    <x v="2"/>
    <x v="14"/>
    <x v="3"/>
    <s v="Low"/>
    <x v="361"/>
    <n v="546.83000000000004"/>
    <n v="400.84"/>
    <n v="7.8E-2"/>
    <n v="0"/>
    <n v="13"/>
    <s v="ok"/>
    <n v="15"/>
    <n v="15"/>
    <n v="4804.4682400000002"/>
    <n v="7108.7900000000009"/>
    <n v="-2304.3217600000007"/>
    <n v="606.37750000000005"/>
    <n v="1193.865"/>
    <n v="1912.0450000000001"/>
    <s v="Medium"/>
    <n v="-0.47962056254533608"/>
    <d v="2023-03-03T00:00:00"/>
    <x v="1"/>
  </r>
  <r>
    <s v="ORD-2023-159821"/>
    <d v="2023-07-01T00:00:00"/>
    <s v="Q3-2023"/>
    <x v="24"/>
    <d v="2023-07-08T00:00:00"/>
    <n v="7"/>
    <n v="1"/>
    <d v="2023-07-08T00:00:00"/>
    <x v="0"/>
    <x v="1"/>
    <s v="Port Harcourt"/>
    <s v="Corporate"/>
    <x v="0"/>
    <x v="8"/>
    <x v="4"/>
    <s v="High"/>
    <x v="362"/>
    <n v="834.26"/>
    <n v="1780.56"/>
    <n v="1.4E-2"/>
    <n v="0"/>
    <n v="47"/>
    <s v="ok"/>
    <n v="7"/>
    <n v="7"/>
    <n v="82514.711519999997"/>
    <n v="39210.22"/>
    <n v="43304.491519999996"/>
    <n v="606.37750000000005"/>
    <n v="1193.865"/>
    <n v="1912.0450000000001"/>
    <s v="Low"/>
    <n v="0.5248093427497933"/>
    <d v="2023-01-07T00:00:00"/>
    <x v="0"/>
  </r>
  <r>
    <s v="ORD-2024-343877"/>
    <d v="2024-03-09T00:00:00"/>
    <s v="Q1-2024"/>
    <x v="0"/>
    <d v="2024-03-26T00:00:00"/>
    <n v="17"/>
    <n v="0"/>
    <d v="2024-03-26T00:00:00"/>
    <x v="1"/>
    <x v="9"/>
    <s v="Shenzhen"/>
    <s v="Enterprise"/>
    <x v="1"/>
    <x v="11"/>
    <x v="5"/>
    <s v="Medium"/>
    <x v="363"/>
    <n v="1029.67"/>
    <n v="1118.43"/>
    <n v="0.27200000000000002"/>
    <n v="1"/>
    <n v="9"/>
    <s v="ok"/>
    <n v="17"/>
    <n v="17"/>
    <n v="7327.9533600000004"/>
    <n v="9267.0300000000007"/>
    <n v="-1939.0766400000002"/>
    <n v="606.37750000000005"/>
    <n v="1193.865"/>
    <n v="1912.0450000000001"/>
    <s v="Medium"/>
    <n v="-0.26461367106736061"/>
    <d v="2023-03-03T00:00:00"/>
    <x v="1"/>
  </r>
  <r>
    <s v="ORD-2023-386663"/>
    <d v="2023-06-05T00:00:00"/>
    <s v="Q2-2023"/>
    <x v="23"/>
    <d v="2023-06-28T00:00:00"/>
    <n v="23"/>
    <n v="0"/>
    <d v="2023-06-28T00:00:00"/>
    <x v="3"/>
    <x v="8"/>
    <s v="Birmingham"/>
    <s v="Corporate"/>
    <x v="4"/>
    <x v="11"/>
    <x v="1"/>
    <s v="Low"/>
    <x v="364"/>
    <n v="605.82000000000005"/>
    <n v="771.12"/>
    <n v="0.13200000000000001"/>
    <n v="0"/>
    <n v="19"/>
    <s v="ok"/>
    <n v="23"/>
    <n v="23"/>
    <n v="12717.311040000001"/>
    <n v="11510.580000000002"/>
    <n v="1206.7310399999988"/>
    <n v="606.37750000000005"/>
    <n v="1193.865"/>
    <n v="1912.0450000000001"/>
    <s v="Medium"/>
    <n v="9.4888851597986767E-2"/>
    <d v="2023-01-20T00:00:00"/>
    <x v="0"/>
  </r>
  <r>
    <s v="ORD-2025-125517"/>
    <d v="2025-03-21T00:00:00"/>
    <s v="Q1-2025"/>
    <x v="3"/>
    <d v="2025-04-09T00:00:00"/>
    <n v="19"/>
    <n v="0"/>
    <d v="2025-04-09T00:00:00"/>
    <x v="1"/>
    <x v="2"/>
    <s v="Tokyo"/>
    <s v="Small Business"/>
    <x v="3"/>
    <x v="6"/>
    <x v="0"/>
    <s v="Medium"/>
    <x v="365"/>
    <n v="1055.45"/>
    <n v="1210.04"/>
    <n v="8.9999999999999993E-3"/>
    <n v="0"/>
    <n v="18"/>
    <s v="ok"/>
    <n v="19"/>
    <n v="19"/>
    <n v="21584.693520000001"/>
    <n v="18998.100000000002"/>
    <n v="2586.5935199999985"/>
    <n v="606.37750000000005"/>
    <n v="1193.865"/>
    <n v="1912.0450000000001"/>
    <s v="Medium"/>
    <n v="0.1198346188053727"/>
    <d v="2023-01-02T00:00:00"/>
    <x v="0"/>
  </r>
  <r>
    <s v="ORD-2024-819778"/>
    <d v="2024-06-02T00:00:00"/>
    <s v="Q2-2024"/>
    <x v="17"/>
    <d v="2024-06-15T00:00:00"/>
    <n v="13"/>
    <n v="0"/>
    <d v="2024-06-15T00:00:00"/>
    <x v="0"/>
    <x v="0"/>
    <s v="Mombasa"/>
    <s v="Education"/>
    <x v="1"/>
    <x v="7"/>
    <x v="3"/>
    <s v="High"/>
    <x v="366"/>
    <n v="1295.18"/>
    <n v="3024.03"/>
    <n v="0.192"/>
    <n v="0"/>
    <n v="8"/>
    <s v="ok"/>
    <n v="13"/>
    <n v="13"/>
    <n v="19547.329920000004"/>
    <n v="10361.44"/>
    <n v="9185.8899200000033"/>
    <n v="606.37750000000005"/>
    <n v="1193.865"/>
    <n v="1912.0450000000001"/>
    <s v="Medium"/>
    <n v="0.46993067378483178"/>
    <d v="2023-01-29T00:00:00"/>
    <x v="0"/>
  </r>
  <r>
    <s v="ORD-2025-624006"/>
    <d v="2025-03-15T00:00:00"/>
    <s v="Q1-2025"/>
    <x v="3"/>
    <d v="2025-03-29T00:00:00"/>
    <n v="14"/>
    <n v="0"/>
    <d v="2025-03-29T00:00:00"/>
    <x v="1"/>
    <x v="4"/>
    <s v="Mumbai"/>
    <s v="Enterprise"/>
    <x v="4"/>
    <x v="0"/>
    <x v="0"/>
    <s v="High"/>
    <x v="367"/>
    <n v="935.83"/>
    <n v="2303.46"/>
    <n v="0.105"/>
    <n v="0"/>
    <n v="9"/>
    <s v="ok"/>
    <n v="14"/>
    <n v="14"/>
    <n v="18554.370299999999"/>
    <n v="8422.4700000000012"/>
    <n v="10131.900299999998"/>
    <n v="606.37750000000005"/>
    <n v="1193.865"/>
    <n v="1912.0450000000001"/>
    <s v="High"/>
    <n v="0.54606543559174292"/>
    <d v="2023-01-13T00:00:00"/>
    <x v="0"/>
  </r>
  <r>
    <s v="ORD-2023-132101"/>
    <d v="2023-09-25T00:00:00"/>
    <s v="Q3-2023"/>
    <x v="27"/>
    <d v="2023-10-09T00:00:00"/>
    <n v="14"/>
    <n v="0"/>
    <d v="2023-10-09T00:00:00"/>
    <x v="2"/>
    <x v="10"/>
    <s v="New York"/>
    <s v="Small Business"/>
    <x v="2"/>
    <x v="1"/>
    <x v="4"/>
    <s v="High"/>
    <x v="368"/>
    <n v="1279.56"/>
    <n v="3083.8"/>
    <n v="0.106"/>
    <n v="0"/>
    <n v="5"/>
    <s v="ok"/>
    <n v="14"/>
    <n v="14"/>
    <n v="13784.586000000001"/>
    <n v="6397.7999999999993"/>
    <n v="7386.7860000000019"/>
    <n v="606.37750000000005"/>
    <n v="1193.865"/>
    <n v="1912.0450000000001"/>
    <s v="High"/>
    <n v="0.53587289455047848"/>
    <d v="2023-01-29T00:00:00"/>
    <x v="0"/>
  </r>
  <r>
    <s v="ORD-2025-306903"/>
    <d v="2025-06-24T00:00:00"/>
    <s v="Q2-2025"/>
    <x v="16"/>
    <d v="2025-07-23T00:00:00"/>
    <n v="29"/>
    <n v="0"/>
    <d v="2025-07-23T00:00:00"/>
    <x v="2"/>
    <x v="3"/>
    <s v="Vancouver"/>
    <s v="Non-Profit"/>
    <x v="2"/>
    <x v="2"/>
    <x v="1"/>
    <s v="Low"/>
    <x v="369"/>
    <n v="255.4"/>
    <n v="322.70999999999998"/>
    <n v="0.115"/>
    <n v="0"/>
    <n v="16"/>
    <s v="ok"/>
    <n v="29"/>
    <n v="29"/>
    <n v="4569.5735999999997"/>
    <n v="4086.4"/>
    <n v="483.17359999999962"/>
    <n v="606.37750000000005"/>
    <n v="1193.865"/>
    <n v="1912.0450000000001"/>
    <s v="High"/>
    <n v="0.10573713048412212"/>
    <d v="2023-01-12T00:00:00"/>
    <x v="0"/>
  </r>
  <r>
    <s v="ORD-2023-813340"/>
    <d v="2023-12-26T00:00:00"/>
    <s v="Q4-2023"/>
    <x v="4"/>
    <d v="2024-01-03T00:00:00"/>
    <n v="8"/>
    <n v="0"/>
    <d v="2024-01-03T00:00:00"/>
    <x v="3"/>
    <x v="7"/>
    <s v="Lyon"/>
    <s v="Small Business"/>
    <x v="0"/>
    <x v="12"/>
    <x v="4"/>
    <s v="Low"/>
    <x v="370"/>
    <n v="492.75"/>
    <n v="731.29"/>
    <n v="5.8000000000000003E-2"/>
    <n v="0"/>
    <n v="6"/>
    <s v="ok"/>
    <n v="8"/>
    <n v="8"/>
    <n v="4133.25108"/>
    <n v="2956.5"/>
    <n v="1176.75108"/>
    <n v="606.37750000000005"/>
    <n v="1193.865"/>
    <n v="1912.0450000000001"/>
    <s v="Low"/>
    <n v="0.28470350753528384"/>
    <d v="2023-03-03T00:00:00"/>
    <x v="1"/>
  </r>
  <r>
    <s v="ORD-2023-855675"/>
    <d v="2023-02-05T00:00:00"/>
    <s v="Q1-2023"/>
    <x v="2"/>
    <d v="2023-02-28T00:00:00"/>
    <n v="23"/>
    <n v="0"/>
    <d v="2023-02-28T00:00:00"/>
    <x v="2"/>
    <x v="10"/>
    <s v="Austin"/>
    <s v="Non-Profit"/>
    <x v="3"/>
    <x v="4"/>
    <x v="3"/>
    <s v="Medium"/>
    <x v="371"/>
    <n v="1214.49"/>
    <n v="1533.95"/>
    <n v="0"/>
    <n v="0"/>
    <n v="11"/>
    <s v="ok"/>
    <n v="23"/>
    <n v="23"/>
    <n v="16873.45"/>
    <n v="13359.39"/>
    <n v="3514.0600000000013"/>
    <n v="606.37750000000005"/>
    <n v="1193.865"/>
    <n v="1912.0450000000001"/>
    <s v="Medium"/>
    <n v="0.20825972163369086"/>
    <d v="2023-01-22T00:00:00"/>
    <x v="0"/>
  </r>
  <r>
    <s v="ORD-2023-545150"/>
    <d v="2023-04-06T00:00:00"/>
    <s v="Q2-2023"/>
    <x v="12"/>
    <d v="2023-04-08T00:00:00"/>
    <n v="2"/>
    <n v="1"/>
    <d v="2023-04-08T00:00:00"/>
    <x v="0"/>
    <x v="1"/>
    <s v="Abuja"/>
    <s v="Small Business"/>
    <x v="2"/>
    <x v="11"/>
    <x v="5"/>
    <s v="Medium"/>
    <x v="372"/>
    <n v="720.35"/>
    <n v="1571.66"/>
    <n v="0.107"/>
    <n v="0"/>
    <n v="23"/>
    <s v="ok"/>
    <n v="2"/>
    <n v="2"/>
    <n v="32280.32474"/>
    <n v="16568.05"/>
    <n v="15712.274740000001"/>
    <n v="606.37750000000005"/>
    <n v="1193.865"/>
    <n v="1912.0450000000001"/>
    <s v="Medium"/>
    <n v="0.4867446305622265"/>
    <d v="2023-01-29T00:00:00"/>
    <x v="0"/>
  </r>
  <r>
    <s v="ORD-2025-269934"/>
    <d v="2025-04-04T00:00:00"/>
    <s v="Q2-2025"/>
    <x v="19"/>
    <d v="2025-04-10T00:00:00"/>
    <n v="6"/>
    <n v="1"/>
    <d v="2025-04-10T00:00:00"/>
    <x v="3"/>
    <x v="8"/>
    <s v="Birmingham"/>
    <s v="Non-Profit"/>
    <x v="4"/>
    <x v="13"/>
    <x v="1"/>
    <s v="Low"/>
    <x v="373"/>
    <n v="290.14"/>
    <n v="250.73"/>
    <n v="3.4000000000000002E-2"/>
    <n v="0"/>
    <n v="17"/>
    <s v="ok"/>
    <n v="6"/>
    <n v="6"/>
    <n v="4117.4880599999997"/>
    <n v="4932.38"/>
    <n v="-814.89194000000043"/>
    <n v="606.37750000000005"/>
    <n v="1193.865"/>
    <n v="1912.0450000000001"/>
    <s v="Medium"/>
    <n v="-0.19790997038131072"/>
    <d v="2023-01-15T00:00:00"/>
    <x v="0"/>
  </r>
  <r>
    <s v="ORD-2024-690270"/>
    <d v="2024-05-17T00:00:00"/>
    <s v="Q2-2024"/>
    <x v="7"/>
    <d v="2024-05-27T00:00:00"/>
    <n v="10"/>
    <n v="0"/>
    <d v="2024-05-27T00:00:00"/>
    <x v="2"/>
    <x v="10"/>
    <s v="Austin"/>
    <s v="Non-Profit"/>
    <x v="1"/>
    <x v="0"/>
    <x v="3"/>
    <s v="High"/>
    <x v="374"/>
    <n v="1484.23"/>
    <n v="3472.81"/>
    <n v="0.25600000000000001"/>
    <n v="1"/>
    <n v="12"/>
    <s v="ok"/>
    <n v="10"/>
    <n v="10"/>
    <n v="31005.24768"/>
    <n v="17810.760000000002"/>
    <n v="13194.487679999998"/>
    <n v="606.37750000000005"/>
    <n v="1193.865"/>
    <n v="1912.0450000000001"/>
    <s v="Low"/>
    <n v="0.42555659661803413"/>
    <d v="2023-01-02T00:00:00"/>
    <x v="0"/>
  </r>
  <r>
    <s v="ORD-2024-868223"/>
    <d v="2024-03-03T00:00:00"/>
    <s v="Q1-2024"/>
    <x v="0"/>
    <d v="2024-03-19T00:00:00"/>
    <n v="16"/>
    <n v="0"/>
    <d v="2024-03-19T00:00:00"/>
    <x v="1"/>
    <x v="9"/>
    <s v="Beijing"/>
    <s v="Consumer"/>
    <x v="3"/>
    <x v="3"/>
    <x v="3"/>
    <s v="Medium"/>
    <x v="375"/>
    <n v="988.83"/>
    <n v="1206.04"/>
    <n v="6.3E-2"/>
    <n v="0"/>
    <n v="34"/>
    <s v="ok"/>
    <n v="16"/>
    <n v="16"/>
    <n v="38422.022320000004"/>
    <n v="33620.22"/>
    <n v="4801.8023200000025"/>
    <n v="606.37750000000005"/>
    <n v="1193.865"/>
    <n v="1912.0450000000001"/>
    <s v="High"/>
    <n v="0.12497526236406606"/>
    <d v="2023-01-22T00:00:00"/>
    <x v="0"/>
  </r>
  <r>
    <s v="ORD-2025-188059"/>
    <d v="2025-06-27T00:00:00"/>
    <s v="Q2-2025"/>
    <x v="16"/>
    <d v="2025-07-11T00:00:00"/>
    <n v="14"/>
    <n v="0"/>
    <d v="2025-07-11T00:00:00"/>
    <x v="1"/>
    <x v="9"/>
    <s v="Shanghai"/>
    <s v="Small Business"/>
    <x v="2"/>
    <x v="4"/>
    <x v="2"/>
    <s v="High"/>
    <x v="376"/>
    <n v="1227.7"/>
    <n v="2197.23"/>
    <n v="9.9000000000000005E-2"/>
    <n v="0"/>
    <n v="22"/>
    <s v="ok"/>
    <n v="14"/>
    <n v="14"/>
    <n v="43553.493060000001"/>
    <n v="27009.4"/>
    <n v="16544.093059999999"/>
    <n v="606.37750000000005"/>
    <n v="1193.865"/>
    <n v="1912.0450000000001"/>
    <s v="Medium"/>
    <n v="0.37985685871873898"/>
    <d v="2023-01-20T00:00:00"/>
    <x v="0"/>
  </r>
  <r>
    <s v="ORD-2023-281890"/>
    <d v="2023-03-13T00:00:00"/>
    <s v="Q1-2023"/>
    <x v="22"/>
    <d v="2023-04-04T00:00:00"/>
    <n v="22"/>
    <n v="0"/>
    <d v="2023-04-04T00:00:00"/>
    <x v="0"/>
    <x v="11"/>
    <s v="Durban"/>
    <s v="Small Business"/>
    <x v="0"/>
    <x v="8"/>
    <x v="0"/>
    <s v="High"/>
    <x v="377"/>
    <n v="1113.7"/>
    <n v="1620.6"/>
    <n v="0.13900000000000001"/>
    <n v="0"/>
    <n v="11"/>
    <s v="ok"/>
    <n v="22"/>
    <n v="22"/>
    <n v="15348.702599999999"/>
    <n v="12250.7"/>
    <n v="3098.002599999998"/>
    <n v="606.37750000000005"/>
    <n v="1193.865"/>
    <n v="1912.0450000000001"/>
    <s v="High"/>
    <n v="0.20184133348182787"/>
    <d v="2023-03-03T00:00:00"/>
    <x v="1"/>
  </r>
  <r>
    <s v="ORD-2025-636162"/>
    <d v="2025-01-07T00:00:00"/>
    <s v="Q1-2025"/>
    <x v="10"/>
    <d v="2025-01-20T00:00:00"/>
    <n v="13"/>
    <n v="0"/>
    <d v="2025-01-20T00:00:00"/>
    <x v="0"/>
    <x v="11"/>
    <s v="Cape Town"/>
    <s v="Corporate"/>
    <x v="4"/>
    <x v="11"/>
    <x v="2"/>
    <s v="Medium"/>
    <x v="378"/>
    <n v="432.13"/>
    <n v="1034.6600000000001"/>
    <n v="9.1999999999999998E-2"/>
    <n v="0"/>
    <n v="7"/>
    <s v="ok"/>
    <n v="13"/>
    <n v="13"/>
    <n v="6576.298960000001"/>
    <n v="3024.91"/>
    <n v="3551.3889600000011"/>
    <n v="606.37750000000005"/>
    <n v="1193.865"/>
    <n v="1912.0450000000001"/>
    <s v="Medium"/>
    <n v="0.54002851476204794"/>
    <d v="2023-01-13T00:00:00"/>
    <x v="0"/>
  </r>
  <r>
    <s v="ORD-2025-915869"/>
    <d v="2025-02-06T00:00:00"/>
    <s v="Q1-2025"/>
    <x v="26"/>
    <d v="2025-02-15T00:00:00"/>
    <n v="9"/>
    <n v="0"/>
    <d v="2025-02-15T00:00:00"/>
    <x v="2"/>
    <x v="5"/>
    <s v="São Paulo"/>
    <s v="Non-Profit"/>
    <x v="3"/>
    <x v="9"/>
    <x v="2"/>
    <s v="High"/>
    <x v="379"/>
    <n v="837.39"/>
    <n v="1905.42"/>
    <n v="3.2000000000000001E-2"/>
    <n v="0"/>
    <n v="18"/>
    <s v="ok"/>
    <n v="9"/>
    <n v="9"/>
    <n v="33200.038079999998"/>
    <n v="15073.02"/>
    <n v="18127.018079999998"/>
    <n v="606.37750000000005"/>
    <n v="1193.865"/>
    <n v="1912.0450000000001"/>
    <s v="Medium"/>
    <n v="0.54599389423350919"/>
    <d v="2023-01-02T00:00:00"/>
    <x v="0"/>
  </r>
  <r>
    <s v="ORD-2025-192876"/>
    <d v="2025-01-31T00:00:00"/>
    <s v="Q1-2025"/>
    <x v="10"/>
    <d v="2025-02-17T00:00:00"/>
    <n v="17"/>
    <n v="0"/>
    <d v="2025-02-17T00:00:00"/>
    <x v="3"/>
    <x v="8"/>
    <s v="London"/>
    <s v="Enterprise"/>
    <x v="0"/>
    <x v="10"/>
    <x v="0"/>
    <s v="Low"/>
    <x v="78"/>
    <n v="378.26"/>
    <n v="541.55999999999995"/>
    <n v="0.16300000000000001"/>
    <n v="0"/>
    <n v="25"/>
    <s v="ok"/>
    <n v="17"/>
    <n v="17"/>
    <n v="11332.142999999998"/>
    <n v="9456.5"/>
    <n v="1875.6429999999982"/>
    <n v="606.37750000000005"/>
    <n v="1193.865"/>
    <n v="1912.0450000000001"/>
    <s v="Medium"/>
    <n v="0.16551529573885526"/>
    <d v="2023-01-02T00:00:00"/>
    <x v="0"/>
  </r>
  <r>
    <s v="ORD-2025-822030"/>
    <d v="2025-08-07T00:00:00"/>
    <s v="Q3-2025"/>
    <x v="28"/>
    <d v="2025-09-06T00:00:00"/>
    <n v="30"/>
    <n v="0"/>
    <d v="2025-09-06T00:00:00"/>
    <x v="2"/>
    <x v="3"/>
    <s v="Montreal"/>
    <s v="Education"/>
    <x v="4"/>
    <x v="12"/>
    <x v="2"/>
    <s v="Medium"/>
    <x v="380"/>
    <n v="833.73"/>
    <n v="1116.5999999999999"/>
    <n v="0.17599999999999999"/>
    <n v="0"/>
    <n v="14"/>
    <s v="ok"/>
    <n v="30"/>
    <n v="30"/>
    <n v="12881.097599999999"/>
    <n v="11672.220000000001"/>
    <n v="1208.877599999998"/>
    <n v="606.37750000000005"/>
    <n v="1193.865"/>
    <n v="1912.0450000000001"/>
    <s v="Low"/>
    <n v="9.3848958958279924E-2"/>
    <d v="2023-01-13T00:00:00"/>
    <x v="0"/>
  </r>
  <r>
    <s v="ORD-2025-789245"/>
    <d v="2025-07-23T00:00:00"/>
    <s v="Q3-2025"/>
    <x v="13"/>
    <d v="2025-08-17T00:00:00"/>
    <n v="25"/>
    <n v="0"/>
    <d v="2025-08-17T00:00:00"/>
    <x v="3"/>
    <x v="8"/>
    <s v="Birmingham"/>
    <s v="Education"/>
    <x v="1"/>
    <x v="2"/>
    <x v="1"/>
    <s v="Medium"/>
    <x v="381"/>
    <n v="1142.06"/>
    <n v="1455"/>
    <n v="7.8E-2"/>
    <n v="0"/>
    <n v="28"/>
    <s v="ok"/>
    <n v="25"/>
    <n v="25"/>
    <n v="37562.28"/>
    <n v="31977.68"/>
    <n v="5584.5999999999985"/>
    <n v="606.37750000000005"/>
    <n v="1193.865"/>
    <n v="1912.0450000000001"/>
    <s v="Medium"/>
    <n v="0.1486757459877302"/>
    <d v="2023-03-03T00:00:00"/>
    <x v="1"/>
  </r>
  <r>
    <s v="ORD-2023-594955"/>
    <d v="2023-06-20T00:00:00"/>
    <s v="Q2-2023"/>
    <x v="23"/>
    <d v="2023-07-08T00:00:00"/>
    <n v="18"/>
    <n v="0"/>
    <d v="2023-07-08T00:00:00"/>
    <x v="2"/>
    <x v="10"/>
    <s v="New York"/>
    <s v="Consumer"/>
    <x v="2"/>
    <x v="7"/>
    <x v="2"/>
    <s v="Medium"/>
    <x v="382"/>
    <n v="1145.53"/>
    <n v="1278.3"/>
    <n v="0.09"/>
    <n v="0"/>
    <n v="41"/>
    <s v="ok"/>
    <n v="18"/>
    <n v="18"/>
    <n v="47693.373"/>
    <n v="46966.729999999996"/>
    <n v="726.64300000000367"/>
    <n v="606.37750000000005"/>
    <n v="1193.865"/>
    <n v="1912.0450000000001"/>
    <s v="Medium"/>
    <n v="1.5235722581416158E-2"/>
    <d v="2023-01-22T00:00:00"/>
    <x v="0"/>
  </r>
  <r>
    <s v="ORD-2024-398783"/>
    <d v="2024-07-18T00:00:00"/>
    <s v="Q3-2024"/>
    <x v="14"/>
    <d v="2024-08-07T00:00:00"/>
    <n v="20"/>
    <n v="0"/>
    <d v="2024-08-07T00:00:00"/>
    <x v="3"/>
    <x v="7"/>
    <s v="Marseille"/>
    <s v="Corporate"/>
    <x v="0"/>
    <x v="9"/>
    <x v="5"/>
    <s v="Medium"/>
    <x v="383"/>
    <n v="941.35"/>
    <n v="899.83"/>
    <n v="5.8000000000000003E-2"/>
    <n v="0"/>
    <n v="18"/>
    <s v="ok"/>
    <n v="20"/>
    <n v="20"/>
    <n v="15257.51748"/>
    <n v="16944.3"/>
    <n v="-1686.7825199999988"/>
    <n v="606.37750000000005"/>
    <n v="1193.865"/>
    <n v="1912.0450000000001"/>
    <s v="Medium"/>
    <n v="-0.11055419220139073"/>
    <d v="2023-01-29T00:00:00"/>
    <x v="0"/>
  </r>
  <r>
    <s v="ORD-2023-676553"/>
    <d v="2023-05-20T00:00:00"/>
    <s v="Q2-2023"/>
    <x v="15"/>
    <d v="2023-06-19T00:00:00"/>
    <n v="30"/>
    <n v="0"/>
    <d v="2023-06-19T00:00:00"/>
    <x v="1"/>
    <x v="4"/>
    <s v="Delhi"/>
    <s v="Non-Profit"/>
    <x v="2"/>
    <x v="10"/>
    <x v="4"/>
    <s v="Medium"/>
    <x v="384"/>
    <n v="1161.2"/>
    <n v="878.73"/>
    <n v="0.19"/>
    <n v="0"/>
    <n v="31"/>
    <s v="ok"/>
    <n v="30"/>
    <n v="30"/>
    <n v="22064.910300000003"/>
    <n v="35997.200000000004"/>
    <n v="-13932.289700000001"/>
    <n v="606.37750000000005"/>
    <n v="1193.865"/>
    <n v="1912.0450000000001"/>
    <s v="Medium"/>
    <n v="-0.63142290227212028"/>
    <d v="2023-01-19T00:00:00"/>
    <x v="0"/>
  </r>
  <r>
    <s v="ORD-2025-866565"/>
    <d v="2025-05-12T00:00:00"/>
    <s v="Q2-2025"/>
    <x v="8"/>
    <d v="2025-05-26T00:00:00"/>
    <n v="14"/>
    <n v="0"/>
    <d v="2025-05-26T00:00:00"/>
    <x v="1"/>
    <x v="4"/>
    <s v="Hyderabad"/>
    <s v="Corporate"/>
    <x v="2"/>
    <x v="3"/>
    <x v="1"/>
    <s v="Low"/>
    <x v="385"/>
    <n v="320.12"/>
    <n v="594.41999999999996"/>
    <n v="0.104"/>
    <n v="0"/>
    <n v="18"/>
    <s v="ok"/>
    <n v="14"/>
    <n v="14"/>
    <n v="9586.8057599999993"/>
    <n v="5762.16"/>
    <n v="3824.6457599999994"/>
    <n v="606.37750000000005"/>
    <n v="1193.865"/>
    <n v="1912.0450000000001"/>
    <s v="Medium"/>
    <n v="0.39894891538931104"/>
    <d v="2023-01-22T00:00:00"/>
    <x v="0"/>
  </r>
  <r>
    <s v="ORD-2024-527858"/>
    <d v="2024-05-07T00:00:00"/>
    <s v="Q2-2024"/>
    <x v="7"/>
    <d v="2024-05-12T00:00:00"/>
    <n v="5"/>
    <n v="1"/>
    <d v="2024-05-12T00:00:00"/>
    <x v="0"/>
    <x v="1"/>
    <s v="Abuja"/>
    <s v="Non-Profit"/>
    <x v="3"/>
    <x v="4"/>
    <x v="4"/>
    <s v="Medium"/>
    <x v="386"/>
    <n v="1163.99"/>
    <n v="1617.85"/>
    <n v="0.127"/>
    <n v="0"/>
    <n v="14"/>
    <s v="ok"/>
    <n v="5"/>
    <n v="5"/>
    <n v="19773.362699999998"/>
    <n v="16295.86"/>
    <n v="3477.5026999999973"/>
    <n v="606.37750000000005"/>
    <n v="1193.865"/>
    <n v="1912.0450000000001"/>
    <s v="Low"/>
    <n v="0.17586804797749436"/>
    <d v="2023-01-29T00:00:00"/>
    <x v="0"/>
  </r>
  <r>
    <s v="ORD-2023-619385"/>
    <d v="2023-09-30T00:00:00"/>
    <s v="Q3-2023"/>
    <x v="27"/>
    <d v="2023-10-03T00:00:00"/>
    <n v="3"/>
    <n v="1"/>
    <d v="2023-10-03T00:00:00"/>
    <x v="1"/>
    <x v="9"/>
    <s v="Beijing"/>
    <s v="Non-Profit"/>
    <x v="0"/>
    <x v="1"/>
    <x v="4"/>
    <s v="Medium"/>
    <x v="387"/>
    <n v="1019.36"/>
    <n v="972.91"/>
    <n v="0.14699999999999999"/>
    <n v="0"/>
    <n v="17"/>
    <s v="ok"/>
    <n v="3"/>
    <n v="3"/>
    <n v="14108.16791"/>
    <n v="17329.12"/>
    <n v="-3220.9520899999989"/>
    <n v="606.37750000000005"/>
    <n v="1193.865"/>
    <n v="1912.0450000000001"/>
    <s v="Medium"/>
    <n v="-0.22830406545678819"/>
    <d v="2023-01-15T00:00:00"/>
    <x v="0"/>
  </r>
  <r>
    <s v="ORD-2023-835226"/>
    <d v="2023-10-26T00:00:00"/>
    <s v="Q4-2023"/>
    <x v="32"/>
    <d v="2023-11-05T00:00:00"/>
    <n v="10"/>
    <n v="0"/>
    <d v="2023-11-05T00:00:00"/>
    <x v="0"/>
    <x v="11"/>
    <s v="Cape Town"/>
    <s v="Non-Profit"/>
    <x v="1"/>
    <x v="2"/>
    <x v="4"/>
    <s v="Low"/>
    <x v="388"/>
    <n v="20.38"/>
    <n v="42.56"/>
    <n v="7.1999999999999995E-2"/>
    <n v="0"/>
    <n v="11"/>
    <s v="ok"/>
    <n v="10"/>
    <n v="10"/>
    <n v="434.45248000000004"/>
    <n v="224.17999999999998"/>
    <n v="210.27248000000006"/>
    <n v="606.37750000000005"/>
    <n v="1193.865"/>
    <n v="1912.0450000000001"/>
    <s v="Medium"/>
    <n v="0.48399419885921713"/>
    <d v="2023-01-22T00:00:00"/>
    <x v="0"/>
  </r>
  <r>
    <s v="ORD-2025-485946"/>
    <d v="2025-06-15T00:00:00"/>
    <s v="Q2-2025"/>
    <x v="16"/>
    <d v="2025-06-30T00:00:00"/>
    <n v="15"/>
    <n v="0"/>
    <d v="2025-06-30T00:00:00"/>
    <x v="0"/>
    <x v="11"/>
    <s v="Johannesburg"/>
    <s v="Small Business"/>
    <x v="4"/>
    <x v="0"/>
    <x v="5"/>
    <s v="Medium"/>
    <x v="389"/>
    <n v="1487.59"/>
    <n v="1480.83"/>
    <n v="8.9999999999999993E-3"/>
    <n v="0"/>
    <n v="11"/>
    <s v="ok"/>
    <n v="15"/>
    <n v="15"/>
    <n v="16142.527829999999"/>
    <n v="16363.49"/>
    <n v="-220.9621700000007"/>
    <n v="606.37750000000005"/>
    <n v="1193.865"/>
    <n v="1912.0450000000001"/>
    <s v="Low"/>
    <n v="-1.3688201273492908E-2"/>
    <d v="2023-01-29T00:00:00"/>
    <x v="0"/>
  </r>
  <r>
    <s v="ORD-2024-307849"/>
    <d v="2024-08-10T00:00:00"/>
    <s v="Q3-2024"/>
    <x v="21"/>
    <d v="2024-09-07T00:00:00"/>
    <n v="28"/>
    <n v="0"/>
    <d v="2024-09-07T00:00:00"/>
    <x v="3"/>
    <x v="7"/>
    <s v="Marseille"/>
    <s v="Non-Profit"/>
    <x v="4"/>
    <x v="9"/>
    <x v="1"/>
    <s v="Low"/>
    <x v="390"/>
    <n v="229.96"/>
    <n v="564.26"/>
    <n v="0.105"/>
    <n v="0"/>
    <n v="5"/>
    <s v="ok"/>
    <n v="28"/>
    <n v="28"/>
    <n v="2525.0635000000002"/>
    <n v="1149.8"/>
    <n v="1375.2635000000002"/>
    <n v="606.37750000000005"/>
    <n v="1193.865"/>
    <n v="1912.0450000000001"/>
    <s v="Medium"/>
    <n v="0.54464511486542821"/>
    <d v="2023-01-07T00:00:00"/>
    <x v="0"/>
  </r>
  <r>
    <s v="ORD-2023-368449"/>
    <d v="2023-10-09T00:00:00"/>
    <s v="Q4-2023"/>
    <x v="32"/>
    <d v="2023-10-26T00:00:00"/>
    <n v="17"/>
    <n v="0"/>
    <d v="2023-10-26T00:00:00"/>
    <x v="1"/>
    <x v="9"/>
    <s v="Shanghai"/>
    <s v="Consumer"/>
    <x v="2"/>
    <x v="0"/>
    <x v="0"/>
    <s v="High"/>
    <x v="391"/>
    <n v="1132.03"/>
    <n v="2137.21"/>
    <n v="0.35699999999999998"/>
    <n v="1"/>
    <n v="35"/>
    <s v="ok"/>
    <n v="17"/>
    <n v="17"/>
    <n v="48097.911050000002"/>
    <n v="39621.049999999996"/>
    <n v="8476.8610500000068"/>
    <n v="606.37750000000005"/>
    <n v="1193.865"/>
    <n v="1912.0450000000001"/>
    <s v="Low"/>
    <n v="0.17624177152284051"/>
    <d v="2023-01-15T00:00:00"/>
    <x v="0"/>
  </r>
  <r>
    <s v="ORD-2024-251426"/>
    <d v="2024-03-09T00:00:00"/>
    <s v="Q1-2024"/>
    <x v="0"/>
    <d v="2024-03-26T00:00:00"/>
    <n v="17"/>
    <n v="0"/>
    <d v="2024-03-26T00:00:00"/>
    <x v="2"/>
    <x v="10"/>
    <s v="San Francisco"/>
    <s v="Education"/>
    <x v="4"/>
    <x v="2"/>
    <x v="3"/>
    <s v="High"/>
    <x v="392"/>
    <n v="1137.4100000000001"/>
    <n v="1680.93"/>
    <n v="0.254"/>
    <n v="1"/>
    <n v="9"/>
    <s v="ok"/>
    <n v="17"/>
    <n v="17"/>
    <n v="11285.764020000001"/>
    <n v="10236.69"/>
    <n v="1049.07402"/>
    <n v="606.37750000000005"/>
    <n v="1193.865"/>
    <n v="1912.0450000000001"/>
    <s v="High"/>
    <n v="9.2955516183121464E-2"/>
    <d v="2023-01-02T00:00:00"/>
    <x v="0"/>
  </r>
  <r>
    <s v="ORD-2023-927385"/>
    <d v="2023-05-29T00:00:00"/>
    <s v="Q2-2023"/>
    <x v="15"/>
    <d v="2023-06-20T00:00:00"/>
    <n v="22"/>
    <n v="0"/>
    <d v="2023-06-20T00:00:00"/>
    <x v="3"/>
    <x v="8"/>
    <s v="London"/>
    <s v="Small Business"/>
    <x v="4"/>
    <x v="11"/>
    <x v="0"/>
    <s v="High"/>
    <x v="393"/>
    <n v="1295.3900000000001"/>
    <n v="2905.06"/>
    <n v="0.14799999999999999"/>
    <n v="0"/>
    <n v="8"/>
    <s v="ok"/>
    <n v="22"/>
    <n v="22"/>
    <n v="19800.88896"/>
    <n v="10363.120000000001"/>
    <n v="9437.7689599999994"/>
    <n v="606.37750000000005"/>
    <n v="1193.865"/>
    <n v="1912.0450000000001"/>
    <s v="Medium"/>
    <n v="0.47663359857556614"/>
    <d v="2023-01-19T00:00:00"/>
    <x v="0"/>
  </r>
  <r>
    <s v="ORD-2025-486350"/>
    <d v="2025-05-27T00:00:00"/>
    <s v="Q2-2025"/>
    <x v="8"/>
    <d v="2025-06-08T00:00:00"/>
    <n v="12"/>
    <n v="0"/>
    <d v="2025-06-08T00:00:00"/>
    <x v="1"/>
    <x v="2"/>
    <s v="Osaka"/>
    <s v="Corporate"/>
    <x v="0"/>
    <x v="10"/>
    <x v="6"/>
    <s v="Medium"/>
    <x v="394"/>
    <n v="653.6"/>
    <n v="842.09"/>
    <n v="9.8000000000000004E-2"/>
    <n v="0"/>
    <n v="19"/>
    <s v="ok"/>
    <n v="12"/>
    <n v="12"/>
    <n v="14431.738420000001"/>
    <n v="12418.4"/>
    <n v="2013.3384200000019"/>
    <n v="606.37750000000005"/>
    <n v="1193.865"/>
    <n v="1912.0450000000001"/>
    <s v="High"/>
    <n v="0.13950768517324622"/>
    <d v="2023-01-15T00:00:00"/>
    <x v="0"/>
  </r>
  <r>
    <s v="ORD-2025-677880"/>
    <d v="2025-08-21T00:00:00"/>
    <s v="Q3-2025"/>
    <x v="28"/>
    <d v="2025-09-14T00:00:00"/>
    <n v="24"/>
    <n v="0"/>
    <d v="2025-09-14T00:00:00"/>
    <x v="3"/>
    <x v="6"/>
    <s v="Berlin"/>
    <s v="Non-Profit"/>
    <x v="1"/>
    <x v="8"/>
    <x v="5"/>
    <s v="High"/>
    <x v="395"/>
    <n v="1397.67"/>
    <n v="3131.37"/>
    <n v="0.10299999999999999"/>
    <n v="0"/>
    <n v="20"/>
    <s v="ok"/>
    <n v="24"/>
    <n v="24"/>
    <n v="56176.777799999996"/>
    <n v="27953.4"/>
    <n v="28223.377799999995"/>
    <n v="606.37750000000005"/>
    <n v="1193.865"/>
    <n v="1912.0450000000001"/>
    <s v="Medium"/>
    <n v="0.50240293062874808"/>
    <d v="2023-01-29T00:00:00"/>
    <x v="0"/>
  </r>
  <r>
    <s v="ORD-2024-102866"/>
    <d v="2024-12-12T00:00:00"/>
    <s v="Q4-2024"/>
    <x v="6"/>
    <d v="2024-12-20T00:00:00"/>
    <n v="8"/>
    <n v="0"/>
    <d v="2024-12-20T00:00:00"/>
    <x v="1"/>
    <x v="2"/>
    <s v="Tokyo"/>
    <s v="Corporate"/>
    <x v="0"/>
    <x v="5"/>
    <x v="4"/>
    <s v="Medium"/>
    <x v="396"/>
    <n v="1202.47"/>
    <n v="1444.72"/>
    <n v="0.24099999999999999"/>
    <n v="1"/>
    <n v="17"/>
    <s v="ok"/>
    <n v="8"/>
    <n v="8"/>
    <n v="18641.222160000001"/>
    <n v="20441.990000000002"/>
    <n v="-1800.7678400000004"/>
    <n v="606.37750000000005"/>
    <n v="1193.865"/>
    <n v="1912.0450000000001"/>
    <s v="High"/>
    <n v="-9.6601382921343834E-2"/>
    <d v="2023-01-10T00:00:00"/>
    <x v="0"/>
  </r>
  <r>
    <s v="ORD-2025-588029"/>
    <d v="2025-09-14T00:00:00"/>
    <s v="Q3-2025"/>
    <x v="11"/>
    <d v="2025-09-23T00:00:00"/>
    <n v="9"/>
    <n v="0"/>
    <d v="2025-09-23T00:00:00"/>
    <x v="0"/>
    <x v="11"/>
    <s v="Durban"/>
    <s v="Non-Profit"/>
    <x v="1"/>
    <x v="14"/>
    <x v="0"/>
    <s v="High"/>
    <x v="397"/>
    <n v="1310.3"/>
    <n v="2875.8"/>
    <n v="8.3000000000000004E-2"/>
    <n v="0"/>
    <n v="5"/>
    <s v="ok"/>
    <n v="9"/>
    <n v="9"/>
    <n v="13185.543"/>
    <n v="6551.5"/>
    <n v="6634.0429999999997"/>
    <n v="606.37750000000005"/>
    <n v="1193.865"/>
    <n v="1912.0450000000001"/>
    <s v="Medium"/>
    <n v="0.50313005691157353"/>
    <d v="2023-01-29T00:00:00"/>
    <x v="0"/>
  </r>
  <r>
    <s v="ORD-2024-972999"/>
    <d v="2024-09-06T00:00:00"/>
    <s v="Q3-2024"/>
    <x v="29"/>
    <d v="2024-10-04T00:00:00"/>
    <n v="28"/>
    <n v="0"/>
    <d v="2024-10-04T00:00:00"/>
    <x v="0"/>
    <x v="11"/>
    <s v="Cape Town"/>
    <s v="Corporate"/>
    <x v="2"/>
    <x v="14"/>
    <x v="5"/>
    <s v="High"/>
    <x v="398"/>
    <n v="1174.17"/>
    <n v="1641.61"/>
    <n v="0.122"/>
    <n v="0"/>
    <n v="9"/>
    <s v="ok"/>
    <n v="28"/>
    <n v="28"/>
    <n v="12972.00222"/>
    <n v="10567.53"/>
    <n v="2404.4722199999997"/>
    <n v="606.37750000000005"/>
    <n v="1193.865"/>
    <n v="1912.0450000000001"/>
    <s v="High"/>
    <n v="0.18535860380079394"/>
    <d v="2023-01-29T00:00:00"/>
    <x v="0"/>
  </r>
  <r>
    <s v="ORD-2025-608069"/>
    <d v="2025-04-12T00:00:00"/>
    <s v="Q2-2025"/>
    <x v="19"/>
    <d v="2025-04-30T00:00:00"/>
    <n v="18"/>
    <n v="0"/>
    <d v="2025-04-30T00:00:00"/>
    <x v="0"/>
    <x v="0"/>
    <s v="Kisumu"/>
    <s v="Corporate"/>
    <x v="2"/>
    <x v="9"/>
    <x v="2"/>
    <s v="Medium"/>
    <x v="399"/>
    <n v="1119.04"/>
    <n v="1299.02"/>
    <n v="2.5000000000000001E-2"/>
    <n v="0"/>
    <n v="14"/>
    <s v="ok"/>
    <n v="18"/>
    <n v="18"/>
    <n v="17731.623"/>
    <n v="15666.56"/>
    <n v="2065.0630000000001"/>
    <n v="606.37750000000005"/>
    <n v="1193.865"/>
    <n v="1912.0450000000001"/>
    <s v="Medium"/>
    <n v="0.11646215352085933"/>
    <d v="2023-01-22T00:00:00"/>
    <x v="0"/>
  </r>
  <r>
    <s v="ORD-2024-626750"/>
    <d v="2024-08-12T00:00:00"/>
    <s v="Q3-2024"/>
    <x v="21"/>
    <d v="2024-08-15T00:00:00"/>
    <n v="3"/>
    <n v="1"/>
    <d v="2024-08-15T00:00:00"/>
    <x v="2"/>
    <x v="10"/>
    <s v="Chicago"/>
    <s v="Corporate"/>
    <x v="2"/>
    <x v="14"/>
    <x v="1"/>
    <s v="Medium"/>
    <x v="400"/>
    <n v="850.7"/>
    <n v="1118.56"/>
    <n v="0.18"/>
    <n v="0"/>
    <n v="19"/>
    <s v="ok"/>
    <n v="3"/>
    <n v="3"/>
    <n v="17427.164800000002"/>
    <n v="16163.300000000001"/>
    <n v="1263.8648000000012"/>
    <n v="606.37750000000005"/>
    <n v="1193.865"/>
    <n v="1912.0450000000001"/>
    <s v="Medium"/>
    <n v="7.2522685962090688E-2"/>
    <d v="2023-01-02T00:00:00"/>
    <x v="0"/>
  </r>
  <r>
    <s v="ORD-2024-170021"/>
    <d v="2024-11-05T00:00:00"/>
    <s v="Q4-2024"/>
    <x v="18"/>
    <d v="2024-11-08T00:00:00"/>
    <n v="3"/>
    <n v="1"/>
    <d v="2024-11-08T00:00:00"/>
    <x v="2"/>
    <x v="3"/>
    <s v="Toronto"/>
    <s v="Education"/>
    <x v="2"/>
    <x v="7"/>
    <x v="0"/>
    <s v="Medium"/>
    <x v="401"/>
    <n v="1020.4"/>
    <n v="1184.71"/>
    <n v="0.106"/>
    <n v="0"/>
    <n v="16"/>
    <s v="ok"/>
    <n v="3"/>
    <n v="3"/>
    <n v="16946.091840000001"/>
    <n v="16326.4"/>
    <n v="619.69184000000132"/>
    <n v="606.37750000000005"/>
    <n v="1193.865"/>
    <n v="1912.0450000000001"/>
    <s v="Medium"/>
    <n v="3.6568422138328345E-2"/>
    <d v="2023-01-10T00:00:00"/>
    <x v="0"/>
  </r>
  <r>
    <s v="ORD-2024-678110"/>
    <d v="2024-07-24T00:00:00"/>
    <s v="Q3-2024"/>
    <x v="14"/>
    <d v="2024-08-08T00:00:00"/>
    <n v="15"/>
    <n v="0"/>
    <d v="2024-08-08T00:00:00"/>
    <x v="3"/>
    <x v="7"/>
    <s v="Marseille"/>
    <s v="Enterprise"/>
    <x v="2"/>
    <x v="10"/>
    <x v="4"/>
    <s v="Medium"/>
    <x v="402"/>
    <n v="501.5"/>
    <n v="1201.47"/>
    <n v="0.126"/>
    <n v="0"/>
    <n v="5"/>
    <s v="ok"/>
    <n v="15"/>
    <n v="15"/>
    <n v="5250.4239000000007"/>
    <n v="2507.5"/>
    <n v="2742.9239000000007"/>
    <n v="606.37750000000005"/>
    <n v="1193.865"/>
    <n v="1912.0450000000001"/>
    <s v="Medium"/>
    <n v="0.52241951359394057"/>
    <d v="2023-01-29T00:00:00"/>
    <x v="0"/>
  </r>
  <r>
    <s v="ORD-2025-909340"/>
    <d v="2025-01-20T00:00:00"/>
    <s v="Q1-2025"/>
    <x v="10"/>
    <d v="2025-02-03T00:00:00"/>
    <n v="14"/>
    <n v="0"/>
    <d v="2025-02-03T00:00:00"/>
    <x v="2"/>
    <x v="5"/>
    <s v="Brasília"/>
    <s v="Enterprise"/>
    <x v="2"/>
    <x v="9"/>
    <x v="0"/>
    <s v="Medium"/>
    <x v="403"/>
    <n v="974.11"/>
    <n v="880.99"/>
    <n v="0.111"/>
    <n v="0"/>
    <n v="10"/>
    <s v="ok"/>
    <n v="14"/>
    <n v="14"/>
    <n v="7832.0010999999995"/>
    <n v="9741.1"/>
    <n v="-1909.0989000000009"/>
    <n v="606.37750000000005"/>
    <n v="1193.865"/>
    <n v="1912.0450000000001"/>
    <s v="Medium"/>
    <n v="-0.2437562093805121"/>
    <d v="2023-01-13T00:00:00"/>
    <x v="0"/>
  </r>
  <r>
    <s v="ORD-2023-854471"/>
    <d v="2023-03-06T00:00:00"/>
    <s v="Q1-2023"/>
    <x v="22"/>
    <d v="2023-04-04T00:00:00"/>
    <n v="29"/>
    <n v="0"/>
    <d v="2023-04-04T00:00:00"/>
    <x v="1"/>
    <x v="9"/>
    <s v="Beijing"/>
    <s v="Small Business"/>
    <x v="4"/>
    <x v="0"/>
    <x v="5"/>
    <s v="High"/>
    <x v="404"/>
    <n v="1126.29"/>
    <n v="2050.87"/>
    <n v="6.4000000000000001E-2"/>
    <n v="0"/>
    <n v="7"/>
    <s v="ok"/>
    <n v="29"/>
    <n v="29"/>
    <n v="13437.300239999999"/>
    <n v="7884.03"/>
    <n v="5553.2702399999989"/>
    <n v="606.37750000000005"/>
    <n v="1193.865"/>
    <n v="1912.0450000000001"/>
    <s v="Medium"/>
    <n v="0.41327276616690373"/>
    <d v="2023-01-22T00:00:00"/>
    <x v="0"/>
  </r>
  <r>
    <s v="ORD-2024-390951"/>
    <d v="2024-12-20T00:00:00"/>
    <s v="Q4-2024"/>
    <x v="6"/>
    <d v="2025-01-14T00:00:00"/>
    <n v="25"/>
    <n v="0"/>
    <d v="2025-01-14T00:00:00"/>
    <x v="1"/>
    <x v="4"/>
    <s v="Delhi"/>
    <s v="Small Business"/>
    <x v="0"/>
    <x v="12"/>
    <x v="1"/>
    <s v="High"/>
    <x v="405"/>
    <n v="1361.34"/>
    <n v="1737.9"/>
    <n v="7.6999999999999999E-2"/>
    <n v="0"/>
    <n v="14"/>
    <s v="ok"/>
    <n v="25"/>
    <n v="25"/>
    <n v="22457.143800000002"/>
    <n v="19058.759999999998"/>
    <n v="3398.3838000000032"/>
    <n v="606.37750000000005"/>
    <n v="1193.865"/>
    <n v="1912.0450000000001"/>
    <s v="High"/>
    <n v="0.15132751654731813"/>
    <d v="2023-01-07T00:00:00"/>
    <x v="0"/>
  </r>
  <r>
    <s v="ORD-2025-881624"/>
    <d v="2025-02-21T00:00:00"/>
    <s v="Q1-2025"/>
    <x v="26"/>
    <d v="2025-03-21T00:00:00"/>
    <n v="28"/>
    <n v="0"/>
    <d v="2025-03-21T00:00:00"/>
    <x v="0"/>
    <x v="1"/>
    <s v="Abuja"/>
    <s v="Enterprise"/>
    <x v="2"/>
    <x v="2"/>
    <x v="3"/>
    <s v="Medium"/>
    <x v="406"/>
    <n v="1437.39"/>
    <n v="1388.31"/>
    <n v="0.13800000000000001"/>
    <n v="0"/>
    <n v="18"/>
    <s v="ok"/>
    <n v="28"/>
    <n v="28"/>
    <n v="21541.017959999997"/>
    <n v="25873.02"/>
    <n v="-4332.002040000003"/>
    <n v="606.37750000000005"/>
    <n v="1193.865"/>
    <n v="1912.0450000000001"/>
    <s v="Medium"/>
    <n v="-0.20110479681341872"/>
    <d v="2023-01-29T00:00:00"/>
    <x v="0"/>
  </r>
  <r>
    <s v="ORD-2025-512310"/>
    <d v="2025-03-08T00:00:00"/>
    <s v="Q1-2025"/>
    <x v="3"/>
    <d v="2025-03-15T00:00:00"/>
    <n v="7"/>
    <n v="1"/>
    <d v="2025-03-15T00:00:00"/>
    <x v="1"/>
    <x v="4"/>
    <s v="Bengaluru"/>
    <s v="Corporate"/>
    <x v="3"/>
    <x v="11"/>
    <x v="4"/>
    <s v="Low"/>
    <x v="407"/>
    <n v="475.66"/>
    <n v="529.14"/>
    <n v="0.19600000000000001"/>
    <n v="0"/>
    <n v="11"/>
    <s v="ok"/>
    <n v="7"/>
    <n v="7"/>
    <n v="4679.7141600000004"/>
    <n v="5232.26"/>
    <n v="-552.54583999999977"/>
    <n v="606.37750000000005"/>
    <n v="1193.865"/>
    <n v="1912.0450000000001"/>
    <s v="Medium"/>
    <n v="-0.11807256193613323"/>
    <d v="2023-01-13T00:00:00"/>
    <x v="0"/>
  </r>
  <r>
    <s v="ORD-2023-674887"/>
    <d v="2023-12-16T00:00:00"/>
    <s v="Q4-2023"/>
    <x v="4"/>
    <d v="2023-12-19T00:00:00"/>
    <n v="3"/>
    <n v="1"/>
    <d v="2023-12-19T00:00:00"/>
    <x v="1"/>
    <x v="9"/>
    <s v="Beijing"/>
    <s v="Education"/>
    <x v="0"/>
    <x v="8"/>
    <x v="6"/>
    <s v="High"/>
    <x v="408"/>
    <n v="1415.05"/>
    <n v="1972.38"/>
    <n v="0"/>
    <n v="0"/>
    <n v="12"/>
    <s v="ok"/>
    <n v="3"/>
    <n v="3"/>
    <n v="23668.560000000001"/>
    <n v="16980.599999999999"/>
    <n v="6687.9600000000028"/>
    <n v="606.37750000000005"/>
    <n v="1193.865"/>
    <n v="1912.0450000000001"/>
    <s v="Low"/>
    <n v="0.28256725377462771"/>
    <d v="2023-03-03T00:00:00"/>
    <x v="1"/>
  </r>
  <r>
    <s v="ORD-2024-542244"/>
    <d v="2024-08-30T00:00:00"/>
    <s v="Q3-2024"/>
    <x v="21"/>
    <d v="2024-09-05T00:00:00"/>
    <n v="6"/>
    <n v="1"/>
    <d v="2024-09-05T00:00:00"/>
    <x v="1"/>
    <x v="2"/>
    <s v="Nagoya"/>
    <s v="Education"/>
    <x v="1"/>
    <x v="13"/>
    <x v="4"/>
    <s v="Medium"/>
    <x v="409"/>
    <n v="466.16"/>
    <n v="876.81"/>
    <n v="0.24099999999999999"/>
    <n v="1"/>
    <n v="8"/>
    <s v="ok"/>
    <n v="6"/>
    <n v="6"/>
    <n v="5323.9903199999999"/>
    <n v="3729.28"/>
    <n v="1594.7103199999997"/>
    <n v="606.37750000000005"/>
    <n v="1193.865"/>
    <n v="1912.0450000000001"/>
    <s v="High"/>
    <n v="0.29953291124691594"/>
    <d v="2023-01-20T00:00:00"/>
    <x v="0"/>
  </r>
  <r>
    <s v="ORD-2024-375848"/>
    <d v="2024-05-18T00:00:00"/>
    <s v="Q2-2024"/>
    <x v="7"/>
    <d v="2024-05-21T00:00:00"/>
    <n v="3"/>
    <n v="1"/>
    <d v="2024-05-21T00:00:00"/>
    <x v="3"/>
    <x v="7"/>
    <s v="Marseille"/>
    <s v="Non-Profit"/>
    <x v="2"/>
    <x v="14"/>
    <x v="1"/>
    <s v="Medium"/>
    <x v="410"/>
    <n v="663.66"/>
    <n v="824.26"/>
    <n v="0.23899999999999999"/>
    <n v="1"/>
    <n v="11"/>
    <s v="ok"/>
    <n v="3"/>
    <n v="3"/>
    <n v="6899.8804600000003"/>
    <n v="7300.2599999999993"/>
    <n v="-400.379539999999"/>
    <n v="606.37750000000005"/>
    <n v="1193.865"/>
    <n v="1912.0450000000001"/>
    <s v="Medium"/>
    <n v="-5.8027025587048933E-2"/>
    <d v="2023-01-29T00:00:00"/>
    <x v="0"/>
  </r>
  <r>
    <s v="ORD-2023-933238"/>
    <d v="2023-03-17T00:00:00"/>
    <s v="Q1-2023"/>
    <x v="22"/>
    <d v="2023-04-06T00:00:00"/>
    <n v="20"/>
    <n v="0"/>
    <d v="2023-04-06T00:00:00"/>
    <x v="3"/>
    <x v="6"/>
    <s v="Munich"/>
    <s v="Consumer"/>
    <x v="0"/>
    <x v="7"/>
    <x v="3"/>
    <s v="Medium"/>
    <x v="411"/>
    <n v="692.18"/>
    <n v="1159.3499999999999"/>
    <n v="0.112"/>
    <n v="0"/>
    <n v="2"/>
    <s v="ok"/>
    <n v="20"/>
    <n v="20"/>
    <n v="2059.0056"/>
    <n v="1384.36"/>
    <n v="674.64560000000006"/>
    <n v="606.37750000000005"/>
    <n v="1193.865"/>
    <n v="1912.0450000000001"/>
    <s v="Medium"/>
    <n v="0.32765602968734037"/>
    <d v="2023-01-22T00:00:00"/>
    <x v="0"/>
  </r>
  <r>
    <s v="ORD-2023-732585"/>
    <d v="2023-08-25T00:00:00"/>
    <s v="Q3-2023"/>
    <x v="25"/>
    <d v="2023-09-16T00:00:00"/>
    <n v="22"/>
    <n v="0"/>
    <d v="2023-09-16T00:00:00"/>
    <x v="0"/>
    <x v="1"/>
    <s v="Abuja"/>
    <s v="Corporate"/>
    <x v="2"/>
    <x v="4"/>
    <x v="3"/>
    <s v="High"/>
    <x v="412"/>
    <n v="1196.83"/>
    <n v="2513.5100000000002"/>
    <n v="8.3000000000000004E-2"/>
    <n v="0"/>
    <n v="7"/>
    <s v="ok"/>
    <n v="22"/>
    <n v="22"/>
    <n v="16134.22069"/>
    <n v="8377.81"/>
    <n v="7756.4106900000006"/>
    <n v="606.37750000000005"/>
    <n v="1193.865"/>
    <n v="1912.0450000000001"/>
    <s v="Medium"/>
    <n v="0.48074281609445374"/>
    <d v="2023-03-03T00:00:00"/>
    <x v="1"/>
  </r>
  <r>
    <s v="ORD-2024-465898"/>
    <d v="2024-06-06T00:00:00"/>
    <s v="Q2-2024"/>
    <x v="17"/>
    <d v="2024-06-24T00:00:00"/>
    <n v="18"/>
    <n v="0"/>
    <d v="2024-06-24T00:00:00"/>
    <x v="1"/>
    <x v="4"/>
    <s v="Bengaluru"/>
    <s v="Small Business"/>
    <x v="4"/>
    <x v="10"/>
    <x v="2"/>
    <s v="High"/>
    <x v="413"/>
    <n v="1253.25"/>
    <n v="3087.13"/>
    <n v="7.1999999999999995E-2"/>
    <n v="0"/>
    <n v="11"/>
    <s v="ok"/>
    <n v="18"/>
    <n v="18"/>
    <n v="31513.423040000001"/>
    <n v="13785.75"/>
    <n v="17727.673040000001"/>
    <n v="606.37750000000005"/>
    <n v="1193.865"/>
    <n v="1912.0450000000001"/>
    <s v="High"/>
    <n v="0.562543555408064"/>
    <d v="2023-01-22T00:00:00"/>
    <x v="0"/>
  </r>
  <r>
    <s v="ORD-2023-987081"/>
    <d v="2023-08-29T00:00:00"/>
    <s v="Q3-2023"/>
    <x v="25"/>
    <d v="2023-09-13T00:00:00"/>
    <n v="15"/>
    <n v="0"/>
    <d v="2023-09-13T00:00:00"/>
    <x v="2"/>
    <x v="3"/>
    <s v="Vancouver"/>
    <s v="Small Business"/>
    <x v="2"/>
    <x v="7"/>
    <x v="1"/>
    <s v="High"/>
    <x v="414"/>
    <n v="1287.6400000000001"/>
    <n v="2717.15"/>
    <n v="3.2000000000000001E-2"/>
    <n v="0"/>
    <n v="7"/>
    <s v="ok"/>
    <n v="15"/>
    <n v="15"/>
    <n v="18411.4084"/>
    <n v="9013.4800000000014"/>
    <n v="9397.9283999999989"/>
    <n v="606.37750000000005"/>
    <n v="1193.865"/>
    <n v="1912.0450000000001"/>
    <s v="High"/>
    <n v="0.51044049405802105"/>
    <d v="2023-01-29T00:00:00"/>
    <x v="0"/>
  </r>
  <r>
    <s v="ORD-2024-655710"/>
    <d v="2024-11-30T00:00:00"/>
    <s v="Q4-2024"/>
    <x v="18"/>
    <d v="2024-12-10T00:00:00"/>
    <n v="10"/>
    <n v="0"/>
    <d v="2024-12-10T00:00:00"/>
    <x v="1"/>
    <x v="4"/>
    <s v="Hyderabad"/>
    <s v="Small Business"/>
    <x v="0"/>
    <x v="9"/>
    <x v="6"/>
    <s v="Medium"/>
    <x v="415"/>
    <n v="851.49"/>
    <n v="901.79"/>
    <n v="0.245"/>
    <n v="1"/>
    <n v="16"/>
    <s v="ok"/>
    <n v="10"/>
    <n v="10"/>
    <n v="10893.6232"/>
    <n v="13623.84"/>
    <n v="-2730.2168000000001"/>
    <n v="606.37750000000005"/>
    <n v="1193.865"/>
    <n v="1912.0450000000001"/>
    <s v="High"/>
    <n v="-0.25062522816100341"/>
    <d v="2023-01-07T00:00:00"/>
    <x v="0"/>
  </r>
  <r>
    <s v="ORD-2025-411385"/>
    <d v="2025-06-05T00:00:00"/>
    <s v="Q2-2025"/>
    <x v="16"/>
    <d v="2025-06-14T00:00:00"/>
    <n v="9"/>
    <n v="0"/>
    <d v="2025-06-14T00:00:00"/>
    <x v="1"/>
    <x v="4"/>
    <s v="Delhi"/>
    <s v="Non-Profit"/>
    <x v="0"/>
    <x v="8"/>
    <x v="6"/>
    <s v="Low"/>
    <x v="416"/>
    <n v="618.69000000000005"/>
    <n v="796.15"/>
    <n v="0.09"/>
    <n v="0"/>
    <n v="11"/>
    <s v="ok"/>
    <n v="9"/>
    <n v="9"/>
    <n v="7969.4615000000003"/>
    <n v="6805.59"/>
    <n v="1163.8715000000002"/>
    <n v="606.37750000000005"/>
    <n v="1193.865"/>
    <n v="1912.0450000000001"/>
    <s v="Medium"/>
    <n v="0.14604142325049191"/>
    <d v="2023-01-07T00:00:00"/>
    <x v="0"/>
  </r>
  <r>
    <s v="ORD-2025-222035"/>
    <d v="2025-03-14T00:00:00"/>
    <s v="Q1-2025"/>
    <x v="3"/>
    <d v="2025-04-08T00:00:00"/>
    <n v="25"/>
    <n v="0"/>
    <d v="2025-04-08T00:00:00"/>
    <x v="1"/>
    <x v="9"/>
    <s v="unknown"/>
    <s v="Corporate"/>
    <x v="3"/>
    <x v="14"/>
    <x v="1"/>
    <s v="Low"/>
    <x v="417"/>
    <n v="80.59"/>
    <n v="157.82"/>
    <n v="0.217"/>
    <n v="1"/>
    <n v="6"/>
    <s v="ok"/>
    <n v="25"/>
    <n v="25"/>
    <n v="741.43835999999999"/>
    <n v="483.54"/>
    <n v="257.89835999999997"/>
    <n v="606.37750000000005"/>
    <n v="1193.865"/>
    <n v="1912.0450000000001"/>
    <s v="Medium"/>
    <n v="0.34783519967863541"/>
    <d v="2023-01-15T00:00:00"/>
    <x v="0"/>
  </r>
  <r>
    <s v="ORD-2024-749242"/>
    <d v="2024-01-16T00:00:00"/>
    <s v="Q1-2024"/>
    <x v="9"/>
    <d v="2024-02-11T00:00:00"/>
    <n v="26"/>
    <n v="0"/>
    <d v="2024-02-11T00:00:00"/>
    <x v="3"/>
    <x v="6"/>
    <s v="Frankfurt"/>
    <s v="Non-Profit"/>
    <x v="3"/>
    <x v="6"/>
    <x v="5"/>
    <s v="Medium"/>
    <x v="418"/>
    <n v="504.93"/>
    <n v="819.06"/>
    <n v="0.22600000000000001"/>
    <n v="1"/>
    <n v="15"/>
    <s v="ok"/>
    <n v="26"/>
    <n v="26"/>
    <n v="9509.2865999999995"/>
    <n v="7573.95"/>
    <n v="1935.3365999999996"/>
    <n v="606.37750000000005"/>
    <n v="1193.865"/>
    <n v="1912.0450000000001"/>
    <s v="Low"/>
    <n v="0.20352069312959814"/>
    <d v="2023-01-29T00:00:00"/>
    <x v="0"/>
  </r>
  <r>
    <s v="ORD-2023-623293"/>
    <d v="2023-10-12T00:00:00"/>
    <s v="Q4-2023"/>
    <x v="32"/>
    <d v="2023-10-29T00:00:00"/>
    <n v="17"/>
    <n v="0"/>
    <d v="2023-10-29T00:00:00"/>
    <x v="1"/>
    <x v="2"/>
    <s v="Nagoya"/>
    <s v="Non-Profit"/>
    <x v="4"/>
    <x v="10"/>
    <x v="3"/>
    <s v="High"/>
    <x v="419"/>
    <n v="1102.19"/>
    <n v="1711.16"/>
    <n v="0.151"/>
    <n v="0"/>
    <n v="10"/>
    <s v="ok"/>
    <n v="17"/>
    <n v="17"/>
    <n v="14527.748400000002"/>
    <n v="11021.900000000001"/>
    <n v="3505.8484000000008"/>
    <n v="606.37750000000005"/>
    <n v="1193.865"/>
    <n v="1912.0450000000001"/>
    <s v="Medium"/>
    <n v="0.24132083675127525"/>
    <d v="2023-01-19T00:00:00"/>
    <x v="0"/>
  </r>
  <r>
    <s v="ORD-2025-276968"/>
    <d v="2025-02-25T00:00:00"/>
    <s v="Q1-2025"/>
    <x v="26"/>
    <d v="2025-03-17T00:00:00"/>
    <n v="20"/>
    <n v="0"/>
    <d v="2025-03-17T00:00:00"/>
    <x v="2"/>
    <x v="10"/>
    <s v="San Francisco"/>
    <s v="Non-Profit"/>
    <x v="2"/>
    <x v="10"/>
    <x v="3"/>
    <s v="High"/>
    <x v="420"/>
    <n v="1205.26"/>
    <n v="1696.35"/>
    <n v="1.9E-2"/>
    <n v="0"/>
    <n v="6"/>
    <s v="ok"/>
    <n v="20"/>
    <n v="20"/>
    <n v="9984.7160999999978"/>
    <n v="7231.5599999999995"/>
    <n v="2753.1560999999983"/>
    <n v="606.37750000000005"/>
    <n v="1193.865"/>
    <n v="1912.0450000000001"/>
    <s v="Medium"/>
    <n v="0.27573704374028213"/>
    <d v="2023-01-19T00:00:00"/>
    <x v="0"/>
  </r>
  <r>
    <s v="ORD-2025-650841"/>
    <d v="2025-07-03T00:00:00"/>
    <s v="Q3-2025"/>
    <x v="13"/>
    <d v="2025-07-06T00:00:00"/>
    <n v="3"/>
    <n v="1"/>
    <d v="2025-07-06T00:00:00"/>
    <x v="0"/>
    <x v="1"/>
    <s v="Lagos"/>
    <s v="Consumer"/>
    <x v="1"/>
    <x v="15"/>
    <x v="4"/>
    <s v="High"/>
    <x v="421"/>
    <n v="1313.3"/>
    <n v="2884.34"/>
    <n v="0.157"/>
    <n v="0"/>
    <n v="42"/>
    <s v="ok"/>
    <n v="3"/>
    <n v="3"/>
    <n v="102122.94203999999"/>
    <n v="55158.6"/>
    <n v="46964.342039999996"/>
    <n v="606.37750000000005"/>
    <n v="1193.865"/>
    <n v="1912.0450000000001"/>
    <s v="Medium"/>
    <n v="0.45988042551305253"/>
    <d v="2023-03-03T00:00:00"/>
    <x v="1"/>
  </r>
  <r>
    <s v="ORD-2025-831576"/>
    <d v="2025-09-15T00:00:00"/>
    <s v="Q3-2025"/>
    <x v="11"/>
    <d v="2025-09-25T00:00:00"/>
    <n v="10"/>
    <n v="0"/>
    <d v="2025-09-25T00:00:00"/>
    <x v="1"/>
    <x v="4"/>
    <s v="Delhi"/>
    <s v="Consumer"/>
    <x v="0"/>
    <x v="8"/>
    <x v="3"/>
    <s v="Medium"/>
    <x v="422"/>
    <n v="1488.91"/>
    <n v="1483.74"/>
    <n v="0.16800000000000001"/>
    <n v="0"/>
    <n v="24"/>
    <s v="ok"/>
    <n v="10"/>
    <n v="10"/>
    <n v="29627.320319999999"/>
    <n v="35733.840000000004"/>
    <n v="-6106.5196800000049"/>
    <n v="606.37750000000005"/>
    <n v="1193.865"/>
    <n v="1912.0450000000001"/>
    <s v="High"/>
    <n v="-0.20611110333450519"/>
    <d v="2023-01-22T00:00:00"/>
    <x v="0"/>
  </r>
  <r>
    <s v="ORD-2024-468655"/>
    <d v="2024-02-19T00:00:00"/>
    <s v="Q1-2024"/>
    <x v="31"/>
    <d v="2024-03-06T00:00:00"/>
    <n v="16"/>
    <n v="0"/>
    <d v="2024-03-06T00:00:00"/>
    <x v="1"/>
    <x v="9"/>
    <s v="Beijing"/>
    <s v="Education"/>
    <x v="2"/>
    <x v="7"/>
    <x v="1"/>
    <s v="High"/>
    <x v="423"/>
    <n v="1477.84"/>
    <n v="3197.47"/>
    <n v="0.24299999999999999"/>
    <n v="1"/>
    <n v="24"/>
    <s v="ok"/>
    <n v="16"/>
    <n v="16"/>
    <n v="58091.634960000003"/>
    <n v="35468.159999999996"/>
    <n v="22623.474960000007"/>
    <n v="606.37750000000005"/>
    <n v="1193.865"/>
    <n v="1912.0450000000001"/>
    <s v="Medium"/>
    <n v="0.38944462443823091"/>
    <d v="2023-01-02T00:00:00"/>
    <x v="0"/>
  </r>
  <r>
    <s v="ORD-2024-515105"/>
    <d v="2024-02-27T00:00:00"/>
    <s v="Q1-2024"/>
    <x v="31"/>
    <d v="2024-03-26T00:00:00"/>
    <n v="28"/>
    <n v="0"/>
    <d v="2024-03-26T00:00:00"/>
    <x v="1"/>
    <x v="4"/>
    <s v="Mumbai"/>
    <s v="Education"/>
    <x v="2"/>
    <x v="3"/>
    <x v="4"/>
    <s v="High"/>
    <x v="424"/>
    <n v="1035.19"/>
    <n v="2322.6999999999998"/>
    <n v="0.17299999999999999"/>
    <n v="0"/>
    <n v="8"/>
    <s v="ok"/>
    <n v="28"/>
    <n v="28"/>
    <n v="15366.983199999999"/>
    <n v="8281.52"/>
    <n v="7085.4631999999983"/>
    <n v="606.37750000000005"/>
    <n v="1193.865"/>
    <n v="1912.0450000000001"/>
    <s v="High"/>
    <n v="0.46108355217047409"/>
    <d v="2023-01-13T00:00:00"/>
    <x v="0"/>
  </r>
  <r>
    <s v="ORD-2025-803803"/>
    <d v="2025-08-28T00:00:00"/>
    <s v="Q3-2025"/>
    <x v="28"/>
    <d v="2025-09-05T00:00:00"/>
    <n v="8"/>
    <n v="0"/>
    <d v="2025-09-05T00:00:00"/>
    <x v="0"/>
    <x v="1"/>
    <s v="Port Harcourt"/>
    <s v="Small Business"/>
    <x v="2"/>
    <x v="6"/>
    <x v="4"/>
    <s v="High"/>
    <x v="425"/>
    <n v="1271.0999999999999"/>
    <n v="1932.42"/>
    <n v="0.25"/>
    <n v="1"/>
    <n v="21"/>
    <s v="ok"/>
    <n v="8"/>
    <n v="8"/>
    <n v="30435.614999999998"/>
    <n v="26693.1"/>
    <n v="3742.5149999999994"/>
    <n v="606.37750000000005"/>
    <n v="1193.865"/>
    <n v="1912.0450000000001"/>
    <s v="High"/>
    <n v="0.12296498690760807"/>
    <d v="2023-01-13T00:00:00"/>
    <x v="0"/>
  </r>
  <r>
    <s v="ORD-2024-993481"/>
    <d v="2024-08-18T00:00:00"/>
    <s v="Q3-2024"/>
    <x v="21"/>
    <d v="2024-09-12T00:00:00"/>
    <n v="25"/>
    <n v="0"/>
    <d v="2024-09-12T00:00:00"/>
    <x v="1"/>
    <x v="4"/>
    <s v="Mumbai"/>
    <s v="Consumer"/>
    <x v="2"/>
    <x v="0"/>
    <x v="3"/>
    <s v="Medium"/>
    <x v="426"/>
    <n v="1154.03"/>
    <n v="1590.36"/>
    <n v="0.314"/>
    <n v="1"/>
    <n v="18"/>
    <s v="ok"/>
    <n v="25"/>
    <n v="25"/>
    <n v="19637.76528"/>
    <n v="20772.54"/>
    <n v="-1134.7747200000013"/>
    <n v="606.37750000000005"/>
    <n v="1193.865"/>
    <n v="1912.0450000000001"/>
    <s v="High"/>
    <n v="-5.7785328616576745E-2"/>
    <d v="2023-01-10T00:00:00"/>
    <x v="0"/>
  </r>
  <r>
    <s v="ORD-2024-811752"/>
    <d v="2024-02-25T00:00:00"/>
    <s v="Q1-2024"/>
    <x v="31"/>
    <d v="2024-03-09T00:00:00"/>
    <n v="13"/>
    <n v="0"/>
    <d v="2024-03-09T00:00:00"/>
    <x v="3"/>
    <x v="7"/>
    <s v="Marseille"/>
    <s v="Small Business"/>
    <x v="3"/>
    <x v="6"/>
    <x v="5"/>
    <s v="Low"/>
    <x v="427"/>
    <n v="322.44"/>
    <n v="395.61"/>
    <n v="0"/>
    <n v="0"/>
    <n v="34"/>
    <s v="ok"/>
    <n v="13"/>
    <n v="13"/>
    <n v="13450.74"/>
    <n v="10962.96"/>
    <n v="2487.7800000000007"/>
    <n v="606.37750000000005"/>
    <n v="1193.865"/>
    <n v="1912.0450000000001"/>
    <s v="Medium"/>
    <n v="0.18495487980586947"/>
    <d v="2023-01-02T00:00:00"/>
    <x v="0"/>
  </r>
  <r>
    <s v="ORD-2025-673091"/>
    <d v="2025-05-07T00:00:00"/>
    <s v="Q2-2025"/>
    <x v="8"/>
    <d v="2025-05-13T00:00:00"/>
    <n v="6"/>
    <n v="1"/>
    <d v="2025-05-13T00:00:00"/>
    <x v="1"/>
    <x v="4"/>
    <s v="Bengaluru"/>
    <s v="Enterprise"/>
    <x v="4"/>
    <x v="1"/>
    <x v="3"/>
    <s v="High"/>
    <x v="428"/>
    <n v="935.98"/>
    <n v="2077.69"/>
    <n v="0.17499999999999999"/>
    <n v="0"/>
    <n v="24"/>
    <s v="ok"/>
    <n v="6"/>
    <n v="6"/>
    <n v="41138.261999999995"/>
    <n v="22463.52"/>
    <n v="18674.741999999995"/>
    <n v="606.37750000000005"/>
    <n v="1193.865"/>
    <n v="1912.0450000000001"/>
    <s v="Low"/>
    <n v="0.45395067978321491"/>
    <d v="2023-01-12T00:00:00"/>
    <x v="0"/>
  </r>
  <r>
    <s v="ORD-2024-381197"/>
    <d v="2024-11-01T00:00:00"/>
    <s v="Q4-2024"/>
    <x v="18"/>
    <d v="2024-11-12T00:00:00"/>
    <n v="11"/>
    <n v="0"/>
    <d v="2024-11-12T00:00:00"/>
    <x v="3"/>
    <x v="6"/>
    <s v="Frankfurt"/>
    <s v="Consumer"/>
    <x v="1"/>
    <x v="5"/>
    <x v="1"/>
    <s v="Medium"/>
    <x v="429"/>
    <n v="599.84"/>
    <n v="1330.85"/>
    <n v="0.115"/>
    <n v="0"/>
    <n v="11"/>
    <s v="ok"/>
    <n v="11"/>
    <n v="11"/>
    <n v="12955.824749999998"/>
    <n v="6598.2400000000007"/>
    <n v="6357.5847499999973"/>
    <n v="606.37750000000005"/>
    <n v="1193.865"/>
    <n v="1912.0450000000001"/>
    <s v="High"/>
    <n v="0.49071246892252063"/>
    <d v="2023-01-29T00:00:00"/>
    <x v="0"/>
  </r>
  <r>
    <s v="ORD-2024-651852"/>
    <d v="2024-12-28T00:00:00"/>
    <s v="Q4-2024"/>
    <x v="6"/>
    <d v="2025-01-08T00:00:00"/>
    <n v="11"/>
    <n v="0"/>
    <d v="2025-01-08T00:00:00"/>
    <x v="1"/>
    <x v="9"/>
    <s v="Shenzhen"/>
    <s v="Enterprise"/>
    <x v="1"/>
    <x v="11"/>
    <x v="4"/>
    <s v="High"/>
    <x v="430"/>
    <n v="1201.31"/>
    <n v="2764.65"/>
    <n v="0"/>
    <n v="0"/>
    <n v="21"/>
    <s v="ok"/>
    <n v="11"/>
    <n v="11"/>
    <n v="58057.65"/>
    <n v="25227.51"/>
    <n v="32830.14"/>
    <n v="606.37750000000005"/>
    <n v="1193.865"/>
    <n v="1912.0450000000001"/>
    <s v="Medium"/>
    <n v="0.56547483406579491"/>
    <d v="2023-01-19T00:00:00"/>
    <x v="0"/>
  </r>
  <r>
    <s v="ORD-2023-659070"/>
    <d v="2023-10-21T00:00:00"/>
    <s v="Q4-2023"/>
    <x v="32"/>
    <d v="2023-10-21T00:00:00"/>
    <n v="0"/>
    <n v="1"/>
    <d v="2023-10-21T00:00:00"/>
    <x v="3"/>
    <x v="8"/>
    <s v="Manchester"/>
    <s v="Enterprise"/>
    <x v="3"/>
    <x v="1"/>
    <x v="5"/>
    <s v="Low"/>
    <x v="431"/>
    <n v="384.19"/>
    <n v="278.35000000000002"/>
    <n v="5.6000000000000001E-2"/>
    <n v="0"/>
    <n v="10"/>
    <s v="sus"/>
    <n v="0"/>
    <n v="0"/>
    <n v="2627.6239999999998"/>
    <n v="3841.9"/>
    <n v="-1214.2760000000003"/>
    <n v="606.37750000000005"/>
    <n v="1193.865"/>
    <n v="1912.0450000000001"/>
    <s v="High"/>
    <n v="-0.46211938998882657"/>
    <d v="2023-01-20T00:00:00"/>
    <x v="0"/>
  </r>
  <r>
    <s v="ORD-2024-837651"/>
    <d v="2024-12-10T00:00:00"/>
    <s v="Q4-2024"/>
    <x v="6"/>
    <d v="2024-12-19T00:00:00"/>
    <n v="9"/>
    <n v="0"/>
    <d v="2024-12-19T00:00:00"/>
    <x v="0"/>
    <x v="1"/>
    <s v="Lagos"/>
    <s v="Corporate"/>
    <x v="0"/>
    <x v="7"/>
    <x v="5"/>
    <s v="Medium"/>
    <x v="432"/>
    <n v="488.68"/>
    <n v="984.36"/>
    <n v="5.8999999999999997E-2"/>
    <n v="0"/>
    <n v="14"/>
    <s v="ok"/>
    <n v="9"/>
    <n v="9"/>
    <n v="12967.958640000001"/>
    <n v="6841.52"/>
    <n v="6126.4386400000003"/>
    <n v="606.37750000000005"/>
    <n v="1193.865"/>
    <n v="1912.0450000000001"/>
    <s v="Low"/>
    <n v="0.47242891576649876"/>
    <d v="2023-01-10T00:00:00"/>
    <x v="0"/>
  </r>
  <r>
    <s v="ORD-2024-581530"/>
    <d v="2024-09-07T00:00:00"/>
    <s v="Q3-2024"/>
    <x v="29"/>
    <d v="2024-09-18T00:00:00"/>
    <n v="11"/>
    <n v="0"/>
    <d v="2024-09-18T00:00:00"/>
    <x v="1"/>
    <x v="9"/>
    <s v="Beijing"/>
    <s v="Consumer"/>
    <x v="3"/>
    <x v="7"/>
    <x v="2"/>
    <s v="Low"/>
    <x v="433"/>
    <n v="181.74"/>
    <n v="190.84"/>
    <n v="0.214"/>
    <n v="1"/>
    <n v="13"/>
    <s v="ok"/>
    <n v="11"/>
    <n v="11"/>
    <n v="1950.0031200000001"/>
    <n v="2362.62"/>
    <n v="-412.61687999999981"/>
    <n v="606.37750000000005"/>
    <n v="1193.865"/>
    <n v="1912.0450000000001"/>
    <s v="Medium"/>
    <n v="-0.21159806144310159"/>
    <d v="2023-01-15T00:00:00"/>
    <x v="0"/>
  </r>
  <r>
    <s v="ORD-2023-378104"/>
    <d v="2023-10-18T00:00:00"/>
    <s v="Q4-2023"/>
    <x v="32"/>
    <d v="2023-10-20T00:00:00"/>
    <n v="2"/>
    <n v="1"/>
    <d v="2023-10-20T00:00:00"/>
    <x v="0"/>
    <x v="0"/>
    <s v="Kisumu"/>
    <s v="Consumer"/>
    <x v="0"/>
    <x v="1"/>
    <x v="3"/>
    <s v="Medium"/>
    <x v="434"/>
    <n v="774.12"/>
    <n v="908.3"/>
    <n v="0"/>
    <n v="0"/>
    <n v="30"/>
    <s v="ok"/>
    <n v="2"/>
    <n v="2"/>
    <n v="27249"/>
    <n v="23223.599999999999"/>
    <n v="4025.4000000000015"/>
    <n v="606.37750000000005"/>
    <n v="1193.865"/>
    <n v="1912.0450000000001"/>
    <s v="Low"/>
    <n v="0.14772652207420461"/>
    <d v="2023-01-13T00:00:00"/>
    <x v="0"/>
  </r>
  <r>
    <s v="ORD-2024-972318"/>
    <d v="2024-12-24T00:00:00"/>
    <s v="Q4-2024"/>
    <x v="6"/>
    <d v="2025-01-13T00:00:00"/>
    <n v="20"/>
    <n v="0"/>
    <d v="2025-01-13T00:00:00"/>
    <x v="1"/>
    <x v="4"/>
    <s v="Bengaluru"/>
    <s v="Corporate"/>
    <x v="2"/>
    <x v="14"/>
    <x v="2"/>
    <s v="Low"/>
    <x v="435"/>
    <n v="126.15"/>
    <n v="284.23"/>
    <n v="0.113"/>
    <n v="0"/>
    <n v="22"/>
    <s v="ok"/>
    <n v="20"/>
    <n v="20"/>
    <n v="5546.4642200000008"/>
    <n v="2775.3"/>
    <n v="2771.1642200000006"/>
    <n v="606.37750000000005"/>
    <n v="1193.865"/>
    <n v="1912.0450000000001"/>
    <s v="Medium"/>
    <n v="0.49962716968541088"/>
    <d v="2023-03-03T00:00:00"/>
    <x v="1"/>
  </r>
  <r>
    <s v="ORD-2023-752962"/>
    <d v="2023-04-21T00:00:00"/>
    <s v="Q2-2023"/>
    <x v="12"/>
    <d v="2023-04-19T00:00:00"/>
    <n v="14"/>
    <n v="0"/>
    <d v="2023-05-05T00:00:00"/>
    <x v="1"/>
    <x v="2"/>
    <s v="Nagoya"/>
    <s v="Small Business"/>
    <x v="4"/>
    <x v="12"/>
    <x v="0"/>
    <s v="Medium"/>
    <x v="436"/>
    <n v="607.04"/>
    <n v="1229.3399999999999"/>
    <n v="0.14699999999999999"/>
    <n v="0"/>
    <n v="7"/>
    <s v="sus"/>
    <n v="-2"/>
    <n v="2"/>
    <n v="7340.3891399999993"/>
    <n v="4249.28"/>
    <n v="3091.1091399999996"/>
    <n v="606.37750000000005"/>
    <n v="1193.865"/>
    <n v="1912.0450000000001"/>
    <s v="Low"/>
    <n v="0.42110970972310058"/>
    <d v="2023-01-10T00:00:00"/>
    <x v="0"/>
  </r>
  <r>
    <s v="ORD-2023-808024"/>
    <d v="2023-12-30T00:00:00"/>
    <s v="Q4-2023"/>
    <x v="4"/>
    <d v="2024-01-08T00:00:00"/>
    <n v="9"/>
    <n v="0"/>
    <d v="2024-01-08T00:00:00"/>
    <x v="3"/>
    <x v="7"/>
    <s v="Marseille"/>
    <s v="Consumer"/>
    <x v="2"/>
    <x v="4"/>
    <x v="6"/>
    <s v="Medium"/>
    <x v="437"/>
    <n v="861.1"/>
    <n v="1224.72"/>
    <n v="0.17399999999999999"/>
    <n v="0"/>
    <n v="24"/>
    <s v="ok"/>
    <n v="9"/>
    <n v="9"/>
    <n v="24278.849280000002"/>
    <n v="20666.400000000001"/>
    <n v="3612.4492800000007"/>
    <n v="606.37750000000005"/>
    <n v="1193.865"/>
    <n v="1912.0450000000001"/>
    <s v="Medium"/>
    <n v="0.14878997098827909"/>
    <d v="2023-01-19T00:00:00"/>
    <x v="0"/>
  </r>
  <r>
    <s v="ORD-2023-156396"/>
    <d v="2023-02-21T00:00:00"/>
    <s v="Q1-2023"/>
    <x v="2"/>
    <d v="2023-03-12T00:00:00"/>
    <n v="19"/>
    <n v="0"/>
    <d v="2023-03-12T00:00:00"/>
    <x v="0"/>
    <x v="0"/>
    <s v="Nakuru"/>
    <s v="Corporate"/>
    <x v="1"/>
    <x v="9"/>
    <x v="2"/>
    <s v="Low"/>
    <x v="438"/>
    <n v="352.65"/>
    <n v="485.86"/>
    <n v="4.1000000000000002E-2"/>
    <n v="0"/>
    <n v="6"/>
    <s v="ok"/>
    <n v="19"/>
    <n v="19"/>
    <n v="2795.6384399999997"/>
    <n v="2115.8999999999996"/>
    <n v="679.73844000000008"/>
    <n v="606.37750000000005"/>
    <n v="1193.865"/>
    <n v="1912.0450000000001"/>
    <s v="Medium"/>
    <n v="0.24314247159943908"/>
    <d v="2023-01-29T00:00:00"/>
    <x v="0"/>
  </r>
  <r>
    <s v="ORD-2023-184577"/>
    <d v="2023-05-17T00:00:00"/>
    <s v="Q2-2023"/>
    <x v="15"/>
    <d v="2023-06-03T00:00:00"/>
    <n v="17"/>
    <n v="0"/>
    <d v="2023-06-03T00:00:00"/>
    <x v="1"/>
    <x v="9"/>
    <s v="Beijing"/>
    <s v="Non-Profit"/>
    <x v="3"/>
    <x v="12"/>
    <x v="1"/>
    <s v="High"/>
    <x v="439"/>
    <n v="979.59"/>
    <n v="2210.94"/>
    <n v="0.15"/>
    <n v="0"/>
    <n v="11"/>
    <s v="ok"/>
    <n v="17"/>
    <n v="17"/>
    <n v="20672.289000000001"/>
    <n v="10775.49"/>
    <n v="9896.7990000000009"/>
    <n v="606.37750000000005"/>
    <n v="1193.865"/>
    <n v="1912.0450000000001"/>
    <s v="Low"/>
    <n v="0.47874712858358359"/>
    <d v="2023-01-02T00:00:00"/>
    <x v="0"/>
  </r>
  <r>
    <s v="ORD-2024-446030"/>
    <d v="2024-03-23T00:00:00"/>
    <s v="Q1-2024"/>
    <x v="0"/>
    <d v="2024-03-26T00:00:00"/>
    <n v="3"/>
    <n v="1"/>
    <d v="2024-03-26T00:00:00"/>
    <x v="1"/>
    <x v="4"/>
    <s v="Bengaluru"/>
    <s v="Education"/>
    <x v="4"/>
    <x v="3"/>
    <x v="3"/>
    <s v="Low"/>
    <x v="440"/>
    <n v="382.21"/>
    <n v="571.89"/>
    <n v="0.14799999999999999"/>
    <n v="0"/>
    <n v="26"/>
    <s v="ok"/>
    <n v="3"/>
    <n v="3"/>
    <n v="12668.50728"/>
    <n v="9937.4599999999991"/>
    <n v="2731.0472800000007"/>
    <n v="606.37750000000005"/>
    <n v="1193.865"/>
    <n v="1912.0450000000001"/>
    <s v="High"/>
    <n v="0.2155776698578809"/>
    <d v="2023-01-19T00:00:00"/>
    <x v="0"/>
  </r>
  <r>
    <s v="ORD-2023-842820"/>
    <d v="2023-09-20T00:00:00"/>
    <s v="Q3-2023"/>
    <x v="27"/>
    <d v="2023-09-28T00:00:00"/>
    <n v="8"/>
    <n v="0"/>
    <d v="2023-09-28T00:00:00"/>
    <x v="1"/>
    <x v="4"/>
    <s v="unknown"/>
    <s v="Corporate"/>
    <x v="5"/>
    <x v="5"/>
    <x v="6"/>
    <s v="High"/>
    <x v="441"/>
    <n v="1362.06"/>
    <n v="3398.37"/>
    <n v="0.157"/>
    <n v="0"/>
    <n v="11"/>
    <s v="ok"/>
    <n v="8"/>
    <n v="8"/>
    <n v="31513.085009999999"/>
    <n v="14982.66"/>
    <n v="16530.425009999999"/>
    <n v="606.37750000000005"/>
    <n v="1193.865"/>
    <n v="1912.0450000000001"/>
    <s v="Low"/>
    <n v="0.52455749745714919"/>
    <d v="2023-01-07T00:00:00"/>
    <x v="0"/>
  </r>
  <r>
    <s v="ORD-2024-745424"/>
    <d v="2024-08-22T00:00:00"/>
    <s v="Q3-2024"/>
    <x v="21"/>
    <d v="2024-09-04T00:00:00"/>
    <n v="13"/>
    <n v="0"/>
    <d v="2024-09-04T00:00:00"/>
    <x v="3"/>
    <x v="6"/>
    <s v="Frankfurt"/>
    <s v="Non-Profit"/>
    <x v="0"/>
    <x v="4"/>
    <x v="1"/>
    <s v="Low"/>
    <x v="442"/>
    <n v="90.04"/>
    <n v="194.62"/>
    <n v="4.2999999999999997E-2"/>
    <n v="0"/>
    <n v="32"/>
    <s v="ok"/>
    <n v="13"/>
    <n v="13"/>
    <n v="5960.04288"/>
    <n v="2881.28"/>
    <n v="3078.7628799999998"/>
    <n v="606.37750000000005"/>
    <n v="1193.865"/>
    <n v="1912.0450000000001"/>
    <s v="High"/>
    <n v="0.51656723650954672"/>
    <d v="2023-01-10T00:00:00"/>
    <x v="0"/>
  </r>
  <r>
    <s v="ORD-2024-510520"/>
    <d v="2024-09-25T00:00:00"/>
    <s v="Q3-2024"/>
    <x v="29"/>
    <d v="2024-10-03T00:00:00"/>
    <n v="8"/>
    <n v="0"/>
    <d v="2024-10-03T00:00:00"/>
    <x v="2"/>
    <x v="3"/>
    <s v="Toronto"/>
    <s v="Consumer"/>
    <x v="1"/>
    <x v="6"/>
    <x v="1"/>
    <s v="Medium"/>
    <x v="443"/>
    <n v="558.19000000000005"/>
    <n v="1031.6400000000001"/>
    <n v="0"/>
    <n v="0"/>
    <n v="21"/>
    <s v="ok"/>
    <n v="8"/>
    <n v="8"/>
    <n v="21664.440000000002"/>
    <n v="11721.990000000002"/>
    <n v="9942.4500000000007"/>
    <n v="606.37750000000005"/>
    <n v="1193.865"/>
    <n v="1912.0450000000001"/>
    <s v="Low"/>
    <n v="0.45892947152107322"/>
    <d v="2023-03-03T00:00:00"/>
    <x v="1"/>
  </r>
  <r>
    <s v="ORD-2023-769774"/>
    <d v="2023-06-13T00:00:00"/>
    <s v="Q2-2023"/>
    <x v="23"/>
    <d v="2023-06-24T00:00:00"/>
    <n v="11"/>
    <n v="0"/>
    <d v="2023-06-24T00:00:00"/>
    <x v="2"/>
    <x v="3"/>
    <s v="Toronto"/>
    <s v="Corporate"/>
    <x v="1"/>
    <x v="0"/>
    <x v="1"/>
    <s v="Low"/>
    <x v="444"/>
    <n v="247.07"/>
    <n v="495.19"/>
    <n v="2.8000000000000001E-2"/>
    <n v="0"/>
    <n v="4"/>
    <s v="ok"/>
    <n v="11"/>
    <n v="11"/>
    <n v="1925.29872"/>
    <n v="988.28"/>
    <n v="937.01872000000003"/>
    <n v="606.37750000000005"/>
    <n v="1193.865"/>
    <n v="1912.0450000000001"/>
    <s v="Medium"/>
    <n v="0.48668744764968214"/>
    <d v="2023-01-29T00:00:00"/>
    <x v="0"/>
  </r>
  <r>
    <s v="ORD-2023-580751"/>
    <d v="2023-12-24T00:00:00"/>
    <s v="Q4-2023"/>
    <x v="4"/>
    <d v="2024-01-13T00:00:00"/>
    <n v="20"/>
    <n v="0"/>
    <d v="2024-01-13T00:00:00"/>
    <x v="1"/>
    <x v="2"/>
    <s v="Nagoya"/>
    <s v="Education"/>
    <x v="4"/>
    <x v="5"/>
    <x v="4"/>
    <s v="Medium"/>
    <x v="445"/>
    <n v="625.37"/>
    <n v="1319.04"/>
    <n v="7.3999999999999996E-2"/>
    <n v="0"/>
    <n v="8"/>
    <s v="ok"/>
    <n v="20"/>
    <n v="20"/>
    <n v="9771.4483199999995"/>
    <n v="5002.96"/>
    <n v="4768.4883199999995"/>
    <n v="606.37750000000005"/>
    <n v="1193.865"/>
    <n v="1912.0450000000001"/>
    <s v="Low"/>
    <n v="0.48800220436513547"/>
    <d v="2023-01-13T00:00:00"/>
    <x v="0"/>
  </r>
  <r>
    <s v="ORD-2025-473192"/>
    <d v="2025-03-30T00:00:00"/>
    <s v="Q1-2025"/>
    <x v="3"/>
    <d v="2025-04-29T00:00:00"/>
    <n v="30"/>
    <n v="0"/>
    <d v="2025-04-29T00:00:00"/>
    <x v="0"/>
    <x v="11"/>
    <s v="Durban"/>
    <s v="Consumer"/>
    <x v="2"/>
    <x v="1"/>
    <x v="5"/>
    <s v="Low"/>
    <x v="446"/>
    <n v="194.6"/>
    <n v="314.87"/>
    <n v="0.29299999999999998"/>
    <n v="1"/>
    <n v="25"/>
    <s v="ok"/>
    <n v="30"/>
    <n v="30"/>
    <n v="5565.3272500000003"/>
    <n v="4865"/>
    <n v="700.32725000000028"/>
    <n v="606.37750000000005"/>
    <n v="1193.865"/>
    <n v="1912.0450000000001"/>
    <s v="Medium"/>
    <n v="0.1258375686712763"/>
    <d v="2023-01-20T00:00:00"/>
    <x v="0"/>
  </r>
  <r>
    <s v="ORD-2024-886939"/>
    <d v="2024-06-03T00:00:00"/>
    <s v="Q2-2024"/>
    <x v="17"/>
    <d v="2024-06-24T00:00:00"/>
    <n v="21"/>
    <n v="0"/>
    <d v="2024-06-24T00:00:00"/>
    <x v="2"/>
    <x v="3"/>
    <s v="Toronto"/>
    <s v="Small Business"/>
    <x v="4"/>
    <x v="3"/>
    <x v="5"/>
    <s v="High"/>
    <x v="447"/>
    <n v="1205.5"/>
    <n v="2210.17"/>
    <n v="0.104"/>
    <n v="0"/>
    <n v="23"/>
    <s v="ok"/>
    <n v="21"/>
    <n v="21"/>
    <n v="45547.183360000003"/>
    <n v="27726.5"/>
    <n v="17820.683360000003"/>
    <n v="606.37750000000005"/>
    <n v="1193.865"/>
    <n v="1912.0450000000001"/>
    <s v="Low"/>
    <n v="0.39125763758314652"/>
    <d v="2023-01-22T00:00:00"/>
    <x v="0"/>
  </r>
  <r>
    <s v="ORD-2024-566589"/>
    <d v="2024-06-11T00:00:00"/>
    <s v="Q2-2024"/>
    <x v="17"/>
    <d v="2024-07-09T00:00:00"/>
    <n v="28"/>
    <n v="0"/>
    <d v="2024-07-09T00:00:00"/>
    <x v="0"/>
    <x v="1"/>
    <s v="Port Harcourt"/>
    <s v="Corporate"/>
    <x v="2"/>
    <x v="2"/>
    <x v="3"/>
    <s v="Medium"/>
    <x v="448"/>
    <n v="895.54"/>
    <n v="1045"/>
    <n v="0.216"/>
    <n v="1"/>
    <n v="15"/>
    <s v="ok"/>
    <n v="28"/>
    <n v="28"/>
    <n v="12289.2"/>
    <n v="13433.099999999999"/>
    <n v="-1143.8999999999978"/>
    <n v="606.37750000000005"/>
    <n v="1193.865"/>
    <n v="1912.0450000000001"/>
    <s v="High"/>
    <n v="-9.3081730299775234E-2"/>
    <d v="2023-01-13T00:00:00"/>
    <x v="0"/>
  </r>
  <r>
    <s v="ORD-2023-109927"/>
    <d v="2023-07-22T00:00:00"/>
    <s v="Q3-2023"/>
    <x v="24"/>
    <d v="2023-07-21T00:00:00"/>
    <n v="14"/>
    <n v="0"/>
    <d v="2023-08-05T00:00:00"/>
    <x v="1"/>
    <x v="4"/>
    <s v="Delhi"/>
    <s v="Small Business"/>
    <x v="3"/>
    <x v="6"/>
    <x v="1"/>
    <s v="High"/>
    <x v="449"/>
    <n v="946.99"/>
    <n v="2132.19"/>
    <n v="0.16500000000000001"/>
    <n v="0"/>
    <n v="7"/>
    <s v="sus"/>
    <n v="-1"/>
    <n v="1"/>
    <n v="12462.65055"/>
    <n v="6628.93"/>
    <n v="5833.72055"/>
    <n v="606.37750000000005"/>
    <n v="1193.865"/>
    <n v="1912.0450000000001"/>
    <s v="Medium"/>
    <n v="0.46809629513362228"/>
    <d v="2023-01-10T00:00:00"/>
    <x v="0"/>
  </r>
  <r>
    <s v="ORD-2023-780206"/>
    <d v="2023-01-19T00:00:00"/>
    <s v="Q1-2023"/>
    <x v="5"/>
    <d v="2023-02-03T00:00:00"/>
    <n v="15"/>
    <n v="0"/>
    <d v="2023-02-03T00:00:00"/>
    <x v="3"/>
    <x v="8"/>
    <s v="London"/>
    <s v="Enterprise"/>
    <x v="3"/>
    <x v="3"/>
    <x v="6"/>
    <s v="High"/>
    <x v="450"/>
    <n v="873.06"/>
    <n v="2101.5500000000002"/>
    <n v="6.6000000000000003E-2"/>
    <n v="0"/>
    <n v="10"/>
    <s v="ok"/>
    <n v="15"/>
    <n v="15"/>
    <n v="19628.476999999999"/>
    <n v="8730.5999999999985"/>
    <n v="10897.877"/>
    <n v="606.37750000000005"/>
    <n v="1193.865"/>
    <n v="1912.0450000000001"/>
    <s v="High"/>
    <n v="0.55520746719167269"/>
    <d v="2023-01-29T00:00:00"/>
    <x v="0"/>
  </r>
  <r>
    <s v="ORD-2024-851993"/>
    <d v="2024-05-01T00:00:00"/>
    <s v="Q2-2024"/>
    <x v="7"/>
    <d v="2024-05-16T00:00:00"/>
    <n v="15"/>
    <n v="0"/>
    <d v="2024-05-16T00:00:00"/>
    <x v="1"/>
    <x v="4"/>
    <s v="Bengaluru"/>
    <s v="Small Business"/>
    <x v="0"/>
    <x v="4"/>
    <x v="0"/>
    <s v="High"/>
    <x v="451"/>
    <n v="901.19"/>
    <n v="2125.44"/>
    <n v="7.0999999999999994E-2"/>
    <n v="0"/>
    <n v="12"/>
    <s v="ok"/>
    <n v="15"/>
    <n v="15"/>
    <n v="23694.405119999999"/>
    <n v="10814.28"/>
    <n v="12880.125119999999"/>
    <n v="606.37750000000005"/>
    <n v="1193.865"/>
    <n v="1912.0450000000001"/>
    <s v="High"/>
    <n v="0.54359352154100415"/>
    <d v="2023-01-29T00:00:00"/>
    <x v="0"/>
  </r>
  <r>
    <s v="ORD-2025-417942"/>
    <d v="2025-06-09T00:00:00"/>
    <s v="Q2-2025"/>
    <x v="16"/>
    <d v="2025-06-24T00:00:00"/>
    <n v="15"/>
    <n v="0"/>
    <d v="2025-06-24T00:00:00"/>
    <x v="1"/>
    <x v="2"/>
    <s v="Nagoya"/>
    <s v="Corporate"/>
    <x v="4"/>
    <x v="5"/>
    <x v="3"/>
    <s v="Low"/>
    <x v="452"/>
    <n v="400.39"/>
    <n v="712.75"/>
    <n v="0.115"/>
    <n v="0"/>
    <n v="19"/>
    <s v="ok"/>
    <n v="15"/>
    <n v="15"/>
    <n v="11984.891250000001"/>
    <n v="7607.41"/>
    <n v="4377.4812500000007"/>
    <n v="606.37750000000005"/>
    <n v="1193.865"/>
    <n v="1912.0450000000001"/>
    <s v="High"/>
    <n v="0.36524997671547504"/>
    <d v="2023-01-07T00:00:00"/>
    <x v="0"/>
  </r>
  <r>
    <s v="ORD-2023-172095"/>
    <d v="2023-05-24T00:00:00"/>
    <s v="Q2-2023"/>
    <x v="15"/>
    <d v="2023-06-21T00:00:00"/>
    <n v="28"/>
    <n v="0"/>
    <d v="2023-06-21T00:00:00"/>
    <x v="2"/>
    <x v="10"/>
    <s v="Austin"/>
    <s v="Small Business"/>
    <x v="2"/>
    <x v="3"/>
    <x v="5"/>
    <s v="Medium"/>
    <x v="453"/>
    <n v="813.97"/>
    <n v="1568.83"/>
    <n v="1.7000000000000001E-2"/>
    <n v="0"/>
    <n v="15"/>
    <s v="ok"/>
    <n v="28"/>
    <n v="28"/>
    <n v="23132.398349999996"/>
    <n v="12209.550000000001"/>
    <n v="10922.848349999995"/>
    <n v="606.37750000000005"/>
    <n v="1193.865"/>
    <n v="1912.0450000000001"/>
    <s v="Medium"/>
    <n v="0.4721883215364911"/>
    <d v="2023-01-29T00:00:00"/>
    <x v="0"/>
  </r>
  <r>
    <s v="ORD-2024-257550"/>
    <d v="2024-12-27T00:00:00"/>
    <s v="Q4-2024"/>
    <x v="6"/>
    <d v="2024-12-29T00:00:00"/>
    <n v="2"/>
    <n v="1"/>
    <d v="2024-12-29T00:00:00"/>
    <x v="2"/>
    <x v="3"/>
    <s v="Vancouver"/>
    <s v="Enterprise"/>
    <x v="2"/>
    <x v="0"/>
    <x v="6"/>
    <s v="High"/>
    <x v="454"/>
    <n v="1146.72"/>
    <n v="2074.34"/>
    <n v="0.111"/>
    <n v="0"/>
    <n v="8"/>
    <s v="ok"/>
    <n v="2"/>
    <n v="2"/>
    <n v="14752.706080000002"/>
    <n v="9173.76"/>
    <n v="5578.9460800000015"/>
    <n v="606.37750000000005"/>
    <n v="1193.865"/>
    <n v="1912.0450000000001"/>
    <s v="Medium"/>
    <n v="0.37816425337472737"/>
    <d v="2023-01-20T00:00:00"/>
    <x v="0"/>
  </r>
  <r>
    <s v="ORD-2023-581799"/>
    <d v="2023-12-05T00:00:00"/>
    <s v="Q4-2023"/>
    <x v="4"/>
    <d v="2023-12-12T00:00:00"/>
    <n v="7"/>
    <n v="1"/>
    <d v="2023-12-12T00:00:00"/>
    <x v="2"/>
    <x v="5"/>
    <s v="Brasília"/>
    <s v="Corporate"/>
    <x v="4"/>
    <x v="9"/>
    <x v="3"/>
    <s v="Low"/>
    <x v="455"/>
    <n v="307.43"/>
    <n v="495.19"/>
    <n v="0"/>
    <n v="0"/>
    <n v="42"/>
    <s v="ok"/>
    <n v="7"/>
    <n v="7"/>
    <n v="20797.98"/>
    <n v="12912.06"/>
    <n v="7885.92"/>
    <n v="606.37750000000005"/>
    <n v="1193.865"/>
    <n v="1912.0450000000001"/>
    <s v="High"/>
    <n v="0.37916759223732305"/>
    <d v="2023-01-29T00:00:00"/>
    <x v="0"/>
  </r>
  <r>
    <s v="ORD-2023-880296"/>
    <d v="2023-05-02T00:00:00"/>
    <s v="Q2-2023"/>
    <x v="15"/>
    <d v="2023-05-19T00:00:00"/>
    <n v="17"/>
    <n v="0"/>
    <d v="2023-05-19T00:00:00"/>
    <x v="1"/>
    <x v="9"/>
    <s v="Shanghai"/>
    <s v="Non-Profit"/>
    <x v="4"/>
    <x v="1"/>
    <x v="5"/>
    <s v="Low"/>
    <x v="456"/>
    <n v="714.28"/>
    <n v="757.59"/>
    <n v="0.13600000000000001"/>
    <n v="0"/>
    <n v="12"/>
    <s v="ok"/>
    <n v="17"/>
    <n v="17"/>
    <n v="7854.6931199999999"/>
    <n v="8571.36"/>
    <n v="-716.66688000000067"/>
    <n v="606.37750000000005"/>
    <n v="1193.865"/>
    <n v="1912.0450000000001"/>
    <s v="Low"/>
    <n v="-9.1240595787910383E-2"/>
    <d v="2023-01-02T00:00:00"/>
    <x v="0"/>
  </r>
  <r>
    <s v="ORD-2023-191563"/>
    <d v="2023-11-30T00:00:00"/>
    <s v="Q4-2023"/>
    <x v="30"/>
    <d v="2023-12-10T00:00:00"/>
    <n v="10"/>
    <n v="0"/>
    <d v="2023-12-10T00:00:00"/>
    <x v="3"/>
    <x v="6"/>
    <s v="Munich"/>
    <s v="Small Business"/>
    <x v="4"/>
    <x v="9"/>
    <x v="4"/>
    <s v="Low"/>
    <x v="457"/>
    <n v="174.74"/>
    <n v="415.96"/>
    <n v="0.125"/>
    <n v="0"/>
    <n v="21"/>
    <s v="ok"/>
    <n v="10"/>
    <n v="10"/>
    <n v="7643.2649999999994"/>
    <n v="3669.54"/>
    <n v="3973.7249999999995"/>
    <n v="606.37750000000005"/>
    <n v="1193.865"/>
    <n v="1912.0450000000001"/>
    <s v="Medium"/>
    <n v="0.51989889137691803"/>
    <d v="2023-01-13T00:00:00"/>
    <x v="0"/>
  </r>
  <r>
    <s v="ORD-2024-202166"/>
    <d v="2024-05-05T00:00:00"/>
    <s v="Q2-2024"/>
    <x v="7"/>
    <d v="2024-05-18T00:00:00"/>
    <n v="13"/>
    <n v="0"/>
    <d v="2024-05-18T00:00:00"/>
    <x v="3"/>
    <x v="7"/>
    <s v="Marseille"/>
    <s v="Corporate"/>
    <x v="2"/>
    <x v="8"/>
    <x v="0"/>
    <s v="High"/>
    <x v="458"/>
    <n v="1264.04"/>
    <n v="1870.89"/>
    <n v="0"/>
    <n v="0"/>
    <n v="13"/>
    <s v="ok"/>
    <n v="13"/>
    <n v="13"/>
    <n v="24321.57"/>
    <n v="16432.52"/>
    <n v="7889.0499999999993"/>
    <n v="606.37750000000005"/>
    <n v="1193.865"/>
    <n v="1912.0450000000001"/>
    <s v="Low"/>
    <n v="0.32436433996653996"/>
    <d v="2023-01-19T00:00:00"/>
    <x v="0"/>
  </r>
  <r>
    <s v="ORD-2023-539967"/>
    <d v="2023-07-09T00:00:00"/>
    <s v="Q3-2023"/>
    <x v="24"/>
    <d v="2023-07-19T00:00:00"/>
    <n v="10"/>
    <n v="0"/>
    <d v="2023-07-19T00:00:00"/>
    <x v="1"/>
    <x v="2"/>
    <s v="Tokyo"/>
    <s v="Enterprise"/>
    <x v="3"/>
    <x v="13"/>
    <x v="0"/>
    <s v="Low"/>
    <x v="459"/>
    <n v="141.26"/>
    <n v="206.88"/>
    <n v="0.107"/>
    <n v="0"/>
    <n v="9"/>
    <s v="ok"/>
    <n v="10"/>
    <n v="10"/>
    <n v="1662.6945600000001"/>
    <n v="1271.3399999999999"/>
    <n v="391.35456000000022"/>
    <n v="606.37750000000005"/>
    <n v="1193.865"/>
    <n v="1912.0450000000001"/>
    <s v="Medium"/>
    <n v="0.23537369365062469"/>
    <d v="2023-01-29T00:00:00"/>
    <x v="0"/>
  </r>
  <r>
    <s v="ORD-2023-704111"/>
    <d v="2023-05-17T00:00:00"/>
    <s v="Q2-2023"/>
    <x v="15"/>
    <d v="2023-06-15T00:00:00"/>
    <n v="29"/>
    <n v="0"/>
    <d v="2023-06-15T00:00:00"/>
    <x v="0"/>
    <x v="11"/>
    <s v="Durban"/>
    <s v="Enterprise"/>
    <x v="0"/>
    <x v="11"/>
    <x v="6"/>
    <s v="Low"/>
    <x v="460"/>
    <n v="40.89"/>
    <n v="62.82"/>
    <n v="0.129"/>
    <n v="0"/>
    <n v="17"/>
    <s v="ok"/>
    <n v="29"/>
    <n v="29"/>
    <n v="930.17574000000002"/>
    <n v="695.13"/>
    <n v="235.04574000000002"/>
    <n v="606.37750000000005"/>
    <n v="1193.865"/>
    <n v="1912.0450000000001"/>
    <s v="Low"/>
    <n v="0.25268960465470752"/>
    <d v="2023-01-19T00:00:00"/>
    <x v="0"/>
  </r>
  <r>
    <s v="ORD-2024-356812"/>
    <d v="2024-03-07T00:00:00"/>
    <s v="Q1-2024"/>
    <x v="0"/>
    <d v="2024-04-03T00:00:00"/>
    <n v="27"/>
    <n v="0"/>
    <d v="2024-04-03T00:00:00"/>
    <x v="3"/>
    <x v="6"/>
    <s v="Frankfurt"/>
    <s v="Corporate"/>
    <x v="4"/>
    <x v="12"/>
    <x v="1"/>
    <s v="Medium"/>
    <x v="461"/>
    <n v="738.16"/>
    <n v="956.49"/>
    <n v="0.152"/>
    <n v="0"/>
    <n v="5"/>
    <s v="ok"/>
    <n v="27"/>
    <n v="27"/>
    <n v="4055.5175999999997"/>
    <n v="3690.7999999999997"/>
    <n v="364.71759999999995"/>
    <n v="606.37750000000005"/>
    <n v="1193.865"/>
    <n v="1912.0450000000001"/>
    <s v="Low"/>
    <n v="8.9931208780847108E-2"/>
    <d v="2023-01-29T00:00:00"/>
    <x v="0"/>
  </r>
  <r>
    <s v="ORD-2025-306251"/>
    <d v="2025-04-10T00:00:00"/>
    <s v="Q2-2025"/>
    <x v="19"/>
    <d v="2025-04-19T00:00:00"/>
    <n v="9"/>
    <n v="0"/>
    <d v="2025-04-19T00:00:00"/>
    <x v="0"/>
    <x v="11"/>
    <s v="Durban"/>
    <s v="Enterprise"/>
    <x v="5"/>
    <x v="3"/>
    <x v="2"/>
    <s v="Low"/>
    <x v="462"/>
    <n v="113.74"/>
    <n v="165.7"/>
    <n v="0.124"/>
    <n v="0"/>
    <n v="13"/>
    <s v="ok"/>
    <n v="9"/>
    <n v="9"/>
    <n v="1886.9915999999998"/>
    <n v="1478.62"/>
    <n v="408.37159999999994"/>
    <n v="606.37750000000005"/>
    <n v="1193.865"/>
    <n v="1912.0450000000001"/>
    <s v="Medium"/>
    <n v="0.21641410592394794"/>
    <d v="2023-01-10T00:00:00"/>
    <x v="0"/>
  </r>
  <r>
    <s v="ORD-2025-496178"/>
    <d v="2025-07-27T00:00:00"/>
    <s v="Q3-2025"/>
    <x v="13"/>
    <d v="2025-08-15T00:00:00"/>
    <n v="19"/>
    <n v="0"/>
    <d v="2025-08-15T00:00:00"/>
    <x v="1"/>
    <x v="2"/>
    <s v="Tokyo"/>
    <s v="Small Business"/>
    <x v="2"/>
    <x v="1"/>
    <x v="0"/>
    <s v="Low"/>
    <x v="463"/>
    <n v="275.43"/>
    <n v="608.36"/>
    <n v="0.25700000000000001"/>
    <n v="1"/>
    <n v="4"/>
    <s v="ok"/>
    <n v="19"/>
    <n v="19"/>
    <n v="1808.04592"/>
    <n v="1101.72"/>
    <n v="706.32592"/>
    <n v="606.37750000000005"/>
    <n v="1193.865"/>
    <n v="1912.0450000000001"/>
    <s v="Low"/>
    <n v="0.39065706915231446"/>
    <d v="2023-01-12T00:00:00"/>
    <x v="0"/>
  </r>
  <r>
    <s v="ORD-2024-508213"/>
    <d v="2024-11-22T00:00:00"/>
    <s v="Q4-2024"/>
    <x v="18"/>
    <d v="2024-12-15T00:00:00"/>
    <n v="23"/>
    <n v="0"/>
    <d v="2024-12-15T00:00:00"/>
    <x v="0"/>
    <x v="0"/>
    <s v="Mombasa"/>
    <s v="Non-Profit"/>
    <x v="3"/>
    <x v="0"/>
    <x v="0"/>
    <s v="High"/>
    <x v="464"/>
    <n v="1335.76"/>
    <n v="2665.91"/>
    <n v="0.21099999999999999"/>
    <n v="1"/>
    <n v="40"/>
    <s v="ok"/>
    <n v="23"/>
    <n v="23"/>
    <n v="84136.119600000005"/>
    <n v="53430.400000000001"/>
    <n v="30705.719600000004"/>
    <n v="606.37750000000005"/>
    <n v="1193.865"/>
    <n v="1912.0450000000001"/>
    <s v="Medium"/>
    <n v="0.36495288522909253"/>
    <d v="2023-01-29T00:00:00"/>
    <x v="0"/>
  </r>
  <r>
    <s v="ORD-2024-787018"/>
    <d v="2024-06-23T00:00:00"/>
    <s v="Q2-2024"/>
    <x v="17"/>
    <d v="2024-06-28T00:00:00"/>
    <n v="5"/>
    <n v="1"/>
    <d v="2024-06-28T00:00:00"/>
    <x v="0"/>
    <x v="1"/>
    <s v="Port Harcourt"/>
    <s v="Non-Profit"/>
    <x v="4"/>
    <x v="12"/>
    <x v="6"/>
    <s v="Low"/>
    <x v="465"/>
    <n v="242.31"/>
    <n v="587.95000000000005"/>
    <n v="0.22900000000000001"/>
    <n v="1"/>
    <n v="6"/>
    <s v="ok"/>
    <n v="5"/>
    <n v="5"/>
    <n v="2719.8567000000003"/>
    <n v="1453.8600000000001"/>
    <n v="1265.9967000000001"/>
    <n v="606.37750000000005"/>
    <n v="1193.865"/>
    <n v="1912.0450000000001"/>
    <s v="High"/>
    <n v="0.46546448568411714"/>
    <d v="2023-01-15T00:00:00"/>
    <x v="0"/>
  </r>
  <r>
    <s v="ORD-2023-728177"/>
    <d v="2023-12-18T00:00:00"/>
    <s v="Q4-2023"/>
    <x v="4"/>
    <d v="2024-01-14T00:00:00"/>
    <n v="27"/>
    <n v="0"/>
    <d v="2024-01-14T00:00:00"/>
    <x v="1"/>
    <x v="4"/>
    <s v="Mumbai"/>
    <s v="Consumer"/>
    <x v="3"/>
    <x v="14"/>
    <x v="2"/>
    <s v="High"/>
    <x v="466"/>
    <n v="1408.3"/>
    <n v="2193.13"/>
    <n v="7.0999999999999994E-2"/>
    <n v="0"/>
    <n v="7"/>
    <s v="ok"/>
    <n v="27"/>
    <n v="27"/>
    <n v="14261.92439"/>
    <n v="9858.1"/>
    <n v="4403.8243899999998"/>
    <n v="606.37750000000005"/>
    <n v="1193.865"/>
    <n v="1912.0450000000001"/>
    <s v="Low"/>
    <n v="0.30878191957656281"/>
    <d v="2023-01-07T00:00:00"/>
    <x v="0"/>
  </r>
  <r>
    <s v="ORD-2025-795385"/>
    <d v="2025-06-01T00:00:00"/>
    <s v="Q2-2025"/>
    <x v="16"/>
    <d v="2025-06-05T00:00:00"/>
    <n v="4"/>
    <n v="1"/>
    <d v="2025-06-05T00:00:00"/>
    <x v="3"/>
    <x v="6"/>
    <s v="Munich"/>
    <s v="Enterprise"/>
    <x v="4"/>
    <x v="12"/>
    <x v="0"/>
    <s v="High"/>
    <x v="467"/>
    <n v="1171.42"/>
    <n v="2187.8000000000002"/>
    <n v="0.23"/>
    <n v="1"/>
    <n v="15"/>
    <s v="ok"/>
    <n v="4"/>
    <n v="4"/>
    <n v="25269.09"/>
    <n v="17571.300000000003"/>
    <n v="7697.7899999999972"/>
    <n v="606.37750000000005"/>
    <n v="1193.865"/>
    <n v="1912.0450000000001"/>
    <s v="High"/>
    <n v="0.30463265594447592"/>
    <d v="2023-01-20T00:00:00"/>
    <x v="0"/>
  </r>
  <r>
    <s v="ORD-2025-947929"/>
    <d v="2025-03-23T00:00:00"/>
    <s v="Q1-2025"/>
    <x v="3"/>
    <d v="2025-04-02T00:00:00"/>
    <n v="10"/>
    <n v="0"/>
    <d v="2025-04-02T00:00:00"/>
    <x v="3"/>
    <x v="6"/>
    <s v="Berlin"/>
    <s v="Enterprise"/>
    <x v="1"/>
    <x v="6"/>
    <x v="1"/>
    <s v="Medium"/>
    <x v="468"/>
    <n v="663.61"/>
    <n v="1002.11"/>
    <n v="4.5999999999999999E-2"/>
    <n v="0"/>
    <n v="17"/>
    <s v="ok"/>
    <n v="10"/>
    <n v="10"/>
    <n v="16252.219979999998"/>
    <n v="11281.37"/>
    <n v="4970.8499799999972"/>
    <n v="606.37750000000005"/>
    <n v="1193.865"/>
    <n v="1912.0450000000001"/>
    <s v="High"/>
    <n v="0.30585667595670812"/>
    <d v="2023-01-13T00:00:00"/>
    <x v="0"/>
  </r>
  <r>
    <s v="ORD-2023-931633"/>
    <d v="2023-05-14T00:00:00"/>
    <s v="Q2-2023"/>
    <x v="15"/>
    <d v="2023-05-22T00:00:00"/>
    <n v="8"/>
    <n v="0"/>
    <d v="2023-05-22T00:00:00"/>
    <x v="0"/>
    <x v="0"/>
    <s v="Mombasa"/>
    <s v="Small Business"/>
    <x v="3"/>
    <x v="9"/>
    <x v="1"/>
    <s v="Medium"/>
    <x v="469"/>
    <n v="432.01"/>
    <n v="913.78"/>
    <n v="4.9000000000000002E-2"/>
    <n v="0"/>
    <n v="12"/>
    <s v="ok"/>
    <n v="8"/>
    <n v="8"/>
    <n v="10428.057360000001"/>
    <n v="5184.12"/>
    <n v="5243.9373600000008"/>
    <n v="606.37750000000005"/>
    <n v="1193.865"/>
    <n v="1912.0450000000001"/>
    <s v="Medium"/>
    <n v="0.50286809699711899"/>
    <d v="2023-01-20T00:00:00"/>
    <x v="0"/>
  </r>
  <r>
    <s v="ORD-2023-243704"/>
    <d v="2023-08-29T00:00:00"/>
    <s v="Q3-2023"/>
    <x v="25"/>
    <d v="2023-09-19T00:00:00"/>
    <n v="21"/>
    <n v="0"/>
    <d v="2023-09-19T00:00:00"/>
    <x v="3"/>
    <x v="7"/>
    <s v="Lyon"/>
    <s v="Small Business"/>
    <x v="4"/>
    <x v="5"/>
    <x v="1"/>
    <s v="High"/>
    <x v="470"/>
    <n v="784.46"/>
    <n v="1843.51"/>
    <n v="0.13800000000000001"/>
    <n v="0"/>
    <n v="23"/>
    <s v="ok"/>
    <n v="21"/>
    <n v="21"/>
    <n v="36549.429260000004"/>
    <n v="18042.580000000002"/>
    <n v="18506.849260000003"/>
    <n v="606.37750000000005"/>
    <n v="1193.865"/>
    <n v="1912.0450000000001"/>
    <s v="Medium"/>
    <n v="0.50635125184441798"/>
    <d v="2023-01-29T00:00:00"/>
    <x v="0"/>
  </r>
  <r>
    <s v="ORD-2025-779659"/>
    <d v="2025-07-03T00:00:00"/>
    <s v="Q3-2025"/>
    <x v="13"/>
    <d v="2025-07-23T00:00:00"/>
    <n v="20"/>
    <n v="0"/>
    <d v="2025-07-23T00:00:00"/>
    <x v="1"/>
    <x v="9"/>
    <s v="Beijing"/>
    <s v="Small Business"/>
    <x v="1"/>
    <x v="12"/>
    <x v="0"/>
    <s v="Medium"/>
    <x v="471"/>
    <n v="647.36"/>
    <n v="1383.6"/>
    <n v="7.3999999999999996E-2"/>
    <n v="0"/>
    <n v="12"/>
    <s v="ok"/>
    <n v="20"/>
    <n v="20"/>
    <n v="15374.563199999999"/>
    <n v="7768.32"/>
    <n v="7606.243199999999"/>
    <n v="606.37750000000005"/>
    <n v="1193.865"/>
    <n v="1912.0450000000001"/>
    <s v="Medium"/>
    <n v="0.49472906000997802"/>
    <d v="2023-03-03T00:00:00"/>
    <x v="1"/>
  </r>
  <r>
    <s v="ORD-2024-647571"/>
    <d v="2024-02-06T00:00:00"/>
    <s v="Q1-2024"/>
    <x v="31"/>
    <d v="2024-02-28T00:00:00"/>
    <n v="22"/>
    <n v="0"/>
    <d v="2024-02-28T00:00:00"/>
    <x v="0"/>
    <x v="0"/>
    <s v="Kisumu"/>
    <s v="Non-Profit"/>
    <x v="1"/>
    <x v="11"/>
    <x v="5"/>
    <s v="Medium"/>
    <x v="472"/>
    <n v="834.93"/>
    <n v="1588.53"/>
    <n v="0.126"/>
    <n v="0"/>
    <n v="6"/>
    <s v="ok"/>
    <n v="22"/>
    <n v="22"/>
    <n v="8330.2513199999994"/>
    <n v="5009.58"/>
    <n v="3320.6713199999995"/>
    <n v="606.37750000000005"/>
    <n v="1193.865"/>
    <n v="1912.0450000000001"/>
    <s v="Medium"/>
    <n v="0.39862798761274343"/>
    <d v="2023-03-03T00:00:00"/>
    <x v="1"/>
  </r>
  <r>
    <s v="ORD-2025-683043"/>
    <d v="2025-08-13T00:00:00"/>
    <s v="Q3-2025"/>
    <x v="28"/>
    <d v="2025-09-03T00:00:00"/>
    <n v="21"/>
    <n v="0"/>
    <d v="2025-09-03T00:00:00"/>
    <x v="3"/>
    <x v="7"/>
    <s v="Paris"/>
    <s v="Education"/>
    <x v="0"/>
    <x v="2"/>
    <x v="3"/>
    <s v="Medium"/>
    <x v="473"/>
    <n v="603.47"/>
    <n v="1344.05"/>
    <n v="0.20499999999999999"/>
    <n v="1"/>
    <n v="18"/>
    <s v="ok"/>
    <n v="21"/>
    <n v="21"/>
    <n v="19233.355499999998"/>
    <n v="10862.460000000001"/>
    <n v="8370.8954999999969"/>
    <n v="606.37750000000005"/>
    <n v="1193.865"/>
    <n v="1912.0450000000001"/>
    <s v="Medium"/>
    <n v="0.43522803392262976"/>
    <d v="2023-01-02T00:00:00"/>
    <x v="0"/>
  </r>
  <r>
    <s v="ORD-2023-588455"/>
    <d v="2023-05-23T00:00:00"/>
    <s v="Q2-2023"/>
    <x v="15"/>
    <d v="2023-05-25T00:00:00"/>
    <n v="2"/>
    <n v="1"/>
    <d v="2023-05-25T00:00:00"/>
    <x v="2"/>
    <x v="5"/>
    <s v="Rio de Janeiro"/>
    <s v="Enterprise"/>
    <x v="0"/>
    <x v="12"/>
    <x v="1"/>
    <s v="Medium"/>
    <x v="474"/>
    <n v="690.49"/>
    <n v="1290.29"/>
    <n v="4.2000000000000003E-2"/>
    <n v="0"/>
    <n v="22"/>
    <s v="ok"/>
    <n v="2"/>
    <n v="2"/>
    <n v="27194.152039999997"/>
    <n v="15190.78"/>
    <n v="12003.372039999997"/>
    <n v="606.37750000000005"/>
    <n v="1193.865"/>
    <n v="1912.0450000000001"/>
    <s v="Medium"/>
    <n v="0.44139534199647718"/>
    <d v="2023-01-15T00:00:00"/>
    <x v="0"/>
  </r>
  <r>
    <s v="ORD-2024-641220"/>
    <d v="2024-05-10T00:00:00"/>
    <s v="Q2-2024"/>
    <x v="7"/>
    <d v="2024-05-16T00:00:00"/>
    <n v="6"/>
    <n v="1"/>
    <d v="2024-05-16T00:00:00"/>
    <x v="3"/>
    <x v="8"/>
    <s v="Birmingham"/>
    <s v="Non-Profit"/>
    <x v="4"/>
    <x v="3"/>
    <x v="4"/>
    <s v="Low"/>
    <x v="475"/>
    <n v="210.76"/>
    <n v="221.58"/>
    <n v="8.8999999999999996E-2"/>
    <n v="0"/>
    <n v="5"/>
    <s v="ok"/>
    <n v="6"/>
    <n v="6"/>
    <n v="1009.2969000000002"/>
    <n v="1053.8"/>
    <n v="-44.50309999999979"/>
    <n v="606.37750000000005"/>
    <n v="1193.865"/>
    <n v="1912.0450000000001"/>
    <s v="Medium"/>
    <n v="-4.4093170205912434E-2"/>
    <d v="2023-01-15T00:00:00"/>
    <x v="0"/>
  </r>
  <r>
    <s v="ORD-2023-799597"/>
    <d v="2023-03-14T00:00:00"/>
    <s v="Q1-2023"/>
    <x v="22"/>
    <d v="2023-03-18T00:00:00"/>
    <n v="4"/>
    <n v="1"/>
    <d v="2023-03-18T00:00:00"/>
    <x v="3"/>
    <x v="6"/>
    <s v="Frankfurt"/>
    <s v="Enterprise"/>
    <x v="4"/>
    <x v="8"/>
    <x v="0"/>
    <s v="Low"/>
    <x v="476"/>
    <n v="472.33"/>
    <n v="360.34"/>
    <n v="0.16500000000000001"/>
    <n v="0"/>
    <n v="14"/>
    <s v="ok"/>
    <n v="4"/>
    <n v="4"/>
    <n v="4212.3745999999992"/>
    <n v="6612.62"/>
    <n v="-2400.2454000000007"/>
    <n v="606.37750000000005"/>
    <n v="1193.865"/>
    <n v="1912.0450000000001"/>
    <s v="Low"/>
    <n v="-0.56980815523861561"/>
    <d v="2023-01-29T00:00:00"/>
    <x v="0"/>
  </r>
  <r>
    <s v="ORD-2023-569862"/>
    <d v="2023-07-16T00:00:00"/>
    <s v="Q3-2023"/>
    <x v="24"/>
    <d v="2023-08-13T00:00:00"/>
    <n v="28"/>
    <n v="0"/>
    <d v="2023-08-13T00:00:00"/>
    <x v="3"/>
    <x v="8"/>
    <s v="Manchester"/>
    <s v="Non-Profit"/>
    <x v="1"/>
    <x v="1"/>
    <x v="4"/>
    <s v="High"/>
    <x v="477"/>
    <n v="1039.03"/>
    <n v="2545.81"/>
    <n v="0.216"/>
    <n v="1"/>
    <n v="21"/>
    <s v="ok"/>
    <n v="28"/>
    <n v="28"/>
    <n v="41914.215840000004"/>
    <n v="21819.63"/>
    <n v="20094.585840000003"/>
    <n v="606.37750000000005"/>
    <n v="1193.865"/>
    <n v="1912.0450000000001"/>
    <s v="Low"/>
    <n v="0.47942172929364774"/>
    <d v="2023-01-19T00:00:00"/>
    <x v="0"/>
  </r>
  <r>
    <s v="ORD-2023-609394"/>
    <d v="2023-04-16T00:00:00"/>
    <s v="Q2-2023"/>
    <x v="12"/>
    <d v="2023-04-19T00:00:00"/>
    <n v="3"/>
    <n v="1"/>
    <d v="2023-04-19T00:00:00"/>
    <x v="3"/>
    <x v="6"/>
    <s v="Munich"/>
    <s v="Corporate"/>
    <x v="4"/>
    <x v="5"/>
    <x v="6"/>
    <s v="Low"/>
    <x v="478"/>
    <n v="553.61"/>
    <n v="699.47"/>
    <n v="0.02"/>
    <n v="0"/>
    <n v="33"/>
    <s v="ok"/>
    <n v="3"/>
    <n v="3"/>
    <n v="22620.859800000002"/>
    <n v="18269.13"/>
    <n v="4351.729800000001"/>
    <n v="606.37750000000005"/>
    <n v="1193.865"/>
    <n v="1912.0450000000001"/>
    <s v="High"/>
    <n v="0.19237685209472014"/>
    <d v="2023-01-22T00:00:00"/>
    <x v="0"/>
  </r>
  <r>
    <s v="ORD-2024-105586"/>
    <d v="2024-01-02T00:00:00"/>
    <s v="Q1-2024"/>
    <x v="9"/>
    <d v="2024-01-15T00:00:00"/>
    <n v="13"/>
    <n v="0"/>
    <d v="2024-01-15T00:00:00"/>
    <x v="1"/>
    <x v="2"/>
    <s v="Nagoya"/>
    <s v="Small Business"/>
    <x v="2"/>
    <x v="3"/>
    <x v="2"/>
    <s v="High"/>
    <x v="479"/>
    <n v="1219.06"/>
    <n v="2738.69"/>
    <n v="7.5999999999999998E-2"/>
    <n v="0"/>
    <n v="16"/>
    <s v="ok"/>
    <n v="13"/>
    <n v="13"/>
    <n v="40488.792960000006"/>
    <n v="19504.96"/>
    <n v="20983.832960000007"/>
    <n v="606.37750000000005"/>
    <n v="1193.865"/>
    <n v="1912.0450000000001"/>
    <s v="Medium"/>
    <n v="0.51826274447673737"/>
    <d v="2023-01-15T00:00:00"/>
    <x v="0"/>
  </r>
  <r>
    <s v="ORD-2024-207792"/>
    <d v="2024-09-03T00:00:00"/>
    <s v="Q3-2024"/>
    <x v="29"/>
    <d v="2024-09-07T00:00:00"/>
    <n v="4"/>
    <n v="1"/>
    <d v="2024-09-07T00:00:00"/>
    <x v="1"/>
    <x v="2"/>
    <s v="Tokyo"/>
    <s v="Small Business"/>
    <x v="3"/>
    <x v="13"/>
    <x v="1"/>
    <s v="Low"/>
    <x v="480"/>
    <n v="43.23"/>
    <n v="94.78"/>
    <n v="9.0999999999999998E-2"/>
    <n v="0"/>
    <n v="55"/>
    <s v="ok"/>
    <n v="4"/>
    <n v="4"/>
    <n v="4738.5261"/>
    <n v="2377.6499999999996"/>
    <n v="2360.8761000000004"/>
    <n v="606.37750000000005"/>
    <n v="1193.865"/>
    <n v="1912.0450000000001"/>
    <s v="High"/>
    <n v="0.49823005090127082"/>
    <d v="2023-03-03T00:00:00"/>
    <x v="1"/>
  </r>
  <r>
    <s v="ORD-2025-417336"/>
    <d v="2025-08-30T00:00:00"/>
    <s v="Q3-2025"/>
    <x v="28"/>
    <d v="2025-09-03T00:00:00"/>
    <n v="4"/>
    <n v="1"/>
    <d v="2025-09-03T00:00:00"/>
    <x v="3"/>
    <x v="7"/>
    <s v="Marseille"/>
    <s v="Small Business"/>
    <x v="2"/>
    <x v="1"/>
    <x v="4"/>
    <s v="High"/>
    <x v="481"/>
    <n v="1286.56"/>
    <n v="2777.35"/>
    <n v="0.13200000000000001"/>
    <n v="0"/>
    <n v="15"/>
    <s v="ok"/>
    <n v="4"/>
    <n v="4"/>
    <n v="36161.097000000002"/>
    <n v="19298.399999999998"/>
    <n v="16862.697000000004"/>
    <n v="606.37750000000005"/>
    <n v="1193.865"/>
    <n v="1912.0450000000001"/>
    <s v="Low"/>
    <n v="0.46632150014696744"/>
    <d v="2023-01-29T00:00:00"/>
    <x v="0"/>
  </r>
  <r>
    <s v="ORD-2025-252117"/>
    <d v="2025-04-28T00:00:00"/>
    <s v="Q2-2025"/>
    <x v="19"/>
    <d v="2025-05-19T00:00:00"/>
    <n v="21"/>
    <n v="0"/>
    <d v="2025-05-19T00:00:00"/>
    <x v="3"/>
    <x v="6"/>
    <s v="Berlin"/>
    <s v="Corporate"/>
    <x v="3"/>
    <x v="5"/>
    <x v="3"/>
    <s v="Low"/>
    <x v="482"/>
    <n v="350.76"/>
    <n v="492.18"/>
    <n v="5.2999999999999999E-2"/>
    <n v="0"/>
    <n v="11"/>
    <s v="ok"/>
    <n v="21"/>
    <n v="21"/>
    <n v="5127.0390600000001"/>
    <n v="3858.3599999999997"/>
    <n v="1268.6790600000004"/>
    <n v="606.37750000000005"/>
    <n v="1193.865"/>
    <n v="1912.0450000000001"/>
    <s v="High"/>
    <n v="0.24744868239798437"/>
    <d v="2023-01-19T00:00:00"/>
    <x v="0"/>
  </r>
  <r>
    <s v="ORD-2023-867175"/>
    <d v="2023-08-10T00:00:00"/>
    <s v="Q3-2023"/>
    <x v="25"/>
    <d v="2023-08-15T00:00:00"/>
    <n v="5"/>
    <n v="1"/>
    <d v="2023-08-15T00:00:00"/>
    <x v="2"/>
    <x v="5"/>
    <s v="São Paulo"/>
    <s v="Education"/>
    <x v="4"/>
    <x v="3"/>
    <x v="2"/>
    <s v="High"/>
    <x v="483"/>
    <n v="1307.52"/>
    <n v="1921.65"/>
    <n v="0.123"/>
    <n v="0"/>
    <n v="13"/>
    <s v="ok"/>
    <n v="5"/>
    <n v="5"/>
    <n v="21908.731650000002"/>
    <n v="16997.759999999998"/>
    <n v="4910.9716500000031"/>
    <n v="606.37750000000005"/>
    <n v="1193.865"/>
    <n v="1912.0450000000001"/>
    <s v="Low"/>
    <n v="0.22415590863289445"/>
    <d v="2023-01-29T00:00:00"/>
    <x v="0"/>
  </r>
  <r>
    <s v="ORD-2024-382152"/>
    <d v="2024-12-08T00:00:00"/>
    <s v="Q4-2024"/>
    <x v="6"/>
    <d v="2024-12-08T00:00:00"/>
    <n v="0"/>
    <n v="1"/>
    <d v="2024-12-08T00:00:00"/>
    <x v="3"/>
    <x v="7"/>
    <s v="Lyon"/>
    <s v="Enterprise"/>
    <x v="0"/>
    <x v="10"/>
    <x v="0"/>
    <s v="Low"/>
    <x v="484"/>
    <n v="257.44"/>
    <n v="290.33"/>
    <n v="9.1999999999999998E-2"/>
    <n v="0"/>
    <n v="23"/>
    <s v="sus"/>
    <n v="0"/>
    <n v="0"/>
    <n v="6063.2517199999993"/>
    <n v="5921.12"/>
    <n v="142.1317199999994"/>
    <n v="606.37750000000005"/>
    <n v="1193.865"/>
    <n v="1912.0450000000001"/>
    <s v="High"/>
    <n v="2.3441500792581216E-2"/>
    <d v="2023-01-29T00:00:00"/>
    <x v="0"/>
  </r>
  <r>
    <s v="ORD-2023-597666"/>
    <d v="2023-10-25T00:00:00"/>
    <s v="Q4-2023"/>
    <x v="32"/>
    <d v="2023-11-24T00:00:00"/>
    <n v="30"/>
    <n v="0"/>
    <d v="2023-11-24T00:00:00"/>
    <x v="3"/>
    <x v="7"/>
    <s v="Paris"/>
    <s v="Enterprise"/>
    <x v="3"/>
    <x v="0"/>
    <x v="3"/>
    <s v="Low"/>
    <x v="485"/>
    <n v="287.85000000000002"/>
    <n v="602.91999999999996"/>
    <n v="0.222"/>
    <n v="1"/>
    <n v="11"/>
    <s v="ok"/>
    <n v="30"/>
    <n v="30"/>
    <n v="5159.7893599999998"/>
    <n v="3166.3500000000004"/>
    <n v="1993.4393599999994"/>
    <n v="606.37750000000005"/>
    <n v="1193.865"/>
    <n v="1912.0450000000001"/>
    <s v="Low"/>
    <n v="0.38634122847216373"/>
    <d v="2023-01-12T00:00:00"/>
    <x v="0"/>
  </r>
  <r>
    <s v="ORD-2024-371409"/>
    <d v="2024-11-17T00:00:00"/>
    <s v="Q4-2024"/>
    <x v="18"/>
    <d v="2024-11-28T00:00:00"/>
    <n v="11"/>
    <n v="0"/>
    <d v="2024-11-28T00:00:00"/>
    <x v="2"/>
    <x v="3"/>
    <s v="unknown"/>
    <s v="Consumer"/>
    <x v="3"/>
    <x v="8"/>
    <x v="1"/>
    <s v="High"/>
    <x v="486"/>
    <n v="1008.16"/>
    <n v="2077.5"/>
    <n v="7.3999999999999996E-2"/>
    <n v="0"/>
    <n v="15"/>
    <s v="ok"/>
    <n v="11"/>
    <n v="11"/>
    <n v="28856.475000000002"/>
    <n v="15122.4"/>
    <n v="13734.075000000003"/>
    <n v="606.37750000000005"/>
    <n v="1193.865"/>
    <n v="1912.0450000000001"/>
    <s v="Low"/>
    <n v="0.47594430712691005"/>
    <d v="2023-01-07T00:00:00"/>
    <x v="0"/>
  </r>
  <r>
    <s v="ORD-2024-973420"/>
    <d v="2024-05-12T00:00:00"/>
    <s v="Q2-2024"/>
    <x v="7"/>
    <d v="2024-05-24T00:00:00"/>
    <n v="12"/>
    <n v="0"/>
    <d v="2024-05-24T00:00:00"/>
    <x v="3"/>
    <x v="8"/>
    <s v="Manchester"/>
    <s v="Education"/>
    <x v="2"/>
    <x v="11"/>
    <x v="1"/>
    <s v="Low"/>
    <x v="487"/>
    <n v="111.02"/>
    <n v="172.88"/>
    <n v="0.19700000000000001"/>
    <n v="0"/>
    <n v="29"/>
    <s v="ok"/>
    <n v="12"/>
    <n v="12"/>
    <n v="4025.8565599999993"/>
    <n v="3219.58"/>
    <n v="806.27655999999934"/>
    <n v="606.37750000000005"/>
    <n v="1193.865"/>
    <n v="1912.0450000000001"/>
    <s v="High"/>
    <n v="0.20027453735212053"/>
    <d v="2023-01-19T00:00:00"/>
    <x v="0"/>
  </r>
  <r>
    <s v="ORD-2025-254721"/>
    <d v="2025-05-15T00:00:00"/>
    <s v="Q2-2025"/>
    <x v="8"/>
    <d v="2025-06-05T00:00:00"/>
    <n v="21"/>
    <n v="0"/>
    <d v="2025-06-05T00:00:00"/>
    <x v="1"/>
    <x v="2"/>
    <s v="Osaka"/>
    <s v="Enterprise"/>
    <x v="4"/>
    <x v="10"/>
    <x v="3"/>
    <s v="High"/>
    <x v="488"/>
    <n v="1466.5"/>
    <n v="2778.74"/>
    <n v="0.13500000000000001"/>
    <n v="0"/>
    <n v="4"/>
    <s v="ok"/>
    <n v="21"/>
    <n v="21"/>
    <n v="9614.4403999999995"/>
    <n v="5866"/>
    <n v="3748.4403999999995"/>
    <n v="606.37750000000005"/>
    <n v="1193.865"/>
    <n v="1912.0450000000001"/>
    <s v="Low"/>
    <n v="0.38987608680792279"/>
    <d v="2023-01-19T00:00:00"/>
    <x v="0"/>
  </r>
  <r>
    <s v="ORD-2024-247032"/>
    <d v="2024-04-21T00:00:00"/>
    <s v="Q2-2024"/>
    <x v="20"/>
    <d v="2024-05-19T00:00:00"/>
    <n v="28"/>
    <n v="0"/>
    <d v="2024-05-19T00:00:00"/>
    <x v="0"/>
    <x v="1"/>
    <s v="Lagos"/>
    <s v="Corporate"/>
    <x v="3"/>
    <x v="8"/>
    <x v="6"/>
    <s v="Low"/>
    <x v="489"/>
    <n v="187.22"/>
    <n v="309.47000000000003"/>
    <n v="0"/>
    <n v="0"/>
    <n v="5"/>
    <s v="ok"/>
    <n v="28"/>
    <n v="28"/>
    <n v="1547.3500000000001"/>
    <n v="936.1"/>
    <n v="611.25000000000011"/>
    <n v="606.37750000000005"/>
    <n v="1193.865"/>
    <n v="1912.0450000000001"/>
    <s v="High"/>
    <n v="0.39503021294471197"/>
    <d v="2023-01-15T00:00:00"/>
    <x v="0"/>
  </r>
  <r>
    <s v="ORD-2024-792353"/>
    <d v="2024-08-19T00:00:00"/>
    <s v="Q3-2024"/>
    <x v="21"/>
    <d v="2024-09-07T00:00:00"/>
    <n v="19"/>
    <n v="0"/>
    <d v="2024-09-07T00:00:00"/>
    <x v="3"/>
    <x v="7"/>
    <s v="Lyon"/>
    <s v="Corporate"/>
    <x v="4"/>
    <x v="1"/>
    <x v="0"/>
    <s v="Low"/>
    <x v="490"/>
    <n v="297.58999999999997"/>
    <n v="666.41"/>
    <n v="0"/>
    <n v="0"/>
    <n v="10"/>
    <s v="ok"/>
    <n v="19"/>
    <n v="19"/>
    <n v="6664.0999999999995"/>
    <n v="2975.8999999999996"/>
    <n v="3688.2"/>
    <n v="606.37750000000005"/>
    <n v="1193.865"/>
    <n v="1912.0450000000001"/>
    <s v="Low"/>
    <n v="0.55344307558409989"/>
    <d v="2023-01-12T00:00:00"/>
    <x v="0"/>
  </r>
  <r>
    <s v="ORD-2025-703623"/>
    <d v="2025-07-23T00:00:00"/>
    <s v="Q3-2025"/>
    <x v="13"/>
    <d v="2025-08-19T00:00:00"/>
    <n v="27"/>
    <n v="0"/>
    <d v="2025-08-19T00:00:00"/>
    <x v="1"/>
    <x v="2"/>
    <s v="Nagoya"/>
    <s v="Consumer"/>
    <x v="2"/>
    <x v="5"/>
    <x v="6"/>
    <s v="Low"/>
    <x v="491"/>
    <n v="896.09"/>
    <n v="744.27"/>
    <n v="8.3000000000000004E-2"/>
    <n v="0"/>
    <n v="11"/>
    <s v="ok"/>
    <n v="27"/>
    <n v="27"/>
    <n v="7507.4514899999995"/>
    <n v="9856.99"/>
    <n v="-2349.5385100000003"/>
    <n v="606.37750000000005"/>
    <n v="1193.865"/>
    <n v="1912.0450000000001"/>
    <s v="Medium"/>
    <n v="-0.31296086469950679"/>
    <d v="2023-01-19T00:00:00"/>
    <x v="0"/>
  </r>
  <r>
    <s v="ORD-2024-516704"/>
    <d v="2024-03-01T00:00:00"/>
    <s v="Q1-2024"/>
    <x v="0"/>
    <d v="2024-02-29T00:00:00"/>
    <n v="14"/>
    <n v="0"/>
    <d v="2024-03-15T00:00:00"/>
    <x v="2"/>
    <x v="5"/>
    <s v="São Paulo"/>
    <s v="Non-Profit"/>
    <x v="4"/>
    <x v="2"/>
    <x v="3"/>
    <s v="Low"/>
    <x v="492"/>
    <n v="5.34"/>
    <n v="12.69"/>
    <n v="0.13200000000000001"/>
    <n v="0"/>
    <n v="10"/>
    <s v="sus"/>
    <n v="-1"/>
    <n v="1"/>
    <n v="110.14919999999999"/>
    <n v="53.4"/>
    <n v="56.749199999999995"/>
    <n v="606.37750000000005"/>
    <n v="1193.865"/>
    <n v="1912.0450000000001"/>
    <s v="Medium"/>
    <n v="0.51520301554618642"/>
    <d v="2023-03-03T00:00:00"/>
    <x v="1"/>
  </r>
  <r>
    <s v="ORD-2024-578646"/>
    <d v="2024-05-27T00:00:00"/>
    <s v="Q2-2024"/>
    <x v="7"/>
    <d v="2024-06-17T00:00:00"/>
    <n v="21"/>
    <n v="0"/>
    <d v="2024-06-17T00:00:00"/>
    <x v="1"/>
    <x v="4"/>
    <s v="Delhi"/>
    <s v="Small Business"/>
    <x v="1"/>
    <x v="10"/>
    <x v="6"/>
    <s v="Low"/>
    <x v="493"/>
    <n v="465.02"/>
    <n v="651.55999999999995"/>
    <n v="4.2000000000000003E-2"/>
    <n v="0"/>
    <n v="19"/>
    <s v="ok"/>
    <n v="21"/>
    <n v="21"/>
    <n v="11859.695119999998"/>
    <n v="8835.3799999999992"/>
    <n v="3024.3151199999993"/>
    <n v="606.37750000000005"/>
    <n v="1193.865"/>
    <n v="1912.0450000000001"/>
    <s v="Low"/>
    <n v="0.25500783025187918"/>
    <d v="2023-01-20T00:00:00"/>
    <x v="0"/>
  </r>
  <r>
    <s v="ORD-2024-433936"/>
    <d v="2024-08-04T00:00:00"/>
    <s v="Q3-2024"/>
    <x v="21"/>
    <d v="2024-08-17T00:00:00"/>
    <n v="13"/>
    <n v="0"/>
    <d v="2024-08-17T00:00:00"/>
    <x v="2"/>
    <x v="10"/>
    <s v="Austin"/>
    <s v="Consumer"/>
    <x v="0"/>
    <x v="14"/>
    <x v="5"/>
    <s v="Low"/>
    <x v="494"/>
    <n v="352.79"/>
    <n v="754.22"/>
    <n v="0.113"/>
    <n v="0"/>
    <n v="7"/>
    <s v="ok"/>
    <n v="13"/>
    <n v="13"/>
    <n v="4682.9519799999998"/>
    <n v="2469.5300000000002"/>
    <n v="2213.4219799999996"/>
    <n v="606.37750000000005"/>
    <n v="1193.865"/>
    <n v="1912.0450000000001"/>
    <s v="Medium"/>
    <n v="0.47265528014233443"/>
    <d v="2023-01-29T00:00:00"/>
    <x v="0"/>
  </r>
  <r>
    <s v="ORD-2023-434071"/>
    <d v="2023-06-20T00:00:00"/>
    <s v="Q2-2023"/>
    <x v="23"/>
    <d v="2023-07-04T00:00:00"/>
    <n v="14"/>
    <n v="0"/>
    <d v="2023-07-04T00:00:00"/>
    <x v="2"/>
    <x v="5"/>
    <s v="Brasília"/>
    <s v="Non-Profit"/>
    <x v="4"/>
    <x v="0"/>
    <x v="2"/>
    <s v="High"/>
    <x v="495"/>
    <n v="1292.8599999999999"/>
    <n v="2981.01"/>
    <n v="0.14199999999999999"/>
    <n v="0"/>
    <n v="12"/>
    <s v="ok"/>
    <n v="14"/>
    <n v="14"/>
    <n v="30692.47896"/>
    <n v="15514.32"/>
    <n v="15178.158960000001"/>
    <n v="606.37750000000005"/>
    <n v="1193.865"/>
    <n v="1912.0450000000001"/>
    <s v="Medium"/>
    <n v="0.49452372288927687"/>
    <d v="2023-01-13T00:00:00"/>
    <x v="0"/>
  </r>
  <r>
    <s v="ORD-2024-728474"/>
    <d v="2024-09-09T00:00:00"/>
    <s v="Q3-2024"/>
    <x v="29"/>
    <d v="2024-09-13T00:00:00"/>
    <n v="4"/>
    <n v="1"/>
    <d v="2024-09-13T00:00:00"/>
    <x v="3"/>
    <x v="8"/>
    <s v="London"/>
    <s v="Consumer"/>
    <x v="2"/>
    <x v="9"/>
    <x v="2"/>
    <s v="Medium"/>
    <x v="496"/>
    <n v="1133.08"/>
    <n v="976.17"/>
    <n v="4.2000000000000003E-2"/>
    <n v="0"/>
    <n v="27"/>
    <s v="ok"/>
    <n v="4"/>
    <n v="4"/>
    <n v="25249.613219999999"/>
    <n v="30593.159999999996"/>
    <n v="-5343.5467799999969"/>
    <n v="606.37750000000005"/>
    <n v="1193.865"/>
    <n v="1912.0450000000001"/>
    <s v="High"/>
    <n v="-0.21162885678452373"/>
    <d v="2023-01-02T00:00:00"/>
    <x v="0"/>
  </r>
  <r>
    <s v="ORD-2023-406606"/>
    <d v="2023-10-25T00:00:00"/>
    <s v="Q4-2023"/>
    <x v="32"/>
    <d v="2023-10-28T00:00:00"/>
    <n v="3"/>
    <n v="1"/>
    <d v="2023-10-28T00:00:00"/>
    <x v="2"/>
    <x v="5"/>
    <s v="Brasília"/>
    <s v="Corporate"/>
    <x v="3"/>
    <x v="4"/>
    <x v="6"/>
    <s v="Medium"/>
    <x v="497"/>
    <n v="509.31"/>
    <n v="1145.9000000000001"/>
    <n v="5.7000000000000002E-2"/>
    <n v="0"/>
    <n v="8"/>
    <s v="ok"/>
    <n v="3"/>
    <n v="3"/>
    <n v="8644.6696000000011"/>
    <n v="4074.48"/>
    <n v="4570.1896000000015"/>
    <n v="606.37750000000005"/>
    <n v="1193.865"/>
    <n v="1912.0450000000001"/>
    <s v="Medium"/>
    <n v="0.52867140231709964"/>
    <d v="2023-01-10T00:00:00"/>
    <x v="0"/>
  </r>
  <r>
    <s v="ORD-2025-823055"/>
    <d v="2025-09-08T00:00:00"/>
    <s v="Q3-2025"/>
    <x v="11"/>
    <d v="2025-10-05T00:00:00"/>
    <n v="27"/>
    <n v="0"/>
    <d v="2025-10-05T00:00:00"/>
    <x v="2"/>
    <x v="5"/>
    <s v="Rio de Janeiro"/>
    <s v="Education"/>
    <x v="1"/>
    <x v="0"/>
    <x v="5"/>
    <s v="High"/>
    <x v="498"/>
    <n v="660.78"/>
    <n v="1630.39"/>
    <n v="0.218"/>
    <n v="1"/>
    <n v="13"/>
    <s v="ok"/>
    <n v="27"/>
    <n v="27"/>
    <n v="16574.544740000001"/>
    <n v="8590.14"/>
    <n v="7984.4047400000018"/>
    <n v="606.37750000000005"/>
    <n v="1193.865"/>
    <n v="1912.0450000000001"/>
    <s v="Medium"/>
    <n v="0.48172694123724097"/>
    <d v="2023-01-13T00:00:00"/>
    <x v="0"/>
  </r>
  <r>
    <s v="ORD-2023-573656"/>
    <d v="2023-05-02T00:00:00"/>
    <s v="Q2-2023"/>
    <x v="15"/>
    <d v="2023-05-16T00:00:00"/>
    <n v="14"/>
    <n v="0"/>
    <d v="2023-05-16T00:00:00"/>
    <x v="1"/>
    <x v="4"/>
    <s v="Bengaluru"/>
    <s v="Non-Profit"/>
    <x v="0"/>
    <x v="4"/>
    <x v="5"/>
    <s v="Medium"/>
    <x v="499"/>
    <n v="475.37"/>
    <n v="963.73"/>
    <n v="4.1000000000000002E-2"/>
    <n v="0"/>
    <n v="22"/>
    <s v="ok"/>
    <n v="14"/>
    <n v="14"/>
    <n v="20332.775539999999"/>
    <n v="10458.14"/>
    <n v="9874.6355399999993"/>
    <n v="606.37750000000005"/>
    <n v="1193.865"/>
    <n v="1912.0450000000001"/>
    <s v="Medium"/>
    <n v="0.48565113604750881"/>
    <d v="2023-01-15T00:00:00"/>
    <x v="0"/>
  </r>
  <r>
    <s v="ORD-2024-567435"/>
    <d v="2024-04-26T00:00:00"/>
    <s v="Q2-2024"/>
    <x v="20"/>
    <d v="2024-04-24T00:00:00"/>
    <n v="14"/>
    <n v="0"/>
    <d v="2024-05-10T00:00:00"/>
    <x v="3"/>
    <x v="8"/>
    <s v="London"/>
    <s v="Non-Profit"/>
    <x v="3"/>
    <x v="13"/>
    <x v="3"/>
    <s v="Medium"/>
    <x v="500"/>
    <n v="1232.77"/>
    <n v="891.73"/>
    <n v="0.16700000000000001"/>
    <n v="0"/>
    <n v="10"/>
    <s v="sus"/>
    <n v="-2"/>
    <n v="2"/>
    <n v="7428.1108999999988"/>
    <n v="12327.7"/>
    <n v="-4899.589100000002"/>
    <n v="606.37750000000005"/>
    <n v="1193.865"/>
    <n v="1912.0450000000001"/>
    <s v="Medium"/>
    <n v="-0.65960096260813805"/>
    <d v="2023-01-19T00:00:00"/>
    <x v="0"/>
  </r>
  <r>
    <s v="ORD-2023-744942"/>
    <d v="2023-02-23T00:00:00"/>
    <s v="Q1-2023"/>
    <x v="2"/>
    <d v="2023-03-18T00:00:00"/>
    <n v="23"/>
    <n v="0"/>
    <d v="2023-03-18T00:00:00"/>
    <x v="1"/>
    <x v="9"/>
    <s v="Beijing"/>
    <s v="Education"/>
    <x v="3"/>
    <x v="11"/>
    <x v="1"/>
    <s v="High"/>
    <x v="501"/>
    <n v="770.11"/>
    <n v="1667.82"/>
    <n v="6.9000000000000006E-2"/>
    <n v="0"/>
    <n v="7"/>
    <s v="ok"/>
    <n v="23"/>
    <n v="23"/>
    <n v="10869.182940000001"/>
    <n v="5390.77"/>
    <n v="5478.4129400000002"/>
    <n v="606.37750000000005"/>
    <n v="1193.865"/>
    <n v="1912.0450000000001"/>
    <s v="Medium"/>
    <n v="0.50403171703355287"/>
    <d v="2023-01-13T00:00:00"/>
    <x v="0"/>
  </r>
  <r>
    <s v="ORD-2025-331237"/>
    <d v="2025-03-24T00:00:00"/>
    <s v="Q1-2025"/>
    <x v="3"/>
    <d v="2025-03-25T00:00:00"/>
    <n v="1"/>
    <n v="1"/>
    <d v="2025-03-25T00:00:00"/>
    <x v="1"/>
    <x v="9"/>
    <s v="Beijing"/>
    <s v="Non-Profit"/>
    <x v="1"/>
    <x v="3"/>
    <x v="2"/>
    <s v="High"/>
    <x v="502"/>
    <n v="1133.03"/>
    <n v="1921.51"/>
    <n v="0.10100000000000001"/>
    <n v="0"/>
    <n v="5"/>
    <s v="ok"/>
    <n v="1"/>
    <n v="1"/>
    <n v="8637.1874499999994"/>
    <n v="5665.15"/>
    <n v="2972.0374499999998"/>
    <n v="606.37750000000005"/>
    <n v="1193.865"/>
    <n v="1912.0450000000001"/>
    <s v="Medium"/>
    <n v="0.3440978289755654"/>
    <d v="2023-01-12T00:00:00"/>
    <x v="0"/>
  </r>
  <r>
    <s v="ORD-2025-680118"/>
    <d v="2025-03-10T00:00:00"/>
    <s v="Q1-2025"/>
    <x v="3"/>
    <d v="2025-03-27T00:00:00"/>
    <n v="17"/>
    <n v="0"/>
    <d v="2025-03-27T00:00:00"/>
    <x v="2"/>
    <x v="5"/>
    <s v="Rio de Janeiro"/>
    <s v="Enterprise"/>
    <x v="4"/>
    <x v="9"/>
    <x v="2"/>
    <s v="Medium"/>
    <x v="503"/>
    <n v="996.73"/>
    <n v="1217.43"/>
    <n v="7.0000000000000007E-2"/>
    <n v="0"/>
    <n v="9"/>
    <s v="ok"/>
    <n v="17"/>
    <n v="17"/>
    <n v="10189.8891"/>
    <n v="8970.57"/>
    <n v="1219.3191000000006"/>
    <n v="606.37750000000005"/>
    <n v="1193.865"/>
    <n v="1912.0450000000001"/>
    <s v="High"/>
    <n v="0.11965970267527255"/>
    <d v="2023-01-12T00:00:00"/>
    <x v="0"/>
  </r>
  <r>
    <s v="ORD-2024-310809"/>
    <d v="2024-04-05T00:00:00"/>
    <s v="Q2-2024"/>
    <x v="20"/>
    <d v="2024-04-09T00:00:00"/>
    <n v="4"/>
    <n v="1"/>
    <d v="2024-04-09T00:00:00"/>
    <x v="0"/>
    <x v="1"/>
    <s v="Lagos"/>
    <s v="Non-Profit"/>
    <x v="4"/>
    <x v="11"/>
    <x v="0"/>
    <s v="Medium"/>
    <x v="504"/>
    <n v="395.07"/>
    <n v="970.27"/>
    <n v="0.123"/>
    <n v="0"/>
    <n v="38"/>
    <s v="ok"/>
    <n v="4"/>
    <n v="4"/>
    <n v="32335.21802"/>
    <n v="15012.66"/>
    <n v="17322.55802"/>
    <n v="606.37750000000005"/>
    <n v="1193.865"/>
    <n v="1912.0450000000001"/>
    <s v="Medium"/>
    <n v="0.53571799049833657"/>
    <d v="2023-01-07T00:00:00"/>
    <x v="0"/>
  </r>
  <r>
    <s v="ORD-2025-474368"/>
    <d v="2025-04-27T00:00:00"/>
    <s v="Q2-2025"/>
    <x v="19"/>
    <d v="2025-05-17T00:00:00"/>
    <n v="20"/>
    <n v="0"/>
    <d v="2025-05-17T00:00:00"/>
    <x v="2"/>
    <x v="10"/>
    <s v="Austin"/>
    <s v="Corporate"/>
    <x v="4"/>
    <x v="13"/>
    <x v="3"/>
    <s v="High"/>
    <x v="505"/>
    <n v="932.26"/>
    <n v="1624.67"/>
    <n v="0.23499999999999999"/>
    <n v="1"/>
    <n v="28"/>
    <s v="ok"/>
    <n v="20"/>
    <n v="20"/>
    <n v="34800.431400000001"/>
    <n v="26103.279999999999"/>
    <n v="8697.1514000000025"/>
    <n v="606.37750000000005"/>
    <n v="1193.865"/>
    <n v="1912.0450000000001"/>
    <s v="Medium"/>
    <n v="0.24991504559337163"/>
    <d v="2023-01-07T00:00:00"/>
    <x v="0"/>
  </r>
  <r>
    <s v="ORD-2024-732543"/>
    <d v="2024-10-24T00:00:00"/>
    <s v="Q4-2024"/>
    <x v="1"/>
    <d v="2024-10-28T00:00:00"/>
    <n v="4"/>
    <n v="1"/>
    <d v="2024-10-28T00:00:00"/>
    <x v="1"/>
    <x v="9"/>
    <s v="Shanghai"/>
    <s v="Small Business"/>
    <x v="3"/>
    <x v="2"/>
    <x v="2"/>
    <s v="High"/>
    <x v="506"/>
    <n v="1331.77"/>
    <n v="2606.11"/>
    <n v="0.02"/>
    <n v="0"/>
    <n v="6"/>
    <s v="ok"/>
    <n v="4"/>
    <n v="4"/>
    <n v="15323.926799999999"/>
    <n v="7990.62"/>
    <n v="7333.3067999999994"/>
    <n v="606.37750000000005"/>
    <n v="1193.865"/>
    <n v="1912.0450000000001"/>
    <s v="Medium"/>
    <n v="0.47855271665745619"/>
    <d v="2023-01-29T00:00:00"/>
    <x v="0"/>
  </r>
  <r>
    <s v="ORD-2023-867166"/>
    <d v="2023-04-13T00:00:00"/>
    <s v="Q2-2023"/>
    <x v="12"/>
    <d v="2023-04-20T00:00:00"/>
    <n v="7"/>
    <n v="1"/>
    <d v="2023-04-20T00:00:00"/>
    <x v="3"/>
    <x v="7"/>
    <s v="Lyon"/>
    <s v="Small Business"/>
    <x v="1"/>
    <x v="8"/>
    <x v="4"/>
    <s v="Low"/>
    <x v="507"/>
    <n v="227.02"/>
    <n v="434.72"/>
    <n v="9.8000000000000004E-2"/>
    <n v="0"/>
    <n v="10"/>
    <s v="ok"/>
    <n v="7"/>
    <n v="7"/>
    <n v="3921.1744000000008"/>
    <n v="2270.2000000000003"/>
    <n v="1650.9744000000005"/>
    <n v="606.37750000000005"/>
    <n v="1193.865"/>
    <n v="1912.0450000000001"/>
    <s v="High"/>
    <n v="0.42104079838938052"/>
    <d v="2023-01-19T00:00:00"/>
    <x v="0"/>
  </r>
  <r>
    <s v="ORD-2024-776337"/>
    <d v="2024-11-12T00:00:00"/>
    <s v="Q4-2024"/>
    <x v="18"/>
    <d v="2024-11-21T00:00:00"/>
    <n v="9"/>
    <n v="0"/>
    <d v="2024-11-21T00:00:00"/>
    <x v="1"/>
    <x v="4"/>
    <s v="Mumbai"/>
    <s v="Corporate"/>
    <x v="4"/>
    <x v="10"/>
    <x v="4"/>
    <s v="High"/>
    <x v="508"/>
    <n v="903.41"/>
    <n v="1860.41"/>
    <n v="0.108"/>
    <n v="0"/>
    <n v="5"/>
    <s v="ok"/>
    <n v="9"/>
    <n v="9"/>
    <n v="8297.4286000000011"/>
    <n v="4517.05"/>
    <n v="3780.3786000000009"/>
    <n v="606.37750000000005"/>
    <n v="1193.865"/>
    <n v="1912.0450000000001"/>
    <s v="Low"/>
    <n v="0.455608451996803"/>
    <d v="2023-01-02T00:00:00"/>
    <x v="0"/>
  </r>
  <r>
    <s v="ORD-2023-913592"/>
    <d v="2023-05-10T00:00:00"/>
    <s v="Q2-2023"/>
    <x v="15"/>
    <d v="2023-05-14T00:00:00"/>
    <n v="4"/>
    <n v="1"/>
    <d v="2023-05-14T00:00:00"/>
    <x v="1"/>
    <x v="4"/>
    <s v="Delhi"/>
    <s v="Non-Profit"/>
    <x v="3"/>
    <x v="0"/>
    <x v="5"/>
    <s v="Medium"/>
    <x v="509"/>
    <n v="622.6"/>
    <n v="833.69"/>
    <n v="0.20899999999999999"/>
    <n v="1"/>
    <n v="14"/>
    <s v="ok"/>
    <n v="4"/>
    <n v="4"/>
    <n v="9232.2830599999998"/>
    <n v="8716.4"/>
    <n v="515.88306000000011"/>
    <n v="606.37750000000005"/>
    <n v="1193.865"/>
    <n v="1912.0450000000001"/>
    <s v="Medium"/>
    <n v="5.5878167582959715E-2"/>
    <d v="2023-01-19T00:00:00"/>
    <x v="0"/>
  </r>
  <r>
    <s v="ORD-2024-961501"/>
    <d v="2024-03-02T00:00:00"/>
    <s v="Q1-2024"/>
    <x v="0"/>
    <d v="2024-03-23T00:00:00"/>
    <n v="21"/>
    <n v="0"/>
    <d v="2024-03-23T00:00:00"/>
    <x v="2"/>
    <x v="10"/>
    <s v="Chicago"/>
    <s v="Small Business"/>
    <x v="1"/>
    <x v="9"/>
    <x v="0"/>
    <s v="Low"/>
    <x v="510"/>
    <n v="225.01"/>
    <n v="333.48"/>
    <n v="0.11899999999999999"/>
    <n v="0"/>
    <n v="12"/>
    <s v="ok"/>
    <n v="21"/>
    <n v="21"/>
    <n v="3525.5505600000001"/>
    <n v="2700.12"/>
    <n v="825.43056000000024"/>
    <n v="606.37750000000005"/>
    <n v="1193.865"/>
    <n v="1912.0450000000001"/>
    <s v="Medium"/>
    <n v="0.23412813004729685"/>
    <d v="2023-01-13T00:00:00"/>
    <x v="0"/>
  </r>
  <r>
    <s v="ORD-2024-964950"/>
    <d v="2024-10-10T00:00:00"/>
    <s v="Q4-2024"/>
    <x v="1"/>
    <d v="2024-10-11T00:00:00"/>
    <n v="1"/>
    <n v="1"/>
    <d v="2024-10-11T00:00:00"/>
    <x v="3"/>
    <x v="8"/>
    <s v="Manchester"/>
    <s v="Non-Profit"/>
    <x v="3"/>
    <x v="4"/>
    <x v="0"/>
    <s v="High"/>
    <x v="511"/>
    <n v="1389.46"/>
    <n v="1784.7"/>
    <n v="0.14599999999999999"/>
    <n v="0"/>
    <n v="33"/>
    <s v="ok"/>
    <n v="1"/>
    <n v="1"/>
    <n v="50296.415399999998"/>
    <n v="45852.18"/>
    <n v="4444.2353999999978"/>
    <n v="606.37750000000005"/>
    <n v="1193.865"/>
    <n v="1912.0450000000001"/>
    <s v="Low"/>
    <n v="8.8360877503011831E-2"/>
    <d v="2023-01-10T00:00:00"/>
    <x v="0"/>
  </r>
  <r>
    <s v="ORD-2023-349264"/>
    <d v="2023-06-01T00:00:00"/>
    <s v="Q2-2023"/>
    <x v="23"/>
    <d v="2023-06-08T00:00:00"/>
    <n v="7"/>
    <n v="1"/>
    <d v="2023-06-08T00:00:00"/>
    <x v="3"/>
    <x v="6"/>
    <s v="Frankfurt"/>
    <s v="Consumer"/>
    <x v="1"/>
    <x v="8"/>
    <x v="3"/>
    <s v="Medium"/>
    <x v="512"/>
    <n v="804.17"/>
    <n v="1072.29"/>
    <n v="3.2000000000000001E-2"/>
    <n v="0"/>
    <n v="5"/>
    <s v="ok"/>
    <n v="7"/>
    <n v="7"/>
    <n v="5189.8836000000001"/>
    <n v="4020.85"/>
    <n v="1169.0336000000002"/>
    <n v="606.37750000000005"/>
    <n v="1193.865"/>
    <n v="1912.0450000000001"/>
    <s v="Medium"/>
    <n v="0.2252523736755869"/>
    <d v="2023-01-29T00:00:00"/>
    <x v="0"/>
  </r>
  <r>
    <s v="ORD-2025-137394"/>
    <d v="2025-01-04T00:00:00"/>
    <s v="Q1-2025"/>
    <x v="10"/>
    <d v="2025-01-05T00:00:00"/>
    <n v="1"/>
    <n v="1"/>
    <d v="2025-01-05T00:00:00"/>
    <x v="1"/>
    <x v="4"/>
    <s v="Delhi"/>
    <s v="Education"/>
    <x v="0"/>
    <x v="2"/>
    <x v="0"/>
    <s v="High"/>
    <x v="513"/>
    <n v="1428.33"/>
    <n v="3028.05"/>
    <n v="0"/>
    <n v="0"/>
    <n v="11"/>
    <s v="ok"/>
    <n v="1"/>
    <n v="1"/>
    <n v="33308.550000000003"/>
    <n v="15711.63"/>
    <n v="17596.920000000006"/>
    <n v="606.37750000000005"/>
    <n v="1193.865"/>
    <n v="1912.0450000000001"/>
    <s v="Medium"/>
    <n v="0.52830039134096207"/>
    <d v="2023-01-29T00:00:00"/>
    <x v="0"/>
  </r>
  <r>
    <s v="ORD-2025-635337"/>
    <d v="2025-08-05T00:00:00"/>
    <s v="Q3-2025"/>
    <x v="28"/>
    <d v="2025-08-28T00:00:00"/>
    <n v="23"/>
    <n v="0"/>
    <d v="2025-08-28T00:00:00"/>
    <x v="1"/>
    <x v="4"/>
    <s v="Mumbai"/>
    <s v="Non-Profit"/>
    <x v="3"/>
    <x v="13"/>
    <x v="4"/>
    <s v="Medium"/>
    <x v="514"/>
    <n v="638.54"/>
    <n v="987.24"/>
    <n v="0"/>
    <n v="0"/>
    <n v="11"/>
    <s v="ok"/>
    <n v="23"/>
    <n v="23"/>
    <n v="10859.64"/>
    <n v="7023.94"/>
    <n v="3835.7"/>
    <n v="606.37750000000005"/>
    <n v="1193.865"/>
    <n v="1912.0450000000001"/>
    <s v="High"/>
    <n v="0.35320692030306716"/>
    <d v="2023-01-15T00:00:00"/>
    <x v="0"/>
  </r>
  <r>
    <s v="ORD-2023-568013"/>
    <d v="2023-09-30T00:00:00"/>
    <s v="Q3-2023"/>
    <x v="27"/>
    <d v="2023-10-30T00:00:00"/>
    <n v="30"/>
    <n v="0"/>
    <d v="2023-10-30T00:00:00"/>
    <x v="1"/>
    <x v="2"/>
    <s v="Tokyo"/>
    <s v="Enterprise"/>
    <x v="1"/>
    <x v="14"/>
    <x v="1"/>
    <s v="Medium"/>
    <x v="515"/>
    <n v="649.13"/>
    <n v="975.43"/>
    <n v="0.157"/>
    <n v="0"/>
    <n v="27"/>
    <s v="ok"/>
    <n v="30"/>
    <n v="30"/>
    <n v="22201.762229999997"/>
    <n v="17526.509999999998"/>
    <n v="4675.2522299999982"/>
    <n v="606.37750000000005"/>
    <n v="1193.865"/>
    <n v="1912.0450000000001"/>
    <s v="Medium"/>
    <n v="0.21058023149543473"/>
    <d v="2023-01-12T00:00:00"/>
    <x v="0"/>
  </r>
  <r>
    <s v="ORD-2025-828263"/>
    <d v="2025-05-17T00:00:00"/>
    <s v="Q2-2025"/>
    <x v="8"/>
    <d v="2025-05-30T00:00:00"/>
    <n v="13"/>
    <n v="0"/>
    <d v="2025-05-30T00:00:00"/>
    <x v="0"/>
    <x v="1"/>
    <s v="Lagos"/>
    <s v="Consumer"/>
    <x v="3"/>
    <x v="9"/>
    <x v="6"/>
    <s v="Low"/>
    <x v="516"/>
    <n v="66.400000000000006"/>
    <n v="141.43"/>
    <n v="0.107"/>
    <n v="0"/>
    <n v="8"/>
    <s v="ok"/>
    <n v="13"/>
    <n v="13"/>
    <n v="1010.3759200000001"/>
    <n v="531.20000000000005"/>
    <n v="479.17592000000002"/>
    <n v="606.37750000000005"/>
    <n v="1193.865"/>
    <n v="1912.0450000000001"/>
    <s v="Medium"/>
    <n v="0.47425508715607551"/>
    <d v="2023-01-07T00:00:00"/>
    <x v="0"/>
  </r>
  <r>
    <s v="ORD-2024-402240"/>
    <d v="2024-05-01T00:00:00"/>
    <s v="Q2-2024"/>
    <x v="7"/>
    <d v="2024-05-26T00:00:00"/>
    <n v="25"/>
    <n v="0"/>
    <d v="2024-05-26T00:00:00"/>
    <x v="3"/>
    <x v="6"/>
    <s v="Berlin"/>
    <s v="Non-Profit"/>
    <x v="0"/>
    <x v="5"/>
    <x v="2"/>
    <s v="High"/>
    <x v="517"/>
    <n v="930.71"/>
    <n v="1625.42"/>
    <n v="0.13800000000000001"/>
    <n v="0"/>
    <n v="7"/>
    <s v="ok"/>
    <n v="25"/>
    <n v="25"/>
    <n v="9807.7842799999999"/>
    <n v="6514.97"/>
    <n v="3292.8142799999996"/>
    <n v="606.37750000000005"/>
    <n v="1193.865"/>
    <n v="1912.0450000000001"/>
    <s v="Low"/>
    <n v="0.33573477821231196"/>
    <d v="2023-01-07T00:00:00"/>
    <x v="0"/>
  </r>
  <r>
    <s v="ORD-2023-125739"/>
    <d v="2023-05-01T00:00:00"/>
    <s v="Q2-2023"/>
    <x v="15"/>
    <d v="2023-05-18T00:00:00"/>
    <n v="17"/>
    <n v="0"/>
    <d v="2023-05-18T00:00:00"/>
    <x v="0"/>
    <x v="1"/>
    <s v="Port Harcourt"/>
    <s v="Corporate"/>
    <x v="4"/>
    <x v="9"/>
    <x v="0"/>
    <s v="Low"/>
    <x v="518"/>
    <n v="327.97"/>
    <n v="299.94"/>
    <n v="4.9000000000000002E-2"/>
    <n v="0"/>
    <n v="3"/>
    <s v="ok"/>
    <n v="17"/>
    <n v="17"/>
    <n v="855.72881999999993"/>
    <n v="983.91000000000008"/>
    <n v="-128.18118000000015"/>
    <n v="606.37750000000005"/>
    <n v="1193.865"/>
    <n v="1912.0450000000001"/>
    <s v="Medium"/>
    <n v="-0.14979182306843442"/>
    <d v="2023-01-10T00:00:00"/>
    <x v="0"/>
  </r>
  <r>
    <s v="ORD-2024-892879"/>
    <d v="2024-07-09T00:00:00"/>
    <s v="Q3-2024"/>
    <x v="14"/>
    <d v="2024-08-08T00:00:00"/>
    <n v="30"/>
    <n v="0"/>
    <d v="2024-08-08T00:00:00"/>
    <x v="3"/>
    <x v="7"/>
    <s v="Marseille"/>
    <s v="Corporate"/>
    <x v="4"/>
    <x v="1"/>
    <x v="0"/>
    <s v="Medium"/>
    <x v="519"/>
    <n v="1062.3800000000001"/>
    <n v="1503.96"/>
    <n v="0.18"/>
    <n v="0"/>
    <n v="6"/>
    <s v="ok"/>
    <n v="30"/>
    <n v="30"/>
    <n v="7399.4832000000006"/>
    <n v="6374.2800000000007"/>
    <n v="1025.2031999999999"/>
    <n v="606.37750000000005"/>
    <n v="1193.865"/>
    <n v="1912.0450000000001"/>
    <s v="Low"/>
    <n v="0.13855064905073369"/>
    <d v="2023-01-12T00:00:00"/>
    <x v="0"/>
  </r>
  <r>
    <s v="ORD-2023-472050"/>
    <d v="2023-05-10T00:00:00"/>
    <s v="Q2-2023"/>
    <x v="15"/>
    <d v="2023-05-27T00:00:00"/>
    <n v="17"/>
    <n v="0"/>
    <d v="2023-05-27T00:00:00"/>
    <x v="1"/>
    <x v="4"/>
    <s v="Mumbai"/>
    <s v="Consumer"/>
    <x v="0"/>
    <x v="12"/>
    <x v="4"/>
    <s v="High"/>
    <x v="520"/>
    <n v="1286.1600000000001"/>
    <n v="3101.11"/>
    <n v="0.1"/>
    <n v="0"/>
    <n v="23"/>
    <s v="ok"/>
    <n v="17"/>
    <n v="17"/>
    <n v="64192.976999999999"/>
    <n v="29581.68"/>
    <n v="34611.296999999999"/>
    <n v="606.37750000000005"/>
    <n v="1193.865"/>
    <n v="1912.0450000000001"/>
    <s v="Medium"/>
    <n v="0.53917575749758417"/>
    <d v="2023-01-13T00:00:00"/>
    <x v="0"/>
  </r>
  <r>
    <s v="ORD-2024-468615"/>
    <d v="2024-07-09T00:00:00"/>
    <s v="Q3-2024"/>
    <x v="14"/>
    <d v="2024-07-12T00:00:00"/>
    <n v="3"/>
    <n v="1"/>
    <d v="2024-07-12T00:00:00"/>
    <x v="1"/>
    <x v="9"/>
    <s v="Shanghai"/>
    <s v="Small Business"/>
    <x v="0"/>
    <x v="14"/>
    <x v="6"/>
    <s v="Medium"/>
    <x v="521"/>
    <n v="748.39"/>
    <n v="979.42"/>
    <n v="0"/>
    <n v="0"/>
    <n v="23"/>
    <s v="ok"/>
    <n v="3"/>
    <n v="3"/>
    <n v="22526.66"/>
    <n v="17212.97"/>
    <n v="5313.6899999999987"/>
    <n v="606.37750000000005"/>
    <n v="1193.865"/>
    <n v="1912.0450000000001"/>
    <s v="High"/>
    <n v="0.23588450307324738"/>
    <d v="2023-01-19T00:00:00"/>
    <x v="0"/>
  </r>
  <r>
    <s v="ORD-2024-833375"/>
    <d v="2024-04-24T00:00:00"/>
    <s v="Q2-2024"/>
    <x v="20"/>
    <d v="2024-05-10T00:00:00"/>
    <n v="16"/>
    <n v="0"/>
    <d v="2024-05-10T00:00:00"/>
    <x v="0"/>
    <x v="0"/>
    <s v="Kisumu"/>
    <s v="Non-Profit"/>
    <x v="1"/>
    <x v="13"/>
    <x v="5"/>
    <s v="Medium"/>
    <x v="522"/>
    <n v="513.30999999999995"/>
    <n v="1186.26"/>
    <n v="9.4E-2"/>
    <n v="0"/>
    <n v="15"/>
    <s v="ok"/>
    <n v="16"/>
    <n v="16"/>
    <n v="16121.273400000002"/>
    <n v="7699.65"/>
    <n v="8421.6234000000022"/>
    <n v="606.37750000000005"/>
    <n v="1193.865"/>
    <n v="1912.0450000000001"/>
    <s v="Medium"/>
    <n v="0.52239194702820446"/>
    <d v="2023-03-03T00:00:00"/>
    <x v="1"/>
  </r>
  <r>
    <s v="ORD-2024-206311"/>
    <d v="2024-01-13T00:00:00"/>
    <s v="Q1-2024"/>
    <x v="9"/>
    <d v="2024-01-15T00:00:00"/>
    <n v="2"/>
    <n v="1"/>
    <d v="2024-01-15T00:00:00"/>
    <x v="2"/>
    <x v="10"/>
    <s v="San Francisco"/>
    <s v="Non-Profit"/>
    <x v="4"/>
    <x v="6"/>
    <x v="0"/>
    <s v="High"/>
    <x v="523"/>
    <n v="1061.3699999999999"/>
    <n v="1938.33"/>
    <n v="0.17"/>
    <n v="0"/>
    <n v="4"/>
    <s v="ok"/>
    <n v="2"/>
    <n v="2"/>
    <n v="6435.2555999999995"/>
    <n v="4245.4799999999996"/>
    <n v="2189.7755999999999"/>
    <n v="606.37750000000005"/>
    <n v="1193.865"/>
    <n v="1912.0450000000001"/>
    <s v="Medium"/>
    <n v="0.34027795259600879"/>
    <d v="2023-01-22T00:00:00"/>
    <x v="0"/>
  </r>
  <r>
    <s v="ORD-2024-364080"/>
    <d v="2024-04-16T00:00:00"/>
    <s v="Q2-2024"/>
    <x v="20"/>
    <d v="2024-04-27T00:00:00"/>
    <n v="11"/>
    <n v="0"/>
    <d v="2024-04-27T00:00:00"/>
    <x v="0"/>
    <x v="0"/>
    <s v="Nakuru"/>
    <s v="Enterprise"/>
    <x v="1"/>
    <x v="14"/>
    <x v="1"/>
    <s v="Medium"/>
    <x v="524"/>
    <n v="401.3"/>
    <n v="826.47"/>
    <n v="0.22500000000000001"/>
    <n v="1"/>
    <n v="13"/>
    <s v="ok"/>
    <n v="11"/>
    <n v="11"/>
    <n v="8326.6852500000005"/>
    <n v="5216.9000000000005"/>
    <n v="3109.7852499999999"/>
    <n v="606.37750000000005"/>
    <n v="1193.865"/>
    <n v="1912.0450000000001"/>
    <s v="High"/>
    <n v="0.37347217489696755"/>
    <d v="2023-03-03T00:00:00"/>
    <x v="1"/>
  </r>
  <r>
    <s v="ORD-2025-460466"/>
    <d v="2025-02-07T00:00:00"/>
    <s v="Q1-2025"/>
    <x v="26"/>
    <d v="2025-02-16T00:00:00"/>
    <n v="9"/>
    <n v="0"/>
    <d v="2025-02-16T00:00:00"/>
    <x v="0"/>
    <x v="1"/>
    <s v="Lagos"/>
    <s v="Small Business"/>
    <x v="3"/>
    <x v="0"/>
    <x v="1"/>
    <s v="Low"/>
    <x v="525"/>
    <n v="90.68"/>
    <n v="118.17"/>
    <n v="0.13500000000000001"/>
    <n v="0"/>
    <n v="21"/>
    <s v="ok"/>
    <n v="9"/>
    <n v="9"/>
    <n v="2146.5580500000001"/>
    <n v="1904.2800000000002"/>
    <n v="242.27804999999989"/>
    <n v="606.37750000000005"/>
    <n v="1193.865"/>
    <n v="1912.0450000000001"/>
    <s v="Medium"/>
    <n v="0.11286815653552899"/>
    <d v="2023-01-07T00:00:00"/>
    <x v="0"/>
  </r>
  <r>
    <s v="ORD-2023-700699"/>
    <d v="2023-01-12T00:00:00"/>
    <s v="Q1-2023"/>
    <x v="5"/>
    <d v="2023-01-26T00:00:00"/>
    <n v="14"/>
    <n v="0"/>
    <d v="2023-01-26T00:00:00"/>
    <x v="1"/>
    <x v="9"/>
    <s v="Shenzhen"/>
    <s v="Non-Profit"/>
    <x v="0"/>
    <x v="12"/>
    <x v="1"/>
    <s v="Medium"/>
    <x v="526"/>
    <n v="1083.0899999999999"/>
    <n v="1425.87"/>
    <n v="0"/>
    <n v="0"/>
    <n v="8"/>
    <s v="ok"/>
    <n v="14"/>
    <n v="14"/>
    <n v="11406.96"/>
    <n v="8664.7199999999993"/>
    <n v="2742.24"/>
    <n v="606.37750000000005"/>
    <n v="1193.865"/>
    <n v="1912.0450000000001"/>
    <s v="Low"/>
    <n v="0.24040059752992909"/>
    <d v="2023-01-07T00:00:00"/>
    <x v="0"/>
  </r>
  <r>
    <s v="ORD-2024-713332"/>
    <d v="2024-06-05T00:00:00"/>
    <s v="Q2-2024"/>
    <x v="17"/>
    <d v="2024-06-23T00:00:00"/>
    <n v="18"/>
    <n v="0"/>
    <d v="2024-06-23T00:00:00"/>
    <x v="0"/>
    <x v="0"/>
    <s v="Nairobi"/>
    <s v="Consumer"/>
    <x v="3"/>
    <x v="14"/>
    <x v="4"/>
    <s v="Medium"/>
    <x v="527"/>
    <n v="1208.74"/>
    <n v="1594.78"/>
    <n v="5.8999999999999997E-2"/>
    <n v="0"/>
    <n v="39"/>
    <s v="ok"/>
    <n v="18"/>
    <n v="18"/>
    <n v="58526.83122"/>
    <n v="47140.86"/>
    <n v="11385.971219999999"/>
    <n v="606.37750000000005"/>
    <n v="1193.865"/>
    <n v="1912.0450000000001"/>
    <s v="Medium"/>
    <n v="0.1945427589817838"/>
    <d v="2023-01-20T00:00:00"/>
    <x v="0"/>
  </r>
  <r>
    <s v="ORD-2023-640022"/>
    <d v="2023-08-24T00:00:00"/>
    <s v="Q3-2023"/>
    <x v="25"/>
    <d v="2023-09-20T00:00:00"/>
    <n v="27"/>
    <n v="0"/>
    <d v="2023-09-20T00:00:00"/>
    <x v="0"/>
    <x v="11"/>
    <s v="Durban"/>
    <s v="Small Business"/>
    <x v="2"/>
    <x v="12"/>
    <x v="1"/>
    <s v="High"/>
    <x v="528"/>
    <n v="1399.64"/>
    <n v="3342.11"/>
    <n v="0"/>
    <n v="0"/>
    <n v="10"/>
    <s v="ok"/>
    <n v="27"/>
    <n v="27"/>
    <n v="33421.1"/>
    <n v="13996.400000000001"/>
    <n v="19424.699999999997"/>
    <n v="606.37750000000005"/>
    <n v="1193.865"/>
    <n v="1912.0450000000001"/>
    <s v="Medium"/>
    <n v="0.58121067229983447"/>
    <d v="2023-01-13T00:00:00"/>
    <x v="0"/>
  </r>
  <r>
    <s v="ORD-2024-532184"/>
    <d v="2024-01-25T00:00:00"/>
    <s v="Q1-2024"/>
    <x v="9"/>
    <d v="2024-02-08T00:00:00"/>
    <n v="14"/>
    <n v="0"/>
    <d v="2024-02-08T00:00:00"/>
    <x v="1"/>
    <x v="2"/>
    <s v="Osaka"/>
    <s v="Consumer"/>
    <x v="2"/>
    <x v="2"/>
    <x v="2"/>
    <s v="Medium"/>
    <x v="529"/>
    <n v="937.16"/>
    <n v="1069.77"/>
    <n v="3.7999999999999999E-2"/>
    <n v="0"/>
    <n v="9"/>
    <s v="ok"/>
    <n v="14"/>
    <n v="14"/>
    <n v="9262.0686600000008"/>
    <n v="8434.44"/>
    <n v="827.62866000000031"/>
    <n v="606.37750000000005"/>
    <n v="1193.865"/>
    <n v="1912.0450000000001"/>
    <s v="High"/>
    <n v="8.9356783066645962E-2"/>
    <d v="2023-01-02T00:00:00"/>
    <x v="0"/>
  </r>
  <r>
    <s v="ORD-2025-926547"/>
    <d v="2025-03-11T00:00:00"/>
    <s v="Q1-2025"/>
    <x v="3"/>
    <d v="2025-03-26T00:00:00"/>
    <n v="15"/>
    <n v="0"/>
    <d v="2025-03-26T00:00:00"/>
    <x v="3"/>
    <x v="6"/>
    <s v="Berlin"/>
    <s v="Small Business"/>
    <x v="1"/>
    <x v="2"/>
    <x v="3"/>
    <s v="Low"/>
    <x v="530"/>
    <n v="116.97"/>
    <n v="140.82"/>
    <n v="0.122"/>
    <n v="0"/>
    <n v="5"/>
    <s v="ok"/>
    <n v="15"/>
    <n v="15"/>
    <n v="618.19979999999987"/>
    <n v="584.85"/>
    <n v="33.349799999999846"/>
    <n v="606.37750000000005"/>
    <n v="1193.865"/>
    <n v="1912.0450000000001"/>
    <s v="Medium"/>
    <n v="5.3946636669891926E-2"/>
    <d v="2023-01-10T00:00:00"/>
    <x v="0"/>
  </r>
  <r>
    <s v="ORD-2025-778145"/>
    <d v="2025-04-22T00:00:00"/>
    <s v="Q2-2025"/>
    <x v="19"/>
    <d v="2025-05-12T00:00:00"/>
    <n v="20"/>
    <n v="0"/>
    <d v="2025-05-12T00:00:00"/>
    <x v="3"/>
    <x v="7"/>
    <s v="Lyon"/>
    <s v="Enterprise"/>
    <x v="2"/>
    <x v="11"/>
    <x v="5"/>
    <s v="Low"/>
    <x v="531"/>
    <n v="59.51"/>
    <n v="67.040000000000006"/>
    <n v="0.114"/>
    <n v="0"/>
    <n v="9"/>
    <s v="ok"/>
    <n v="20"/>
    <n v="20"/>
    <n v="534.57695999999999"/>
    <n v="535.59"/>
    <n v="-1.0130400000000463"/>
    <n v="606.37750000000005"/>
    <n v="1193.865"/>
    <n v="1912.0450000000001"/>
    <s v="Low"/>
    <n v="-1.8950311663264469E-3"/>
    <d v="2023-01-29T00:00:00"/>
    <x v="0"/>
  </r>
  <r>
    <s v="ORD-2023-525643"/>
    <d v="2023-08-17T00:00:00"/>
    <s v="Q3-2023"/>
    <x v="25"/>
    <d v="2023-09-03T00:00:00"/>
    <n v="17"/>
    <n v="0"/>
    <d v="2023-09-03T00:00:00"/>
    <x v="0"/>
    <x v="11"/>
    <s v="Durban"/>
    <s v="Enterprise"/>
    <x v="0"/>
    <x v="8"/>
    <x v="3"/>
    <s v="Medium"/>
    <x v="532"/>
    <n v="676.37"/>
    <n v="1276.67"/>
    <n v="6.6000000000000003E-2"/>
    <n v="0"/>
    <n v="10"/>
    <s v="ok"/>
    <n v="17"/>
    <n v="17"/>
    <n v="11924.0978"/>
    <n v="6763.7"/>
    <n v="5160.3977999999997"/>
    <n v="606.37750000000005"/>
    <n v="1193.865"/>
    <n v="1912.0450000000001"/>
    <s v="Low"/>
    <n v="0.4327705027712872"/>
    <d v="2023-01-12T00:00:00"/>
    <x v="0"/>
  </r>
  <r>
    <s v="ORD-2025-312803"/>
    <d v="2025-06-24T00:00:00"/>
    <s v="Q2-2025"/>
    <x v="16"/>
    <d v="2025-07-14T00:00:00"/>
    <n v="20"/>
    <n v="0"/>
    <d v="2025-07-14T00:00:00"/>
    <x v="0"/>
    <x v="11"/>
    <s v="Johannesburg"/>
    <s v="Enterprise"/>
    <x v="2"/>
    <x v="1"/>
    <x v="4"/>
    <s v="High"/>
    <x v="533"/>
    <n v="1151.06"/>
    <n v="2821.36"/>
    <n v="0.248"/>
    <n v="1"/>
    <n v="20"/>
    <s v="ok"/>
    <n v="20"/>
    <n v="20"/>
    <n v="42433.254400000005"/>
    <n v="23021.199999999997"/>
    <n v="19412.054400000008"/>
    <n v="606.37750000000005"/>
    <n v="1193.865"/>
    <n v="1912.0450000000001"/>
    <s v="Medium"/>
    <n v="0.45747267501594235"/>
    <d v="2023-01-29T00:00:00"/>
    <x v="0"/>
  </r>
  <r>
    <s v="ORD-2025-149156"/>
    <d v="2025-01-10T00:00:00"/>
    <s v="Q1-2025"/>
    <x v="10"/>
    <d v="2025-02-06T00:00:00"/>
    <n v="27"/>
    <n v="0"/>
    <d v="2025-02-06T00:00:00"/>
    <x v="2"/>
    <x v="5"/>
    <s v="Brasília"/>
    <s v="Non-Profit"/>
    <x v="0"/>
    <x v="5"/>
    <x v="4"/>
    <s v="Medium"/>
    <x v="534"/>
    <n v="725.62"/>
    <n v="1559.19"/>
    <n v="0.19"/>
    <n v="0"/>
    <n v="12"/>
    <s v="ok"/>
    <n v="27"/>
    <n v="27"/>
    <n v="15155.326800000001"/>
    <n v="8707.44"/>
    <n v="6447.8868000000002"/>
    <n v="606.37750000000005"/>
    <n v="1193.865"/>
    <n v="1912.0450000000001"/>
    <s v="High"/>
    <n v="0.42545349797405885"/>
    <d v="2023-01-15T00:00:00"/>
    <x v="0"/>
  </r>
  <r>
    <s v="ORD-2023-215819"/>
    <d v="2023-07-01T00:00:00"/>
    <s v="Q3-2023"/>
    <x v="24"/>
    <d v="2023-07-11T00:00:00"/>
    <n v="10"/>
    <n v="0"/>
    <d v="2023-07-11T00:00:00"/>
    <x v="3"/>
    <x v="7"/>
    <s v="Paris"/>
    <s v="Corporate"/>
    <x v="4"/>
    <x v="9"/>
    <x v="2"/>
    <s v="Low"/>
    <x v="535"/>
    <n v="479.5"/>
    <n v="656.66"/>
    <n v="0.14899999999999999"/>
    <n v="0"/>
    <n v="14"/>
    <s v="ok"/>
    <n v="10"/>
    <n v="10"/>
    <n v="7823.4472399999995"/>
    <n v="6713"/>
    <n v="1110.4472399999995"/>
    <n v="606.37750000000005"/>
    <n v="1193.865"/>
    <n v="1912.0450000000001"/>
    <s v="Medium"/>
    <n v="0.14193835606412289"/>
    <d v="2023-01-29T00:00:00"/>
    <x v="0"/>
  </r>
  <r>
    <s v="ORD-2024-353078"/>
    <d v="2024-08-16T00:00:00"/>
    <s v="Q3-2024"/>
    <x v="21"/>
    <d v="2024-08-26T00:00:00"/>
    <n v="10"/>
    <n v="0"/>
    <d v="2024-08-26T00:00:00"/>
    <x v="2"/>
    <x v="10"/>
    <s v="Chicago"/>
    <s v="Corporate"/>
    <x v="3"/>
    <x v="4"/>
    <x v="4"/>
    <s v="High"/>
    <x v="387"/>
    <n v="1291.7"/>
    <n v="2657.84"/>
    <n v="8.6999999999999994E-2"/>
    <n v="0"/>
    <n v="21"/>
    <s v="ok"/>
    <n v="10"/>
    <n v="10"/>
    <n v="50958.766320000002"/>
    <n v="27125.7"/>
    <n v="23833.066320000002"/>
    <n v="606.37750000000005"/>
    <n v="1193.865"/>
    <n v="1912.0450000000001"/>
    <s v="Medium"/>
    <n v="0.46769315745083367"/>
    <d v="2023-01-12T00:00:00"/>
    <x v="0"/>
  </r>
  <r>
    <s v="ORD-2023-621393"/>
    <d v="2023-07-07T00:00:00"/>
    <s v="Q3-2023"/>
    <x v="24"/>
    <d v="2023-07-13T00:00:00"/>
    <n v="6"/>
    <n v="1"/>
    <d v="2023-07-13T00:00:00"/>
    <x v="0"/>
    <x v="11"/>
    <s v="Cape Town"/>
    <s v="Small Business"/>
    <x v="2"/>
    <x v="5"/>
    <x v="6"/>
    <s v="Medium"/>
    <x v="536"/>
    <n v="612.59"/>
    <n v="1424.74"/>
    <n v="4.3999999999999997E-2"/>
    <n v="0"/>
    <n v="15"/>
    <s v="ok"/>
    <n v="6"/>
    <n v="6"/>
    <n v="20430.771599999996"/>
    <n v="9188.85"/>
    <n v="11241.921599999996"/>
    <n v="606.37750000000005"/>
    <n v="1193.865"/>
    <n v="1912.0450000000001"/>
    <s v="High"/>
    <n v="0.55024459281802152"/>
    <d v="2023-03-03T00:00:00"/>
    <x v="1"/>
  </r>
  <r>
    <s v="ORD-2023-974506"/>
    <d v="2023-12-28T00:00:00"/>
    <s v="Q4-2023"/>
    <x v="4"/>
    <d v="2024-01-01T00:00:00"/>
    <n v="4"/>
    <n v="1"/>
    <d v="2024-01-01T00:00:00"/>
    <x v="0"/>
    <x v="11"/>
    <s v="Cape Town"/>
    <s v="Education"/>
    <x v="3"/>
    <x v="8"/>
    <x v="1"/>
    <s v="High"/>
    <x v="537"/>
    <n v="1141.8"/>
    <n v="2318.7399999999998"/>
    <n v="0.107"/>
    <n v="0"/>
    <n v="32"/>
    <s v="ok"/>
    <n v="4"/>
    <n v="4"/>
    <n v="66260.314239999992"/>
    <n v="36537.599999999999"/>
    <n v="29722.714239999994"/>
    <n v="606.37750000000005"/>
    <n v="1193.865"/>
    <n v="1912.0450000000001"/>
    <s v="Medium"/>
    <n v="0.44857490612468304"/>
    <d v="2023-01-10T00:00:00"/>
    <x v="0"/>
  </r>
  <r>
    <s v="ORD-2023-811823"/>
    <d v="2023-01-26T00:00:00"/>
    <s v="Q1-2023"/>
    <x v="5"/>
    <d v="2023-02-15T00:00:00"/>
    <n v="20"/>
    <n v="0"/>
    <d v="2023-02-15T00:00:00"/>
    <x v="3"/>
    <x v="6"/>
    <s v="Berlin"/>
    <s v="Small Business"/>
    <x v="1"/>
    <x v="7"/>
    <x v="2"/>
    <s v="Low"/>
    <x v="538"/>
    <n v="492.62"/>
    <n v="366.7"/>
    <n v="8.8999999999999996E-2"/>
    <n v="0"/>
    <n v="10"/>
    <s v="ok"/>
    <n v="20"/>
    <n v="20"/>
    <n v="3340.6370000000002"/>
    <n v="4926.2"/>
    <n v="-1585.5629999999996"/>
    <n v="606.37750000000005"/>
    <n v="1193.865"/>
    <n v="1912.0450000000001"/>
    <s v="High"/>
    <n v="-0.47462894052840809"/>
    <d v="2023-01-22T00:00:00"/>
    <x v="0"/>
  </r>
  <r>
    <s v="ORD-2023-286720"/>
    <d v="2023-07-08T00:00:00"/>
    <s v="Q3-2023"/>
    <x v="24"/>
    <d v="2023-07-09T00:00:00"/>
    <n v="1"/>
    <n v="1"/>
    <d v="2023-07-09T00:00:00"/>
    <x v="0"/>
    <x v="0"/>
    <s v="Nairobi"/>
    <s v="Consumer"/>
    <x v="1"/>
    <x v="14"/>
    <x v="4"/>
    <s v="High"/>
    <x v="539"/>
    <n v="1258.72"/>
    <n v="2797.41"/>
    <n v="0"/>
    <n v="0"/>
    <n v="7"/>
    <s v="ok"/>
    <n v="1"/>
    <n v="1"/>
    <n v="19581.87"/>
    <n v="8811.0400000000009"/>
    <n v="10770.829999999998"/>
    <n v="606.37750000000005"/>
    <n v="1193.865"/>
    <n v="1912.0450000000001"/>
    <s v="Low"/>
    <n v="0.55004093071805704"/>
    <d v="2023-01-15T00:00:00"/>
    <x v="0"/>
  </r>
  <r>
    <s v="ORD-2024-626925"/>
    <d v="2024-06-07T00:00:00"/>
    <s v="Q2-2024"/>
    <x v="17"/>
    <d v="2024-06-09T00:00:00"/>
    <n v="2"/>
    <n v="1"/>
    <d v="2024-06-09T00:00:00"/>
    <x v="1"/>
    <x v="9"/>
    <s v="Shanghai"/>
    <s v="Corporate"/>
    <x v="0"/>
    <x v="7"/>
    <x v="5"/>
    <s v="High"/>
    <x v="540"/>
    <n v="1370.28"/>
    <n v="2209.66"/>
    <n v="0.13300000000000001"/>
    <n v="0"/>
    <n v="16"/>
    <s v="ok"/>
    <n v="2"/>
    <n v="2"/>
    <n v="30652.403519999996"/>
    <n v="21924.48"/>
    <n v="8727.9235199999966"/>
    <n v="606.37750000000005"/>
    <n v="1193.865"/>
    <n v="1912.0450000000001"/>
    <s v="High"/>
    <n v="0.28473863442079589"/>
    <d v="2023-01-29T00:00:00"/>
    <x v="0"/>
  </r>
  <r>
    <s v="ORD-2023-960380"/>
    <d v="2023-02-11T00:00:00"/>
    <s v="Q1-2023"/>
    <x v="2"/>
    <d v="2023-02-12T00:00:00"/>
    <n v="1"/>
    <n v="1"/>
    <d v="2023-02-12T00:00:00"/>
    <x v="0"/>
    <x v="1"/>
    <s v="Port Harcourt"/>
    <s v="Non-Profit"/>
    <x v="4"/>
    <x v="14"/>
    <x v="6"/>
    <s v="Medium"/>
    <x v="541"/>
    <n v="944.61"/>
    <n v="839.04"/>
    <n v="5.8999999999999997E-2"/>
    <n v="0"/>
    <n v="6"/>
    <s v="ok"/>
    <n v="1"/>
    <n v="1"/>
    <n v="4737.2198399999997"/>
    <n v="5667.66"/>
    <n v="-930.44016000000011"/>
    <n v="606.37750000000005"/>
    <n v="1193.865"/>
    <n v="1912.0450000000001"/>
    <s v="High"/>
    <n v="-0.19641059343363726"/>
    <d v="2023-01-02T00:00:00"/>
    <x v="0"/>
  </r>
  <r>
    <s v="ORD-2023-453699"/>
    <d v="2023-07-01T00:00:00"/>
    <s v="Q3-2023"/>
    <x v="24"/>
    <d v="2023-07-08T00:00:00"/>
    <n v="7"/>
    <n v="1"/>
    <d v="2023-07-08T00:00:00"/>
    <x v="3"/>
    <x v="6"/>
    <s v="Frankfurt"/>
    <s v="Small Business"/>
    <x v="3"/>
    <x v="13"/>
    <x v="4"/>
    <s v="Medium"/>
    <x v="542"/>
    <n v="460.21"/>
    <n v="1139.1500000000001"/>
    <n v="0.115"/>
    <n v="0"/>
    <n v="14"/>
    <s v="ok"/>
    <n v="7"/>
    <n v="7"/>
    <n v="14114.068500000001"/>
    <n v="6442.94"/>
    <n v="7671.1285000000016"/>
    <n v="606.37750000000005"/>
    <n v="1193.865"/>
    <n v="1912.0450000000001"/>
    <s v="Medium"/>
    <n v="0.54350937151821255"/>
    <d v="2023-01-29T00:00:00"/>
    <x v="0"/>
  </r>
  <r>
    <s v="ORD-2025-960931"/>
    <d v="2025-08-20T00:00:00"/>
    <s v="Q3-2025"/>
    <x v="28"/>
    <d v="2025-08-26T00:00:00"/>
    <n v="6"/>
    <n v="1"/>
    <d v="2025-08-26T00:00:00"/>
    <x v="2"/>
    <x v="10"/>
    <s v="New York"/>
    <s v="Corporate"/>
    <x v="0"/>
    <x v="12"/>
    <x v="2"/>
    <s v="High"/>
    <x v="543"/>
    <n v="1304.95"/>
    <n v="1712.03"/>
    <n v="0.21199999999999999"/>
    <n v="1"/>
    <n v="8"/>
    <s v="ok"/>
    <n v="6"/>
    <n v="6"/>
    <n v="10792.637119999999"/>
    <n v="10439.6"/>
    <n v="353.03711999999905"/>
    <n v="606.37750000000005"/>
    <n v="1193.865"/>
    <n v="1912.0450000000001"/>
    <s v="Medium"/>
    <n v="3.2710922833287949E-2"/>
    <d v="2023-01-29T00:00:00"/>
    <x v="0"/>
  </r>
  <r>
    <s v="ORD-2024-419248"/>
    <d v="2024-03-04T00:00:00"/>
    <s v="Q1-2024"/>
    <x v="0"/>
    <d v="2024-03-16T00:00:00"/>
    <n v="12"/>
    <n v="0"/>
    <d v="2024-03-16T00:00:00"/>
    <x v="0"/>
    <x v="11"/>
    <s v="Johannesburg"/>
    <s v="Enterprise"/>
    <x v="3"/>
    <x v="12"/>
    <x v="5"/>
    <s v="Medium"/>
    <x v="544"/>
    <n v="441.08"/>
    <n v="1054.29"/>
    <n v="0.23699999999999999"/>
    <n v="1"/>
    <n v="6"/>
    <s v="ok"/>
    <n v="12"/>
    <n v="12"/>
    <n v="4826.5396199999996"/>
    <n v="2646.48"/>
    <n v="2180.0596199999995"/>
    <n v="606.37750000000005"/>
    <n v="1193.865"/>
    <n v="1912.0450000000001"/>
    <s v="Medium"/>
    <n v="0.45168169985932899"/>
    <d v="2023-01-12T00:00:00"/>
    <x v="0"/>
  </r>
  <r>
    <s v="ORD-2023-488227"/>
    <d v="2023-09-08T00:00:00"/>
    <s v="Q3-2023"/>
    <x v="27"/>
    <d v="2023-10-02T00:00:00"/>
    <n v="24"/>
    <n v="0"/>
    <d v="2023-10-02T00:00:00"/>
    <x v="2"/>
    <x v="3"/>
    <s v="Toronto"/>
    <s v="Education"/>
    <x v="4"/>
    <x v="8"/>
    <x v="6"/>
    <s v="High"/>
    <x v="545"/>
    <n v="1299.03"/>
    <n v="2451.2199999999998"/>
    <n v="0.20799999999999999"/>
    <n v="1"/>
    <n v="8"/>
    <s v="ok"/>
    <n v="24"/>
    <n v="24"/>
    <n v="15530.929919999999"/>
    <n v="10392.24"/>
    <n v="5138.6899199999989"/>
    <n v="606.37750000000005"/>
    <n v="1193.865"/>
    <n v="1912.0450000000001"/>
    <s v="Medium"/>
    <n v="0.3308681416032041"/>
    <d v="2023-01-22T00:00:00"/>
    <x v="0"/>
  </r>
  <r>
    <s v="ORD-2023-472078"/>
    <d v="2023-02-28T00:00:00"/>
    <s v="Q1-2023"/>
    <x v="2"/>
    <d v="2023-03-06T00:00:00"/>
    <n v="6"/>
    <n v="1"/>
    <d v="2023-03-06T00:00:00"/>
    <x v="3"/>
    <x v="6"/>
    <s v="Frankfurt"/>
    <s v="Small Business"/>
    <x v="2"/>
    <x v="14"/>
    <x v="1"/>
    <s v="Medium"/>
    <x v="546"/>
    <n v="880.02"/>
    <n v="1251.21"/>
    <n v="0.123"/>
    <n v="0"/>
    <n v="29"/>
    <s v="ok"/>
    <n v="6"/>
    <n v="6"/>
    <n v="31822.023930000003"/>
    <n v="25520.579999999998"/>
    <n v="6301.4439300000049"/>
    <n v="606.37750000000005"/>
    <n v="1193.865"/>
    <n v="1912.0450000000001"/>
    <s v="High"/>
    <n v="0.19802146915172672"/>
    <d v="2023-03-03T00:00:00"/>
    <x v="1"/>
  </r>
  <r>
    <s v="ORD-2024-202877"/>
    <d v="2024-07-13T00:00:00"/>
    <s v="Q3-2024"/>
    <x v="14"/>
    <d v="2024-08-03T00:00:00"/>
    <n v="21"/>
    <n v="0"/>
    <d v="2024-08-03T00:00:00"/>
    <x v="2"/>
    <x v="5"/>
    <s v="Rio de Janeiro"/>
    <s v="Corporate"/>
    <x v="2"/>
    <x v="12"/>
    <x v="5"/>
    <s v="Medium"/>
    <x v="547"/>
    <n v="702.98"/>
    <n v="1104.8"/>
    <n v="0.17499999999999999"/>
    <n v="0"/>
    <n v="12"/>
    <s v="ok"/>
    <n v="21"/>
    <n v="21"/>
    <n v="10937.519999999999"/>
    <n v="8435.76"/>
    <n v="2501.7599999999984"/>
    <n v="606.37750000000005"/>
    <n v="1193.865"/>
    <n v="1912.0450000000001"/>
    <s v="Medium"/>
    <n v="0.22873192460448061"/>
    <d v="2023-01-13T00:00:00"/>
    <x v="0"/>
  </r>
  <r>
    <s v="ORD-2024-140633"/>
    <d v="2024-12-07T00:00:00"/>
    <s v="Q4-2024"/>
    <x v="6"/>
    <d v="2024-12-26T00:00:00"/>
    <n v="19"/>
    <n v="0"/>
    <d v="2024-12-26T00:00:00"/>
    <x v="3"/>
    <x v="8"/>
    <s v="London"/>
    <s v="Enterprise"/>
    <x v="1"/>
    <x v="14"/>
    <x v="2"/>
    <s v="High"/>
    <x v="548"/>
    <n v="1035.24"/>
    <n v="2383.41"/>
    <n v="0.17"/>
    <n v="0"/>
    <n v="15"/>
    <s v="ok"/>
    <n v="19"/>
    <n v="19"/>
    <n v="29673.454499999993"/>
    <n v="15528.6"/>
    <n v="14144.854499999992"/>
    <n v="606.37750000000005"/>
    <n v="1193.865"/>
    <n v="1912.0450000000001"/>
    <s v="Medium"/>
    <n v="0.47668378145860962"/>
    <d v="2023-01-15T00:00:00"/>
    <x v="0"/>
  </r>
  <r>
    <s v="ORD-2025-419532"/>
    <d v="2025-08-06T00:00:00"/>
    <s v="Q3-2025"/>
    <x v="28"/>
    <d v="2025-08-23T00:00:00"/>
    <n v="17"/>
    <n v="0"/>
    <d v="2025-08-23T00:00:00"/>
    <x v="2"/>
    <x v="5"/>
    <s v="Brasília"/>
    <s v="Consumer"/>
    <x v="3"/>
    <x v="8"/>
    <x v="5"/>
    <s v="Low"/>
    <x v="549"/>
    <n v="86.64"/>
    <n v="213.06"/>
    <n v="0.21199999999999999"/>
    <n v="1"/>
    <n v="11"/>
    <s v="ok"/>
    <n v="17"/>
    <n v="17"/>
    <n v="1846.8040799999999"/>
    <n v="953.04"/>
    <n v="893.76407999999992"/>
    <n v="606.37750000000005"/>
    <n v="1193.865"/>
    <n v="1912.0450000000001"/>
    <s v="High"/>
    <n v="0.48395175735154322"/>
    <d v="2023-01-29T00:00:00"/>
    <x v="0"/>
  </r>
  <r>
    <s v="ORD-2023-139236"/>
    <d v="2023-03-03T00:00:00"/>
    <s v="Q1-2023"/>
    <x v="22"/>
    <d v="2023-03-20T00:00:00"/>
    <n v="17"/>
    <n v="0"/>
    <d v="2023-03-20T00:00:00"/>
    <x v="1"/>
    <x v="2"/>
    <s v="Nagoya"/>
    <s v="Small Business"/>
    <x v="1"/>
    <x v="14"/>
    <x v="2"/>
    <s v="High"/>
    <x v="550"/>
    <n v="1171.17"/>
    <n v="2030.64"/>
    <n v="0.157"/>
    <n v="0"/>
    <n v="11"/>
    <s v="ok"/>
    <n v="17"/>
    <n v="17"/>
    <n v="18830.12472"/>
    <n v="12882.87"/>
    <n v="5947.254719999999"/>
    <n v="606.37750000000005"/>
    <n v="1193.865"/>
    <n v="1912.0450000000001"/>
    <s v="Low"/>
    <n v="0.31583724528830415"/>
    <d v="2023-01-12T00:00:00"/>
    <x v="0"/>
  </r>
  <r>
    <s v="ORD-2025-337268"/>
    <d v="2025-02-16T00:00:00"/>
    <s v="Q1-2025"/>
    <x v="26"/>
    <d v="2025-03-17T00:00:00"/>
    <n v="29"/>
    <n v="0"/>
    <d v="2025-03-17T00:00:00"/>
    <x v="3"/>
    <x v="6"/>
    <s v="Munich"/>
    <s v="Consumer"/>
    <x v="0"/>
    <x v="4"/>
    <x v="6"/>
    <s v="Medium"/>
    <x v="551"/>
    <n v="730.42"/>
    <n v="956.7"/>
    <n v="4.2000000000000003E-2"/>
    <n v="0"/>
    <n v="22"/>
    <s v="ok"/>
    <n v="29"/>
    <n v="29"/>
    <n v="20163.409200000002"/>
    <n v="16069.24"/>
    <n v="4094.1692000000021"/>
    <n v="606.37750000000005"/>
    <n v="1193.865"/>
    <n v="1912.0450000000001"/>
    <s v="High"/>
    <n v="0.20304945256975698"/>
    <d v="2023-01-29T00:00:00"/>
    <x v="0"/>
  </r>
  <r>
    <s v="ORD-2025-332931"/>
    <d v="2025-02-15T00:00:00"/>
    <s v="Q1-2025"/>
    <x v="26"/>
    <d v="2025-03-01T00:00:00"/>
    <n v="14"/>
    <n v="0"/>
    <d v="2025-03-01T00:00:00"/>
    <x v="0"/>
    <x v="0"/>
    <s v="Mombasa"/>
    <s v="Education"/>
    <x v="4"/>
    <x v="4"/>
    <x v="6"/>
    <s v="Medium"/>
    <x v="552"/>
    <n v="1162.8599999999999"/>
    <n v="1447.68"/>
    <n v="8.6999999999999994E-2"/>
    <n v="0"/>
    <n v="12"/>
    <s v="ok"/>
    <n v="14"/>
    <n v="14"/>
    <n v="15860.782080000001"/>
    <n v="13954.32"/>
    <n v="1906.4620800000012"/>
    <n v="606.37750000000005"/>
    <n v="1193.865"/>
    <n v="1912.0450000000001"/>
    <s v="Medium"/>
    <n v="0.12019975247021369"/>
    <d v="2023-01-15T00:00:00"/>
    <x v="0"/>
  </r>
  <r>
    <s v="ORD-2024-536442"/>
    <d v="2024-08-31T00:00:00"/>
    <s v="Q3-2024"/>
    <x v="21"/>
    <d v="2024-09-26T00:00:00"/>
    <n v="26"/>
    <n v="0"/>
    <d v="2024-09-26T00:00:00"/>
    <x v="1"/>
    <x v="2"/>
    <s v="Tokyo"/>
    <s v="Education"/>
    <x v="1"/>
    <x v="2"/>
    <x v="3"/>
    <s v="High"/>
    <x v="553"/>
    <n v="1189.03"/>
    <n v="2949.62"/>
    <n v="0.125"/>
    <n v="0"/>
    <n v="13"/>
    <s v="ok"/>
    <n v="26"/>
    <n v="26"/>
    <n v="33551.927499999998"/>
    <n v="15457.39"/>
    <n v="18094.537499999999"/>
    <n v="606.37750000000005"/>
    <n v="1193.865"/>
    <n v="1912.0450000000001"/>
    <s v="Medium"/>
    <n v="0.53929949330034765"/>
    <d v="2023-01-29T00:00:00"/>
    <x v="0"/>
  </r>
  <r>
    <s v="ORD-2023-957692"/>
    <d v="2023-05-07T00:00:00"/>
    <s v="Q2-2023"/>
    <x v="15"/>
    <d v="2023-05-20T00:00:00"/>
    <n v="13"/>
    <n v="0"/>
    <d v="2023-05-20T00:00:00"/>
    <x v="1"/>
    <x v="4"/>
    <s v="Mumbai"/>
    <s v="Enterprise"/>
    <x v="0"/>
    <x v="14"/>
    <x v="6"/>
    <s v="High"/>
    <x v="554"/>
    <n v="1443.28"/>
    <n v="2580.5700000000002"/>
    <n v="0"/>
    <n v="0"/>
    <n v="18"/>
    <s v="ok"/>
    <n v="13"/>
    <n v="13"/>
    <n v="46450.26"/>
    <n v="25979.040000000001"/>
    <n v="20471.22"/>
    <n v="606.37750000000005"/>
    <n v="1193.865"/>
    <n v="1912.0450000000001"/>
    <s v="High"/>
    <n v="0.4407127107577008"/>
    <d v="2023-01-10T00:00:00"/>
    <x v="0"/>
  </r>
  <r>
    <s v="ORD-2025-874124"/>
    <d v="2025-05-14T00:00:00"/>
    <s v="Q2-2025"/>
    <x v="8"/>
    <d v="2025-05-12T00:00:00"/>
    <n v="14"/>
    <n v="0"/>
    <d v="2025-05-28T00:00:00"/>
    <x v="2"/>
    <x v="3"/>
    <s v="Vancouver"/>
    <s v="Non-Profit"/>
    <x v="3"/>
    <x v="9"/>
    <x v="1"/>
    <s v="High"/>
    <x v="555"/>
    <n v="883.5"/>
    <n v="1978.91"/>
    <n v="5.3999999999999999E-2"/>
    <n v="0"/>
    <n v="27"/>
    <s v="sus"/>
    <n v="-2"/>
    <n v="2"/>
    <n v="50545.319219999998"/>
    <n v="23854.5"/>
    <n v="26690.819219999998"/>
    <n v="606.37750000000005"/>
    <n v="1193.865"/>
    <n v="1912.0450000000001"/>
    <s v="High"/>
    <n v="0.52805718970390547"/>
    <d v="2023-01-29T00:00:00"/>
    <x v="0"/>
  </r>
  <r>
    <s v="ORD-2024-687073"/>
    <d v="2024-03-11T00:00:00"/>
    <s v="Q1-2024"/>
    <x v="0"/>
    <d v="2024-03-29T00:00:00"/>
    <n v="18"/>
    <n v="0"/>
    <d v="2024-03-29T00:00:00"/>
    <x v="2"/>
    <x v="10"/>
    <s v="New York"/>
    <s v="Corporate"/>
    <x v="0"/>
    <x v="12"/>
    <x v="5"/>
    <s v="Medium"/>
    <x v="556"/>
    <n v="710.98"/>
    <n v="1481.45"/>
    <n v="0.21099999999999999"/>
    <n v="1"/>
    <n v="9"/>
    <s v="ok"/>
    <n v="18"/>
    <n v="18"/>
    <n v="10519.776450000001"/>
    <n v="6398.82"/>
    <n v="4120.9564500000015"/>
    <n v="606.37750000000005"/>
    <n v="1193.865"/>
    <n v="1912.0450000000001"/>
    <s v="High"/>
    <n v="0.39173422264120461"/>
    <d v="2023-01-22T00:00:00"/>
    <x v="0"/>
  </r>
  <r>
    <s v="ORD-2024-555229"/>
    <d v="2024-05-18T00:00:00"/>
    <s v="Q2-2024"/>
    <x v="7"/>
    <d v="2024-05-22T00:00:00"/>
    <n v="4"/>
    <n v="1"/>
    <d v="2024-05-22T00:00:00"/>
    <x v="0"/>
    <x v="0"/>
    <s v="Nairobi"/>
    <s v="Corporate"/>
    <x v="4"/>
    <x v="10"/>
    <x v="6"/>
    <s v="High"/>
    <x v="557"/>
    <n v="857.42"/>
    <n v="1658.92"/>
    <n v="0.122"/>
    <n v="0"/>
    <n v="9"/>
    <s v="ok"/>
    <n v="4"/>
    <n v="4"/>
    <n v="13108.78584"/>
    <n v="7716.78"/>
    <n v="5392.0058400000007"/>
    <n v="606.37750000000005"/>
    <n v="1193.865"/>
    <n v="1912.0450000000001"/>
    <s v="Medium"/>
    <n v="0.41132763215544305"/>
    <d v="2023-01-12T00:00:00"/>
    <x v="0"/>
  </r>
  <r>
    <s v="ORD-2024-872291"/>
    <d v="2024-01-08T00:00:00"/>
    <s v="Q1-2024"/>
    <x v="9"/>
    <d v="2024-01-12T00:00:00"/>
    <n v="4"/>
    <n v="1"/>
    <d v="2024-01-12T00:00:00"/>
    <x v="1"/>
    <x v="4"/>
    <s v="Bengaluru"/>
    <s v="Corporate"/>
    <x v="4"/>
    <x v="6"/>
    <x v="1"/>
    <s v="Low"/>
    <x v="558"/>
    <n v="802.32"/>
    <n v="602.34"/>
    <n v="0.12"/>
    <n v="0"/>
    <n v="25"/>
    <s v="ok"/>
    <n v="4"/>
    <n v="4"/>
    <n v="13251.48"/>
    <n v="20058"/>
    <n v="-6806.52"/>
    <n v="606.37750000000005"/>
    <n v="1193.865"/>
    <n v="1912.0450000000001"/>
    <s v="Medium"/>
    <n v="-0.51364224977134632"/>
    <d v="2023-01-19T00:00:00"/>
    <x v="0"/>
  </r>
  <r>
    <s v="ORD-2024-250862"/>
    <d v="2024-10-25T00:00:00"/>
    <s v="Q4-2024"/>
    <x v="1"/>
    <d v="2024-11-05T00:00:00"/>
    <n v="11"/>
    <n v="0"/>
    <d v="2024-11-05T00:00:00"/>
    <x v="2"/>
    <x v="10"/>
    <s v="New York"/>
    <s v="Corporate"/>
    <x v="3"/>
    <x v="13"/>
    <x v="0"/>
    <s v="Low"/>
    <x v="559"/>
    <n v="446.66"/>
    <n v="527.64"/>
    <n v="0.14499999999999999"/>
    <n v="0"/>
    <n v="15"/>
    <s v="ok"/>
    <n v="11"/>
    <n v="11"/>
    <n v="6766.9829999999993"/>
    <n v="6699.9000000000005"/>
    <n v="67.082999999998719"/>
    <n v="606.37750000000005"/>
    <n v="1193.865"/>
    <n v="1912.0450000000001"/>
    <s v="Low"/>
    <n v="9.9132804087137105E-3"/>
    <d v="2023-01-15T00:00:00"/>
    <x v="0"/>
  </r>
  <r>
    <s v="ORD-2024-331226"/>
    <d v="2024-11-30T00:00:00"/>
    <s v="Q4-2024"/>
    <x v="18"/>
    <d v="2024-12-19T00:00:00"/>
    <n v="19"/>
    <n v="0"/>
    <d v="2024-12-19T00:00:00"/>
    <x v="0"/>
    <x v="0"/>
    <s v="Kisumu"/>
    <s v="Corporate"/>
    <x v="1"/>
    <x v="4"/>
    <x v="3"/>
    <s v="High"/>
    <x v="560"/>
    <n v="1195.98"/>
    <n v="1841.9"/>
    <n v="5.5E-2"/>
    <n v="0"/>
    <n v="19"/>
    <s v="ok"/>
    <n v="19"/>
    <n v="19"/>
    <n v="33071.3145"/>
    <n v="22723.62"/>
    <n v="10347.694500000001"/>
    <n v="606.37750000000005"/>
    <n v="1193.865"/>
    <n v="1912.0450000000001"/>
    <s v="Low"/>
    <n v="0.31289032977506842"/>
    <d v="2023-01-12T00:00:00"/>
    <x v="0"/>
  </r>
  <r>
    <s v="ORD-2023-356427"/>
    <d v="2023-04-13T00:00:00"/>
    <s v="Q2-2023"/>
    <x v="12"/>
    <d v="2023-05-02T00:00:00"/>
    <n v="19"/>
    <n v="0"/>
    <d v="2023-05-02T00:00:00"/>
    <x v="2"/>
    <x v="3"/>
    <s v="Montreal"/>
    <s v="Consumer"/>
    <x v="3"/>
    <x v="6"/>
    <x v="5"/>
    <s v="High"/>
    <x v="561"/>
    <n v="671.05"/>
    <n v="1645.48"/>
    <n v="0.13700000000000001"/>
    <n v="0"/>
    <n v="6"/>
    <s v="ok"/>
    <n v="19"/>
    <n v="19"/>
    <n v="8520.2954399999999"/>
    <n v="4026.2999999999997"/>
    <n v="4493.9954400000006"/>
    <n v="606.37750000000005"/>
    <n v="1193.865"/>
    <n v="1912.0450000000001"/>
    <s v="Medium"/>
    <n v="0.52744596377517172"/>
    <d v="2023-01-20T00:00:00"/>
    <x v="0"/>
  </r>
  <r>
    <s v="ORD-2025-659650"/>
    <d v="2025-02-04T00:00:00"/>
    <s v="Q1-2025"/>
    <x v="26"/>
    <d v="2025-02-08T00:00:00"/>
    <n v="4"/>
    <n v="1"/>
    <d v="2025-02-08T00:00:00"/>
    <x v="3"/>
    <x v="8"/>
    <s v="Manchester"/>
    <s v="Enterprise"/>
    <x v="2"/>
    <x v="4"/>
    <x v="2"/>
    <s v="Low"/>
    <x v="562"/>
    <n v="586.21"/>
    <n v="727.22"/>
    <n v="6.8000000000000005E-2"/>
    <n v="0"/>
    <n v="15"/>
    <s v="ok"/>
    <n v="4"/>
    <n v="4"/>
    <n v="10166.535600000001"/>
    <n v="8793.1500000000015"/>
    <n v="1373.3855999999996"/>
    <n v="606.37750000000005"/>
    <n v="1193.865"/>
    <n v="1912.0450000000001"/>
    <s v="Medium"/>
    <n v="0.13508884973559721"/>
    <d v="2023-01-29T00:00:00"/>
    <x v="0"/>
  </r>
  <r>
    <s v="ORD-2024-207669"/>
    <d v="2024-01-24T00:00:00"/>
    <s v="Q1-2024"/>
    <x v="9"/>
    <d v="2024-02-04T00:00:00"/>
    <n v="11"/>
    <n v="0"/>
    <d v="2024-02-04T00:00:00"/>
    <x v="3"/>
    <x v="8"/>
    <s v="Manchester"/>
    <s v="Consumer"/>
    <x v="0"/>
    <x v="5"/>
    <x v="4"/>
    <s v="Medium"/>
    <x v="563"/>
    <n v="525.34"/>
    <n v="1233.79"/>
    <n v="0.14299999999999999"/>
    <n v="0"/>
    <n v="4"/>
    <s v="ok"/>
    <n v="11"/>
    <n v="11"/>
    <n v="4229.4321199999995"/>
    <n v="2101.36"/>
    <n v="2128.0721199999994"/>
    <n v="606.37750000000005"/>
    <n v="1193.865"/>
    <n v="1912.0450000000001"/>
    <s v="Medium"/>
    <n v="0.50315788494082736"/>
    <d v="2023-03-03T00:00:00"/>
    <x v="1"/>
  </r>
  <r>
    <s v="ORD-2024-979401"/>
    <d v="2024-02-08T00:00:00"/>
    <s v="Q1-2024"/>
    <x v="31"/>
    <d v="2024-02-09T00:00:00"/>
    <n v="1"/>
    <n v="1"/>
    <d v="2024-02-09T00:00:00"/>
    <x v="0"/>
    <x v="0"/>
    <s v="Mombasa"/>
    <s v="Corporate"/>
    <x v="4"/>
    <x v="9"/>
    <x v="0"/>
    <s v="Medium"/>
    <x v="564"/>
    <n v="1233.52"/>
    <n v="1543.76"/>
    <n v="0.126"/>
    <n v="0"/>
    <n v="13"/>
    <s v="ok"/>
    <n v="1"/>
    <n v="1"/>
    <n v="17540.201120000002"/>
    <n v="16035.76"/>
    <n v="1504.4411200000013"/>
    <n v="606.37750000000005"/>
    <n v="1193.865"/>
    <n v="1912.0450000000001"/>
    <s v="Medium"/>
    <n v="8.5771030201277493E-2"/>
    <d v="2023-01-10T00:00:00"/>
    <x v="0"/>
  </r>
  <r>
    <s v="ORD-2025-929414"/>
    <d v="2025-06-26T00:00:00"/>
    <s v="Q2-2025"/>
    <x v="16"/>
    <d v="2025-07-11T00:00:00"/>
    <n v="15"/>
    <n v="0"/>
    <d v="2025-07-11T00:00:00"/>
    <x v="0"/>
    <x v="1"/>
    <s v="Port Harcourt"/>
    <s v="Small Business"/>
    <x v="1"/>
    <x v="8"/>
    <x v="4"/>
    <s v="High"/>
    <x v="565"/>
    <n v="1170.1500000000001"/>
    <n v="2115.19"/>
    <n v="9.1999999999999998E-2"/>
    <n v="0"/>
    <n v="23"/>
    <s v="ok"/>
    <n v="15"/>
    <n v="15"/>
    <n v="44173.627960000005"/>
    <n v="26913.45"/>
    <n v="17260.177960000005"/>
    <n v="606.37750000000005"/>
    <n v="1193.865"/>
    <n v="1912.0450000000001"/>
    <s v="Medium"/>
    <n v="0.39073489674946776"/>
    <d v="2023-01-20T00:00:00"/>
    <x v="0"/>
  </r>
  <r>
    <s v="ORD-2024-766980"/>
    <d v="2024-11-04T00:00:00"/>
    <s v="Q4-2024"/>
    <x v="18"/>
    <d v="2024-11-07T00:00:00"/>
    <n v="3"/>
    <n v="1"/>
    <d v="2024-11-07T00:00:00"/>
    <x v="3"/>
    <x v="7"/>
    <s v="Lyon"/>
    <s v="Corporate"/>
    <x v="1"/>
    <x v="7"/>
    <x v="5"/>
    <s v="High"/>
    <x v="566"/>
    <n v="740.68"/>
    <n v="1837.19"/>
    <n v="0.19700000000000001"/>
    <n v="0"/>
    <n v="17"/>
    <s v="ok"/>
    <n v="3"/>
    <n v="3"/>
    <n v="25079.480689999997"/>
    <n v="12591.56"/>
    <n v="12487.920689999997"/>
    <n v="606.37750000000005"/>
    <n v="1193.865"/>
    <n v="1912.0450000000001"/>
    <s v="High"/>
    <n v="0.4979337827748298"/>
    <d v="2023-01-12T00:00:00"/>
    <x v="0"/>
  </r>
  <r>
    <s v="ORD-2024-437164"/>
    <d v="2024-02-20T00:00:00"/>
    <s v="Q1-2024"/>
    <x v="31"/>
    <d v="2024-02-20T00:00:00"/>
    <n v="0"/>
    <n v="1"/>
    <d v="2024-02-20T00:00:00"/>
    <x v="2"/>
    <x v="10"/>
    <s v="New York"/>
    <s v="Enterprise"/>
    <x v="1"/>
    <x v="0"/>
    <x v="2"/>
    <s v="High"/>
    <x v="567"/>
    <n v="1407.05"/>
    <n v="2858.93"/>
    <n v="0"/>
    <n v="0"/>
    <n v="12"/>
    <s v="sus"/>
    <n v="0"/>
    <n v="0"/>
    <n v="34307.159999999996"/>
    <n v="16884.599999999999"/>
    <n v="17422.559999999998"/>
    <n v="606.37750000000005"/>
    <n v="1193.865"/>
    <n v="1912.0450000000001"/>
    <s v="Medium"/>
    <n v="0.50784034586366222"/>
    <d v="2023-01-29T00:00:00"/>
    <x v="0"/>
  </r>
  <r>
    <s v="ORD-2025-169093"/>
    <d v="2025-04-13T00:00:00"/>
    <s v="Q2-2025"/>
    <x v="19"/>
    <d v="2025-04-14T00:00:00"/>
    <n v="1"/>
    <n v="1"/>
    <d v="2025-04-14T00:00:00"/>
    <x v="1"/>
    <x v="2"/>
    <s v="Osaka"/>
    <s v="Enterprise"/>
    <x v="1"/>
    <x v="3"/>
    <x v="0"/>
    <s v="Low"/>
    <x v="568"/>
    <n v="138.9"/>
    <n v="289.92"/>
    <n v="2.9000000000000001E-2"/>
    <n v="0"/>
    <n v="12"/>
    <s v="ok"/>
    <n v="1"/>
    <n v="1"/>
    <n v="3378.1478400000001"/>
    <n v="1666.8000000000002"/>
    <n v="1711.3478399999999"/>
    <n v="606.37750000000005"/>
    <n v="1193.865"/>
    <n v="1912.0450000000001"/>
    <s v="High"/>
    <n v="0.50659353025828491"/>
    <d v="2023-01-29T00:00:00"/>
    <x v="0"/>
  </r>
  <r>
    <s v="ORD-2023-868460"/>
    <d v="2023-06-01T00:00:00"/>
    <s v="Q2-2023"/>
    <x v="23"/>
    <d v="2023-06-01T00:00:00"/>
    <n v="0"/>
    <n v="1"/>
    <d v="2023-06-01T00:00:00"/>
    <x v="1"/>
    <x v="4"/>
    <s v="Bengaluru"/>
    <s v="Corporate"/>
    <x v="0"/>
    <x v="6"/>
    <x v="6"/>
    <s v="Medium"/>
    <x v="569"/>
    <n v="669.37"/>
    <n v="997.2"/>
    <n v="8.2000000000000003E-2"/>
    <n v="0"/>
    <n v="5"/>
    <s v="sus"/>
    <n v="0"/>
    <n v="0"/>
    <n v="4577.1480000000001"/>
    <n v="3346.85"/>
    <n v="1230.2980000000002"/>
    <n v="606.37750000000005"/>
    <n v="1193.865"/>
    <n v="1912.0450000000001"/>
    <s v="Low"/>
    <n v="0.26879139586484863"/>
    <d v="2023-01-22T00:00:00"/>
    <x v="0"/>
  </r>
  <r>
    <s v="ORD-2025-177994"/>
    <d v="2025-03-24T00:00:00"/>
    <s v="Q1-2025"/>
    <x v="3"/>
    <d v="2025-04-04T00:00:00"/>
    <n v="11"/>
    <n v="0"/>
    <d v="2025-04-04T00:00:00"/>
    <x v="1"/>
    <x v="4"/>
    <s v="Mumbai"/>
    <s v="Education"/>
    <x v="2"/>
    <x v="1"/>
    <x v="3"/>
    <s v="Low"/>
    <x v="570"/>
    <n v="23.83"/>
    <n v="47.29"/>
    <n v="6.4000000000000001E-2"/>
    <n v="0"/>
    <n v="19"/>
    <s v="ok"/>
    <n v="11"/>
    <n v="11"/>
    <n v="841.00536"/>
    <n v="452.77"/>
    <n v="388.23536000000001"/>
    <n v="606.37750000000005"/>
    <n v="1193.865"/>
    <n v="1912.0450000000001"/>
    <s v="Medium"/>
    <n v="0.46163244429262618"/>
    <d v="2023-01-02T00:00:00"/>
    <x v="0"/>
  </r>
  <r>
    <s v="ORD-2024-355095"/>
    <d v="2024-01-02T00:00:00"/>
    <s v="Q1-2024"/>
    <x v="9"/>
    <d v="2024-01-02T00:00:00"/>
    <n v="0"/>
    <n v="1"/>
    <d v="2024-01-02T00:00:00"/>
    <x v="2"/>
    <x v="3"/>
    <s v="Vancouver"/>
    <s v="Education"/>
    <x v="4"/>
    <x v="8"/>
    <x v="4"/>
    <s v="Low"/>
    <x v="571"/>
    <n v="444.41"/>
    <n v="754.24"/>
    <n v="0.20699999999999999"/>
    <n v="1"/>
    <n v="32"/>
    <s v="sus"/>
    <n v="0"/>
    <n v="0"/>
    <n v="19139.594240000002"/>
    <n v="14221.12"/>
    <n v="4918.4742400000014"/>
    <n v="606.37750000000005"/>
    <n v="1193.865"/>
    <n v="1912.0450000000001"/>
    <s v="Low"/>
    <n v="0.25697902360546598"/>
    <d v="2023-01-02T00:00:00"/>
    <x v="0"/>
  </r>
  <r>
    <s v="ORD-2023-126505"/>
    <d v="2023-12-19T00:00:00"/>
    <s v="Q4-2023"/>
    <x v="4"/>
    <d v="2024-01-01T00:00:00"/>
    <n v="13"/>
    <n v="0"/>
    <d v="2024-01-01T00:00:00"/>
    <x v="2"/>
    <x v="3"/>
    <s v="Toronto"/>
    <s v="Enterprise"/>
    <x v="0"/>
    <x v="11"/>
    <x v="5"/>
    <s v="Medium"/>
    <x v="572"/>
    <n v="856.1"/>
    <n v="901.48"/>
    <n v="5.6000000000000001E-2"/>
    <n v="0"/>
    <n v="17"/>
    <s v="ok"/>
    <n v="13"/>
    <n v="13"/>
    <n v="14466.95104"/>
    <n v="14553.7"/>
    <n v="-86.748960000000807"/>
    <n v="606.37750000000005"/>
    <n v="1193.865"/>
    <n v="1912.0450000000001"/>
    <s v="Medium"/>
    <n v="-5.9963540182134192E-3"/>
    <d v="2023-03-03T00:00:00"/>
    <x v="1"/>
  </r>
  <r>
    <s v="ORD-2023-340056"/>
    <d v="2023-04-26T00:00:00"/>
    <s v="Q2-2023"/>
    <x v="12"/>
    <d v="2023-04-26T00:00:00"/>
    <n v="0"/>
    <n v="1"/>
    <d v="2023-04-26T00:00:00"/>
    <x v="3"/>
    <x v="7"/>
    <s v="Marseille"/>
    <s v="Consumer"/>
    <x v="4"/>
    <x v="12"/>
    <x v="0"/>
    <s v="Low"/>
    <x v="573"/>
    <n v="81.489999999999995"/>
    <n v="113.08"/>
    <n v="0.121"/>
    <n v="0"/>
    <n v="5"/>
    <s v="sus"/>
    <n v="0"/>
    <n v="0"/>
    <n v="496.98660000000001"/>
    <n v="407.45"/>
    <n v="89.536600000000021"/>
    <n v="606.37750000000005"/>
    <n v="1193.865"/>
    <n v="1912.0450000000001"/>
    <s v="Medium"/>
    <n v="0.18015898215364362"/>
    <d v="2023-01-07T00:00:00"/>
    <x v="0"/>
  </r>
  <r>
    <s v="ORD-2025-281413"/>
    <d v="2025-08-03T00:00:00"/>
    <s v="Q3-2025"/>
    <x v="28"/>
    <d v="2025-08-16T00:00:00"/>
    <n v="13"/>
    <n v="0"/>
    <d v="2025-08-16T00:00:00"/>
    <x v="2"/>
    <x v="3"/>
    <s v="Montreal"/>
    <s v="Enterprise"/>
    <x v="3"/>
    <x v="7"/>
    <x v="2"/>
    <s v="Medium"/>
    <x v="574"/>
    <n v="698.66"/>
    <n v="868.62"/>
    <n v="7.1999999999999995E-2"/>
    <n v="0"/>
    <n v="15"/>
    <s v="ok"/>
    <n v="13"/>
    <n v="13"/>
    <n v="12091.190399999999"/>
    <n v="10479.9"/>
    <n v="1611.2903999999999"/>
    <n v="606.37750000000005"/>
    <n v="1193.865"/>
    <n v="1912.0450000000001"/>
    <s v="Low"/>
    <n v="0.13326151906432637"/>
    <d v="2023-01-02T00:00:00"/>
    <x v="0"/>
  </r>
  <r>
    <s v="ORD-2023-713614"/>
    <d v="2023-08-02T00:00:00"/>
    <s v="Q3-2023"/>
    <x v="25"/>
    <d v="2023-08-19T00:00:00"/>
    <n v="17"/>
    <n v="0"/>
    <d v="2023-08-19T00:00:00"/>
    <x v="2"/>
    <x v="3"/>
    <s v="Vancouver"/>
    <s v="Corporate"/>
    <x v="1"/>
    <x v="9"/>
    <x v="2"/>
    <s v="Low"/>
    <x v="575"/>
    <n v="175.38"/>
    <n v="347.9"/>
    <n v="7.1999999999999995E-2"/>
    <n v="0"/>
    <n v="43"/>
    <s v="ok"/>
    <n v="17"/>
    <n v="17"/>
    <n v="13882.6016"/>
    <n v="7541.34"/>
    <n v="6341.2615999999998"/>
    <n v="606.37750000000005"/>
    <n v="1193.865"/>
    <n v="1912.0450000000001"/>
    <s v="Medium"/>
    <n v="0.45677761148169804"/>
    <d v="2023-01-15T00:00:00"/>
    <x v="0"/>
  </r>
  <r>
    <s v="ORD-2023-173313"/>
    <d v="2023-06-15T00:00:00"/>
    <s v="Q2-2023"/>
    <x v="23"/>
    <d v="2023-07-12T00:00:00"/>
    <n v="27"/>
    <n v="0"/>
    <d v="2023-07-12T00:00:00"/>
    <x v="3"/>
    <x v="8"/>
    <s v="Manchester"/>
    <s v="Consumer"/>
    <x v="4"/>
    <x v="2"/>
    <x v="6"/>
    <s v="Medium"/>
    <x v="576"/>
    <n v="751.28"/>
    <n v="1111.8800000000001"/>
    <n v="0.13500000000000001"/>
    <n v="0"/>
    <n v="7"/>
    <s v="ok"/>
    <n v="27"/>
    <n v="27"/>
    <n v="6732.4334000000008"/>
    <n v="5258.96"/>
    <n v="1473.4734000000008"/>
    <n v="606.37750000000005"/>
    <n v="1193.865"/>
    <n v="1912.0450000000001"/>
    <s v="Low"/>
    <n v="0.21886193482433863"/>
    <d v="2023-01-29T00:00:00"/>
    <x v="0"/>
  </r>
  <r>
    <s v="ORD-2024-496601"/>
    <d v="2024-11-11T00:00:00"/>
    <s v="Q4-2024"/>
    <x v="18"/>
    <d v="2024-11-24T00:00:00"/>
    <n v="13"/>
    <n v="0"/>
    <d v="2024-11-24T00:00:00"/>
    <x v="3"/>
    <x v="8"/>
    <s v="London"/>
    <s v="Corporate"/>
    <x v="0"/>
    <x v="6"/>
    <x v="2"/>
    <s v="Low"/>
    <x v="577"/>
    <n v="164.53"/>
    <n v="327.72"/>
    <n v="6.7000000000000004E-2"/>
    <n v="0"/>
    <n v="14"/>
    <s v="ok"/>
    <n v="13"/>
    <n v="13"/>
    <n v="4280.6786400000001"/>
    <n v="2303.42"/>
    <n v="1977.25864"/>
    <n v="606.37750000000005"/>
    <n v="1193.865"/>
    <n v="1912.0450000000001"/>
    <s v="Medium"/>
    <n v="0.46190307805960412"/>
    <d v="2023-01-19T00:00:00"/>
    <x v="0"/>
  </r>
  <r>
    <s v="ORD-2025-155182"/>
    <d v="2025-07-11T00:00:00"/>
    <s v="Q3-2025"/>
    <x v="13"/>
    <d v="2025-08-03T00:00:00"/>
    <n v="23"/>
    <n v="0"/>
    <d v="2025-08-03T00:00:00"/>
    <x v="0"/>
    <x v="0"/>
    <s v="Nakuru"/>
    <s v="Small Business"/>
    <x v="0"/>
    <x v="0"/>
    <x v="3"/>
    <s v="Low"/>
    <x v="578"/>
    <n v="389.93"/>
    <n v="486.13"/>
    <n v="0.13200000000000001"/>
    <n v="0"/>
    <n v="17"/>
    <s v="ok"/>
    <n v="23"/>
    <n v="23"/>
    <n v="7173.3342799999991"/>
    <n v="6628.81"/>
    <n v="544.52427999999873"/>
    <n v="606.37750000000005"/>
    <n v="1193.865"/>
    <n v="1912.0450000000001"/>
    <s v="Low"/>
    <n v="7.5909508569562828E-2"/>
    <d v="2023-01-29T00:00:00"/>
    <x v="0"/>
  </r>
  <r>
    <s v="ORD-2023-244375"/>
    <d v="2023-06-03T00:00:00"/>
    <s v="Q2-2023"/>
    <x v="23"/>
    <d v="2023-07-01T00:00:00"/>
    <n v="28"/>
    <n v="0"/>
    <d v="2023-07-01T00:00:00"/>
    <x v="2"/>
    <x v="5"/>
    <s v="Brasília"/>
    <s v="Small Business"/>
    <x v="2"/>
    <x v="8"/>
    <x v="0"/>
    <s v="High"/>
    <x v="579"/>
    <n v="860.4"/>
    <n v="2066.6"/>
    <n v="0.01"/>
    <n v="0"/>
    <n v="3"/>
    <s v="ok"/>
    <n v="28"/>
    <n v="28"/>
    <n v="6137.8019999999988"/>
    <n v="2581.1999999999998"/>
    <n v="3556.601999999999"/>
    <n v="606.37750000000005"/>
    <n v="1193.865"/>
    <n v="1912.0450000000001"/>
    <s v="Low"/>
    <n v="0.57945857491004105"/>
    <d v="2023-03-03T00:00:00"/>
    <x v="1"/>
  </r>
  <r>
    <s v="ORD-2023-856322"/>
    <d v="2023-01-29T00:00:00"/>
    <s v="Q1-2023"/>
    <x v="5"/>
    <d v="2023-02-06T00:00:00"/>
    <n v="8"/>
    <n v="0"/>
    <d v="2023-02-06T00:00:00"/>
    <x v="2"/>
    <x v="5"/>
    <s v="Brasília"/>
    <s v="Corporate"/>
    <x v="2"/>
    <x v="14"/>
    <x v="5"/>
    <s v="Low"/>
    <x v="580"/>
    <n v="41.84"/>
    <n v="86.2"/>
    <n v="0.22600000000000001"/>
    <n v="1"/>
    <n v="27"/>
    <s v="ok"/>
    <n v="8"/>
    <n v="8"/>
    <n v="1801.4076000000002"/>
    <n v="1129.68"/>
    <n v="671.72760000000017"/>
    <n v="606.37750000000005"/>
    <n v="1193.865"/>
    <n v="1912.0450000000001"/>
    <s v="High"/>
    <n v="0.37289039970742882"/>
    <d v="2023-01-13T00:00:00"/>
    <x v="0"/>
  </r>
  <r>
    <s v="ORD-2024-594527"/>
    <d v="2024-09-06T00:00:00"/>
    <s v="Q3-2024"/>
    <x v="29"/>
    <d v="2024-09-04T00:00:00"/>
    <n v="14"/>
    <n v="0"/>
    <d v="2024-09-20T00:00:00"/>
    <x v="1"/>
    <x v="2"/>
    <s v="Osaka"/>
    <s v="Corporate"/>
    <x v="4"/>
    <x v="8"/>
    <x v="4"/>
    <s v="High"/>
    <x v="581"/>
    <n v="1368.17"/>
    <n v="2307.75"/>
    <n v="0.16300000000000001"/>
    <n v="0"/>
    <n v="21"/>
    <s v="sus"/>
    <n v="-2"/>
    <n v="2"/>
    <n v="40563.321749999996"/>
    <n v="28731.57"/>
    <n v="11831.751749999996"/>
    <n v="606.37750000000005"/>
    <n v="1193.865"/>
    <n v="1912.0450000000001"/>
    <s v="Low"/>
    <n v="0.29168596750831921"/>
    <d v="2023-01-02T00:00:00"/>
    <x v="0"/>
  </r>
  <r>
    <s v="ORD-2024-689872"/>
    <d v="2024-08-03T00:00:00"/>
    <s v="Q3-2024"/>
    <x v="21"/>
    <d v="2024-08-09T00:00:00"/>
    <n v="6"/>
    <n v="1"/>
    <d v="2024-08-09T00:00:00"/>
    <x v="0"/>
    <x v="0"/>
    <s v="Mombasa"/>
    <s v="Consumer"/>
    <x v="2"/>
    <x v="10"/>
    <x v="4"/>
    <s v="Medium"/>
    <x v="582"/>
    <n v="643.21"/>
    <n v="1112.81"/>
    <n v="0.14099999999999999"/>
    <n v="0"/>
    <n v="4"/>
    <s v="ok"/>
    <n v="6"/>
    <n v="6"/>
    <n v="3823.6151599999998"/>
    <n v="2572.84"/>
    <n v="1250.7751599999997"/>
    <n v="606.37750000000005"/>
    <n v="1193.865"/>
    <n v="1912.0450000000001"/>
    <s v="High"/>
    <n v="0.32711847496702562"/>
    <d v="2023-01-29T00:00:00"/>
    <x v="0"/>
  </r>
  <r>
    <s v="ORD-2025-246692"/>
    <d v="2025-04-17T00:00:00"/>
    <s v="Q2-2025"/>
    <x v="19"/>
    <d v="2025-04-17T00:00:00"/>
    <n v="0"/>
    <n v="1"/>
    <d v="2025-04-17T00:00:00"/>
    <x v="2"/>
    <x v="5"/>
    <s v="São Paulo"/>
    <s v="Corporate"/>
    <x v="3"/>
    <x v="4"/>
    <x v="3"/>
    <s v="Medium"/>
    <x v="583"/>
    <n v="719.41"/>
    <n v="1125.99"/>
    <n v="4.1000000000000002E-2"/>
    <n v="0"/>
    <n v="21"/>
    <s v="sus"/>
    <n v="0"/>
    <n v="0"/>
    <n v="22676.312610000001"/>
    <n v="15107.609999999999"/>
    <n v="7568.7026100000021"/>
    <n v="606.37750000000005"/>
    <n v="1193.865"/>
    <n v="1912.0450000000001"/>
    <s v="Medium"/>
    <n v="0.33377131194876403"/>
    <d v="2023-01-12T00:00:00"/>
    <x v="0"/>
  </r>
  <r>
    <s v="ORD-2023-378676"/>
    <d v="2023-05-03T00:00:00"/>
    <s v="Q2-2023"/>
    <x v="15"/>
    <d v="2023-05-16T00:00:00"/>
    <n v="13"/>
    <n v="0"/>
    <d v="2023-05-16T00:00:00"/>
    <x v="2"/>
    <x v="10"/>
    <s v="New York"/>
    <s v="Corporate"/>
    <x v="2"/>
    <x v="4"/>
    <x v="3"/>
    <s v="Low"/>
    <x v="584"/>
    <n v="64.5"/>
    <n v="123.62"/>
    <n v="0"/>
    <n v="0"/>
    <n v="3"/>
    <s v="ok"/>
    <n v="13"/>
    <n v="13"/>
    <n v="370.86"/>
    <n v="193.5"/>
    <n v="177.36"/>
    <n v="606.37750000000005"/>
    <n v="1193.865"/>
    <n v="1912.0450000000001"/>
    <s v="Medium"/>
    <n v="0.47823976702798904"/>
    <d v="2023-01-22T00:00:00"/>
    <x v="0"/>
  </r>
  <r>
    <s v="ORD-2024-243988"/>
    <d v="2024-03-13T00:00:00"/>
    <s v="Q1-2024"/>
    <x v="0"/>
    <d v="2024-04-06T00:00:00"/>
    <n v="24"/>
    <n v="0"/>
    <d v="2024-04-06T00:00:00"/>
    <x v="0"/>
    <x v="1"/>
    <s v="Abuja"/>
    <s v="Consumer"/>
    <x v="3"/>
    <x v="4"/>
    <x v="0"/>
    <s v="High"/>
    <x v="585"/>
    <n v="1232.78"/>
    <n v="1731.75"/>
    <n v="9.2999999999999999E-2"/>
    <n v="0"/>
    <n v="16"/>
    <s v="ok"/>
    <n v="24"/>
    <n v="24"/>
    <n v="25131.155999999999"/>
    <n v="19724.48"/>
    <n v="5406.6759999999995"/>
    <n v="606.37750000000005"/>
    <n v="1193.865"/>
    <n v="1912.0450000000001"/>
    <s v="Low"/>
    <n v="0.21513837246484005"/>
    <d v="2023-01-10T00:00:00"/>
    <x v="0"/>
  </r>
  <r>
    <s v="ORD-2024-572312"/>
    <d v="2024-06-16T00:00:00"/>
    <s v="Q2-2024"/>
    <x v="17"/>
    <d v="2024-06-21T00:00:00"/>
    <n v="5"/>
    <n v="1"/>
    <d v="2024-06-21T00:00:00"/>
    <x v="1"/>
    <x v="2"/>
    <s v="Tokyo"/>
    <s v="Small Business"/>
    <x v="3"/>
    <x v="9"/>
    <x v="3"/>
    <s v="High"/>
    <x v="586"/>
    <n v="1367.13"/>
    <n v="3062.01"/>
    <n v="0.10299999999999999"/>
    <n v="0"/>
    <n v="25"/>
    <s v="ok"/>
    <n v="5"/>
    <n v="5"/>
    <n v="68665.574250000005"/>
    <n v="34178.25"/>
    <n v="34487.324250000005"/>
    <n v="606.37750000000005"/>
    <n v="1193.865"/>
    <n v="1912.0450000000001"/>
    <s v="Medium"/>
    <n v="0.50225057645971705"/>
    <d v="2023-03-03T00:00:00"/>
    <x v="1"/>
  </r>
  <r>
    <s v="ORD-2025-281062"/>
    <d v="2025-02-15T00:00:00"/>
    <s v="Q1-2025"/>
    <x v="26"/>
    <d v="2025-02-27T00:00:00"/>
    <n v="12"/>
    <n v="0"/>
    <d v="2025-02-27T00:00:00"/>
    <x v="3"/>
    <x v="7"/>
    <s v="Lyon"/>
    <s v="Non-Profit"/>
    <x v="4"/>
    <x v="11"/>
    <x v="6"/>
    <s v="High"/>
    <x v="587"/>
    <n v="1027.26"/>
    <n v="2200.41"/>
    <n v="8.7999999999999995E-2"/>
    <n v="0"/>
    <n v="6"/>
    <s v="ok"/>
    <n v="12"/>
    <n v="12"/>
    <n v="12040.64352"/>
    <n v="6163.5599999999995"/>
    <n v="5877.0835200000001"/>
    <n v="606.37750000000005"/>
    <n v="1193.865"/>
    <n v="1912.0450000000001"/>
    <s v="High"/>
    <n v="0.48810377204822358"/>
    <d v="2023-01-07T00:00:00"/>
    <x v="0"/>
  </r>
  <r>
    <s v="ORD-2023-727290"/>
    <d v="2023-04-03T00:00:00"/>
    <s v="Q2-2023"/>
    <x v="12"/>
    <d v="2023-04-16T00:00:00"/>
    <n v="13"/>
    <n v="0"/>
    <d v="2023-04-16T00:00:00"/>
    <x v="3"/>
    <x v="7"/>
    <s v="Marseille"/>
    <s v="Non-Profit"/>
    <x v="2"/>
    <x v="12"/>
    <x v="6"/>
    <s v="Low"/>
    <x v="588"/>
    <n v="790.54"/>
    <n v="601.49"/>
    <n v="0"/>
    <n v="0"/>
    <n v="15"/>
    <s v="ok"/>
    <n v="13"/>
    <n v="13"/>
    <n v="9022.35"/>
    <n v="11858.099999999999"/>
    <n v="-2835.7499999999982"/>
    <n v="606.37750000000005"/>
    <n v="1193.865"/>
    <n v="1912.0450000000001"/>
    <s v="High"/>
    <n v="-0.31430281467688553"/>
    <d v="2023-01-22T00:00:00"/>
    <x v="0"/>
  </r>
  <r>
    <s v="ORD-2025-993993"/>
    <d v="2025-08-30T00:00:00"/>
    <s v="Q3-2025"/>
    <x v="28"/>
    <d v="2025-09-22T00:00:00"/>
    <n v="23"/>
    <n v="0"/>
    <d v="2025-09-22T00:00:00"/>
    <x v="3"/>
    <x v="7"/>
    <s v="Marseille"/>
    <s v="Corporate"/>
    <x v="4"/>
    <x v="6"/>
    <x v="0"/>
    <s v="Medium"/>
    <x v="589"/>
    <n v="663.9"/>
    <n v="947.77"/>
    <n v="0.17399999999999999"/>
    <n v="0"/>
    <n v="15"/>
    <s v="ok"/>
    <n v="23"/>
    <n v="23"/>
    <n v="11742.8703"/>
    <n v="9958.5"/>
    <n v="1784.3703000000005"/>
    <n v="606.37750000000005"/>
    <n v="1193.865"/>
    <n v="1912.0450000000001"/>
    <s v="Low"/>
    <n v="0.1519535049280073"/>
    <d v="2023-01-07T00:00:00"/>
    <x v="0"/>
  </r>
  <r>
    <s v="ORD-2023-619493"/>
    <d v="2023-02-27T00:00:00"/>
    <s v="Q1-2023"/>
    <x v="2"/>
    <d v="2023-02-26T00:00:00"/>
    <n v="14"/>
    <n v="0"/>
    <d v="2023-03-13T00:00:00"/>
    <x v="2"/>
    <x v="10"/>
    <s v="San Francisco"/>
    <s v="Non-Profit"/>
    <x v="1"/>
    <x v="4"/>
    <x v="2"/>
    <s v="High"/>
    <x v="590"/>
    <n v="1015.91"/>
    <n v="2331.48"/>
    <n v="0.14599999999999999"/>
    <n v="0"/>
    <n v="26"/>
    <s v="sus"/>
    <n v="-1"/>
    <n v="1"/>
    <n v="51768.181920000003"/>
    <n v="26413.66"/>
    <n v="25354.521920000003"/>
    <n v="606.37750000000005"/>
    <n v="1193.865"/>
    <n v="1912.0450000000001"/>
    <s v="Medium"/>
    <n v="0.48977037592669626"/>
    <d v="2023-03-03T00:00:00"/>
    <x v="1"/>
  </r>
  <r>
    <s v="ORD-2024-947056"/>
    <d v="2024-07-31T00:00:00"/>
    <s v="Q3-2024"/>
    <x v="14"/>
    <d v="2024-08-15T00:00:00"/>
    <n v="15"/>
    <n v="0"/>
    <d v="2024-08-15T00:00:00"/>
    <x v="1"/>
    <x v="2"/>
    <s v="Tokyo"/>
    <s v="Corporate"/>
    <x v="2"/>
    <x v="9"/>
    <x v="5"/>
    <s v="Medium"/>
    <x v="591"/>
    <n v="1252.52"/>
    <n v="1417.24"/>
    <n v="0.192"/>
    <n v="0"/>
    <n v="5"/>
    <s v="ok"/>
    <n v="15"/>
    <n v="15"/>
    <n v="5725.6496000000006"/>
    <n v="6262.6"/>
    <n v="-536.95039999999972"/>
    <n v="606.37750000000005"/>
    <n v="1193.865"/>
    <n v="1912.0450000000001"/>
    <s v="High"/>
    <n v="-9.3779821943696953E-2"/>
    <d v="2023-01-20T00:00:00"/>
    <x v="0"/>
  </r>
  <r>
    <s v="ORD-2025-856556"/>
    <d v="2025-06-15T00:00:00"/>
    <s v="Q2-2025"/>
    <x v="16"/>
    <d v="2025-07-12T00:00:00"/>
    <n v="27"/>
    <n v="0"/>
    <d v="2025-07-12T00:00:00"/>
    <x v="3"/>
    <x v="7"/>
    <s v="Marseille"/>
    <s v="Consumer"/>
    <x v="4"/>
    <x v="0"/>
    <x v="6"/>
    <s v="Low"/>
    <x v="592"/>
    <n v="318.83"/>
    <n v="699.5"/>
    <n v="0.08"/>
    <n v="0"/>
    <n v="13"/>
    <s v="ok"/>
    <n v="27"/>
    <n v="27"/>
    <n v="8366.02"/>
    <n v="4144.79"/>
    <n v="4221.2300000000005"/>
    <n v="606.37750000000005"/>
    <n v="1193.865"/>
    <n v="1912.0450000000001"/>
    <s v="Medium"/>
    <n v="0.50456848059172699"/>
    <d v="2023-01-15T00:00:00"/>
    <x v="0"/>
  </r>
  <r>
    <s v="ORD-2024-442776"/>
    <d v="2024-06-30T00:00:00"/>
    <s v="Q2-2024"/>
    <x v="17"/>
    <d v="2024-07-21T00:00:00"/>
    <n v="21"/>
    <n v="0"/>
    <d v="2024-07-21T00:00:00"/>
    <x v="0"/>
    <x v="0"/>
    <s v="Kisumu"/>
    <s v="Small Business"/>
    <x v="0"/>
    <x v="11"/>
    <x v="4"/>
    <s v="High"/>
    <x v="593"/>
    <n v="753.43"/>
    <n v="1787.2"/>
    <n v="7.2999999999999995E-2"/>
    <n v="0"/>
    <n v="9"/>
    <s v="ok"/>
    <n v="21"/>
    <n v="21"/>
    <n v="14910.609600000002"/>
    <n v="6780.87"/>
    <n v="8129.7396000000017"/>
    <n v="606.37750000000005"/>
    <n v="1193.865"/>
    <n v="1912.0450000000001"/>
    <s v="Medium"/>
    <n v="0.54523187301476939"/>
    <d v="2023-01-29T00:00:00"/>
    <x v="0"/>
  </r>
  <r>
    <s v="ORD-2025-705398"/>
    <d v="2025-02-17T00:00:00"/>
    <s v="Q1-2025"/>
    <x v="26"/>
    <d v="2025-02-15T00:00:00"/>
    <n v="14"/>
    <n v="0"/>
    <d v="2025-03-03T00:00:00"/>
    <x v="2"/>
    <x v="3"/>
    <s v="Toronto"/>
    <s v="Small Business"/>
    <x v="0"/>
    <x v="14"/>
    <x v="0"/>
    <s v="High"/>
    <x v="594"/>
    <n v="1133.47"/>
    <n v="1698.75"/>
    <n v="4.2999999999999997E-2"/>
    <n v="0"/>
    <n v="5"/>
    <s v="sus"/>
    <n v="-2"/>
    <n v="2"/>
    <n v="8128.5187499999993"/>
    <n v="5667.35"/>
    <n v="2461.1687499999989"/>
    <n v="606.37750000000005"/>
    <n v="1193.865"/>
    <n v="1912.0450000000001"/>
    <s v="Medium"/>
    <n v="0.30278194904821976"/>
    <d v="2023-01-22T00:00:00"/>
    <x v="0"/>
  </r>
  <r>
    <s v="ORD-2023-689428"/>
    <d v="2023-01-07T00:00:00"/>
    <s v="Q1-2023"/>
    <x v="5"/>
    <d v="2023-01-30T00:00:00"/>
    <n v="23"/>
    <n v="0"/>
    <d v="2023-01-30T00:00:00"/>
    <x v="0"/>
    <x v="11"/>
    <s v="Cape Town"/>
    <s v="Consumer"/>
    <x v="1"/>
    <x v="8"/>
    <x v="1"/>
    <s v="Low"/>
    <x v="595"/>
    <n v="299.02"/>
    <n v="724.7"/>
    <n v="0.14000000000000001"/>
    <n v="0"/>
    <n v="5"/>
    <s v="ok"/>
    <n v="23"/>
    <n v="23"/>
    <n v="3116.21"/>
    <n v="1495.1"/>
    <n v="1621.1100000000001"/>
    <n v="606.37750000000005"/>
    <n v="1193.865"/>
    <n v="1912.0450000000001"/>
    <s v="Medium"/>
    <n v="0.52021847051386139"/>
    <d v="2023-01-22T00:00:00"/>
    <x v="0"/>
  </r>
  <r>
    <s v="ORD-2025-683247"/>
    <d v="2025-03-10T00:00:00"/>
    <s v="Q1-2025"/>
    <x v="3"/>
    <d v="2025-04-04T00:00:00"/>
    <n v="25"/>
    <n v="0"/>
    <d v="2025-04-04T00:00:00"/>
    <x v="1"/>
    <x v="2"/>
    <s v="Osaka"/>
    <s v="Corporate"/>
    <x v="4"/>
    <x v="10"/>
    <x v="1"/>
    <s v="Medium"/>
    <x v="596"/>
    <n v="783.72"/>
    <n v="1355.94"/>
    <n v="0.187"/>
    <n v="0"/>
    <n v="4"/>
    <s v="ok"/>
    <n v="25"/>
    <n v="25"/>
    <n v="4409.5168800000001"/>
    <n v="3134.88"/>
    <n v="1274.63688"/>
    <n v="606.37750000000005"/>
    <n v="1193.865"/>
    <n v="1912.0450000000001"/>
    <s v="Medium"/>
    <n v="0.28906497348525856"/>
    <d v="2023-01-20T00:00:00"/>
    <x v="0"/>
  </r>
  <r>
    <s v="ORD-2024-585443"/>
    <d v="2024-08-17T00:00:00"/>
    <s v="Q3-2024"/>
    <x v="21"/>
    <d v="2024-08-15T00:00:00"/>
    <n v="14"/>
    <n v="0"/>
    <d v="2024-08-31T00:00:00"/>
    <x v="2"/>
    <x v="5"/>
    <s v="Rio de Janeiro"/>
    <s v="Consumer"/>
    <x v="4"/>
    <x v="12"/>
    <x v="5"/>
    <s v="Low"/>
    <x v="597"/>
    <n v="165.3"/>
    <n v="275.07"/>
    <n v="0.13300000000000001"/>
    <n v="0"/>
    <n v="25"/>
    <s v="sus"/>
    <n v="-2"/>
    <n v="2"/>
    <n v="5962.1422499999999"/>
    <n v="4132.5"/>
    <n v="1829.6422499999999"/>
    <n v="606.37750000000005"/>
    <n v="1193.865"/>
    <n v="1912.0450000000001"/>
    <s v="Medium"/>
    <n v="0.30687665159280625"/>
    <d v="2023-01-10T00:00:00"/>
    <x v="0"/>
  </r>
  <r>
    <s v="ORD-2024-907733"/>
    <d v="2024-03-09T00:00:00"/>
    <s v="Q1-2024"/>
    <x v="0"/>
    <d v="2024-03-22T00:00:00"/>
    <n v="13"/>
    <n v="0"/>
    <d v="2024-03-22T00:00:00"/>
    <x v="3"/>
    <x v="8"/>
    <s v="Manchester"/>
    <s v="Consumer"/>
    <x v="1"/>
    <x v="6"/>
    <x v="4"/>
    <s v="High"/>
    <x v="598"/>
    <n v="985.45"/>
    <n v="1802.44"/>
    <n v="8.9999999999999993E-3"/>
    <n v="0"/>
    <n v="19"/>
    <s v="ok"/>
    <n v="13"/>
    <n v="13"/>
    <n v="33938.142760000002"/>
    <n v="18723.55"/>
    <n v="15214.592760000003"/>
    <n v="606.37750000000005"/>
    <n v="1193.865"/>
    <n v="1912.0450000000001"/>
    <s v="Low"/>
    <n v="0.44830363486867486"/>
    <d v="2023-01-12T00:00:00"/>
    <x v="0"/>
  </r>
  <r>
    <s v="ORD-2024-550400"/>
    <d v="2024-08-19T00:00:00"/>
    <s v="Q3-2024"/>
    <x v="21"/>
    <d v="2024-09-02T00:00:00"/>
    <n v="14"/>
    <n v="0"/>
    <d v="2024-09-02T00:00:00"/>
    <x v="2"/>
    <x v="3"/>
    <s v="Toronto"/>
    <s v="Consumer"/>
    <x v="3"/>
    <x v="0"/>
    <x v="1"/>
    <s v="Medium"/>
    <x v="599"/>
    <n v="1337.01"/>
    <n v="1269.78"/>
    <n v="0.16"/>
    <n v="0"/>
    <n v="7"/>
    <s v="ok"/>
    <n v="14"/>
    <n v="14"/>
    <n v="7466.3063999999986"/>
    <n v="9359.07"/>
    <n v="-1892.7636000000011"/>
    <n v="606.37750000000005"/>
    <n v="1193.865"/>
    <n v="1912.0450000000001"/>
    <s v="Medium"/>
    <n v="-0.25350735672996244"/>
    <d v="2023-01-20T00:00:00"/>
    <x v="0"/>
  </r>
  <r>
    <s v="ORD-2025-189846"/>
    <d v="2025-08-11T00:00:00"/>
    <s v="Q3-2025"/>
    <x v="28"/>
    <d v="2025-08-28T00:00:00"/>
    <n v="17"/>
    <n v="0"/>
    <d v="2025-08-28T00:00:00"/>
    <x v="3"/>
    <x v="7"/>
    <s v="Paris"/>
    <s v="Education"/>
    <x v="1"/>
    <x v="9"/>
    <x v="2"/>
    <s v="Low"/>
    <x v="600"/>
    <n v="416.16"/>
    <n v="571.9"/>
    <n v="7.0999999999999994E-2"/>
    <n v="0"/>
    <n v="2"/>
    <s v="ok"/>
    <n v="17"/>
    <n v="17"/>
    <n v="1062.5902000000001"/>
    <n v="832.32"/>
    <n v="230.27020000000005"/>
    <n v="606.37750000000005"/>
    <n v="1193.865"/>
    <n v="1912.0450000000001"/>
    <s v="Medium"/>
    <n v="0.21670649701079497"/>
    <d v="2023-01-10T00:00:00"/>
    <x v="0"/>
  </r>
  <r>
    <s v="ORD-2025-752192"/>
    <d v="2025-05-16T00:00:00"/>
    <s v="Q2-2025"/>
    <x v="8"/>
    <d v="2025-05-18T00:00:00"/>
    <n v="2"/>
    <n v="1"/>
    <d v="2025-05-18T00:00:00"/>
    <x v="1"/>
    <x v="2"/>
    <s v="Tokyo"/>
    <s v="Enterprise"/>
    <x v="0"/>
    <x v="1"/>
    <x v="1"/>
    <s v="High"/>
    <x v="601"/>
    <n v="1144.3800000000001"/>
    <n v="2755.04"/>
    <n v="0.15"/>
    <n v="0"/>
    <n v="17"/>
    <s v="ok"/>
    <n v="2"/>
    <n v="2"/>
    <n v="39810.328000000001"/>
    <n v="19454.460000000003"/>
    <n v="20355.867999999999"/>
    <n v="606.37750000000005"/>
    <n v="1193.865"/>
    <n v="1912.0450000000001"/>
    <s v="Low"/>
    <n v="0.51132128326096682"/>
    <d v="2023-01-29T00:00:00"/>
    <x v="0"/>
  </r>
  <r>
    <s v="ORD-2023-294716"/>
    <d v="2023-04-10T00:00:00"/>
    <s v="Q2-2023"/>
    <x v="12"/>
    <d v="2023-04-25T00:00:00"/>
    <n v="15"/>
    <n v="0"/>
    <d v="2023-04-25T00:00:00"/>
    <x v="3"/>
    <x v="8"/>
    <s v="London"/>
    <s v="Small Business"/>
    <x v="0"/>
    <x v="14"/>
    <x v="1"/>
    <s v="Medium"/>
    <x v="602"/>
    <n v="405.66"/>
    <n v="962.51"/>
    <n v="0.19"/>
    <n v="0"/>
    <n v="7"/>
    <s v="ok"/>
    <n v="15"/>
    <n v="15"/>
    <n v="5457.4317000000001"/>
    <n v="2839.6200000000003"/>
    <n v="2617.8116999999997"/>
    <n v="606.37750000000005"/>
    <n v="1193.865"/>
    <n v="1912.0450000000001"/>
    <s v="High"/>
    <n v="0.47967832561239376"/>
    <d v="2023-01-19T00:00:00"/>
    <x v="0"/>
  </r>
  <r>
    <s v="ORD-2023-552115"/>
    <d v="2023-09-17T00:00:00"/>
    <s v="Q3-2023"/>
    <x v="27"/>
    <d v="2023-10-02T00:00:00"/>
    <n v="15"/>
    <n v="0"/>
    <d v="2023-10-02T00:00:00"/>
    <x v="2"/>
    <x v="5"/>
    <s v="Rio de Janeiro"/>
    <s v="Small Business"/>
    <x v="0"/>
    <x v="5"/>
    <x v="4"/>
    <s v="Low"/>
    <x v="603"/>
    <n v="689.33"/>
    <n v="668.27"/>
    <n v="0.186"/>
    <n v="0"/>
    <n v="13"/>
    <s v="ok"/>
    <n v="15"/>
    <n v="15"/>
    <n v="7071.6331400000008"/>
    <n v="8961.2900000000009"/>
    <n v="-1889.6568600000001"/>
    <n v="606.37750000000005"/>
    <n v="1193.865"/>
    <n v="1912.0450000000001"/>
    <s v="Medium"/>
    <n v="-0.26721647214861033"/>
    <d v="2023-01-22T00:00:00"/>
    <x v="0"/>
  </r>
  <r>
    <s v="ORD-2023-107265"/>
    <d v="2023-04-22T00:00:00"/>
    <s v="Q2-2023"/>
    <x v="12"/>
    <d v="2023-05-14T00:00:00"/>
    <n v="22"/>
    <n v="0"/>
    <d v="2023-05-14T00:00:00"/>
    <x v="1"/>
    <x v="2"/>
    <s v="Nagoya"/>
    <s v="Enterprise"/>
    <x v="0"/>
    <x v="8"/>
    <x v="6"/>
    <s v="Medium"/>
    <x v="604"/>
    <n v="1209.22"/>
    <n v="1404.33"/>
    <n v="0.10299999999999999"/>
    <n v="0"/>
    <n v="11"/>
    <s v="ok"/>
    <n v="22"/>
    <n v="22"/>
    <n v="13856.52411"/>
    <n v="13301.42"/>
    <n v="555.10411000000022"/>
    <n v="606.37750000000005"/>
    <n v="1193.865"/>
    <n v="1912.0450000000001"/>
    <s v="Medium"/>
    <n v="4.0060848275751328E-2"/>
    <d v="2023-01-19T00:00:00"/>
    <x v="0"/>
  </r>
  <r>
    <s v="ORD-2025-262434"/>
    <d v="2025-06-19T00:00:00"/>
    <s v="Q2-2025"/>
    <x v="16"/>
    <d v="2025-06-21T00:00:00"/>
    <n v="2"/>
    <n v="1"/>
    <d v="2025-06-21T00:00:00"/>
    <x v="0"/>
    <x v="11"/>
    <s v="Johannesburg"/>
    <s v="Small Business"/>
    <x v="5"/>
    <x v="10"/>
    <x v="3"/>
    <s v="High"/>
    <x v="605"/>
    <n v="1466.27"/>
    <n v="3589.89"/>
    <n v="9.7000000000000003E-2"/>
    <n v="0"/>
    <n v="9"/>
    <s v="ok"/>
    <n v="2"/>
    <n v="2"/>
    <n v="29175.036029999999"/>
    <n v="13196.43"/>
    <n v="15978.606029999999"/>
    <n v="606.37750000000005"/>
    <n v="1193.865"/>
    <n v="1912.0450000000001"/>
    <s v="Medium"/>
    <n v="0.54768076425234147"/>
    <d v="2023-01-22T00:00:00"/>
    <x v="0"/>
  </r>
  <r>
    <s v="ORD-2024-266562"/>
    <d v="2024-11-27T00:00:00"/>
    <s v="Q4-2024"/>
    <x v="18"/>
    <d v="2024-12-24T00:00:00"/>
    <n v="27"/>
    <n v="0"/>
    <d v="2024-12-24T00:00:00"/>
    <x v="0"/>
    <x v="0"/>
    <s v="Mombasa"/>
    <s v="Corporate"/>
    <x v="3"/>
    <x v="5"/>
    <x v="1"/>
    <s v="Low"/>
    <x v="606"/>
    <n v="143.33000000000001"/>
    <n v="233.51"/>
    <n v="0.16300000000000001"/>
    <n v="0"/>
    <n v="14"/>
    <s v="ok"/>
    <n v="27"/>
    <n v="27"/>
    <n v="2736.27018"/>
    <n v="2006.6200000000001"/>
    <n v="729.65017999999986"/>
    <n v="606.37750000000005"/>
    <n v="1193.865"/>
    <n v="1912.0450000000001"/>
    <s v="High"/>
    <n v="0.26665867476580835"/>
    <d v="2023-03-03T00:00:00"/>
    <x v="1"/>
  </r>
  <r>
    <s v="ORD-2024-838925"/>
    <d v="2024-01-28T00:00:00"/>
    <s v="Q1-2024"/>
    <x v="9"/>
    <d v="2024-01-27T00:00:00"/>
    <n v="14"/>
    <n v="0"/>
    <d v="2024-02-11T00:00:00"/>
    <x v="0"/>
    <x v="11"/>
    <s v="Cape Town"/>
    <s v="Enterprise"/>
    <x v="4"/>
    <x v="7"/>
    <x v="0"/>
    <s v="Low"/>
    <x v="607"/>
    <n v="109.75"/>
    <n v="124.25"/>
    <n v="0.12"/>
    <n v="0"/>
    <n v="19"/>
    <s v="sus"/>
    <n v="-1"/>
    <n v="1"/>
    <n v="2077.46"/>
    <n v="2085.25"/>
    <n v="-7.7899999999999636"/>
    <n v="606.37750000000005"/>
    <n v="1193.865"/>
    <n v="1912.0450000000001"/>
    <s v="Low"/>
    <n v="-3.7497713554051405E-3"/>
    <d v="2023-03-03T00:00:00"/>
    <x v="1"/>
  </r>
  <r>
    <s v="ORD-2023-664790"/>
    <d v="2023-04-16T00:00:00"/>
    <s v="Q2-2023"/>
    <x v="12"/>
    <d v="2023-04-23T00:00:00"/>
    <n v="7"/>
    <n v="1"/>
    <d v="2023-04-23T00:00:00"/>
    <x v="2"/>
    <x v="10"/>
    <s v="Austin"/>
    <s v="Corporate"/>
    <x v="3"/>
    <x v="7"/>
    <x v="1"/>
    <s v="Medium"/>
    <x v="608"/>
    <n v="1099.1500000000001"/>
    <n v="1431.37"/>
    <n v="0.104"/>
    <n v="0"/>
    <n v="8"/>
    <s v="ok"/>
    <n v="7"/>
    <n v="7"/>
    <n v="10260.060159999999"/>
    <n v="8793.2000000000007"/>
    <n v="1466.8601599999984"/>
    <n v="606.37750000000005"/>
    <n v="1193.865"/>
    <n v="1912.0450000000001"/>
    <s v="Low"/>
    <n v="0.14296798821109433"/>
    <d v="2023-01-10T00:00:00"/>
    <x v="0"/>
  </r>
  <r>
    <s v="ORD-2024-331408"/>
    <d v="2024-02-01T00:00:00"/>
    <s v="Q1-2024"/>
    <x v="31"/>
    <d v="2024-02-01T00:00:00"/>
    <n v="0"/>
    <n v="1"/>
    <d v="2024-02-01T00:00:00"/>
    <x v="2"/>
    <x v="10"/>
    <s v="Austin"/>
    <s v="Consumer"/>
    <x v="3"/>
    <x v="10"/>
    <x v="1"/>
    <s v="Medium"/>
    <x v="609"/>
    <n v="714.43"/>
    <n v="1595.52"/>
    <n v="0.19400000000000001"/>
    <n v="0"/>
    <n v="14"/>
    <s v="sus"/>
    <n v="0"/>
    <n v="0"/>
    <n v="18003.847679999999"/>
    <n v="10002.019999999999"/>
    <n v="8001.8276800000003"/>
    <n v="606.37750000000005"/>
    <n v="1193.865"/>
    <n v="1912.0450000000001"/>
    <s v="Medium"/>
    <n v="0.44445097638151093"/>
    <d v="2023-01-22T00:00:00"/>
    <x v="0"/>
  </r>
  <r>
    <s v="ORD-2024-741404"/>
    <d v="2024-10-19T00:00:00"/>
    <s v="Q4-2024"/>
    <x v="1"/>
    <d v="2024-11-06T00:00:00"/>
    <n v="18"/>
    <n v="0"/>
    <d v="2024-11-06T00:00:00"/>
    <x v="2"/>
    <x v="10"/>
    <s v="Chicago"/>
    <s v="Education"/>
    <x v="5"/>
    <x v="0"/>
    <x v="5"/>
    <s v="Medium"/>
    <x v="610"/>
    <n v="942.02"/>
    <n v="1028.46"/>
    <n v="0"/>
    <n v="0"/>
    <n v="9"/>
    <s v="ok"/>
    <n v="18"/>
    <n v="18"/>
    <n v="9256.14"/>
    <n v="8478.18"/>
    <n v="777.95999999999913"/>
    <n v="606.37750000000005"/>
    <n v="1193.865"/>
    <n v="1912.0450000000001"/>
    <s v="Medium"/>
    <n v="8.4047994088248354E-2"/>
    <d v="2023-01-29T00:00:00"/>
    <x v="0"/>
  </r>
  <r>
    <s v="ORD-2024-341535"/>
    <d v="2024-06-25T00:00:00"/>
    <s v="Q2-2024"/>
    <x v="17"/>
    <d v="2024-06-30T00:00:00"/>
    <n v="5"/>
    <n v="1"/>
    <d v="2024-06-30T00:00:00"/>
    <x v="0"/>
    <x v="0"/>
    <s v="Kisumu"/>
    <s v="Education"/>
    <x v="4"/>
    <x v="12"/>
    <x v="2"/>
    <s v="High"/>
    <x v="611"/>
    <n v="1323.55"/>
    <n v="3230.35"/>
    <n v="2.1999999999999999E-2"/>
    <n v="0"/>
    <n v="26"/>
    <s v="ok"/>
    <n v="5"/>
    <n v="5"/>
    <n v="82141.339799999987"/>
    <n v="34412.299999999996"/>
    <n v="47729.039799999991"/>
    <n v="606.37750000000005"/>
    <n v="1193.865"/>
    <n v="1912.0450000000001"/>
    <s v="Medium"/>
    <n v="0.58105991351263542"/>
    <d v="2023-01-10T00:00:00"/>
    <x v="0"/>
  </r>
  <r>
    <s v="ORD-2023-451931"/>
    <d v="2023-07-30T00:00:00"/>
    <s v="Q3-2023"/>
    <x v="24"/>
    <d v="2023-08-19T00:00:00"/>
    <n v="20"/>
    <n v="0"/>
    <d v="2023-08-19T00:00:00"/>
    <x v="3"/>
    <x v="7"/>
    <s v="Paris"/>
    <s v="Enterprise"/>
    <x v="2"/>
    <x v="3"/>
    <x v="2"/>
    <s v="High"/>
    <x v="612"/>
    <n v="1418.51"/>
    <n v="2789.61"/>
    <n v="0.17100000000000001"/>
    <n v="0"/>
    <n v="8"/>
    <s v="ok"/>
    <n v="20"/>
    <n v="20"/>
    <n v="18500.693520000001"/>
    <n v="11348.08"/>
    <n v="7152.6135200000008"/>
    <n v="606.37750000000005"/>
    <n v="1193.865"/>
    <n v="1912.0450000000001"/>
    <s v="High"/>
    <n v="0.38661326464695689"/>
    <d v="2023-01-10T00:00:00"/>
    <x v="0"/>
  </r>
  <r>
    <s v="ORD-2025-532859"/>
    <d v="2025-03-11T00:00:00"/>
    <s v="Q1-2025"/>
    <x v="3"/>
    <d v="2025-03-27T00:00:00"/>
    <n v="16"/>
    <n v="0"/>
    <d v="2025-03-27T00:00:00"/>
    <x v="1"/>
    <x v="2"/>
    <s v="Tokyo"/>
    <s v="Enterprise"/>
    <x v="3"/>
    <x v="5"/>
    <x v="1"/>
    <s v="High"/>
    <x v="613"/>
    <n v="1317.58"/>
    <n v="1897.74"/>
    <n v="8.1000000000000003E-2"/>
    <n v="0"/>
    <n v="6"/>
    <s v="ok"/>
    <n v="16"/>
    <n v="16"/>
    <n v="10464.138360000001"/>
    <n v="7905.48"/>
    <n v="2558.6583600000013"/>
    <n v="606.37750000000005"/>
    <n v="1193.865"/>
    <n v="1912.0450000000001"/>
    <s v="High"/>
    <n v="0.24451687009230266"/>
    <d v="2023-01-02T00:00:00"/>
    <x v="0"/>
  </r>
  <r>
    <s v="ORD-2023-502205"/>
    <d v="2023-10-09T00:00:00"/>
    <s v="Q4-2023"/>
    <x v="32"/>
    <d v="2023-10-11T00:00:00"/>
    <n v="2"/>
    <n v="1"/>
    <d v="2023-10-11T00:00:00"/>
    <x v="0"/>
    <x v="1"/>
    <s v="Port Harcourt"/>
    <s v="Education"/>
    <x v="2"/>
    <x v="11"/>
    <x v="2"/>
    <s v="Medium"/>
    <x v="614"/>
    <n v="391.16"/>
    <n v="902.47"/>
    <n v="4.0000000000000001E-3"/>
    <n v="0"/>
    <n v="12"/>
    <s v="ok"/>
    <n v="2"/>
    <n v="2"/>
    <n v="10786.32144"/>
    <n v="4693.92"/>
    <n v="6092.4014399999996"/>
    <n v="606.37750000000005"/>
    <n v="1193.865"/>
    <n v="1912.0450000000001"/>
    <s v="Medium"/>
    <n v="0.56482661618139207"/>
    <d v="2023-01-19T00:00:00"/>
    <x v="0"/>
  </r>
  <r>
    <s v="ORD-2024-930679"/>
    <d v="2024-12-17T00:00:00"/>
    <s v="Q4-2024"/>
    <x v="6"/>
    <d v="2025-01-16T00:00:00"/>
    <n v="30"/>
    <n v="0"/>
    <d v="2025-01-16T00:00:00"/>
    <x v="3"/>
    <x v="8"/>
    <s v="Manchester"/>
    <s v="Corporate"/>
    <x v="0"/>
    <x v="14"/>
    <x v="5"/>
    <s v="Low"/>
    <x v="615"/>
    <n v="722.87"/>
    <n v="33.659999999999997"/>
    <n v="0.10199999999999999"/>
    <n v="0"/>
    <n v="28"/>
    <s v="ok"/>
    <n v="30"/>
    <n v="30"/>
    <n v="846.34703999999988"/>
    <n v="20240.36"/>
    <n v="-19394.01296"/>
    <n v="606.37750000000005"/>
    <n v="1193.865"/>
    <n v="1912.0450000000001"/>
    <s v="Medium"/>
    <n v="-22.914965189693348"/>
    <d v="2023-03-03T00:00:00"/>
    <x v="1"/>
  </r>
  <r>
    <s v="ORD-2025-150713"/>
    <d v="2025-07-11T00:00:00"/>
    <s v="Q3-2025"/>
    <x v="13"/>
    <d v="2025-07-16T00:00:00"/>
    <n v="5"/>
    <n v="1"/>
    <d v="2025-07-16T00:00:00"/>
    <x v="3"/>
    <x v="8"/>
    <s v="London"/>
    <s v="Enterprise"/>
    <x v="1"/>
    <x v="11"/>
    <x v="1"/>
    <s v="Medium"/>
    <x v="616"/>
    <n v="930.03"/>
    <n v="1086.68"/>
    <n v="0.109"/>
    <n v="0"/>
    <n v="26"/>
    <s v="ok"/>
    <n v="5"/>
    <n v="5"/>
    <n v="25174.028880000002"/>
    <n v="24180.78"/>
    <n v="993.24888000000283"/>
    <n v="606.37750000000005"/>
    <n v="1193.865"/>
    <n v="1912.0450000000001"/>
    <s v="Low"/>
    <n v="3.9455300728168656E-2"/>
    <d v="2023-01-15T00:00:00"/>
    <x v="0"/>
  </r>
  <r>
    <s v="ORD-2024-756884"/>
    <d v="2024-10-13T00:00:00"/>
    <s v="Q4-2024"/>
    <x v="1"/>
    <d v="2024-10-24T00:00:00"/>
    <n v="11"/>
    <n v="0"/>
    <d v="2024-10-24T00:00:00"/>
    <x v="3"/>
    <x v="7"/>
    <s v="Paris"/>
    <s v="Education"/>
    <x v="3"/>
    <x v="9"/>
    <x v="0"/>
    <s v="Medium"/>
    <x v="617"/>
    <n v="816.7"/>
    <n v="1010.75"/>
    <n v="4.7E-2"/>
    <n v="0"/>
    <n v="43"/>
    <s v="ok"/>
    <n v="11"/>
    <n v="11"/>
    <n v="41419.524249999995"/>
    <n v="35118.1"/>
    <n v="6301.4242499999964"/>
    <n v="606.37750000000005"/>
    <n v="1193.865"/>
    <n v="1912.0450000000001"/>
    <s v="Medium"/>
    <n v="0.15213656757537472"/>
    <d v="2023-01-10T00:00:00"/>
    <x v="0"/>
  </r>
  <r>
    <s v="ORD-2023-755337"/>
    <d v="2023-09-08T00:00:00"/>
    <s v="Q3-2023"/>
    <x v="27"/>
    <d v="2023-09-14T00:00:00"/>
    <n v="6"/>
    <n v="1"/>
    <d v="2023-09-14T00:00:00"/>
    <x v="0"/>
    <x v="0"/>
    <s v="Nakuru"/>
    <s v="Education"/>
    <x v="4"/>
    <x v="2"/>
    <x v="6"/>
    <s v="Low"/>
    <x v="618"/>
    <n v="251.03"/>
    <n v="411.48"/>
    <n v="0.16500000000000001"/>
    <n v="0"/>
    <n v="3"/>
    <s v="ok"/>
    <n v="6"/>
    <n v="6"/>
    <n v="1030.7574"/>
    <n v="753.09"/>
    <n v="277.66739999999993"/>
    <n v="606.37750000000005"/>
    <n v="1193.865"/>
    <n v="1912.0450000000001"/>
    <s v="Medium"/>
    <n v="0.26938191275658069"/>
    <d v="2023-03-03T00:00:00"/>
    <x v="1"/>
  </r>
  <r>
    <s v="ORD-2025-907040"/>
    <d v="2025-04-17T00:00:00"/>
    <s v="Q2-2025"/>
    <x v="19"/>
    <d v="2025-05-03T00:00:00"/>
    <n v="16"/>
    <n v="0"/>
    <d v="2025-05-03T00:00:00"/>
    <x v="2"/>
    <x v="5"/>
    <s v="Rio de Janeiro"/>
    <s v="Consumer"/>
    <x v="2"/>
    <x v="1"/>
    <x v="2"/>
    <s v="Low"/>
    <x v="619"/>
    <n v="168.68"/>
    <n v="413.34"/>
    <n v="0.186"/>
    <n v="0"/>
    <n v="7"/>
    <s v="ok"/>
    <n v="16"/>
    <n v="16"/>
    <n v="2355.2113199999999"/>
    <n v="1180.76"/>
    <n v="1174.4513199999999"/>
    <n v="606.37750000000005"/>
    <n v="1193.865"/>
    <n v="1912.0450000000001"/>
    <s v="Low"/>
    <n v="0.49866069767361682"/>
    <d v="2023-01-29T00:00:00"/>
    <x v="0"/>
  </r>
  <r>
    <s v="ORD-2024-817997"/>
    <d v="2024-07-28T00:00:00"/>
    <s v="Q3-2024"/>
    <x v="14"/>
    <d v="2024-08-23T00:00:00"/>
    <n v="26"/>
    <n v="0"/>
    <d v="2024-08-23T00:00:00"/>
    <x v="1"/>
    <x v="4"/>
    <s v="Hyderabad"/>
    <s v="Corporate"/>
    <x v="0"/>
    <x v="1"/>
    <x v="2"/>
    <s v="Medium"/>
    <x v="620"/>
    <n v="1339.24"/>
    <n v="1558.89"/>
    <n v="0.192"/>
    <n v="0"/>
    <n v="24"/>
    <s v="ok"/>
    <n v="26"/>
    <n v="26"/>
    <n v="30229.994880000002"/>
    <n v="32141.760000000002"/>
    <n v="-1911.76512"/>
    <n v="606.37750000000005"/>
    <n v="1193.865"/>
    <n v="1912.0450000000001"/>
    <s v="Low"/>
    <n v="-6.3240669659021781E-2"/>
    <d v="2023-01-29T00:00:00"/>
    <x v="0"/>
  </r>
  <r>
    <s v="ORD-2025-649633"/>
    <d v="2025-07-19T00:00:00"/>
    <s v="Q3-2025"/>
    <x v="13"/>
    <d v="2025-07-31T00:00:00"/>
    <n v="12"/>
    <n v="0"/>
    <d v="2025-07-31T00:00:00"/>
    <x v="0"/>
    <x v="0"/>
    <s v="Nairobi"/>
    <s v="Small Business"/>
    <x v="2"/>
    <x v="7"/>
    <x v="6"/>
    <s v="Medium"/>
    <x v="621"/>
    <n v="619.64"/>
    <n v="861.16"/>
    <n v="0.113"/>
    <n v="0"/>
    <n v="14"/>
    <s v="ok"/>
    <n v="12"/>
    <n v="12"/>
    <n v="10693.88488"/>
    <n v="8674.9599999999991"/>
    <n v="2018.9248800000005"/>
    <n v="606.37750000000005"/>
    <n v="1193.865"/>
    <n v="1912.0450000000001"/>
    <s v="Medium"/>
    <n v="0.18879246435276761"/>
    <d v="2023-01-13T00:00:00"/>
    <x v="0"/>
  </r>
  <r>
    <s v="ORD-2023-885216"/>
    <d v="2023-08-03T00:00:00"/>
    <s v="Q3-2023"/>
    <x v="25"/>
    <d v="2023-08-02T00:00:00"/>
    <n v="14"/>
    <n v="0"/>
    <d v="2023-08-17T00:00:00"/>
    <x v="1"/>
    <x v="9"/>
    <s v="Shanghai"/>
    <s v="Non-Profit"/>
    <x v="4"/>
    <x v="1"/>
    <x v="2"/>
    <s v="High"/>
    <x v="622"/>
    <n v="1021.97"/>
    <n v="2296.25"/>
    <n v="0.161"/>
    <n v="0"/>
    <n v="26"/>
    <s v="sus"/>
    <n v="-1"/>
    <n v="1"/>
    <n v="50090.397499999999"/>
    <n v="26571.22"/>
    <n v="23519.177499999998"/>
    <n v="606.37750000000005"/>
    <n v="1193.865"/>
    <n v="1912.0450000000001"/>
    <s v="Medium"/>
    <n v="0.46953465482081669"/>
    <d v="2023-01-29T00:00:00"/>
    <x v="0"/>
  </r>
  <r>
    <s v="ORD-2023-561823"/>
    <d v="2023-11-19T00:00:00"/>
    <s v="Q4-2023"/>
    <x v="30"/>
    <d v="2023-12-12T00:00:00"/>
    <n v="23"/>
    <n v="0"/>
    <d v="2023-12-12T00:00:00"/>
    <x v="1"/>
    <x v="4"/>
    <s v="Delhi"/>
    <s v="Small Business"/>
    <x v="4"/>
    <x v="0"/>
    <x v="2"/>
    <s v="High"/>
    <x v="623"/>
    <n v="1349.04"/>
    <n v="2636.6"/>
    <n v="0.114"/>
    <n v="0"/>
    <n v="14"/>
    <s v="ok"/>
    <n v="23"/>
    <n v="23"/>
    <n v="32704.386400000003"/>
    <n v="18886.559999999998"/>
    <n v="13817.826400000005"/>
    <n v="606.37750000000005"/>
    <n v="1193.865"/>
    <n v="1912.0450000000001"/>
    <s v="High"/>
    <n v="0.42250682312143928"/>
    <d v="2023-01-19T00:00:00"/>
    <x v="0"/>
  </r>
  <r>
    <s v="ORD-2023-249805"/>
    <d v="2023-12-22T00:00:00"/>
    <s v="Q4-2023"/>
    <x v="4"/>
    <d v="2024-01-16T00:00:00"/>
    <n v="25"/>
    <n v="0"/>
    <d v="2024-01-16T00:00:00"/>
    <x v="1"/>
    <x v="4"/>
    <s v="Hyderabad"/>
    <s v="Small Business"/>
    <x v="0"/>
    <x v="8"/>
    <x v="0"/>
    <s v="Medium"/>
    <x v="624"/>
    <n v="1346.81"/>
    <n v="978.09"/>
    <n v="0.159"/>
    <n v="0"/>
    <n v="17"/>
    <s v="ok"/>
    <n v="25"/>
    <n v="25"/>
    <n v="13983.752729999998"/>
    <n v="22895.77"/>
    <n v="-8912.0172700000021"/>
    <n v="606.37750000000005"/>
    <n v="1193.865"/>
    <n v="1912.0450000000001"/>
    <s v="High"/>
    <n v="-0.6373122753293996"/>
    <d v="2023-01-29T00:00:00"/>
    <x v="0"/>
  </r>
  <r>
    <s v="ORD-2023-548934"/>
    <d v="2023-08-03T00:00:00"/>
    <s v="Q3-2023"/>
    <x v="25"/>
    <d v="2023-08-30T00:00:00"/>
    <n v="27"/>
    <n v="0"/>
    <d v="2023-08-30T00:00:00"/>
    <x v="1"/>
    <x v="9"/>
    <s v="Shanghai"/>
    <s v="Consumer"/>
    <x v="3"/>
    <x v="13"/>
    <x v="5"/>
    <s v="Low"/>
    <x v="625"/>
    <n v="226.04"/>
    <n v="545.72"/>
    <n v="0.151"/>
    <n v="0"/>
    <n v="11"/>
    <s v="ok"/>
    <n v="27"/>
    <n v="27"/>
    <n v="5096.4790800000001"/>
    <n v="2486.44"/>
    <n v="2610.03908"/>
    <n v="606.37750000000005"/>
    <n v="1193.865"/>
    <n v="1912.0450000000001"/>
    <s v="Medium"/>
    <n v="0.51212592831834014"/>
    <d v="2023-01-29T00:00:00"/>
    <x v="0"/>
  </r>
  <r>
    <s v="ORD-2023-921939"/>
    <d v="2023-06-23T00:00:00"/>
    <s v="Q2-2023"/>
    <x v="23"/>
    <d v="2023-07-18T00:00:00"/>
    <n v="25"/>
    <n v="0"/>
    <d v="2023-07-18T00:00:00"/>
    <x v="2"/>
    <x v="3"/>
    <s v="Vancouver"/>
    <s v="Enterprise"/>
    <x v="1"/>
    <x v="13"/>
    <x v="3"/>
    <s v="Medium"/>
    <x v="626"/>
    <n v="807.02"/>
    <n v="1435.54"/>
    <n v="0"/>
    <n v="0"/>
    <n v="23"/>
    <s v="ok"/>
    <n v="25"/>
    <n v="25"/>
    <n v="33017.42"/>
    <n v="18561.46"/>
    <n v="14455.96"/>
    <n v="606.37750000000005"/>
    <n v="1193.865"/>
    <n v="1912.0450000000001"/>
    <s v="Low"/>
    <n v="0.43782827368098415"/>
    <d v="2023-01-29T00:00:00"/>
    <x v="0"/>
  </r>
  <r>
    <s v="ORD-2023-961864"/>
    <d v="2023-12-07T00:00:00"/>
    <s v="Q4-2023"/>
    <x v="4"/>
    <d v="2024-01-02T00:00:00"/>
    <n v="26"/>
    <n v="0"/>
    <d v="2024-01-02T00:00:00"/>
    <x v="3"/>
    <x v="6"/>
    <s v="Frankfurt"/>
    <s v="Enterprise"/>
    <x v="3"/>
    <x v="6"/>
    <x v="0"/>
    <s v="High"/>
    <x v="627"/>
    <n v="1071.99"/>
    <n v="2397.3000000000002"/>
    <n v="6.2E-2"/>
    <n v="0"/>
    <n v="18"/>
    <s v="ok"/>
    <n v="26"/>
    <n v="26"/>
    <n v="40476.013200000001"/>
    <n v="19295.82"/>
    <n v="21180.193200000002"/>
    <n v="606.37750000000005"/>
    <n v="1193.865"/>
    <n v="1912.0450000000001"/>
    <s v="Medium"/>
    <n v="0.52327765324476183"/>
    <d v="2023-01-19T00:00:00"/>
    <x v="0"/>
  </r>
  <r>
    <s v="ORD-2023-455933"/>
    <d v="2023-11-19T00:00:00"/>
    <s v="Q4-2023"/>
    <x v="30"/>
    <d v="2023-12-19T00:00:00"/>
    <n v="30"/>
    <n v="0"/>
    <d v="2023-12-19T00:00:00"/>
    <x v="1"/>
    <x v="2"/>
    <s v="Nagoya"/>
    <s v="Consumer"/>
    <x v="0"/>
    <x v="15"/>
    <x v="3"/>
    <s v="High"/>
    <x v="628"/>
    <n v="807.11"/>
    <n v="1853.86"/>
    <n v="0.13900000000000001"/>
    <n v="0"/>
    <n v="8"/>
    <s v="ok"/>
    <n v="30"/>
    <n v="30"/>
    <n v="12769.38768"/>
    <n v="6456.88"/>
    <n v="6312.5076799999997"/>
    <n v="606.37750000000005"/>
    <n v="1193.865"/>
    <n v="1912.0450000000001"/>
    <s v="High"/>
    <n v="0.49434693645388639"/>
    <d v="2023-01-12T00:00:00"/>
    <x v="0"/>
  </r>
  <r>
    <s v="ORD-2025-728935"/>
    <d v="2025-02-28T00:00:00"/>
    <s v="Q1-2025"/>
    <x v="26"/>
    <d v="2025-03-10T00:00:00"/>
    <n v="10"/>
    <n v="0"/>
    <d v="2025-03-10T00:00:00"/>
    <x v="1"/>
    <x v="2"/>
    <s v="Osaka"/>
    <s v="Education"/>
    <x v="3"/>
    <x v="13"/>
    <x v="4"/>
    <s v="Low"/>
    <x v="629"/>
    <n v="51.86"/>
    <n v="45.98"/>
    <n v="0.17299999999999999"/>
    <n v="0"/>
    <n v="7"/>
    <s v="ok"/>
    <n v="10"/>
    <n v="10"/>
    <n v="266.17821999999995"/>
    <n v="363.02"/>
    <n v="-96.841780000000028"/>
    <n v="606.37750000000005"/>
    <n v="1193.865"/>
    <n v="1912.0450000000001"/>
    <s v="Medium"/>
    <n v="-0.3638230806412337"/>
    <d v="2023-01-12T00:00:00"/>
    <x v="0"/>
  </r>
  <r>
    <m/>
    <m/>
    <m/>
    <x v="33"/>
    <m/>
    <m/>
    <m/>
    <m/>
    <x v="4"/>
    <x v="12"/>
    <m/>
    <m/>
    <x v="6"/>
    <x v="16"/>
    <x v="7"/>
    <m/>
    <x v="630"/>
    <m/>
    <m/>
    <m/>
    <m/>
    <m/>
    <m/>
    <n v="14.262658227848101"/>
    <n v="14.430379746835444"/>
    <m/>
    <m/>
    <m/>
    <m/>
    <m/>
    <m/>
    <m/>
    <m/>
    <m/>
    <x v="2"/>
  </r>
  <r>
    <m/>
    <m/>
    <m/>
    <x v="33"/>
    <m/>
    <m/>
    <m/>
    <m/>
    <x v="4"/>
    <x v="12"/>
    <m/>
    <m/>
    <x v="6"/>
    <x v="16"/>
    <x v="7"/>
    <m/>
    <x v="630"/>
    <m/>
    <m/>
    <m/>
    <m/>
    <m/>
    <m/>
    <m/>
    <m/>
    <m/>
    <m/>
    <m/>
    <m/>
    <m/>
    <m/>
    <m/>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DD2601-9ED8-4F35-A540-9CB09538577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68" firstHeaderRow="1" firstDataRow="1" firstDataCol="1"/>
  <pivotFields count="26">
    <pivotField showAll="0"/>
    <pivotField showAll="0"/>
    <pivotField showAll="0"/>
    <pivotField showAll="0"/>
    <pivotField showAll="0"/>
    <pivotField showAll="0"/>
    <pivotField showAll="0"/>
    <pivotField axis="axisRow" showAll="0">
      <items count="6">
        <item x="0"/>
        <item x="2"/>
        <item x="1"/>
        <item x="3"/>
        <item x="4"/>
        <item t="default"/>
      </items>
    </pivotField>
    <pivotField axis="axisRow" showAll="0">
      <items count="14">
        <item x="5"/>
        <item x="3"/>
        <item x="9"/>
        <item x="7"/>
        <item x="6"/>
        <item x="4"/>
        <item x="2"/>
        <item x="0"/>
        <item x="1"/>
        <item x="11"/>
        <item x="8"/>
        <item x="10"/>
        <item x="12"/>
        <item t="default"/>
      </items>
    </pivotField>
    <pivotField axis="axisRow" showAll="0">
      <items count="42">
        <item x="7"/>
        <item x="36"/>
        <item x="38"/>
        <item x="6"/>
        <item x="9"/>
        <item x="12"/>
        <item x="10"/>
        <item x="33"/>
        <item x="15"/>
        <item x="18"/>
        <item x="25"/>
        <item x="37"/>
        <item x="34"/>
        <item x="20"/>
        <item x="0"/>
        <item x="3"/>
        <item x="21"/>
        <item x="17"/>
        <item x="31"/>
        <item x="11"/>
        <item x="13"/>
        <item x="19"/>
        <item x="29"/>
        <item x="22"/>
        <item x="32"/>
        <item x="2"/>
        <item x="16"/>
        <item x="39"/>
        <item x="4"/>
        <item x="28"/>
        <item x="1"/>
        <item x="30"/>
        <item x="24"/>
        <item x="8"/>
        <item x="23"/>
        <item x="14"/>
        <item x="27"/>
        <item x="5"/>
        <item x="35"/>
        <item x="26"/>
        <item x="4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7"/>
    <field x="8"/>
    <field x="9"/>
  </rowFields>
  <rowItems count="65">
    <i>
      <x/>
    </i>
    <i r="1">
      <x v="7"/>
    </i>
    <i r="2">
      <x v="14"/>
    </i>
    <i r="2">
      <x v="20"/>
    </i>
    <i r="2">
      <x v="25"/>
    </i>
    <i r="2">
      <x v="26"/>
    </i>
    <i r="1">
      <x v="8"/>
    </i>
    <i r="2">
      <x/>
    </i>
    <i r="2">
      <x v="15"/>
    </i>
    <i r="2">
      <x v="30"/>
    </i>
    <i r="2">
      <x v="38"/>
    </i>
    <i r="1">
      <x v="9"/>
    </i>
    <i r="2">
      <x v="7"/>
    </i>
    <i r="2">
      <x v="10"/>
    </i>
    <i r="2">
      <x v="13"/>
    </i>
    <i>
      <x v="1"/>
    </i>
    <i r="1">
      <x/>
    </i>
    <i r="2">
      <x v="6"/>
    </i>
    <i r="2">
      <x v="31"/>
    </i>
    <i r="2">
      <x v="33"/>
    </i>
    <i r="2">
      <x v="38"/>
    </i>
    <i r="1">
      <x v="1"/>
    </i>
    <i r="2">
      <x v="21"/>
    </i>
    <i r="2">
      <x v="37"/>
    </i>
    <i r="2">
      <x v="38"/>
    </i>
    <i r="2">
      <x v="39"/>
    </i>
    <i r="1">
      <x v="11"/>
    </i>
    <i r="2">
      <x v="1"/>
    </i>
    <i r="2">
      <x v="8"/>
    </i>
    <i r="2">
      <x v="27"/>
    </i>
    <i r="2">
      <x v="32"/>
    </i>
    <i>
      <x v="2"/>
    </i>
    <i r="1">
      <x v="2"/>
    </i>
    <i r="2">
      <x v="2"/>
    </i>
    <i r="2">
      <x v="34"/>
    </i>
    <i r="2">
      <x v="35"/>
    </i>
    <i r="2">
      <x v="38"/>
    </i>
    <i r="1">
      <x v="5"/>
    </i>
    <i r="2">
      <x v="3"/>
    </i>
    <i r="2">
      <x v="9"/>
    </i>
    <i r="2">
      <x v="12"/>
    </i>
    <i r="2">
      <x v="22"/>
    </i>
    <i r="2">
      <x v="38"/>
    </i>
    <i r="1">
      <x v="6"/>
    </i>
    <i r="2">
      <x v="24"/>
    </i>
    <i r="2">
      <x v="28"/>
    </i>
    <i r="2">
      <x v="36"/>
    </i>
    <i>
      <x v="3"/>
    </i>
    <i r="1">
      <x v="3"/>
    </i>
    <i r="2">
      <x v="17"/>
    </i>
    <i r="2">
      <x v="19"/>
    </i>
    <i r="2">
      <x v="29"/>
    </i>
    <i r="1">
      <x v="4"/>
    </i>
    <i r="2">
      <x v="4"/>
    </i>
    <i r="2">
      <x v="11"/>
    </i>
    <i r="2">
      <x v="23"/>
    </i>
    <i r="1">
      <x v="10"/>
    </i>
    <i r="2">
      <x v="5"/>
    </i>
    <i r="2">
      <x v="16"/>
    </i>
    <i r="2">
      <x v="18"/>
    </i>
    <i r="2">
      <x v="38"/>
    </i>
    <i>
      <x v="4"/>
    </i>
    <i r="1">
      <x v="12"/>
    </i>
    <i r="2">
      <x v="4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00E86D-9501-4ABA-B654-F5E9A0F18D08}"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56" firstHeaderRow="1" firstDataRow="1" firstDataCol="1"/>
  <pivotFields count="35">
    <pivotField showAll="0"/>
    <pivotField showAll="0"/>
    <pivotField showAll="0"/>
    <pivotField axis="axisRow"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showAll="0"/>
    <pivotField showAll="0"/>
    <pivotField showAll="0"/>
    <pivotField axis="axisRow" showAll="0">
      <items count="14">
        <item x="5"/>
        <item x="3"/>
        <item x="9"/>
        <item x="7"/>
        <item x="6"/>
        <item x="4"/>
        <item x="2"/>
        <item x="0"/>
        <item x="1"/>
        <item x="11"/>
        <item x="8"/>
        <item x="10"/>
        <item h="1" x="12"/>
        <item t="default"/>
      </items>
    </pivotField>
    <pivotField showAll="0"/>
    <pivotField showAll="0"/>
    <pivotField showAll="0">
      <items count="8">
        <item x="4"/>
        <item x="3"/>
        <item x="2"/>
        <item x="1"/>
        <item x="0"/>
        <item x="5"/>
        <item x="6"/>
        <item t="default"/>
      </items>
    </pivotField>
    <pivotField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2">
    <field x="3"/>
    <field x="9"/>
  </rowFields>
  <rowItems count="353">
    <i>
      <x/>
    </i>
    <i r="1">
      <x/>
    </i>
    <i r="1">
      <x v="1"/>
    </i>
    <i r="1">
      <x v="2"/>
    </i>
    <i r="1">
      <x v="3"/>
    </i>
    <i r="1">
      <x v="4"/>
    </i>
    <i r="1">
      <x v="5"/>
    </i>
    <i r="1">
      <x v="6"/>
    </i>
    <i r="1">
      <x v="7"/>
    </i>
    <i r="1">
      <x v="8"/>
    </i>
    <i r="1">
      <x v="10"/>
    </i>
    <i r="1">
      <x v="11"/>
    </i>
    <i>
      <x v="1"/>
    </i>
    <i r="1">
      <x/>
    </i>
    <i r="1">
      <x v="2"/>
    </i>
    <i r="1">
      <x v="3"/>
    </i>
    <i r="1">
      <x v="4"/>
    </i>
    <i r="1">
      <x v="7"/>
    </i>
    <i r="1">
      <x v="8"/>
    </i>
    <i r="1">
      <x v="9"/>
    </i>
    <i r="1">
      <x v="10"/>
    </i>
    <i>
      <x v="2"/>
    </i>
    <i r="1">
      <x/>
    </i>
    <i r="1">
      <x v="1"/>
    </i>
    <i r="1">
      <x v="3"/>
    </i>
    <i r="1">
      <x v="4"/>
    </i>
    <i r="1">
      <x v="5"/>
    </i>
    <i r="1">
      <x v="6"/>
    </i>
    <i r="1">
      <x v="7"/>
    </i>
    <i r="1">
      <x v="8"/>
    </i>
    <i r="1">
      <x v="9"/>
    </i>
    <i r="1">
      <x v="10"/>
    </i>
    <i r="1">
      <x v="11"/>
    </i>
    <i>
      <x v="3"/>
    </i>
    <i r="1">
      <x/>
    </i>
    <i r="1">
      <x v="1"/>
    </i>
    <i r="1">
      <x v="2"/>
    </i>
    <i r="1">
      <x v="3"/>
    </i>
    <i r="1">
      <x v="4"/>
    </i>
    <i r="1">
      <x v="5"/>
    </i>
    <i r="1">
      <x v="7"/>
    </i>
    <i r="1">
      <x v="8"/>
    </i>
    <i r="1">
      <x v="9"/>
    </i>
    <i r="1">
      <x v="10"/>
    </i>
    <i r="1">
      <x v="11"/>
    </i>
    <i>
      <x v="4"/>
    </i>
    <i r="1">
      <x/>
    </i>
    <i r="1">
      <x v="1"/>
    </i>
    <i r="1">
      <x v="3"/>
    </i>
    <i r="1">
      <x v="4"/>
    </i>
    <i r="1">
      <x v="5"/>
    </i>
    <i r="1">
      <x v="6"/>
    </i>
    <i r="1">
      <x v="7"/>
    </i>
    <i r="1">
      <x v="9"/>
    </i>
    <i r="1">
      <x v="10"/>
    </i>
    <i r="1">
      <x v="11"/>
    </i>
    <i>
      <x v="5"/>
    </i>
    <i r="1">
      <x/>
    </i>
    <i r="1">
      <x v="1"/>
    </i>
    <i r="1">
      <x v="2"/>
    </i>
    <i r="1">
      <x v="3"/>
    </i>
    <i r="1">
      <x v="4"/>
    </i>
    <i r="1">
      <x v="5"/>
    </i>
    <i r="1">
      <x v="6"/>
    </i>
    <i r="1">
      <x v="7"/>
    </i>
    <i r="1">
      <x v="8"/>
    </i>
    <i r="1">
      <x v="10"/>
    </i>
    <i r="1">
      <x v="11"/>
    </i>
    <i>
      <x v="6"/>
    </i>
    <i r="1">
      <x/>
    </i>
    <i r="1">
      <x v="1"/>
    </i>
    <i r="1">
      <x v="2"/>
    </i>
    <i r="1">
      <x v="3"/>
    </i>
    <i r="1">
      <x v="4"/>
    </i>
    <i r="1">
      <x v="5"/>
    </i>
    <i r="1">
      <x v="6"/>
    </i>
    <i r="1">
      <x v="7"/>
    </i>
    <i r="1">
      <x v="8"/>
    </i>
    <i r="1">
      <x v="9"/>
    </i>
    <i>
      <x v="7"/>
    </i>
    <i r="1">
      <x v="1"/>
    </i>
    <i r="1">
      <x v="2"/>
    </i>
    <i r="1">
      <x v="3"/>
    </i>
    <i r="1">
      <x v="4"/>
    </i>
    <i r="1">
      <x v="5"/>
    </i>
    <i r="1">
      <x v="6"/>
    </i>
    <i r="1">
      <x v="8"/>
    </i>
    <i r="1">
      <x v="10"/>
    </i>
    <i r="1">
      <x v="11"/>
    </i>
    <i>
      <x v="8"/>
    </i>
    <i r="1">
      <x/>
    </i>
    <i r="1">
      <x v="1"/>
    </i>
    <i r="1">
      <x v="2"/>
    </i>
    <i r="1">
      <x v="3"/>
    </i>
    <i r="1">
      <x v="4"/>
    </i>
    <i r="1">
      <x v="5"/>
    </i>
    <i r="1">
      <x v="7"/>
    </i>
    <i r="1">
      <x v="8"/>
    </i>
    <i r="1">
      <x v="9"/>
    </i>
    <i r="1">
      <x v="10"/>
    </i>
    <i r="1">
      <x v="11"/>
    </i>
    <i>
      <x v="9"/>
    </i>
    <i r="1">
      <x/>
    </i>
    <i r="1">
      <x v="1"/>
    </i>
    <i r="1">
      <x v="2"/>
    </i>
    <i r="1">
      <x v="3"/>
    </i>
    <i r="1">
      <x v="4"/>
    </i>
    <i r="1">
      <x v="5"/>
    </i>
    <i r="1">
      <x v="6"/>
    </i>
    <i r="1">
      <x v="7"/>
    </i>
    <i r="1">
      <x v="11"/>
    </i>
    <i>
      <x v="10"/>
    </i>
    <i r="1">
      <x/>
    </i>
    <i r="1">
      <x v="1"/>
    </i>
    <i r="1">
      <x v="3"/>
    </i>
    <i r="1">
      <x v="4"/>
    </i>
    <i r="1">
      <x v="5"/>
    </i>
    <i r="1">
      <x v="6"/>
    </i>
    <i r="1">
      <x v="7"/>
    </i>
    <i r="1">
      <x v="8"/>
    </i>
    <i r="1">
      <x v="10"/>
    </i>
    <i r="1">
      <x v="11"/>
    </i>
    <i>
      <x v="11"/>
    </i>
    <i r="1">
      <x/>
    </i>
    <i r="1">
      <x v="1"/>
    </i>
    <i r="1">
      <x v="2"/>
    </i>
    <i r="1">
      <x v="3"/>
    </i>
    <i r="1">
      <x v="4"/>
    </i>
    <i r="1">
      <x v="5"/>
    </i>
    <i r="1">
      <x v="7"/>
    </i>
    <i r="1">
      <x v="8"/>
    </i>
    <i r="1">
      <x v="9"/>
    </i>
    <i r="1">
      <x v="10"/>
    </i>
    <i r="1">
      <x v="11"/>
    </i>
    <i>
      <x v="12"/>
    </i>
    <i r="1">
      <x/>
    </i>
    <i r="1">
      <x v="1"/>
    </i>
    <i r="1">
      <x v="3"/>
    </i>
    <i r="1">
      <x v="4"/>
    </i>
    <i r="1">
      <x v="5"/>
    </i>
    <i r="1">
      <x v="6"/>
    </i>
    <i r="1">
      <x v="9"/>
    </i>
    <i r="1">
      <x v="10"/>
    </i>
    <i r="1">
      <x v="11"/>
    </i>
    <i>
      <x v="13"/>
    </i>
    <i r="1">
      <x/>
    </i>
    <i r="1">
      <x v="2"/>
    </i>
    <i r="1">
      <x v="3"/>
    </i>
    <i r="1">
      <x v="5"/>
    </i>
    <i r="1">
      <x v="6"/>
    </i>
    <i r="1">
      <x v="7"/>
    </i>
    <i r="1">
      <x v="9"/>
    </i>
    <i r="1">
      <x v="10"/>
    </i>
    <i r="1">
      <x v="11"/>
    </i>
    <i>
      <x v="14"/>
    </i>
    <i r="1">
      <x/>
    </i>
    <i r="1">
      <x v="1"/>
    </i>
    <i r="1">
      <x v="3"/>
    </i>
    <i r="1">
      <x v="4"/>
    </i>
    <i r="1">
      <x v="5"/>
    </i>
    <i r="1">
      <x v="6"/>
    </i>
    <i r="1">
      <x v="7"/>
    </i>
    <i r="1">
      <x v="8"/>
    </i>
    <i r="1">
      <x v="9"/>
    </i>
    <i r="1">
      <x v="10"/>
    </i>
    <i r="1">
      <x v="11"/>
    </i>
    <i>
      <x v="15"/>
    </i>
    <i r="1">
      <x/>
    </i>
    <i r="1">
      <x v="1"/>
    </i>
    <i r="1">
      <x v="2"/>
    </i>
    <i r="1">
      <x v="3"/>
    </i>
    <i r="1">
      <x v="5"/>
    </i>
    <i r="1">
      <x v="6"/>
    </i>
    <i r="1">
      <x v="7"/>
    </i>
    <i r="1">
      <x v="11"/>
    </i>
    <i>
      <x v="16"/>
    </i>
    <i r="1">
      <x/>
    </i>
    <i r="1">
      <x v="1"/>
    </i>
    <i r="1">
      <x v="2"/>
    </i>
    <i r="1">
      <x v="6"/>
    </i>
    <i r="1">
      <x v="7"/>
    </i>
    <i r="1">
      <x v="8"/>
    </i>
    <i r="1">
      <x v="9"/>
    </i>
    <i r="1">
      <x v="10"/>
    </i>
    <i>
      <x v="17"/>
    </i>
    <i r="1">
      <x/>
    </i>
    <i r="1">
      <x v="1"/>
    </i>
    <i r="1">
      <x v="2"/>
    </i>
    <i r="1">
      <x v="3"/>
    </i>
    <i r="1">
      <x v="4"/>
    </i>
    <i r="1">
      <x v="5"/>
    </i>
    <i r="1">
      <x v="6"/>
    </i>
    <i r="1">
      <x v="7"/>
    </i>
    <i r="1">
      <x v="8"/>
    </i>
    <i r="1">
      <x v="10"/>
    </i>
    <i r="1">
      <x v="11"/>
    </i>
    <i>
      <x v="18"/>
    </i>
    <i r="1">
      <x/>
    </i>
    <i r="1">
      <x v="1"/>
    </i>
    <i r="1">
      <x v="2"/>
    </i>
    <i r="1">
      <x v="4"/>
    </i>
    <i r="1">
      <x v="5"/>
    </i>
    <i r="1">
      <x v="6"/>
    </i>
    <i r="1">
      <x v="7"/>
    </i>
    <i r="1">
      <x v="8"/>
    </i>
    <i r="1">
      <x v="9"/>
    </i>
    <i r="1">
      <x v="10"/>
    </i>
    <i>
      <x v="19"/>
    </i>
    <i r="1">
      <x v="1"/>
    </i>
    <i r="1">
      <x v="2"/>
    </i>
    <i r="1">
      <x v="3"/>
    </i>
    <i r="1">
      <x v="4"/>
    </i>
    <i r="1">
      <x v="5"/>
    </i>
    <i r="1">
      <x v="6"/>
    </i>
    <i r="1">
      <x v="8"/>
    </i>
    <i r="1">
      <x v="9"/>
    </i>
    <i r="1">
      <x v="10"/>
    </i>
    <i>
      <x v="20"/>
    </i>
    <i r="1">
      <x/>
    </i>
    <i r="1">
      <x v="1"/>
    </i>
    <i r="1">
      <x v="2"/>
    </i>
    <i r="1">
      <x v="4"/>
    </i>
    <i r="1">
      <x v="5"/>
    </i>
    <i r="1">
      <x v="6"/>
    </i>
    <i r="1">
      <x v="7"/>
    </i>
    <i r="1">
      <x v="9"/>
    </i>
    <i r="1">
      <x v="10"/>
    </i>
    <i>
      <x v="21"/>
    </i>
    <i r="1">
      <x/>
    </i>
    <i r="1">
      <x v="1"/>
    </i>
    <i r="1">
      <x v="2"/>
    </i>
    <i r="1">
      <x v="3"/>
    </i>
    <i r="1">
      <x v="4"/>
    </i>
    <i r="1">
      <x v="5"/>
    </i>
    <i r="1">
      <x v="7"/>
    </i>
    <i r="1">
      <x v="8"/>
    </i>
    <i r="1">
      <x v="9"/>
    </i>
    <i r="1">
      <x v="10"/>
    </i>
    <i r="1">
      <x v="11"/>
    </i>
    <i>
      <x v="22"/>
    </i>
    <i r="1">
      <x/>
    </i>
    <i r="1">
      <x v="2"/>
    </i>
    <i r="1">
      <x v="4"/>
    </i>
    <i r="1">
      <x v="5"/>
    </i>
    <i r="1">
      <x v="6"/>
    </i>
    <i r="1">
      <x v="7"/>
    </i>
    <i r="1">
      <x v="8"/>
    </i>
    <i r="1">
      <x v="9"/>
    </i>
    <i r="1">
      <x v="10"/>
    </i>
    <i>
      <x v="23"/>
    </i>
    <i r="1">
      <x/>
    </i>
    <i r="1">
      <x v="2"/>
    </i>
    <i r="1">
      <x v="4"/>
    </i>
    <i r="1">
      <x v="5"/>
    </i>
    <i r="1">
      <x v="6"/>
    </i>
    <i r="1">
      <x v="7"/>
    </i>
    <i r="1">
      <x v="8"/>
    </i>
    <i r="1">
      <x v="9"/>
    </i>
    <i r="1">
      <x v="10"/>
    </i>
    <i r="1">
      <x v="11"/>
    </i>
    <i>
      <x v="24"/>
    </i>
    <i r="1">
      <x/>
    </i>
    <i r="1">
      <x v="1"/>
    </i>
    <i r="1">
      <x v="3"/>
    </i>
    <i r="1">
      <x v="4"/>
    </i>
    <i r="1">
      <x v="5"/>
    </i>
    <i r="1">
      <x v="6"/>
    </i>
    <i r="1">
      <x v="7"/>
    </i>
    <i r="1">
      <x v="8"/>
    </i>
    <i r="1">
      <x v="9"/>
    </i>
    <i r="1">
      <x v="10"/>
    </i>
    <i r="1">
      <x v="11"/>
    </i>
    <i>
      <x v="25"/>
    </i>
    <i r="1">
      <x/>
    </i>
    <i r="1">
      <x v="1"/>
    </i>
    <i r="1">
      <x v="2"/>
    </i>
    <i r="1">
      <x v="3"/>
    </i>
    <i r="1">
      <x v="4"/>
    </i>
    <i r="1">
      <x v="5"/>
    </i>
    <i r="1">
      <x v="6"/>
    </i>
    <i r="1">
      <x v="7"/>
    </i>
    <i r="1">
      <x v="8"/>
    </i>
    <i r="1">
      <x v="9"/>
    </i>
    <i r="1">
      <x v="10"/>
    </i>
    <i r="1">
      <x v="11"/>
    </i>
    <i>
      <x v="26"/>
    </i>
    <i r="1">
      <x/>
    </i>
    <i r="1">
      <x v="3"/>
    </i>
    <i r="1">
      <x v="4"/>
    </i>
    <i r="1">
      <x v="5"/>
    </i>
    <i r="1">
      <x v="6"/>
    </i>
    <i r="1">
      <x v="9"/>
    </i>
    <i r="1">
      <x v="10"/>
    </i>
    <i>
      <x v="27"/>
    </i>
    <i r="1">
      <x/>
    </i>
    <i r="1">
      <x v="1"/>
    </i>
    <i r="1">
      <x v="2"/>
    </i>
    <i r="1">
      <x v="3"/>
    </i>
    <i r="1">
      <x v="4"/>
    </i>
    <i r="1">
      <x v="5"/>
    </i>
    <i r="1">
      <x v="7"/>
    </i>
    <i r="1">
      <x v="10"/>
    </i>
    <i>
      <x v="28"/>
    </i>
    <i r="1">
      <x/>
    </i>
    <i r="1">
      <x v="1"/>
    </i>
    <i r="1">
      <x v="2"/>
    </i>
    <i r="1">
      <x v="3"/>
    </i>
    <i r="1">
      <x v="5"/>
    </i>
    <i r="1">
      <x v="6"/>
    </i>
    <i r="1">
      <x v="7"/>
    </i>
    <i r="1">
      <x v="8"/>
    </i>
    <i r="1">
      <x v="9"/>
    </i>
    <i r="1">
      <x v="10"/>
    </i>
    <i r="1">
      <x v="11"/>
    </i>
    <i>
      <x v="29"/>
    </i>
    <i r="1">
      <x v="2"/>
    </i>
    <i r="1">
      <x v="3"/>
    </i>
    <i r="1">
      <x v="5"/>
    </i>
    <i r="1">
      <x v="6"/>
    </i>
    <i r="1">
      <x v="7"/>
    </i>
    <i r="1">
      <x v="8"/>
    </i>
    <i r="1">
      <x v="9"/>
    </i>
    <i r="1">
      <x v="10"/>
    </i>
    <i r="1">
      <x v="11"/>
    </i>
    <i>
      <x v="30"/>
    </i>
    <i r="1">
      <x/>
    </i>
    <i r="1">
      <x v="1"/>
    </i>
    <i r="1">
      <x v="2"/>
    </i>
    <i r="1">
      <x v="3"/>
    </i>
    <i r="1">
      <x v="5"/>
    </i>
    <i r="1">
      <x v="6"/>
    </i>
    <i r="1">
      <x v="7"/>
    </i>
    <i r="1">
      <x v="11"/>
    </i>
    <i>
      <x v="31"/>
    </i>
    <i r="1">
      <x/>
    </i>
    <i r="1">
      <x v="1"/>
    </i>
    <i r="1">
      <x v="2"/>
    </i>
    <i r="1">
      <x v="5"/>
    </i>
    <i r="1">
      <x v="6"/>
    </i>
    <i r="1">
      <x v="7"/>
    </i>
    <i r="1">
      <x v="8"/>
    </i>
    <i r="1">
      <x v="9"/>
    </i>
    <i r="1">
      <x v="10"/>
    </i>
    <i r="1">
      <x v="11"/>
    </i>
    <i>
      <x v="32"/>
    </i>
    <i r="1">
      <x/>
    </i>
    <i r="1">
      <x v="1"/>
    </i>
    <i r="1">
      <x v="5"/>
    </i>
    <i r="1">
      <x v="6"/>
    </i>
    <i r="1">
      <x v="7"/>
    </i>
    <i r="1">
      <x v="9"/>
    </i>
    <i r="1">
      <x v="10"/>
    </i>
    <i t="grand">
      <x/>
    </i>
  </rowItems>
  <colItems count="1">
    <i/>
  </colItems>
  <dataFields count="1">
    <dataField name="Sum of GrossRevenue"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A15CB1-BE9A-41F8-8134-E2290AFA3BA2}" name="PivotTable1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641" firstHeaderRow="1" firstDataRow="1" firstDataCol="2"/>
  <pivotFields count="35">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4">
        <item x="5"/>
        <item x="3"/>
        <item x="9"/>
        <item x="7"/>
        <item x="6"/>
        <item x="4"/>
        <item x="2"/>
        <item x="0"/>
        <item x="1"/>
        <item x="11"/>
        <item x="8"/>
        <item x="10"/>
        <item h="1" x="1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8">
        <item x="4"/>
        <item x="3"/>
        <item x="2"/>
        <item x="1"/>
        <item x="0"/>
        <item x="5"/>
        <item x="6"/>
        <item t="default"/>
      </items>
      <extLst>
        <ext xmlns:x14="http://schemas.microsoft.com/office/spreadsheetml/2009/9/main" uri="{2946ED86-A175-432a-8AC1-64E0C546D7DE}">
          <x14:pivotField fillDownLabels="1"/>
        </ext>
      </extLst>
    </pivotField>
    <pivotField compact="0" outline="0" showAll="0">
      <items count="18">
        <item x="8"/>
        <item x="5"/>
        <item x="0"/>
        <item x="14"/>
        <item x="6"/>
        <item x="9"/>
        <item x="3"/>
        <item x="10"/>
        <item x="2"/>
        <item x="1"/>
        <item x="11"/>
        <item x="4"/>
        <item x="12"/>
        <item x="13"/>
        <item x="7"/>
        <item x="15"/>
        <item x="16"/>
        <item t="default"/>
      </items>
      <extLst>
        <ext xmlns:x14="http://schemas.microsoft.com/office/spreadsheetml/2009/9/main" uri="{2946ED86-A175-432a-8AC1-64E0C546D7DE}">
          <x14:pivotField fillDownLabels="1"/>
        </ext>
      </extLst>
    </pivotField>
    <pivotField axis="axisRow" compact="0" outline="0" showAll="0">
      <items count="9">
        <item x="6"/>
        <item x="0"/>
        <item x="4"/>
        <item x="5"/>
        <item x="2"/>
        <item x="3"/>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632">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x="63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14"/>
    <field x="16"/>
  </rowFields>
  <rowItems count="63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t="default">
      <x/>
    </i>
    <i>
      <x v="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t="default">
      <x v="1"/>
    </i>
    <i>
      <x v="2"/>
      <x v="178"/>
    </i>
    <i r="1">
      <x v="179"/>
    </i>
    <i r="1">
      <x v="180"/>
    </i>
    <i r="1">
      <x v="181"/>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r="1">
      <x v="245"/>
    </i>
    <i r="1">
      <x v="246"/>
    </i>
    <i r="1">
      <x v="247"/>
    </i>
    <i r="1">
      <x v="248"/>
    </i>
    <i r="1">
      <x v="249"/>
    </i>
    <i r="1">
      <x v="250"/>
    </i>
    <i r="1">
      <x v="251"/>
    </i>
    <i r="1">
      <x v="252"/>
    </i>
    <i r="1">
      <x v="253"/>
    </i>
    <i r="1">
      <x v="254"/>
    </i>
    <i r="1">
      <x v="255"/>
    </i>
    <i r="1">
      <x v="256"/>
    </i>
    <i r="1">
      <x v="257"/>
    </i>
    <i r="1">
      <x v="258"/>
    </i>
    <i t="default">
      <x v="2"/>
    </i>
    <i>
      <x v="3"/>
      <x v="259"/>
    </i>
    <i r="1">
      <x v="260"/>
    </i>
    <i r="1">
      <x v="261"/>
    </i>
    <i r="1">
      <x v="262"/>
    </i>
    <i r="1">
      <x v="263"/>
    </i>
    <i r="1">
      <x v="264"/>
    </i>
    <i r="1">
      <x v="265"/>
    </i>
    <i r="1">
      <x v="266"/>
    </i>
    <i r="1">
      <x v="267"/>
    </i>
    <i r="1">
      <x v="268"/>
    </i>
    <i r="1">
      <x v="269"/>
    </i>
    <i r="1">
      <x v="270"/>
    </i>
    <i r="1">
      <x v="271"/>
    </i>
    <i r="1">
      <x v="272"/>
    </i>
    <i r="1">
      <x v="273"/>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299"/>
    </i>
    <i r="1">
      <x v="300"/>
    </i>
    <i r="1">
      <x v="301"/>
    </i>
    <i r="1">
      <x v="302"/>
    </i>
    <i r="1">
      <x v="303"/>
    </i>
    <i r="1">
      <x v="304"/>
    </i>
    <i r="1">
      <x v="305"/>
    </i>
    <i r="1">
      <x v="306"/>
    </i>
    <i r="1">
      <x v="307"/>
    </i>
    <i r="1">
      <x v="308"/>
    </i>
    <i r="1">
      <x v="309"/>
    </i>
    <i r="1">
      <x v="310"/>
    </i>
    <i r="1">
      <x v="311"/>
    </i>
    <i r="1">
      <x v="312"/>
    </i>
    <i r="1">
      <x v="313"/>
    </i>
    <i r="1">
      <x v="314"/>
    </i>
    <i r="1">
      <x v="315"/>
    </i>
    <i r="1">
      <x v="316"/>
    </i>
    <i r="1">
      <x v="317"/>
    </i>
    <i r="1">
      <x v="318"/>
    </i>
    <i r="1">
      <x v="319"/>
    </i>
    <i r="1">
      <x v="320"/>
    </i>
    <i r="1">
      <x v="321"/>
    </i>
    <i r="1">
      <x v="322"/>
    </i>
    <i r="1">
      <x v="323"/>
    </i>
    <i r="1">
      <x v="324"/>
    </i>
    <i r="1">
      <x v="325"/>
    </i>
    <i r="1">
      <x v="326"/>
    </i>
    <i r="1">
      <x v="327"/>
    </i>
    <i r="1">
      <x v="328"/>
    </i>
    <i r="1">
      <x v="329"/>
    </i>
    <i r="1">
      <x v="330"/>
    </i>
    <i r="1">
      <x v="331"/>
    </i>
    <i r="1">
      <x v="332"/>
    </i>
    <i r="1">
      <x v="333"/>
    </i>
    <i r="1">
      <x v="334"/>
    </i>
    <i r="1">
      <x v="335"/>
    </i>
    <i r="1">
      <x v="336"/>
    </i>
    <i r="1">
      <x v="337"/>
    </i>
    <i r="1">
      <x v="338"/>
    </i>
    <i r="1">
      <x v="339"/>
    </i>
    <i r="1">
      <x v="340"/>
    </i>
    <i r="1">
      <x v="341"/>
    </i>
    <i r="1">
      <x v="342"/>
    </i>
    <i r="1">
      <x v="343"/>
    </i>
    <i r="1">
      <x v="344"/>
    </i>
    <i r="1">
      <x v="345"/>
    </i>
    <i r="1">
      <x v="346"/>
    </i>
    <i r="1">
      <x v="347"/>
    </i>
    <i r="1">
      <x v="348"/>
    </i>
    <i r="1">
      <x v="349"/>
    </i>
    <i r="1">
      <x v="350"/>
    </i>
    <i r="1">
      <x v="351"/>
    </i>
    <i r="1">
      <x v="352"/>
    </i>
    <i t="default">
      <x v="3"/>
    </i>
    <i>
      <x v="4"/>
      <x v="353"/>
    </i>
    <i r="1">
      <x v="354"/>
    </i>
    <i r="1">
      <x v="355"/>
    </i>
    <i r="1">
      <x v="356"/>
    </i>
    <i r="1">
      <x v="357"/>
    </i>
    <i r="1">
      <x v="358"/>
    </i>
    <i r="1">
      <x v="359"/>
    </i>
    <i r="1">
      <x v="360"/>
    </i>
    <i r="1">
      <x v="361"/>
    </i>
    <i r="1">
      <x v="362"/>
    </i>
    <i r="1">
      <x v="363"/>
    </i>
    <i r="1">
      <x v="364"/>
    </i>
    <i r="1">
      <x v="365"/>
    </i>
    <i r="1">
      <x v="366"/>
    </i>
    <i r="1">
      <x v="367"/>
    </i>
    <i r="1">
      <x v="368"/>
    </i>
    <i r="1">
      <x v="369"/>
    </i>
    <i r="1">
      <x v="370"/>
    </i>
    <i r="1">
      <x v="371"/>
    </i>
    <i r="1">
      <x v="372"/>
    </i>
    <i r="1">
      <x v="373"/>
    </i>
    <i r="1">
      <x v="374"/>
    </i>
    <i r="1">
      <x v="375"/>
    </i>
    <i r="1">
      <x v="376"/>
    </i>
    <i r="1">
      <x v="377"/>
    </i>
    <i r="1">
      <x v="378"/>
    </i>
    <i r="1">
      <x v="379"/>
    </i>
    <i r="1">
      <x v="380"/>
    </i>
    <i r="1">
      <x v="381"/>
    </i>
    <i r="1">
      <x v="382"/>
    </i>
    <i r="1">
      <x v="383"/>
    </i>
    <i r="1">
      <x v="384"/>
    </i>
    <i r="1">
      <x v="385"/>
    </i>
    <i r="1">
      <x v="386"/>
    </i>
    <i r="1">
      <x v="387"/>
    </i>
    <i r="1">
      <x v="388"/>
    </i>
    <i r="1">
      <x v="389"/>
    </i>
    <i r="1">
      <x v="390"/>
    </i>
    <i r="1">
      <x v="391"/>
    </i>
    <i r="1">
      <x v="392"/>
    </i>
    <i r="1">
      <x v="393"/>
    </i>
    <i r="1">
      <x v="394"/>
    </i>
    <i r="1">
      <x v="395"/>
    </i>
    <i r="1">
      <x v="396"/>
    </i>
    <i r="1">
      <x v="397"/>
    </i>
    <i r="1">
      <x v="398"/>
    </i>
    <i r="1">
      <x v="399"/>
    </i>
    <i r="1">
      <x v="400"/>
    </i>
    <i r="1">
      <x v="401"/>
    </i>
    <i r="1">
      <x v="402"/>
    </i>
    <i r="1">
      <x v="403"/>
    </i>
    <i r="1">
      <x v="404"/>
    </i>
    <i r="1">
      <x v="405"/>
    </i>
    <i r="1">
      <x v="406"/>
    </i>
    <i r="1">
      <x v="407"/>
    </i>
    <i r="1">
      <x v="408"/>
    </i>
    <i r="1">
      <x v="409"/>
    </i>
    <i r="1">
      <x v="410"/>
    </i>
    <i r="1">
      <x v="411"/>
    </i>
    <i r="1">
      <x v="412"/>
    </i>
    <i r="1">
      <x v="413"/>
    </i>
    <i r="1">
      <x v="414"/>
    </i>
    <i r="1">
      <x v="415"/>
    </i>
    <i r="1">
      <x v="416"/>
    </i>
    <i r="1">
      <x v="417"/>
    </i>
    <i r="1">
      <x v="418"/>
    </i>
    <i r="1">
      <x v="419"/>
    </i>
    <i r="1">
      <x v="420"/>
    </i>
    <i r="1">
      <x v="421"/>
    </i>
    <i r="1">
      <x v="422"/>
    </i>
    <i r="1">
      <x v="423"/>
    </i>
    <i r="1">
      <x v="424"/>
    </i>
    <i r="1">
      <x v="425"/>
    </i>
    <i r="1">
      <x v="426"/>
    </i>
    <i r="1">
      <x v="427"/>
    </i>
    <i r="1">
      <x v="428"/>
    </i>
    <i r="1">
      <x v="429"/>
    </i>
    <i r="1">
      <x v="430"/>
    </i>
    <i r="1">
      <x v="431"/>
    </i>
    <i r="1">
      <x v="432"/>
    </i>
    <i r="1">
      <x v="433"/>
    </i>
    <i r="1">
      <x v="434"/>
    </i>
    <i r="1">
      <x v="435"/>
    </i>
    <i r="1">
      <x v="436"/>
    </i>
    <i r="1">
      <x v="437"/>
    </i>
    <i r="1">
      <x v="438"/>
    </i>
    <i t="default">
      <x v="4"/>
    </i>
    <i>
      <x v="5"/>
      <x v="439"/>
    </i>
    <i r="1">
      <x v="440"/>
    </i>
    <i r="1">
      <x v="441"/>
    </i>
    <i r="1">
      <x v="442"/>
    </i>
    <i r="1">
      <x v="443"/>
    </i>
    <i r="1">
      <x v="444"/>
    </i>
    <i r="1">
      <x v="445"/>
    </i>
    <i r="1">
      <x v="446"/>
    </i>
    <i r="1">
      <x v="447"/>
    </i>
    <i r="1">
      <x v="448"/>
    </i>
    <i r="1">
      <x v="449"/>
    </i>
    <i r="1">
      <x v="450"/>
    </i>
    <i r="1">
      <x v="451"/>
    </i>
    <i r="1">
      <x v="452"/>
    </i>
    <i r="1">
      <x v="453"/>
    </i>
    <i r="1">
      <x v="454"/>
    </i>
    <i r="1">
      <x v="455"/>
    </i>
    <i r="1">
      <x v="456"/>
    </i>
    <i r="1">
      <x v="457"/>
    </i>
    <i r="1">
      <x v="458"/>
    </i>
    <i r="1">
      <x v="459"/>
    </i>
    <i r="1">
      <x v="460"/>
    </i>
    <i r="1">
      <x v="461"/>
    </i>
    <i r="1">
      <x v="462"/>
    </i>
    <i r="1">
      <x v="463"/>
    </i>
    <i r="1">
      <x v="464"/>
    </i>
    <i r="1">
      <x v="465"/>
    </i>
    <i r="1">
      <x v="466"/>
    </i>
    <i r="1">
      <x v="467"/>
    </i>
    <i r="1">
      <x v="468"/>
    </i>
    <i r="1">
      <x v="469"/>
    </i>
    <i r="1">
      <x v="470"/>
    </i>
    <i r="1">
      <x v="471"/>
    </i>
    <i r="1">
      <x v="472"/>
    </i>
    <i r="1">
      <x v="473"/>
    </i>
    <i r="1">
      <x v="474"/>
    </i>
    <i r="1">
      <x v="475"/>
    </i>
    <i r="1">
      <x v="476"/>
    </i>
    <i r="1">
      <x v="477"/>
    </i>
    <i r="1">
      <x v="478"/>
    </i>
    <i r="1">
      <x v="479"/>
    </i>
    <i r="1">
      <x v="480"/>
    </i>
    <i r="1">
      <x v="481"/>
    </i>
    <i r="1">
      <x v="482"/>
    </i>
    <i r="1">
      <x v="483"/>
    </i>
    <i r="1">
      <x v="484"/>
    </i>
    <i r="1">
      <x v="485"/>
    </i>
    <i r="1">
      <x v="486"/>
    </i>
    <i r="1">
      <x v="487"/>
    </i>
    <i r="1">
      <x v="488"/>
    </i>
    <i r="1">
      <x v="489"/>
    </i>
    <i r="1">
      <x v="490"/>
    </i>
    <i r="1">
      <x v="491"/>
    </i>
    <i r="1">
      <x v="492"/>
    </i>
    <i r="1">
      <x v="493"/>
    </i>
    <i r="1">
      <x v="494"/>
    </i>
    <i r="1">
      <x v="495"/>
    </i>
    <i r="1">
      <x v="496"/>
    </i>
    <i r="1">
      <x v="497"/>
    </i>
    <i r="1">
      <x v="498"/>
    </i>
    <i r="1">
      <x v="499"/>
    </i>
    <i r="1">
      <x v="500"/>
    </i>
    <i r="1">
      <x v="501"/>
    </i>
    <i r="1">
      <x v="502"/>
    </i>
    <i r="1">
      <x v="503"/>
    </i>
    <i r="1">
      <x v="504"/>
    </i>
    <i r="1">
      <x v="505"/>
    </i>
    <i r="1">
      <x v="506"/>
    </i>
    <i r="1">
      <x v="507"/>
    </i>
    <i r="1">
      <x v="508"/>
    </i>
    <i r="1">
      <x v="509"/>
    </i>
    <i r="1">
      <x v="510"/>
    </i>
    <i r="1">
      <x v="511"/>
    </i>
    <i r="1">
      <x v="512"/>
    </i>
    <i r="1">
      <x v="513"/>
    </i>
    <i r="1">
      <x v="514"/>
    </i>
    <i r="1">
      <x v="515"/>
    </i>
    <i r="1">
      <x v="516"/>
    </i>
    <i r="1">
      <x v="517"/>
    </i>
    <i r="1">
      <x v="518"/>
    </i>
    <i r="1">
      <x v="519"/>
    </i>
    <i r="1">
      <x v="520"/>
    </i>
    <i r="1">
      <x v="521"/>
    </i>
    <i r="1">
      <x v="522"/>
    </i>
    <i r="1">
      <x v="523"/>
    </i>
    <i r="1">
      <x v="524"/>
    </i>
    <i r="1">
      <x v="525"/>
    </i>
    <i r="1">
      <x v="526"/>
    </i>
    <i t="default">
      <x v="5"/>
    </i>
    <i>
      <x v="6"/>
      <x v="527"/>
    </i>
    <i r="1">
      <x v="528"/>
    </i>
    <i r="1">
      <x v="529"/>
    </i>
    <i r="1">
      <x v="530"/>
    </i>
    <i r="1">
      <x v="531"/>
    </i>
    <i r="1">
      <x v="532"/>
    </i>
    <i r="1">
      <x v="533"/>
    </i>
    <i r="1">
      <x v="534"/>
    </i>
    <i r="1">
      <x v="535"/>
    </i>
    <i r="1">
      <x v="536"/>
    </i>
    <i r="1">
      <x v="537"/>
    </i>
    <i r="1">
      <x v="538"/>
    </i>
    <i r="1">
      <x v="539"/>
    </i>
    <i r="1">
      <x v="540"/>
    </i>
    <i r="1">
      <x v="541"/>
    </i>
    <i r="1">
      <x v="542"/>
    </i>
    <i r="1">
      <x v="543"/>
    </i>
    <i r="1">
      <x v="544"/>
    </i>
    <i r="1">
      <x v="545"/>
    </i>
    <i r="1">
      <x v="546"/>
    </i>
    <i r="1">
      <x v="547"/>
    </i>
    <i r="1">
      <x v="548"/>
    </i>
    <i r="1">
      <x v="549"/>
    </i>
    <i r="1">
      <x v="550"/>
    </i>
    <i r="1">
      <x v="551"/>
    </i>
    <i r="1">
      <x v="552"/>
    </i>
    <i r="1">
      <x v="553"/>
    </i>
    <i r="1">
      <x v="554"/>
    </i>
    <i r="1">
      <x v="555"/>
    </i>
    <i r="1">
      <x v="556"/>
    </i>
    <i r="1">
      <x v="557"/>
    </i>
    <i r="1">
      <x v="558"/>
    </i>
    <i r="1">
      <x v="559"/>
    </i>
    <i r="1">
      <x v="560"/>
    </i>
    <i r="1">
      <x v="561"/>
    </i>
    <i r="1">
      <x v="562"/>
    </i>
    <i r="1">
      <x v="563"/>
    </i>
    <i r="1">
      <x v="564"/>
    </i>
    <i r="1">
      <x v="565"/>
    </i>
    <i r="1">
      <x v="566"/>
    </i>
    <i r="1">
      <x v="567"/>
    </i>
    <i r="1">
      <x v="568"/>
    </i>
    <i r="1">
      <x v="569"/>
    </i>
    <i r="1">
      <x v="570"/>
    </i>
    <i r="1">
      <x v="571"/>
    </i>
    <i r="1">
      <x v="572"/>
    </i>
    <i r="1">
      <x v="573"/>
    </i>
    <i r="1">
      <x v="574"/>
    </i>
    <i r="1">
      <x v="575"/>
    </i>
    <i r="1">
      <x v="576"/>
    </i>
    <i r="1">
      <x v="577"/>
    </i>
    <i r="1">
      <x v="578"/>
    </i>
    <i r="1">
      <x v="579"/>
    </i>
    <i r="1">
      <x v="580"/>
    </i>
    <i r="1">
      <x v="581"/>
    </i>
    <i r="1">
      <x v="582"/>
    </i>
    <i r="1">
      <x v="583"/>
    </i>
    <i r="1">
      <x v="584"/>
    </i>
    <i r="1">
      <x v="585"/>
    </i>
    <i r="1">
      <x v="586"/>
    </i>
    <i r="1">
      <x v="587"/>
    </i>
    <i r="1">
      <x v="588"/>
    </i>
    <i r="1">
      <x v="589"/>
    </i>
    <i r="1">
      <x v="590"/>
    </i>
    <i r="1">
      <x v="591"/>
    </i>
    <i r="1">
      <x v="592"/>
    </i>
    <i r="1">
      <x v="593"/>
    </i>
    <i r="1">
      <x v="594"/>
    </i>
    <i r="1">
      <x v="595"/>
    </i>
    <i r="1">
      <x v="596"/>
    </i>
    <i r="1">
      <x v="597"/>
    </i>
    <i r="1">
      <x v="598"/>
    </i>
    <i r="1">
      <x v="599"/>
    </i>
    <i r="1">
      <x v="600"/>
    </i>
    <i r="1">
      <x v="601"/>
    </i>
    <i r="1">
      <x v="602"/>
    </i>
    <i r="1">
      <x v="603"/>
    </i>
    <i r="1">
      <x v="604"/>
    </i>
    <i r="1">
      <x v="605"/>
    </i>
    <i r="1">
      <x v="606"/>
    </i>
    <i r="1">
      <x v="607"/>
    </i>
    <i r="1">
      <x v="608"/>
    </i>
    <i r="1">
      <x v="609"/>
    </i>
    <i r="1">
      <x v="610"/>
    </i>
    <i r="1">
      <x v="611"/>
    </i>
    <i r="1">
      <x v="612"/>
    </i>
    <i r="1">
      <x v="613"/>
    </i>
    <i r="1">
      <x v="614"/>
    </i>
    <i r="1">
      <x v="615"/>
    </i>
    <i r="1">
      <x v="616"/>
    </i>
    <i r="1">
      <x v="617"/>
    </i>
    <i r="1">
      <x v="618"/>
    </i>
    <i r="1">
      <x v="619"/>
    </i>
    <i r="1">
      <x v="620"/>
    </i>
    <i r="1">
      <x v="621"/>
    </i>
    <i r="1">
      <x v="622"/>
    </i>
    <i r="1">
      <x v="623"/>
    </i>
    <i r="1">
      <x v="624"/>
    </i>
    <i r="1">
      <x v="625"/>
    </i>
    <i r="1">
      <x v="626"/>
    </i>
    <i r="1">
      <x v="627"/>
    </i>
    <i r="1">
      <x v="628"/>
    </i>
    <i r="1">
      <x v="629"/>
    </i>
    <i t="default">
      <x v="6"/>
    </i>
    <i t="grand">
      <x/>
    </i>
  </rowItems>
  <colItems count="1">
    <i/>
  </colItems>
  <dataFields count="1">
    <dataField name="Sum of GrossRevenue"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AA5A98-5DCC-4CB6-B949-A79CC1988F9B}"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0" firstHeaderRow="0" firstDataRow="1" firstDataCol="1"/>
  <pivotFields count="35">
    <pivotField dataField="1" showAll="0"/>
    <pivotField showAll="0"/>
    <pivotField showAll="0"/>
    <pivotField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showAll="0"/>
    <pivotField showAll="0"/>
    <pivotField showAll="0"/>
    <pivotField showAll="0">
      <items count="14">
        <item x="5"/>
        <item x="3"/>
        <item x="9"/>
        <item x="7"/>
        <item x="6"/>
        <item x="4"/>
        <item x="2"/>
        <item x="0"/>
        <item x="1"/>
        <item x="11"/>
        <item x="8"/>
        <item x="10"/>
        <item h="1" x="12"/>
        <item t="default"/>
      </items>
    </pivotField>
    <pivotField showAll="0"/>
    <pivotField showAll="0"/>
    <pivotField showAll="0">
      <items count="8">
        <item x="4"/>
        <item x="3"/>
        <item x="2"/>
        <item x="1"/>
        <item x="0"/>
        <item x="5"/>
        <item x="6"/>
        <item t="default"/>
      </items>
    </pivotField>
    <pivotField axis="axisRow"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s>
  <rowFields count="1">
    <field x="13"/>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dataFields count="3">
    <dataField name="Count of OrderID" fld="0" subtotal="count" baseField="0" baseItem="0"/>
    <dataField name="Sum of GrossRevenue" fld="25" baseField="0" baseItem="0"/>
    <dataField name="Sum of GrossProfit" fld="2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2E948E-94A1-45F1-A88D-5FAA12B60E1A}"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H9" firstHeaderRow="1" firstDataRow="2" firstDataCol="1"/>
  <pivotFields count="35">
    <pivotField showAll="0"/>
    <pivotField showAll="0"/>
    <pivotField showAll="0"/>
    <pivotField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showAll="0"/>
    <pivotField showAll="0"/>
    <pivotField axis="axisRow" showAll="0">
      <items count="6">
        <item x="0"/>
        <item x="2"/>
        <item x="1"/>
        <item x="3"/>
        <item x="4"/>
        <item t="default"/>
      </items>
    </pivotField>
    <pivotField showAll="0">
      <items count="14">
        <item x="5"/>
        <item x="3"/>
        <item x="9"/>
        <item x="7"/>
        <item x="6"/>
        <item x="4"/>
        <item x="2"/>
        <item x="0"/>
        <item x="1"/>
        <item x="11"/>
        <item x="8"/>
        <item x="10"/>
        <item h="1" x="12"/>
        <item t="default"/>
      </items>
    </pivotField>
    <pivotField showAll="0"/>
    <pivotField showAll="0"/>
    <pivotField axis="axisCol" showAll="0">
      <items count="8">
        <item x="4"/>
        <item x="3"/>
        <item x="2"/>
        <item x="1"/>
        <item x="0"/>
        <item x="5"/>
        <item x="6"/>
        <item t="default"/>
      </items>
    </pivotField>
    <pivotField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8"/>
  </rowFields>
  <rowItems count="5">
    <i>
      <x/>
    </i>
    <i>
      <x v="1"/>
    </i>
    <i>
      <x v="2"/>
    </i>
    <i>
      <x v="3"/>
    </i>
    <i t="grand">
      <x/>
    </i>
  </rowItems>
  <colFields count="1">
    <field x="12"/>
  </colFields>
  <colItems count="7">
    <i>
      <x/>
    </i>
    <i>
      <x v="1"/>
    </i>
    <i>
      <x v="2"/>
    </i>
    <i>
      <x v="3"/>
    </i>
    <i>
      <x v="4"/>
    </i>
    <i>
      <x v="5"/>
    </i>
    <i t="grand">
      <x/>
    </i>
  </colItems>
  <dataFields count="1">
    <dataField name="Sum of GrossRevenue" fld="25" showDataAs="percentOfRow" baseField="0" baseItem="0" numFmtId="10"/>
  </dataFields>
  <chartFormats count="31">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 chart="2" format="2" series="1">
      <pivotArea type="data" outline="0" fieldPosition="0">
        <references count="2">
          <reference field="4294967294" count="1" selected="0">
            <x v="0"/>
          </reference>
          <reference field="12" count="1" selected="0">
            <x v="2"/>
          </reference>
        </references>
      </pivotArea>
    </chartFormat>
    <chartFormat chart="2" format="3" series="1">
      <pivotArea type="data" outline="0" fieldPosition="0">
        <references count="2">
          <reference field="4294967294" count="1" selected="0">
            <x v="0"/>
          </reference>
          <reference field="12" count="1" selected="0">
            <x v="3"/>
          </reference>
        </references>
      </pivotArea>
    </chartFormat>
    <chartFormat chart="2" format="4" series="1">
      <pivotArea type="data" outline="0" fieldPosition="0">
        <references count="2">
          <reference field="4294967294" count="1" selected="0">
            <x v="0"/>
          </reference>
          <reference field="12" count="1" selected="0">
            <x v="4"/>
          </reference>
        </references>
      </pivotArea>
    </chartFormat>
    <chartFormat chart="2" format="5" series="1">
      <pivotArea type="data" outline="0" fieldPosition="0">
        <references count="2">
          <reference field="4294967294" count="1" selected="0">
            <x v="0"/>
          </reference>
          <reference field="12" count="1" selected="0">
            <x v="5"/>
          </reference>
        </references>
      </pivotArea>
    </chartFormat>
    <chartFormat chart="2" format="6" series="1">
      <pivotArea type="data" outline="0" fieldPosition="0">
        <references count="2">
          <reference field="4294967294" count="1" selected="0">
            <x v="0"/>
          </reference>
          <reference field="12" count="1" selected="0">
            <x v="6"/>
          </reference>
        </references>
      </pivotArea>
    </chartFormat>
    <chartFormat chart="2" format="7" series="1">
      <pivotArea type="data" outline="0" fieldPosition="0">
        <references count="3">
          <reference field="4294967294" count="1" selected="0">
            <x v="0"/>
          </reference>
          <reference field="8" count="1" selected="0">
            <x v="3"/>
          </reference>
          <reference field="12" count="1" selected="0">
            <x v="1"/>
          </reference>
        </references>
      </pivotArea>
    </chartFormat>
    <chartFormat chart="2" format="8" series="1">
      <pivotArea type="data" outline="0" fieldPosition="0">
        <references count="3">
          <reference field="4294967294" count="1" selected="0">
            <x v="0"/>
          </reference>
          <reference field="8" count="1" selected="0">
            <x v="0"/>
          </reference>
          <reference field="12" count="1" selected="0">
            <x v="2"/>
          </reference>
        </references>
      </pivotArea>
    </chartFormat>
    <chartFormat chart="2" format="9" series="1">
      <pivotArea type="data" outline="0" fieldPosition="0">
        <references count="3">
          <reference field="4294967294" count="1" selected="0">
            <x v="0"/>
          </reference>
          <reference field="8" count="1" selected="0">
            <x v="1"/>
          </reference>
          <reference field="12" count="1" selected="0">
            <x v="2"/>
          </reference>
        </references>
      </pivotArea>
    </chartFormat>
    <chartFormat chart="2" format="10" series="1">
      <pivotArea type="data" outline="0" fieldPosition="0">
        <references count="3">
          <reference field="4294967294" count="1" selected="0">
            <x v="0"/>
          </reference>
          <reference field="8" count="1" selected="0">
            <x v="2"/>
          </reference>
          <reference field="12" count="1" selected="0">
            <x v="2"/>
          </reference>
        </references>
      </pivotArea>
    </chartFormat>
    <chartFormat chart="2" format="11" series="1">
      <pivotArea type="data" outline="0" fieldPosition="0">
        <references count="3">
          <reference field="4294967294" count="1" selected="0">
            <x v="0"/>
          </reference>
          <reference field="8" count="1" selected="0">
            <x v="3"/>
          </reference>
          <reference field="12" count="1" selected="0">
            <x v="2"/>
          </reference>
        </references>
      </pivotArea>
    </chartFormat>
    <chartFormat chart="2" format="12" series="1">
      <pivotArea type="data" outline="0" fieldPosition="0">
        <references count="3">
          <reference field="4294967294" count="1" selected="0">
            <x v="0"/>
          </reference>
          <reference field="8" count="1" selected="0">
            <x v="0"/>
          </reference>
          <reference field="12" count="1" selected="0">
            <x v="3"/>
          </reference>
        </references>
      </pivotArea>
    </chartFormat>
    <chartFormat chart="2" format="13" series="1">
      <pivotArea type="data" outline="0" fieldPosition="0">
        <references count="3">
          <reference field="4294967294" count="1" selected="0">
            <x v="0"/>
          </reference>
          <reference field="8" count="1" selected="0">
            <x v="1"/>
          </reference>
          <reference field="12" count="1" selected="0">
            <x v="3"/>
          </reference>
        </references>
      </pivotArea>
    </chartFormat>
    <chartFormat chart="2" format="14" series="1">
      <pivotArea type="data" outline="0" fieldPosition="0">
        <references count="3">
          <reference field="4294967294" count="1" selected="0">
            <x v="0"/>
          </reference>
          <reference field="8" count="1" selected="0">
            <x v="2"/>
          </reference>
          <reference field="12" count="1" selected="0">
            <x v="3"/>
          </reference>
        </references>
      </pivotArea>
    </chartFormat>
    <chartFormat chart="2" format="15" series="1">
      <pivotArea type="data" outline="0" fieldPosition="0">
        <references count="3">
          <reference field="4294967294" count="1" selected="0">
            <x v="0"/>
          </reference>
          <reference field="8" count="1" selected="0">
            <x v="3"/>
          </reference>
          <reference field="12" count="1" selected="0">
            <x v="3"/>
          </reference>
        </references>
      </pivotArea>
    </chartFormat>
    <chartFormat chart="2" format="16" series="1">
      <pivotArea type="data" outline="0" fieldPosition="0">
        <references count="3">
          <reference field="4294967294" count="1" selected="0">
            <x v="0"/>
          </reference>
          <reference field="8" count="1" selected="0">
            <x v="0"/>
          </reference>
          <reference field="12" count="1" selected="0">
            <x v="4"/>
          </reference>
        </references>
      </pivotArea>
    </chartFormat>
    <chartFormat chart="2" format="17" series="1">
      <pivotArea type="data" outline="0" fieldPosition="0">
        <references count="3">
          <reference field="4294967294" count="1" selected="0">
            <x v="0"/>
          </reference>
          <reference field="8" count="1" selected="0">
            <x v="1"/>
          </reference>
          <reference field="12" count="1" selected="0">
            <x v="4"/>
          </reference>
        </references>
      </pivotArea>
    </chartFormat>
    <chartFormat chart="2" format="18" series="1">
      <pivotArea type="data" outline="0" fieldPosition="0">
        <references count="3">
          <reference field="4294967294" count="1" selected="0">
            <x v="0"/>
          </reference>
          <reference field="8" count="1" selected="0">
            <x v="2"/>
          </reference>
          <reference field="12" count="1" selected="0">
            <x v="4"/>
          </reference>
        </references>
      </pivotArea>
    </chartFormat>
    <chartFormat chart="2" format="19" series="1">
      <pivotArea type="data" outline="0" fieldPosition="0">
        <references count="3">
          <reference field="4294967294" count="1" selected="0">
            <x v="0"/>
          </reference>
          <reference field="8" count="1" selected="0">
            <x v="3"/>
          </reference>
          <reference field="12" count="1" selected="0">
            <x v="4"/>
          </reference>
        </references>
      </pivotArea>
    </chartFormat>
    <chartFormat chart="2" format="20" series="1">
      <pivotArea type="data" outline="0" fieldPosition="0">
        <references count="3">
          <reference field="4294967294" count="1" selected="0">
            <x v="0"/>
          </reference>
          <reference field="8" count="1" selected="0">
            <x v="0"/>
          </reference>
          <reference field="12" count="1" selected="0">
            <x v="5"/>
          </reference>
        </references>
      </pivotArea>
    </chartFormat>
    <chartFormat chart="2" format="21" series="1">
      <pivotArea type="data" outline="0" fieldPosition="0">
        <references count="3">
          <reference field="4294967294" count="1" selected="0">
            <x v="0"/>
          </reference>
          <reference field="8" count="1" selected="0">
            <x v="1"/>
          </reference>
          <reference field="12" count="1" selected="0">
            <x v="5"/>
          </reference>
        </references>
      </pivotArea>
    </chartFormat>
    <chartFormat chart="2" format="22" series="1">
      <pivotArea type="data" outline="0" fieldPosition="0">
        <references count="3">
          <reference field="4294967294" count="1" selected="0">
            <x v="0"/>
          </reference>
          <reference field="8" count="1" selected="0">
            <x v="2"/>
          </reference>
          <reference field="12" count="1" selected="0">
            <x v="5"/>
          </reference>
        </references>
      </pivotArea>
    </chartFormat>
    <chartFormat chart="2" format="23" series="1">
      <pivotArea type="data" outline="0" fieldPosition="0">
        <references count="3">
          <reference field="4294967294" count="1" selected="0">
            <x v="0"/>
          </reference>
          <reference field="8" count="1" selected="0">
            <x v="3"/>
          </reference>
          <reference field="12" count="1" selected="0">
            <x v="5"/>
          </reference>
        </references>
      </pivotArea>
    </chartFormat>
    <chartFormat chart="2" format="24" series="1">
      <pivotArea type="data" outline="0" fieldPosition="0">
        <references count="3">
          <reference field="4294967294" count="1" selected="0">
            <x v="0"/>
          </reference>
          <reference field="8" count="1" selected="0">
            <x v="4"/>
          </reference>
          <reference field="12" count="1" selected="0">
            <x v="6"/>
          </reference>
        </references>
      </pivotArea>
    </chartFormat>
    <chartFormat chart="2" format="25" series="1">
      <pivotArea type="data" outline="0" fieldPosition="0">
        <references count="2">
          <reference field="4294967294" count="1" selected="0">
            <x v="0"/>
          </reference>
          <reference field="8" count="1" selected="0">
            <x v="0"/>
          </reference>
        </references>
      </pivotArea>
    </chartFormat>
    <chartFormat chart="2" format="26" series="1">
      <pivotArea type="data" outline="0" fieldPosition="0">
        <references count="2">
          <reference field="4294967294" count="1" selected="0">
            <x v="0"/>
          </reference>
          <reference field="8" count="1" selected="0">
            <x v="1"/>
          </reference>
        </references>
      </pivotArea>
    </chartFormat>
    <chartFormat chart="2" format="27" series="1">
      <pivotArea type="data" outline="0" fieldPosition="0">
        <references count="2">
          <reference field="4294967294" count="1" selected="0">
            <x v="0"/>
          </reference>
          <reference field="8" count="1" selected="0">
            <x v="2"/>
          </reference>
        </references>
      </pivotArea>
    </chartFormat>
    <chartFormat chart="2" format="28" series="1">
      <pivotArea type="data" outline="0" fieldPosition="0">
        <references count="2">
          <reference field="4294967294" count="1" selected="0">
            <x v="0"/>
          </reference>
          <reference field="8" count="1" selected="0">
            <x v="3"/>
          </reference>
        </references>
      </pivotArea>
    </chartFormat>
    <chartFormat chart="2" format="29" series="1">
      <pivotArea type="data" outline="0" fieldPosition="0">
        <references count="2">
          <reference field="4294967294" count="1" selected="0">
            <x v="0"/>
          </reference>
          <reference field="8" count="1" selected="0">
            <x v="4"/>
          </reference>
        </references>
      </pivotArea>
    </chartFormat>
    <chartFormat chart="2"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7D7390-155E-4208-8E32-E5E0BC7906C6}" name="PivotTable1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84" firstHeaderRow="1" firstDataRow="1" firstDataCol="1"/>
  <pivotFields count="35">
    <pivotField showAll="0"/>
    <pivotField showAll="0"/>
    <pivotField showAll="0"/>
    <pivotField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showAll="0"/>
    <pivotField showAll="0"/>
    <pivotField axis="axisRow" showAll="0">
      <items count="6">
        <item x="0"/>
        <item x="2"/>
        <item x="1"/>
        <item x="3"/>
        <item h="1" x="4"/>
        <item t="default"/>
      </items>
    </pivotField>
    <pivotField showAll="0">
      <items count="14">
        <item x="5"/>
        <item x="3"/>
        <item x="9"/>
        <item x="7"/>
        <item x="6"/>
        <item x="4"/>
        <item x="2"/>
        <item x="0"/>
        <item x="1"/>
        <item x="11"/>
        <item x="8"/>
        <item x="10"/>
        <item h="1" x="12"/>
        <item t="default"/>
      </items>
    </pivotField>
    <pivotField showAll="0"/>
    <pivotField showAll="0"/>
    <pivotField showAll="0">
      <items count="8">
        <item x="4"/>
        <item x="3"/>
        <item x="2"/>
        <item x="1"/>
        <item x="0"/>
        <item x="5"/>
        <item x="6"/>
        <item t="default"/>
      </items>
    </pivotField>
    <pivotField axis="axisRow"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3"/>
    <field x="8"/>
  </rowFields>
  <rowItems count="81">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x v="6"/>
    </i>
    <i r="1">
      <x/>
    </i>
    <i r="1">
      <x v="1"/>
    </i>
    <i r="1">
      <x v="2"/>
    </i>
    <i r="1">
      <x v="3"/>
    </i>
    <i>
      <x v="7"/>
    </i>
    <i r="1">
      <x/>
    </i>
    <i r="1">
      <x v="1"/>
    </i>
    <i r="1">
      <x v="2"/>
    </i>
    <i r="1">
      <x v="3"/>
    </i>
    <i>
      <x v="8"/>
    </i>
    <i r="1">
      <x/>
    </i>
    <i r="1">
      <x v="1"/>
    </i>
    <i r="1">
      <x v="2"/>
    </i>
    <i r="1">
      <x v="3"/>
    </i>
    <i>
      <x v="9"/>
    </i>
    <i r="1">
      <x/>
    </i>
    <i r="1">
      <x v="1"/>
    </i>
    <i r="1">
      <x v="2"/>
    </i>
    <i r="1">
      <x v="3"/>
    </i>
    <i>
      <x v="10"/>
    </i>
    <i r="1">
      <x/>
    </i>
    <i r="1">
      <x v="1"/>
    </i>
    <i r="1">
      <x v="2"/>
    </i>
    <i r="1">
      <x v="3"/>
    </i>
    <i>
      <x v="11"/>
    </i>
    <i r="1">
      <x/>
    </i>
    <i r="1">
      <x v="1"/>
    </i>
    <i r="1">
      <x v="2"/>
    </i>
    <i r="1">
      <x v="3"/>
    </i>
    <i>
      <x v="12"/>
    </i>
    <i r="1">
      <x/>
    </i>
    <i r="1">
      <x v="1"/>
    </i>
    <i r="1">
      <x v="2"/>
    </i>
    <i r="1">
      <x v="3"/>
    </i>
    <i>
      <x v="13"/>
    </i>
    <i r="1">
      <x/>
    </i>
    <i r="1">
      <x v="1"/>
    </i>
    <i r="1">
      <x v="2"/>
    </i>
    <i r="1">
      <x v="3"/>
    </i>
    <i>
      <x v="14"/>
    </i>
    <i r="1">
      <x/>
    </i>
    <i r="1">
      <x v="1"/>
    </i>
    <i r="1">
      <x v="2"/>
    </i>
    <i r="1">
      <x v="3"/>
    </i>
    <i>
      <x v="15"/>
    </i>
    <i r="1">
      <x/>
    </i>
    <i r="1">
      <x v="1"/>
    </i>
    <i r="1">
      <x v="2"/>
    </i>
    <i r="1">
      <x v="3"/>
    </i>
    <i t="grand">
      <x/>
    </i>
  </rowItems>
  <colItems count="1">
    <i/>
  </colItems>
  <dataFields count="1">
    <dataField name="Average of DiscountFlag" fld="20" subtotal="average" baseField="0" baseItem="0" numFmtId="10"/>
  </dataFields>
  <formats count="2">
    <format dxfId="37">
      <pivotArea outline="0" collapsedLevelsAreSubtotals="1" fieldPosition="0"/>
    </format>
    <format dxfId="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5C11F4-73B9-40D6-995E-69C7032FCF07}"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I17" firstHeaderRow="1" firstDataRow="2" firstDataCol="1"/>
  <pivotFields count="35">
    <pivotField showAll="0"/>
    <pivotField showAll="0"/>
    <pivotField showAll="0"/>
    <pivotField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dataField="1" showAll="0"/>
    <pivotField showAll="0"/>
    <pivotField showAll="0">
      <items count="6">
        <item x="0"/>
        <item x="2"/>
        <item x="1"/>
        <item x="3"/>
        <item x="4"/>
        <item t="default"/>
      </items>
    </pivotField>
    <pivotField axis="axisRow" showAll="0">
      <items count="14">
        <item x="5"/>
        <item x="3"/>
        <item x="9"/>
        <item x="7"/>
        <item x="6"/>
        <item x="4"/>
        <item x="2"/>
        <item x="0"/>
        <item x="1"/>
        <item x="11"/>
        <item x="8"/>
        <item x="10"/>
        <item h="1" x="12"/>
        <item t="default"/>
      </items>
    </pivotField>
    <pivotField showAll="0"/>
    <pivotField showAll="0"/>
    <pivotField showAll="0">
      <items count="8">
        <item x="4"/>
        <item x="3"/>
        <item x="2"/>
        <item x="1"/>
        <item x="0"/>
        <item x="5"/>
        <item x="6"/>
        <item t="default"/>
      </items>
    </pivotField>
    <pivotField showAll="0">
      <items count="18">
        <item x="8"/>
        <item x="5"/>
        <item x="0"/>
        <item x="14"/>
        <item x="6"/>
        <item x="9"/>
        <item x="3"/>
        <item x="10"/>
        <item x="2"/>
        <item x="1"/>
        <item x="11"/>
        <item x="4"/>
        <item x="12"/>
        <item x="13"/>
        <item x="7"/>
        <item x="15"/>
        <item x="16"/>
        <item t="default"/>
      </items>
    </pivotField>
    <pivotField axis="axisCol"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s>
  <rowFields count="1">
    <field x="9"/>
  </rowFields>
  <rowItems count="13">
    <i>
      <x/>
    </i>
    <i>
      <x v="1"/>
    </i>
    <i>
      <x v="2"/>
    </i>
    <i>
      <x v="3"/>
    </i>
    <i>
      <x v="4"/>
    </i>
    <i>
      <x v="5"/>
    </i>
    <i>
      <x v="6"/>
    </i>
    <i>
      <x v="7"/>
    </i>
    <i>
      <x v="8"/>
    </i>
    <i>
      <x v="9"/>
    </i>
    <i>
      <x v="10"/>
    </i>
    <i>
      <x v="11"/>
    </i>
    <i t="grand">
      <x/>
    </i>
  </rowItems>
  <colFields count="1">
    <field x="14"/>
  </colFields>
  <colItems count="8">
    <i>
      <x/>
    </i>
    <i>
      <x v="1"/>
    </i>
    <i>
      <x v="2"/>
    </i>
    <i>
      <x v="3"/>
    </i>
    <i>
      <x v="4"/>
    </i>
    <i>
      <x v="5"/>
    </i>
    <i>
      <x v="6"/>
    </i>
    <i t="grand">
      <x/>
    </i>
  </colItems>
  <dataFields count="1">
    <dataField name="Average of 7Target" fld="6" subtotal="average" baseField="14" baseItem="0" numFmtId="10"/>
  </dataFields>
  <formats count="2">
    <format dxfId="35">
      <pivotArea outline="0" collapsedLevelsAreSubtotals="1" fieldPosition="0"/>
    </format>
    <format dxfId="34">
      <pivotArea dataOnly="0" labelOnly="1" outline="0" axis="axisValues" fieldPosition="0"/>
    </format>
  </formats>
  <chartFormats count="1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0" format="4" series="1">
      <pivotArea type="data" outline="0" fieldPosition="0">
        <references count="2">
          <reference field="4294967294" count="1" selected="0">
            <x v="0"/>
          </reference>
          <reference field="14" count="1" selected="0">
            <x v="4"/>
          </reference>
        </references>
      </pivotArea>
    </chartFormat>
    <chartFormat chart="0" format="5" series="1">
      <pivotArea type="data" outline="0" fieldPosition="0">
        <references count="2">
          <reference field="4294967294" count="1" selected="0">
            <x v="0"/>
          </reference>
          <reference field="14" count="1" selected="0">
            <x v="5"/>
          </reference>
        </references>
      </pivotArea>
    </chartFormat>
    <chartFormat chart="0" format="6" series="1">
      <pivotArea type="data" outline="0" fieldPosition="0">
        <references count="2">
          <reference field="4294967294" count="1" selected="0">
            <x v="0"/>
          </reference>
          <reference field="14" count="1" selected="0">
            <x v="6"/>
          </reference>
        </references>
      </pivotArea>
    </chartFormat>
    <chartFormat chart="0" format="7" series="1">
      <pivotArea type="data" outline="0" fieldPosition="0">
        <references count="2">
          <reference field="4294967294" count="1" selected="0">
            <x v="0"/>
          </reference>
          <reference field="14" count="1" selected="0">
            <x v="7"/>
          </reference>
        </references>
      </pivotArea>
    </chartFormat>
    <chartFormat chart="4" format="16" series="1">
      <pivotArea type="data" outline="0" fieldPosition="0">
        <references count="2">
          <reference field="4294967294" count="1" selected="0">
            <x v="0"/>
          </reference>
          <reference field="14" count="1" selected="0">
            <x v="0"/>
          </reference>
        </references>
      </pivotArea>
    </chartFormat>
    <chartFormat chart="4" format="17" series="1">
      <pivotArea type="data" outline="0" fieldPosition="0">
        <references count="2">
          <reference field="4294967294" count="1" selected="0">
            <x v="0"/>
          </reference>
          <reference field="14" count="1" selected="0">
            <x v="1"/>
          </reference>
        </references>
      </pivotArea>
    </chartFormat>
    <chartFormat chart="4" format="18" series="1">
      <pivotArea type="data" outline="0" fieldPosition="0">
        <references count="2">
          <reference field="4294967294" count="1" selected="0">
            <x v="0"/>
          </reference>
          <reference field="14" count="1" selected="0">
            <x v="2"/>
          </reference>
        </references>
      </pivotArea>
    </chartFormat>
    <chartFormat chart="4" format="19" series="1">
      <pivotArea type="data" outline="0" fieldPosition="0">
        <references count="2">
          <reference field="4294967294" count="1" selected="0">
            <x v="0"/>
          </reference>
          <reference field="14" count="1" selected="0">
            <x v="3"/>
          </reference>
        </references>
      </pivotArea>
    </chartFormat>
    <chartFormat chart="4" format="20" series="1">
      <pivotArea type="data" outline="0" fieldPosition="0">
        <references count="2">
          <reference field="4294967294" count="1" selected="0">
            <x v="0"/>
          </reference>
          <reference field="14" count="1" selected="0">
            <x v="4"/>
          </reference>
        </references>
      </pivotArea>
    </chartFormat>
    <chartFormat chart="4" format="21" series="1">
      <pivotArea type="data" outline="0" fieldPosition="0">
        <references count="2">
          <reference field="4294967294" count="1" selected="0">
            <x v="0"/>
          </reference>
          <reference field="14" count="1" selected="0">
            <x v="5"/>
          </reference>
        </references>
      </pivotArea>
    </chartFormat>
    <chartFormat chart="4" format="22" series="1">
      <pivotArea type="data" outline="0" fieldPosition="0">
        <references count="2">
          <reference field="4294967294" count="1" selected="0">
            <x v="0"/>
          </reference>
          <reference field="14" count="1" selected="0">
            <x v="6"/>
          </reference>
        </references>
      </pivotArea>
    </chartFormat>
    <chartFormat chart="4" format="23" series="1">
      <pivotArea type="data" outline="0" fieldPosition="0">
        <references count="2">
          <reference field="4294967294" count="1" selected="0">
            <x v="0"/>
          </reference>
          <reference field="1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16D3F5-1875-48CB-A1FB-5A5B9E4D06E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37" firstHeaderRow="1" firstDataRow="1" firstDataCol="1"/>
  <pivotFields count="35">
    <pivotField showAll="0"/>
    <pivotField showAll="0"/>
    <pivotField showAll="0"/>
    <pivotField axis="axisRow"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showAll="0"/>
    <pivotField showAll="0"/>
    <pivotField showAll="0"/>
    <pivotField showAll="0">
      <items count="14">
        <item x="5"/>
        <item x="3"/>
        <item x="9"/>
        <item x="7"/>
        <item x="6"/>
        <item x="4"/>
        <item x="2"/>
        <item x="0"/>
        <item x="1"/>
        <item x="11"/>
        <item x="8"/>
        <item x="10"/>
        <item h="1" x="12"/>
        <item t="default"/>
      </items>
    </pivotField>
    <pivotField showAll="0"/>
    <pivotField showAll="0"/>
    <pivotField showAll="0">
      <items count="8">
        <item x="4"/>
        <item x="3"/>
        <item x="2"/>
        <item x="1"/>
        <item x="0"/>
        <item x="5"/>
        <item x="6"/>
        <item t="default"/>
      </items>
    </pivotField>
    <pivotField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GrossRevenue" fld="25" baseField="0" baseItem="0"/>
  </dataFields>
  <chartFormats count="2">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6E0B56-125B-4504-BE7E-4447440A6FA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F11" firstHeaderRow="1" firstDataRow="2" firstDataCol="1"/>
  <pivotFields count="35">
    <pivotField showAll="0"/>
    <pivotField showAll="0"/>
    <pivotField showAll="0"/>
    <pivotField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showAll="0"/>
    <pivotField showAll="0"/>
    <pivotField axis="axisCol" showAll="0">
      <items count="6">
        <item x="0"/>
        <item x="2"/>
        <item x="1"/>
        <item x="3"/>
        <item x="4"/>
        <item t="default"/>
      </items>
    </pivotField>
    <pivotField showAll="0">
      <items count="14">
        <item x="5"/>
        <item x="3"/>
        <item x="9"/>
        <item x="7"/>
        <item x="6"/>
        <item x="4"/>
        <item x="2"/>
        <item x="0"/>
        <item x="1"/>
        <item x="11"/>
        <item x="8"/>
        <item x="10"/>
        <item h="1" x="12"/>
        <item t="default"/>
      </items>
    </pivotField>
    <pivotField showAll="0"/>
    <pivotField showAll="0"/>
    <pivotField axis="axisRow" showAll="0">
      <items count="8">
        <item x="4"/>
        <item x="3"/>
        <item x="2"/>
        <item x="1"/>
        <item x="0"/>
        <item x="5"/>
        <item x="6"/>
        <item t="default"/>
      </items>
    </pivotField>
    <pivotField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2"/>
  </rowFields>
  <rowItems count="7">
    <i>
      <x/>
    </i>
    <i>
      <x v="1"/>
    </i>
    <i>
      <x v="2"/>
    </i>
    <i>
      <x v="3"/>
    </i>
    <i>
      <x v="4"/>
    </i>
    <i>
      <x v="5"/>
    </i>
    <i t="grand">
      <x/>
    </i>
  </rowItems>
  <colFields count="1">
    <field x="8"/>
  </colFields>
  <colItems count="5">
    <i>
      <x/>
    </i>
    <i>
      <x v="1"/>
    </i>
    <i>
      <x v="2"/>
    </i>
    <i>
      <x v="3"/>
    </i>
    <i t="grand">
      <x/>
    </i>
  </colItems>
  <dataFields count="1">
    <dataField name="Sum of GrossProfit" fld="27" baseField="0" baseItem="0"/>
  </dataFields>
  <chartFormats count="10">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3" format="10" series="1">
      <pivotArea type="data" outline="0" fieldPosition="0">
        <references count="2">
          <reference field="4294967294" count="1" selected="0">
            <x v="0"/>
          </reference>
          <reference field="8" count="1" selected="0">
            <x v="0"/>
          </reference>
        </references>
      </pivotArea>
    </chartFormat>
    <chartFormat chart="3" format="11" series="1">
      <pivotArea type="data" outline="0" fieldPosition="0">
        <references count="2">
          <reference field="4294967294" count="1" selected="0">
            <x v="0"/>
          </reference>
          <reference field="8" count="1" selected="0">
            <x v="1"/>
          </reference>
        </references>
      </pivotArea>
    </chartFormat>
    <chartFormat chart="3" format="12" series="1">
      <pivotArea type="data" outline="0" fieldPosition="0">
        <references count="2">
          <reference field="4294967294" count="1" selected="0">
            <x v="0"/>
          </reference>
          <reference field="8" count="1" selected="0">
            <x v="2"/>
          </reference>
        </references>
      </pivotArea>
    </chartFormat>
    <chartFormat chart="3" format="13" series="1">
      <pivotArea type="data" outline="0" fieldPosition="0">
        <references count="2">
          <reference field="4294967294" count="1" selected="0">
            <x v="0"/>
          </reference>
          <reference field="8" count="1" selected="0">
            <x v="3"/>
          </reference>
        </references>
      </pivotArea>
    </chartFormat>
    <chartFormat chart="3" format="14"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7D336DF-A92A-4264-BBF0-A2B957E7280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35">
    <pivotField showAll="0"/>
    <pivotField showAll="0"/>
    <pivotField showAll="0"/>
    <pivotField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showAll="0"/>
    <pivotField showAll="0"/>
    <pivotField showAll="0"/>
    <pivotField showAll="0">
      <items count="14">
        <item x="5"/>
        <item x="3"/>
        <item x="9"/>
        <item x="7"/>
        <item x="6"/>
        <item x="4"/>
        <item x="2"/>
        <item x="0"/>
        <item x="1"/>
        <item x="11"/>
        <item x="8"/>
        <item x="10"/>
        <item h="1" x="12"/>
        <item t="default"/>
      </items>
    </pivotField>
    <pivotField showAll="0"/>
    <pivotField showAll="0"/>
    <pivotField showAll="0">
      <items count="8">
        <item x="4"/>
        <item x="3"/>
        <item x="2"/>
        <item x="1"/>
        <item x="0"/>
        <item x="5"/>
        <item x="6"/>
        <item t="default"/>
      </items>
    </pivotField>
    <pivotField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showAll="0"/>
    <pivotField axis="axisRow" showAll="0" measureFilter="1" sortType="descending">
      <items count="632">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x="63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16"/>
  </rowFields>
  <rowItems count="11">
    <i>
      <x v="171"/>
    </i>
    <i>
      <x v="368"/>
    </i>
    <i>
      <x v="248"/>
    </i>
    <i>
      <x v="323"/>
    </i>
    <i>
      <x v="270"/>
    </i>
    <i>
      <x v="319"/>
    </i>
    <i>
      <x v="117"/>
    </i>
    <i>
      <x v="207"/>
    </i>
    <i>
      <x v="405"/>
    </i>
    <i>
      <x v="403"/>
    </i>
    <i t="grand">
      <x/>
    </i>
  </rowItems>
  <colItems count="1">
    <i/>
  </colItems>
  <dataFields count="1">
    <dataField name="Sum of GrossRevenue" fld="25" baseField="0" baseItem="0" numFmtId="2"/>
  </dataFields>
  <formats count="2">
    <format dxfId="33">
      <pivotArea outline="0" collapsedLevelsAreSubtotals="1" fieldPosition="0"/>
    </format>
    <format dxfId="3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7F3B5BC-2B37-4E5D-B9F3-42F0EBAD00D0}" sourceName="Region">
  <pivotTables>
    <pivotTable tabId="22" name="PivotTable16"/>
  </pivotTables>
  <data>
    <tabular pivotCacheId="1241584747">
      <items count="5">
        <i x="0" s="1"/>
        <i x="2" s="1"/>
        <i x="1"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AD91874-AA1D-45BF-AB78-3128B88CA8BC}" sourceName="Country">
  <pivotTables>
    <pivotTable tabId="22" name="PivotTable16"/>
    <pivotTable tabId="16" name="PivotTable12"/>
    <pivotTable tabId="21" name="PivotTable15"/>
    <pivotTable tabId="15" name="PivotTable11"/>
    <pivotTable tabId="23" name="PivotTable17"/>
    <pivotTable tabId="19" name="PivotTable14"/>
    <pivotTable tabId="31" name="PivotTable2"/>
    <pivotTable tabId="30" name="PivotTable1"/>
    <pivotTable tabId="32" name="PivotTable3"/>
  </pivotTables>
  <data>
    <tabular pivotCacheId="1241584747">
      <items count="13">
        <i x="5" s="1"/>
        <i x="3" s="1"/>
        <i x="9" s="1"/>
        <i x="7" s="1"/>
        <i x="6" s="1"/>
        <i x="4" s="1"/>
        <i x="2" s="1"/>
        <i x="0" s="1"/>
        <i x="1" s="1"/>
        <i x="11" s="1"/>
        <i x="8" s="1"/>
        <i x="10" s="1"/>
        <i x="1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4CFFB7F2-A6FD-459B-8B0D-5DB8D7835908}" sourceName="Channel">
  <pivotTables>
    <pivotTable tabId="22" name="PivotTable16"/>
    <pivotTable tabId="16" name="PivotTable12"/>
    <pivotTable tabId="21" name="PivotTable15"/>
    <pivotTable tabId="15" name="PivotTable11"/>
    <pivotTable tabId="23" name="PivotTable17"/>
    <pivotTable tabId="19" name="PivotTable14"/>
    <pivotTable tabId="31" name="PivotTable2"/>
    <pivotTable tabId="30" name="PivotTable1"/>
    <pivotTable tabId="32" name="PivotTable3"/>
  </pivotTables>
  <data>
    <tabular pivotCacheId="1241584747">
      <items count="7">
        <i x="4" s="1"/>
        <i x="3" s="1"/>
        <i x="2" s="1"/>
        <i x="1" s="1"/>
        <i x="0" s="1"/>
        <i x="5" s="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486C3762-B8ED-4B5C-9C0F-F3D9A2B87ED7}" sourceName="Salesperson">
  <pivotTables>
    <pivotTable tabId="22" name="PivotTable16"/>
    <pivotTable tabId="16" name="PivotTable12"/>
    <pivotTable tabId="21" name="PivotTable15"/>
    <pivotTable tabId="15" name="PivotTable11"/>
    <pivotTable tabId="23" name="PivotTable17"/>
    <pivotTable tabId="19" name="PivotTable14"/>
    <pivotTable tabId="31" name="PivotTable2"/>
    <pivotTable tabId="30" name="PivotTable1"/>
    <pivotTable tabId="32" name="PivotTable3"/>
  </pivotTables>
  <data>
    <tabular pivotCacheId="1241584747">
      <items count="17">
        <i x="8" s="1"/>
        <i x="5" s="1"/>
        <i x="0" s="1"/>
        <i x="14" s="1"/>
        <i x="6" s="1"/>
        <i x="9" s="1"/>
        <i x="3" s="1"/>
        <i x="10" s="1"/>
        <i x="2" s="1"/>
        <i x="1" s="1"/>
        <i x="11" s="1"/>
        <i x="4" s="1"/>
        <i x="12" s="1"/>
        <i x="13" s="1"/>
        <i x="7" s="1"/>
        <i x="15" s="1"/>
        <i x="16"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1B2B4912-AFE7-4009-91A4-7817444DE0DA}" sourceName="ProductCategory">
  <pivotTables>
    <pivotTable tabId="22" name="PivotTable16"/>
    <pivotTable tabId="16" name="PivotTable12"/>
    <pivotTable tabId="21" name="PivotTable15"/>
    <pivotTable tabId="15" name="PivotTable11"/>
    <pivotTable tabId="23" name="PivotTable17"/>
    <pivotTable tabId="19" name="PivotTable14"/>
    <pivotTable tabId="31" name="PivotTable2"/>
    <pivotTable tabId="30" name="PivotTable1"/>
    <pivotTable tabId="32" name="PivotTable3"/>
  </pivotTables>
  <data>
    <tabular pivotCacheId="1241584747">
      <items count="8">
        <i x="6" s="1"/>
        <i x="0" s="1"/>
        <i x="4" s="1"/>
        <i x="5" s="1"/>
        <i x="2" s="1"/>
        <i x="3" s="1"/>
        <i x="1" s="1"/>
        <i x="7"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Month" xr10:uid="{EBD58CBA-14D9-41FB-AB88-502622BADE4B}" sourceName="CohortMonth">
  <pivotTables>
    <pivotTable tabId="22" name="PivotTable16"/>
  </pivotTables>
  <data>
    <tabular pivotCacheId="1241584747">
      <items count="3">
        <i x="0" s="1"/>
        <i x="1" s="1"/>
        <i x="2"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7B723CB0-BF35-480B-A304-1D84F8D3135A}" sourceName="Region">
  <pivotTables>
    <pivotTable tabId="31" name="PivotTable2"/>
  </pivotTables>
  <data>
    <tabular pivotCacheId="1241584747">
      <items count="5">
        <i x="0" s="1"/>
        <i x="2" s="1"/>
        <i x="1" s="1"/>
        <i x="3" s="1"/>
        <i x="4"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U" xr10:uid="{0E32AA3B-0CE4-4E85-B7DD-99371A3D1B66}" sourceName="SKU">
  <pivotTables>
    <pivotTable tabId="32" name="PivotTable3"/>
  </pivotTables>
  <data>
    <tabular pivotCacheId="1241584747">
      <items count="631">
        <i x="139" s="1"/>
        <i x="621" s="1"/>
        <i x="333" s="1"/>
        <i x="415" s="1"/>
        <i x="340" s="1"/>
        <i x="394" s="1"/>
        <i x="441" s="1"/>
        <i x="293" s="1"/>
        <i x="491" s="1"/>
        <i x="587" s="1"/>
        <i x="207" s="1"/>
        <i x="14" s="1"/>
        <i x="478" s="1"/>
        <i x="58" s="1"/>
        <i x="261" s="1"/>
        <i x="59" s="1"/>
        <i x="325" s="1"/>
        <i x="103" s="1"/>
        <i x="170" s="1"/>
        <i x="70" s="1"/>
        <i x="497" s="1"/>
        <i x="416" s="1"/>
        <i x="312" s="1"/>
        <i x="319" s="1"/>
        <i x="489" s="1"/>
        <i x="332" s="1"/>
        <i x="355" s="1"/>
        <i x="516" s="1"/>
        <i x="185" s="1"/>
        <i x="545" s="1"/>
        <i x="221" s="1"/>
        <i x="259" s="1"/>
        <i x="450" s="1"/>
        <i x="521" s="1"/>
        <i x="576" s="1"/>
        <i x="270" s="1"/>
        <i x="22" s="1"/>
        <i x="158" s="1"/>
        <i x="131" s="1"/>
        <i x="154" s="1"/>
        <i x="290" s="1"/>
        <i x="76" s="1"/>
        <i x="113" s="1"/>
        <i x="569" s="1"/>
        <i x="187" s="1"/>
        <i x="618" s="1"/>
        <i x="588" s="1"/>
        <i x="227" s="1"/>
        <i x="552" s="1"/>
        <i x="551" s="1"/>
        <i x="97" s="1"/>
        <i x="460" s="1"/>
        <i x="214" s="1"/>
        <i x="352" s="1"/>
        <i x="299" s="1"/>
        <i x="57" s="1"/>
        <i x="288" s="1"/>
        <i x="50" s="1"/>
        <i x="147" s="1"/>
        <i x="437" s="1"/>
        <i x="346" s="1"/>
        <i x="180" s="1"/>
        <i x="358" s="1"/>
        <i x="142" s="1"/>
        <i x="493" s="1"/>
        <i x="557" s="1"/>
        <i x="465" s="1"/>
        <i x="604" s="1"/>
        <i x="360" s="1"/>
        <i x="592" s="1"/>
        <i x="10" s="1"/>
        <i x="277" s="1"/>
        <i x="18" s="1"/>
        <i x="338" s="1"/>
        <i x="541" s="1"/>
        <i x="292" s="1"/>
        <i x="454" s="1"/>
        <i x="25" s="1"/>
        <i x="209" s="1"/>
        <i x="93" s="1"/>
        <i x="66" s="1"/>
        <i x="77" s="1"/>
        <i x="554" s="1"/>
        <i x="536" s="1"/>
        <i x="306" s="1"/>
        <i x="182" s="1"/>
        <i x="408" s="1"/>
        <i x="109" s="1"/>
        <i x="75" s="1"/>
        <i x="169" s="1"/>
        <i x="513" s="1"/>
        <i x="471" s="1"/>
        <i x="579" s="1"/>
        <i x="607" s="1"/>
        <i x="624" s="1"/>
        <i x="34" s="1"/>
        <i x="172" s="1"/>
        <i x="627" s="1"/>
        <i x="401" s="1"/>
        <i x="126" s="1"/>
        <i x="391" s="1"/>
        <i x="124" s="1"/>
        <i x="484" s="1"/>
        <i x="523" s="1"/>
        <i x="377" s="1"/>
        <i x="24" s="1"/>
        <i x="87" s="1"/>
        <i x="82" s="1"/>
        <i x="324" s="1"/>
        <i x="510" s="1"/>
        <i x="367" s="1"/>
        <i x="458" s="1"/>
        <i x="12" s="1"/>
        <i x="136" s="1"/>
        <i x="9" s="1"/>
        <i x="294" s="1"/>
        <i x="157" s="1"/>
        <i x="464" s="1"/>
        <i x="210" s="1"/>
        <i x="315" s="1"/>
        <i x="467" s="1"/>
        <i x="85" s="1"/>
        <i x="161" s="1"/>
        <i x="260" s="1"/>
        <i x="348" s="1"/>
        <i x="256" s="1"/>
        <i x="573" s="1"/>
        <i x="220" s="1"/>
        <i x="617" s="1"/>
        <i x="594" s="1"/>
        <i x="326" s="1"/>
        <i x="74" s="1"/>
        <i x="171" s="1"/>
        <i x="589" s="1"/>
        <i x="490" s="1"/>
        <i x="518" s="1"/>
        <i x="463" s="1"/>
        <i x="78" s="1"/>
        <i x="519" s="1"/>
        <i x="564" s="1"/>
        <i x="44" s="1"/>
        <i x="127" s="1"/>
        <i x="125" s="1"/>
        <i x="110" s="1"/>
        <i x="568" s="1"/>
        <i x="504" s="1"/>
        <i x="459" s="1"/>
        <i x="451" s="1"/>
        <i x="397" s="1"/>
        <i x="30" s="1"/>
        <i x="230" s="1"/>
        <i x="61" s="1"/>
        <i x="365" s="1"/>
        <i x="222" s="1"/>
        <i x="206" s="1"/>
        <i x="69" s="1"/>
        <i x="250" s="1"/>
        <i x="36" s="1"/>
        <i x="60" s="1"/>
        <i x="105" s="1"/>
        <i x="511" s="1"/>
        <i x="101" s="1"/>
        <i x="86" s="1"/>
        <i x="234" s="1"/>
        <i x="0" s="1"/>
        <i x="37" s="1"/>
        <i x="393" s="1"/>
        <i x="436" s="1"/>
        <i x="403" s="1"/>
        <i x="289" s="1"/>
        <i x="476" s="1"/>
        <i x="237" s="1"/>
        <i x="585" s="1"/>
        <i x="177" s="1"/>
        <i x="300" s="1"/>
        <i x="267" s="1"/>
        <i x="559" s="1"/>
        <i x="323" s="1"/>
        <i x="475" s="1"/>
        <i x="477" s="1"/>
        <i x="533" s="1"/>
        <i x="166" s="1"/>
        <i x="145" s="1"/>
        <i x="295" s="1"/>
        <i x="15" s="1"/>
        <i x="527" s="1"/>
        <i x="445" s="1"/>
        <i x="582" s="1"/>
        <i x="539" s="1"/>
        <i x="349" s="1"/>
        <i x="119" s="1"/>
        <i x="279" s="1"/>
        <i x="246" s="1"/>
        <i x="384" s="1"/>
        <i x="239" s="1"/>
        <i x="370" s="1"/>
        <i x="629" s="1"/>
        <i x="481" s="1"/>
        <i x="146" s="1"/>
        <i x="19" s="1"/>
        <i x="64" s="1"/>
        <i x="264" s="1"/>
        <i x="507" s="1"/>
        <i x="571" s="1"/>
        <i x="345" s="1"/>
        <i x="99" s="1"/>
        <i x="53" s="1"/>
        <i x="362" s="1"/>
        <i x="514" s="1"/>
        <i x="581" s="1"/>
        <i x="71" s="1"/>
        <i x="309" s="1"/>
        <i x="304" s="1"/>
        <i x="542" s="1"/>
        <i x="242" s="1"/>
        <i x="457" s="1"/>
        <i x="603" s="1"/>
        <i x="23" s="1"/>
        <i x="255" s="1"/>
        <i x="508" s="1"/>
        <i x="104" s="1"/>
        <i x="190" s="1"/>
        <i x="563" s="1"/>
        <i x="387" s="1"/>
        <i x="251" s="1"/>
        <i x="151" s="1"/>
        <i x="520" s="1"/>
        <i x="593" s="1"/>
        <i x="368" s="1"/>
        <i x="56" s="1"/>
        <i x="409" s="1"/>
        <i x="275" s="1"/>
        <i x="173" s="1"/>
        <i x="102" s="1"/>
        <i x="388" s="1"/>
        <i x="534" s="1"/>
        <i x="565" s="1"/>
        <i x="425" s="1"/>
        <i x="52" s="1"/>
        <i x="192" s="1"/>
        <i x="407" s="1"/>
        <i x="117" s="1"/>
        <i x="396" s="1"/>
        <i x="424" s="1"/>
        <i x="72" s="1"/>
        <i x="5" s="1"/>
        <i x="598" s="1"/>
        <i x="430" s="1"/>
        <i x="421" s="1"/>
        <i x="283" s="1"/>
        <i x="329" s="1"/>
        <i x="386" s="1"/>
        <i x="111" s="1"/>
        <i x="224" s="1"/>
        <i x="132" s="1"/>
        <i x="20" s="1"/>
        <i x="402" s="1"/>
        <i x="284" s="1"/>
        <i x="33" s="1"/>
        <i x="339" s="1"/>
        <i x="566" s="1"/>
        <i x="314" s="1"/>
        <i x="271" s="1"/>
        <i x="591" s="1"/>
        <i x="216" s="1"/>
        <i x="186" s="1"/>
        <i x="205" s="1"/>
        <i x="96" s="1"/>
        <i x="404" s="1"/>
        <i x="167" s="1"/>
        <i x="140" s="1"/>
        <i x="68" s="1"/>
        <i x="472" s="1"/>
        <i x="509" s="1"/>
        <i x="217" s="1"/>
        <i x="115" s="1"/>
        <i x="247" s="1"/>
        <i x="597" s="1"/>
        <i x="89" s="1"/>
        <i x="328" s="1"/>
        <i x="249" s="1"/>
        <i x="135" s="1"/>
        <i x="273" s="1"/>
        <i x="427" s="1"/>
        <i x="83" s="1"/>
        <i x="398" s="1"/>
        <i x="121" s="1"/>
        <i x="625" s="1"/>
        <i x="418" s="1"/>
        <i x="615" s="1"/>
        <i x="189" s="1"/>
        <i x="351" s="1"/>
        <i x="549" s="1"/>
        <i x="297" s="1"/>
        <i x="51" s="1"/>
        <i x="252" s="1"/>
        <i x="372" s="1"/>
        <i x="432" s="1"/>
        <i x="499" s="1"/>
        <i x="55" s="1"/>
        <i x="204" s="1"/>
        <i x="456" s="1"/>
        <i x="130" s="1"/>
        <i x="63" s="1"/>
        <i x="233" s="1"/>
        <i x="178" s="1"/>
        <i x="305" s="1"/>
        <i x="447" s="1"/>
        <i x="280" s="1"/>
        <i x="298" s="1"/>
        <i x="183" s="1"/>
        <i x="363" s="1"/>
        <i x="389" s="1"/>
        <i x="561" s="1"/>
        <i x="572" s="1"/>
        <i x="522" s="1"/>
        <i x="547" s="1"/>
        <i x="310" s="1"/>
        <i x="195" s="1"/>
        <i x="165" s="1"/>
        <i x="67" s="1"/>
        <i x="453" s="1"/>
        <i x="8" s="1"/>
        <i x="175" s="1"/>
        <i x="556" s="1"/>
        <i x="446" s="1"/>
        <i x="580" s="1"/>
        <i x="191" s="1"/>
        <i x="168" s="1"/>
        <i x="383" s="1"/>
        <i x="258" s="1"/>
        <i x="211" s="1"/>
        <i x="188" s="1"/>
        <i x="79" s="1"/>
        <i x="610" s="1"/>
        <i x="544" s="1"/>
        <i x="6" s="1"/>
        <i x="272" s="1"/>
        <i x="540" s="1"/>
        <i x="431" s="1"/>
        <i x="184" s="1"/>
        <i x="494" s="1"/>
        <i x="254" s="1"/>
        <i x="88" s="1"/>
        <i x="118" s="1"/>
        <i x="531" s="1"/>
        <i x="163" s="1"/>
        <i x="498" s="1"/>
        <i x="318" s="1"/>
        <i x="395" s="1"/>
        <i x="266" s="1"/>
        <i x="160" s="1"/>
        <i x="40" s="1"/>
        <i x="496" s="1"/>
        <i x="311" s="1"/>
        <i x="495" s="1"/>
        <i x="590" s="1"/>
        <i x="380" s="1"/>
        <i x="41" s="1"/>
        <i x="223" s="1"/>
        <i x="226" s="1"/>
        <i x="302" s="1"/>
        <i x="98" s="1"/>
        <i x="341" s="1"/>
        <i x="73" s="1"/>
        <i x="479" s="1"/>
        <i x="90" s="1"/>
        <i x="45" s="1"/>
        <i x="47" s="1"/>
        <i x="144" s="1"/>
        <i x="257" s="1"/>
        <i x="623" s="1"/>
        <i x="438" s="1"/>
        <i x="562" s="1"/>
        <i x="248" s="1"/>
        <i x="483" s="1"/>
        <i x="577" s="1"/>
        <i x="114" s="1"/>
        <i x="21" s="1"/>
        <i x="399" s="1"/>
        <i x="198" s="1"/>
        <i x="376" s="1"/>
        <i x="575" s="1"/>
        <i x="506" s="1"/>
        <i x="307" s="1"/>
        <i x="574" s="1"/>
        <i x="382" s="1"/>
        <i x="357" s="1"/>
        <i x="317" s="1"/>
        <i x="129" s="1"/>
        <i x="517" s="1"/>
        <i x="112" s="1"/>
        <i x="548" s="1"/>
        <i x="321" s="1"/>
        <i x="620" s="1"/>
        <i x="622" s="1"/>
        <i x="80" s="1"/>
        <i x="322" s="1"/>
        <i x="543" s="1"/>
        <i x="48" s="1"/>
        <i x="462" s="1"/>
        <i x="612" s="1"/>
        <i x="379" s="1"/>
        <i x="276" s="1"/>
        <i x="194" s="1"/>
        <i x="611" s="1"/>
        <i x="466" s="1"/>
        <i x="203" s="1"/>
        <i x="600" s="1"/>
        <i x="503" s="1"/>
        <i x="120" s="1"/>
        <i x="108" s="1"/>
        <i x="535" s="1"/>
        <i x="413" s="1"/>
        <i x="84" s="1"/>
        <i x="550" s="1"/>
        <i x="215" s="1"/>
        <i x="378" s="1"/>
        <i x="155" s="1"/>
        <i x="32" s="1"/>
        <i x="433" s="1"/>
        <i x="502" s="1"/>
        <i x="281" s="1"/>
        <i x="123" s="1"/>
        <i x="619" s="1"/>
        <i x="156" s="1"/>
        <i x="538" s="1"/>
        <i x="614" s="1"/>
        <i x="353" s="1"/>
        <i x="331" s="1"/>
        <i x="262" s="1"/>
        <i x="567" s="1"/>
        <i x="529" s="1"/>
        <i x="344" s="1"/>
        <i x="2" s="1"/>
        <i x="29" s="1"/>
        <i x="435" s="1"/>
        <i x="287" s="1"/>
        <i x="54" s="1"/>
        <i x="420" s="1"/>
        <i x="17" s="1"/>
        <i x="282" s="1"/>
        <i x="347" s="1"/>
        <i x="213" s="1"/>
        <i x="343" s="1"/>
        <i x="28" s="1"/>
        <i x="560" s="1"/>
        <i x="512" s="1"/>
        <i x="202" s="1"/>
        <i x="371" s="1"/>
        <i x="327" s="1"/>
        <i x="107" s="1"/>
        <i x="448" s="1"/>
        <i x="238" s="1"/>
        <i x="482" s="1"/>
        <i x="231" s="1"/>
        <i x="422" s="1"/>
        <i x="133" s="1"/>
        <i x="530" s="1"/>
        <i x="268" s="1"/>
        <i x="426" s="1"/>
        <i x="200" s="1"/>
        <i x="392" s="1"/>
        <i x="91" s="1"/>
        <i x="241" s="1"/>
        <i x="286" s="1"/>
        <i x="263" s="1"/>
        <i x="334" s="1"/>
        <i x="412" s="1"/>
        <i x="440" s="1"/>
        <i x="128" s="1"/>
        <i x="570" s="1"/>
        <i x="3" s="1"/>
        <i x="583" s="1"/>
        <i x="149" s="1"/>
        <i x="65" s="1"/>
        <i x="626" s="1"/>
        <i x="245" s="1"/>
        <i x="31" s="1"/>
        <i x="375" s="1"/>
        <i x="197" s="1"/>
        <i x="303" s="1"/>
        <i x="584" s="1"/>
        <i x="361" s="1"/>
        <i x="162" s="1"/>
        <i x="452" s="1"/>
        <i x="428" s="1"/>
        <i x="406" s="1"/>
        <i x="485" s="1"/>
        <i x="553" s="1"/>
        <i x="316" s="1"/>
        <i x="330" s="1"/>
        <i x="488" s="1"/>
        <i x="455" s="1"/>
        <i x="285" s="1"/>
        <i x="278" s="1"/>
        <i x="27" s="1"/>
        <i x="366" s="1"/>
        <i x="94" s="1"/>
        <i x="11" s="1"/>
        <i x="244" s="1"/>
        <i x="225" s="1"/>
        <i x="605" s="1"/>
        <i x="181" s="1"/>
        <i x="578" s="1"/>
        <i x="336" s="1"/>
        <i x="492" s="1"/>
        <i x="122" s="1"/>
        <i x="374" s="1"/>
        <i x="137" s="1"/>
        <i x="141" s="1"/>
        <i x="532" s="1"/>
        <i x="62" s="1"/>
        <i x="100" s="1"/>
        <i x="419" s="1"/>
        <i x="411" s="1"/>
        <i x="505" s="1"/>
        <i x="236" s="1"/>
        <i x="434" s="1"/>
        <i x="106" s="1"/>
        <i x="500" s="1"/>
        <i x="628" s="1"/>
        <i x="159" s="1"/>
        <i x="320" s="1"/>
        <i x="473" s="1"/>
        <i x="586" s="1"/>
        <i x="196" s="1"/>
        <i x="501" s="1"/>
        <i x="335" s="1"/>
        <i x="232" s="1"/>
        <i x="390" s="1"/>
        <i x="474" s="1"/>
        <i x="265" s="1"/>
        <i x="486" s="1"/>
        <i x="49" s="1"/>
        <i x="526" s="1"/>
        <i x="537" s="1"/>
        <i x="410" s="1"/>
        <i x="515" s="1"/>
        <i x="525" s="1"/>
        <i x="439" s="1"/>
        <i x="228" s="1"/>
        <i x="313" s="1"/>
        <i x="449" s="1"/>
        <i x="555" s="1"/>
        <i x="429" s="1"/>
        <i x="46" s="1"/>
        <i x="524" s="1"/>
        <i x="219" s="1"/>
        <i x="253" s="1"/>
        <i x="308" s="1"/>
        <i x="212" s="1"/>
        <i x="42" s="1"/>
        <i x="468" s="1"/>
        <i x="364" s="1"/>
        <i x="369" s="1"/>
        <i x="174" s="1"/>
        <i x="480" s="1"/>
        <i x="164" s="1"/>
        <i x="26" s="1"/>
        <i x="148" s="1"/>
        <i x="143" s="1"/>
        <i x="35" s="1"/>
        <i x="528" s="1"/>
        <i x="595" s="1"/>
        <i x="134" s="1"/>
        <i x="442" s="1"/>
        <i x="342" s="1"/>
        <i x="609" s="1"/>
        <i x="138" s="1"/>
        <i x="193" s="1"/>
        <i x="240" s="1"/>
        <i x="602" s="1"/>
        <i x="176" s="1"/>
        <i x="613" s="1"/>
        <i x="337" s="1"/>
        <i x="243" s="1"/>
        <i x="606" s="1"/>
        <i x="400" s="1"/>
        <i x="218" s="1"/>
        <i x="616" s="1"/>
        <i x="487" s="1"/>
        <i x="417" s="1"/>
        <i x="381" s="1"/>
        <i x="208" s="1"/>
        <i x="601" s="1"/>
        <i x="150" s="1"/>
        <i x="7" s="1"/>
        <i x="423" s="1"/>
        <i x="116" s="1"/>
        <i x="92" s="1"/>
        <i x="301" s="1"/>
        <i x="39" s="1"/>
        <i x="558" s="1"/>
        <i x="359" s="1"/>
        <i x="269" s="1"/>
        <i x="16" s="1"/>
        <i x="461" s="1"/>
        <i x="199" s="1"/>
        <i x="229" s="1"/>
        <i x="470" s="1"/>
        <i x="153" s="1"/>
        <i x="38" s="1"/>
        <i x="350" s="1"/>
        <i x="235" s="1"/>
        <i x="296" s="1"/>
        <i x="444" s="1"/>
        <i x="4" s="1"/>
        <i x="179" s="1"/>
        <i x="152" s="1"/>
        <i x="13" s="1"/>
        <i x="201" s="1"/>
        <i x="373" s="1"/>
        <i x="274" s="1"/>
        <i x="291" s="1"/>
        <i x="385" s="1"/>
        <i x="95" s="1"/>
        <i x="608" s="1"/>
        <i x="1" s="1"/>
        <i x="405" s="1"/>
        <i x="469" s="1"/>
        <i x="356" s="1"/>
        <i x="443" s="1"/>
        <i x="546" s="1"/>
        <i x="81" s="1"/>
        <i x="43" s="1"/>
        <i x="599" s="1"/>
        <i x="596" s="1"/>
        <i x="354" s="1"/>
        <i x="414" s="1"/>
        <i x="630"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ndardized_o_date1" xr10:uid="{49EB4A74-3EC7-4057-9265-859CC9EC2344}" sourceName="Standardized-o-date">
  <pivotTables>
    <pivotTable tabId="30" name="PivotTable1"/>
    <pivotTable tabId="16" name="PivotTable12"/>
    <pivotTable tabId="21" name="PivotTable15"/>
    <pivotTable tabId="15" name="PivotTable11"/>
    <pivotTable tabId="23" name="PivotTable17"/>
    <pivotTable tabId="31" name="PivotTable2"/>
    <pivotTable tabId="19" name="PivotTable14"/>
    <pivotTable tabId="22" name="PivotTable16"/>
    <pivotTable tabId="32" name="PivotTable3"/>
  </pivotTables>
  <data>
    <tabular pivotCacheId="1241584747">
      <items count="34">
        <i x="12" s="1"/>
        <i x="20" s="1"/>
        <i x="19" s="1"/>
        <i x="25" s="1"/>
        <i x="21" s="1"/>
        <i x="28" s="1"/>
        <i x="4" s="1"/>
        <i x="6" s="1"/>
        <i x="2" s="1"/>
        <i x="31" s="1"/>
        <i x="26" s="1"/>
        <i x="5" s="1"/>
        <i x="9" s="1"/>
        <i x="10" s="1"/>
        <i x="24" s="1"/>
        <i x="14" s="1"/>
        <i x="13" s="1"/>
        <i x="23" s="1"/>
        <i x="17" s="1"/>
        <i x="16" s="1"/>
        <i x="22" s="1"/>
        <i x="0" s="1"/>
        <i x="3" s="1"/>
        <i x="15" s="1"/>
        <i x="7" s="1"/>
        <i x="8" s="1"/>
        <i x="30" s="1"/>
        <i x="18" s="1"/>
        <i x="32" s="1"/>
        <i x="1" s="1"/>
        <i x="27" s="1"/>
        <i x="29" s="1"/>
        <i x="11" s="1"/>
        <i x="3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ndardized-o-date" xr10:uid="{5FA2E0FA-F2B0-4A07-A9D8-CA0A0878138A}" cache="Slicer_Standardized_o_date1" caption="Standardized-o-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BAF26EB-7890-4262-A20E-1ED4E987DBE0}" cache="Slicer_Region" caption="Region" rowHeight="234950"/>
  <slicer name="Country" xr10:uid="{827A5E5D-684D-4373-A3B9-2C78CF13B8D1}" cache="Slicer_Country" caption="Country" rowHeight="234950"/>
  <slicer name="Channel" xr10:uid="{436DE97A-B00F-4803-9B38-040BB152E7F3}" cache="Slicer_Channel" caption="Channel" rowHeight="234950"/>
  <slicer name="Salesperson" xr10:uid="{64E2E984-6F15-4E52-A1B9-1D4F38D223E2}" cache="Slicer_Salesperson" caption="Salesperson" rowHeight="234950"/>
  <slicer name="ProductCategory" xr10:uid="{3D0FAD64-46CC-461E-80D3-D64BC010523C}" cache="Slicer_ProductCategory" caption="ProductCategory" rowHeight="234950"/>
  <slicer name="CohortMonth" xr10:uid="{964C7C05-8062-4B94-ACD7-D49463D33B6F}" cache="Slicer_CohortMonth" caption="CohortMonth"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61BFF060-8FEC-4ABE-A6D9-8BA71ABB2AA4}" cache="Slicer_Country" caption="Country" startItem="2" rowHeight="234950"/>
  <slicer name="Channel 1" xr10:uid="{F5AF51D9-FD86-48E9-9C0F-47779421D2EB}" cache="Slicer_Channel" caption="Channel" rowHeight="234950"/>
  <slicer name="Salesperson 1" xr10:uid="{0BF36339-A306-4621-9D07-B85D99712785}" cache="Slicer_Salesperson" caption="Salesperson" rowHeight="234950"/>
  <slicer name="ProductCategory 1" xr10:uid="{7F1D2FF4-A8AA-4E99-AB53-E702D23DAF97}" cache="Slicer_ProductCategory" caption="ProductCategory" rowHeight="234950"/>
  <slicer name="Standardized-o-date 1" xr10:uid="{5FCBB390-41B3-462E-B5B0-8A3C49D07CD7}" cache="Slicer_Standardized_o_date1" caption="Standardized-o-dat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ndardized-o-date 2" xr10:uid="{0FDD9F05-ED8C-41F1-B27C-EDA60AC37261}" cache="Slicer_Standardized_o_date1" caption="Standardized-o-dat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2" xr10:uid="{98C7E63A-98A1-435F-B8C1-DF3FE02DBC15}" cache="Slicer_Channel" caption="Channel" rowHeight="234950"/>
  <slicer name="Region 1" xr10:uid="{B757C09D-71BF-4AC0-B208-75F4E6954F8D}" cache="Slicer_Region1" caption="Region"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KU" xr10:uid="{ED0115A2-D42E-4BF5-BF10-44C019BCF7C6}" cache="Slicer_SKU" caption="SKU"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6A98D5B-AE1E-45CB-A07C-AA8570CBB840}" name="Table3" displayName="Table3" ref="A1:AG633" totalsRowShown="0" headerRowDxfId="31">
  <tableColumns count="33">
    <tableColumn id="1" xr3:uid="{D5406431-E204-476B-BF98-B3E070B13995}" name="OrderID"/>
    <tableColumn id="2" xr3:uid="{579251DB-5B8E-459E-A5BF-781C77A0B78C}" name="OrderDate" dataDxfId="30"/>
    <tableColumn id="3" xr3:uid="{BE433105-FEDF-40AE-8E53-654F5B5AC5E1}" name="Quarter" dataDxfId="29">
      <calculatedColumnFormula>"Q" &amp; ROUNDUP(MONTH(B2)/3,0) &amp; "-" &amp; YEAR(B2)</calculatedColumnFormula>
    </tableColumn>
    <tableColumn id="4" xr3:uid="{E66D26AE-544B-416A-8830-080BA35FFF37}" name="Standardized-o-date" dataDxfId="28">
      <calculatedColumnFormula>TEXT(B2,"MMM-YYYY")</calculatedColumnFormula>
    </tableColumn>
    <tableColumn id="5" xr3:uid="{B8BAF775-B6F5-4F3B-85A2-5A71E2337CAA}" name="RequiredDate" dataDxfId="27"/>
    <tableColumn id="6" xr3:uid="{CA41A669-F1B9-41EE-A384-76B5122E6C66}" name="LeadTimeDays" dataDxfId="26">
      <calculatedColumnFormula>H2-B2</calculatedColumnFormula>
    </tableColumn>
    <tableColumn id="33" xr3:uid="{DA64A2A3-2A1A-4662-95DA-CF7220D8FB6A}" name="7Target" dataDxfId="25">
      <calculatedColumnFormula>IF(F2&lt;=7, 1, 0)</calculatedColumnFormula>
    </tableColumn>
    <tableColumn id="7" xr3:uid="{567341EF-5B47-4615-B8AB-1BFCE4A227EE}" name="updated_reqdate" dataDxfId="24">
      <calculatedColumnFormula>IF(E2&lt;B2,B2+14,E2)</calculatedColumnFormula>
    </tableColumn>
    <tableColumn id="8" xr3:uid="{17A38829-40EE-4A38-BA16-506E16C18FFB}" name="Region"/>
    <tableColumn id="9" xr3:uid="{E1F0FB38-69E9-480F-A6C2-86814F31BB7F}" name="Country"/>
    <tableColumn id="10" xr3:uid="{0C14D294-2B63-4F0E-A2E0-35BEE0F3450B}" name="City"/>
    <tableColumn id="11" xr3:uid="{8C064B17-CA87-448B-AE35-81A2A0758A4F}" name="CustomerSegment"/>
    <tableColumn id="12" xr3:uid="{FC2605AC-4B20-41BC-BB8C-21C6E7AEDCFB}" name="Channel"/>
    <tableColumn id="13" xr3:uid="{70B2B271-6C35-4108-A2CE-31251BD8423D}" name="Salesperson"/>
    <tableColumn id="14" xr3:uid="{9EF1F6CD-47F2-4088-BA5F-724704BE2F71}" name="ProductCategory"/>
    <tableColumn id="15" xr3:uid="{509F272E-2350-4675-8D3B-9780AEE9E06B}" name="PriceBand">
      <calculatedColumnFormula array="1">_xlfn.IFS(S2&lt;=PERCENTILE($S$2:$S$1000, 0.33), "Low", S2&lt;=PERCENTILE($S$2:$S$1000, 0.66), "Medium", TRUE, "High")</calculatedColumnFormula>
    </tableColumn>
    <tableColumn id="16" xr3:uid="{D37AAFBE-F383-40A7-BD8A-7232FE140802}" name="SKU"/>
    <tableColumn id="17" xr3:uid="{4FC87850-624B-4777-A96E-00AF0DECA83D}" name="UnitCost" dataDxfId="23"/>
    <tableColumn id="18" xr3:uid="{B55FA180-63FA-44C4-A9A2-9226A9C57B07}" name="UnitPrice" dataDxfId="22"/>
    <tableColumn id="19" xr3:uid="{E92C859F-EB2A-4482-8C01-ABE18464F607}" name="DiscountPct" dataDxfId="21"/>
    <tableColumn id="34" xr3:uid="{F9578C3F-AB3B-4B6B-A202-A3D0BBF4FF04}" name="DiscountFlag" dataDxfId="20">
      <calculatedColumnFormula>IF(T2&gt;0.2,1,0)</calculatedColumnFormula>
    </tableColumn>
    <tableColumn id="20" xr3:uid="{9AD53BE1-0702-4DD8-85D1-A16939EC5A7B}" name="Quantity" dataDxfId="19"/>
    <tableColumn id="21" xr3:uid="{962548C5-2835-4CAD-8E91-5C61ACFE04FE}" name="date_status">
      <calculatedColumnFormula>IF(E2&gt;B2, "ok", "sus")</calculatedColumnFormula>
    </tableColumn>
    <tableColumn id="22" xr3:uid="{657EE4F1-ACD5-4509-A61D-A11999E1B5F1}" name="diff(date)">
      <calculatedColumnFormula>E2-B2</calculatedColumnFormula>
    </tableColumn>
    <tableColumn id="23" xr3:uid="{C2015BBA-0A6A-4FE3-950C-993DDFAF2725}" name="Absolute_days_diff">
      <calculatedColumnFormula>ABS(X2)</calculatedColumnFormula>
    </tableColumn>
    <tableColumn id="24" xr3:uid="{DC40BD6D-A319-47D4-A6B0-798A25DF99B7}" name="GrossRevenue" dataDxfId="18">
      <calculatedColumnFormula>S2*V2*(1-T2)</calculatedColumnFormula>
    </tableColumn>
    <tableColumn id="25" xr3:uid="{B3DB3D12-A6C1-4837-AE1C-528BE3EE4697}" name="CostOfGoods" dataDxfId="17">
      <calculatedColumnFormula>R2*V2</calculatedColumnFormula>
    </tableColumn>
    <tableColumn id="26" xr3:uid="{98815FC1-2F9C-406D-A2C7-2C7F0A5EFC6A}" name="GrossProfit" dataDxfId="16">
      <calculatedColumnFormula>Z2-AA2</calculatedColumnFormula>
    </tableColumn>
    <tableColumn id="29" xr3:uid="{52F5A4E3-E805-4139-9141-44AC75C8CF99}" name="Q1" dataDxfId="15">
      <calculatedColumnFormula>_xlfn.QUARTILE.INC(S:S,1)</calculatedColumnFormula>
    </tableColumn>
    <tableColumn id="31" xr3:uid="{AF774ED2-E7AE-423A-A5AC-2CC53FA3604A}" name="Q2" dataDxfId="14">
      <calculatedColumnFormula>_xlfn.QUARTILE.INC(S:S,2)</calculatedColumnFormula>
    </tableColumn>
    <tableColumn id="32" xr3:uid="{35255894-7619-430F-A62B-A389810B21D1}" name="Q3" dataDxfId="13">
      <calculatedColumnFormula>_xlfn.QUARTILE.INC(S:S,3)</calculatedColumnFormula>
    </tableColumn>
    <tableColumn id="30" xr3:uid="{410C6E4A-A273-46A2-8F81-ADAE942519B4}" name="PriceBand2" dataDxfId="12">
      <calculatedColumnFormula>IF(S1&lt;=$AC$2,"Low",
 IF(S1&lt;=$AE$3,"Medium",
 "High"))</calculatedColumnFormula>
    </tableColumn>
    <tableColumn id="27" xr3:uid="{E90AB4D8-BE67-4739-97FB-8A7D4E635831}" name="MarginPct" dataDxfId="11">
      <calculatedColumnFormula>IF(Z2=0,0,AB2/Z2)</calculatedColumnFormula>
    </tableColumn>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3CF8B-F08C-42C8-976F-6E1CFB802164}">
  <dimension ref="A3:A68"/>
  <sheetViews>
    <sheetView workbookViewId="0">
      <selection activeCell="A3" sqref="A3"/>
    </sheetView>
  </sheetViews>
  <sheetFormatPr defaultRowHeight="15" x14ac:dyDescent="0.25"/>
  <cols>
    <col min="1" max="1" width="18.7109375" bestFit="1" customWidth="1"/>
  </cols>
  <sheetData>
    <row r="3" spans="1:1" x14ac:dyDescent="0.25">
      <c r="A3" s="15" t="s">
        <v>1432</v>
      </c>
    </row>
    <row r="4" spans="1:1" x14ac:dyDescent="0.25">
      <c r="A4" s="16" t="s">
        <v>646</v>
      </c>
    </row>
    <row r="5" spans="1:1" x14ac:dyDescent="0.25">
      <c r="A5" s="17" t="s">
        <v>650</v>
      </c>
    </row>
    <row r="6" spans="1:1" x14ac:dyDescent="0.25">
      <c r="A6" s="18" t="s">
        <v>662</v>
      </c>
    </row>
    <row r="7" spans="1:1" x14ac:dyDescent="0.25">
      <c r="A7" s="18" t="s">
        <v>675</v>
      </c>
    </row>
    <row r="8" spans="1:1" x14ac:dyDescent="0.25">
      <c r="A8" s="18" t="s">
        <v>664</v>
      </c>
    </row>
    <row r="9" spans="1:1" x14ac:dyDescent="0.25">
      <c r="A9" s="18" t="s">
        <v>678</v>
      </c>
    </row>
    <row r="10" spans="1:1" x14ac:dyDescent="0.25">
      <c r="A10" s="17" t="s">
        <v>651</v>
      </c>
    </row>
    <row r="11" spans="1:1" x14ac:dyDescent="0.25">
      <c r="A11" s="18" t="s">
        <v>669</v>
      </c>
    </row>
    <row r="12" spans="1:1" x14ac:dyDescent="0.25">
      <c r="A12" s="18" t="s">
        <v>665</v>
      </c>
    </row>
    <row r="13" spans="1:1" x14ac:dyDescent="0.25">
      <c r="A13" s="18" t="s">
        <v>663</v>
      </c>
    </row>
    <row r="14" spans="1:1" x14ac:dyDescent="0.25">
      <c r="A14" s="18" t="s">
        <v>1418</v>
      </c>
    </row>
    <row r="15" spans="1:1" x14ac:dyDescent="0.25">
      <c r="A15" s="17" t="s">
        <v>661</v>
      </c>
    </row>
    <row r="16" spans="1:1" x14ac:dyDescent="0.25">
      <c r="A16" s="18" t="s">
        <v>695</v>
      </c>
    </row>
    <row r="17" spans="1:1" x14ac:dyDescent="0.25">
      <c r="A17" s="18" t="s">
        <v>687</v>
      </c>
    </row>
    <row r="18" spans="1:1" x14ac:dyDescent="0.25">
      <c r="A18" s="18" t="s">
        <v>682</v>
      </c>
    </row>
    <row r="19" spans="1:1" x14ac:dyDescent="0.25">
      <c r="A19" s="16" t="s">
        <v>648</v>
      </c>
    </row>
    <row r="20" spans="1:1" x14ac:dyDescent="0.25">
      <c r="A20" s="17" t="s">
        <v>655</v>
      </c>
    </row>
    <row r="21" spans="1:1" x14ac:dyDescent="0.25">
      <c r="A21" s="18" t="s">
        <v>672</v>
      </c>
    </row>
    <row r="22" spans="1:1" x14ac:dyDescent="0.25">
      <c r="A22" s="18" t="s">
        <v>692</v>
      </c>
    </row>
    <row r="23" spans="1:1" x14ac:dyDescent="0.25">
      <c r="A23" s="18" t="s">
        <v>670</v>
      </c>
    </row>
    <row r="24" spans="1:1" x14ac:dyDescent="0.25">
      <c r="A24" s="18" t="s">
        <v>1418</v>
      </c>
    </row>
    <row r="25" spans="1:1" x14ac:dyDescent="0.25">
      <c r="A25" s="17" t="s">
        <v>653</v>
      </c>
    </row>
    <row r="26" spans="1:1" x14ac:dyDescent="0.25">
      <c r="A26" s="18" t="s">
        <v>681</v>
      </c>
    </row>
    <row r="27" spans="1:1" x14ac:dyDescent="0.25">
      <c r="A27" s="18" t="s">
        <v>667</v>
      </c>
    </row>
    <row r="28" spans="1:1" x14ac:dyDescent="0.25">
      <c r="A28" s="18" t="s">
        <v>1418</v>
      </c>
    </row>
    <row r="29" spans="1:1" x14ac:dyDescent="0.25">
      <c r="A29" s="18" t="s">
        <v>688</v>
      </c>
    </row>
    <row r="30" spans="1:1" x14ac:dyDescent="0.25">
      <c r="A30" s="17" t="s">
        <v>660</v>
      </c>
    </row>
    <row r="31" spans="1:1" x14ac:dyDescent="0.25">
      <c r="A31" s="18" t="s">
        <v>697</v>
      </c>
    </row>
    <row r="32" spans="1:1" x14ac:dyDescent="0.25">
      <c r="A32" s="18" t="s">
        <v>677</v>
      </c>
    </row>
    <row r="33" spans="1:1" x14ac:dyDescent="0.25">
      <c r="A33" s="18" t="s">
        <v>700</v>
      </c>
    </row>
    <row r="34" spans="1:1" x14ac:dyDescent="0.25">
      <c r="A34" s="18" t="s">
        <v>686</v>
      </c>
    </row>
    <row r="35" spans="1:1" x14ac:dyDescent="0.25">
      <c r="A35" s="16" t="s">
        <v>647</v>
      </c>
    </row>
    <row r="36" spans="1:1" x14ac:dyDescent="0.25">
      <c r="A36" s="17" t="s">
        <v>659</v>
      </c>
    </row>
    <row r="37" spans="1:1" x14ac:dyDescent="0.25">
      <c r="A37" s="18" t="s">
        <v>699</v>
      </c>
    </row>
    <row r="38" spans="1:1" x14ac:dyDescent="0.25">
      <c r="A38" s="18" t="s">
        <v>685</v>
      </c>
    </row>
    <row r="39" spans="1:1" x14ac:dyDescent="0.25">
      <c r="A39" s="18" t="s">
        <v>676</v>
      </c>
    </row>
    <row r="40" spans="1:1" x14ac:dyDescent="0.25">
      <c r="A40" s="18" t="s">
        <v>1418</v>
      </c>
    </row>
    <row r="41" spans="1:1" x14ac:dyDescent="0.25">
      <c r="A41" s="17" t="s">
        <v>654</v>
      </c>
    </row>
    <row r="42" spans="1:1" x14ac:dyDescent="0.25">
      <c r="A42" s="18" t="s">
        <v>668</v>
      </c>
    </row>
    <row r="43" spans="1:1" x14ac:dyDescent="0.25">
      <c r="A43" s="18" t="s">
        <v>680</v>
      </c>
    </row>
    <row r="44" spans="1:1" x14ac:dyDescent="0.25">
      <c r="A44" s="18" t="s">
        <v>696</v>
      </c>
    </row>
    <row r="45" spans="1:1" x14ac:dyDescent="0.25">
      <c r="A45" s="18" t="s">
        <v>691</v>
      </c>
    </row>
    <row r="46" spans="1:1" x14ac:dyDescent="0.25">
      <c r="A46" s="18" t="s">
        <v>1418</v>
      </c>
    </row>
    <row r="47" spans="1:1" x14ac:dyDescent="0.25">
      <c r="A47" s="17" t="s">
        <v>652</v>
      </c>
    </row>
    <row r="48" spans="1:1" x14ac:dyDescent="0.25">
      <c r="A48" s="18" t="s">
        <v>694</v>
      </c>
    </row>
    <row r="49" spans="1:1" x14ac:dyDescent="0.25">
      <c r="A49" s="18" t="s">
        <v>666</v>
      </c>
    </row>
    <row r="50" spans="1:1" x14ac:dyDescent="0.25">
      <c r="A50" s="18" t="s">
        <v>689</v>
      </c>
    </row>
    <row r="51" spans="1:1" x14ac:dyDescent="0.25">
      <c r="A51" s="16" t="s">
        <v>649</v>
      </c>
    </row>
    <row r="52" spans="1:1" x14ac:dyDescent="0.25">
      <c r="A52" s="17" t="s">
        <v>657</v>
      </c>
    </row>
    <row r="53" spans="1:1" x14ac:dyDescent="0.25">
      <c r="A53" s="18" t="s">
        <v>679</v>
      </c>
    </row>
    <row r="54" spans="1:1" x14ac:dyDescent="0.25">
      <c r="A54" s="18" t="s">
        <v>673</v>
      </c>
    </row>
    <row r="55" spans="1:1" x14ac:dyDescent="0.25">
      <c r="A55" s="18" t="s">
        <v>690</v>
      </c>
    </row>
    <row r="56" spans="1:1" x14ac:dyDescent="0.25">
      <c r="A56" s="17" t="s">
        <v>656</v>
      </c>
    </row>
    <row r="57" spans="1:1" x14ac:dyDescent="0.25">
      <c r="A57" s="18" t="s">
        <v>671</v>
      </c>
    </row>
    <row r="58" spans="1:1" x14ac:dyDescent="0.25">
      <c r="A58" s="18" t="s">
        <v>698</v>
      </c>
    </row>
    <row r="59" spans="1:1" x14ac:dyDescent="0.25">
      <c r="A59" s="18" t="s">
        <v>684</v>
      </c>
    </row>
    <row r="60" spans="1:1" x14ac:dyDescent="0.25">
      <c r="A60" s="17" t="s">
        <v>658</v>
      </c>
    </row>
    <row r="61" spans="1:1" x14ac:dyDescent="0.25">
      <c r="A61" s="18" t="s">
        <v>674</v>
      </c>
    </row>
    <row r="62" spans="1:1" x14ac:dyDescent="0.25">
      <c r="A62" s="18" t="s">
        <v>683</v>
      </c>
    </row>
    <row r="63" spans="1:1" x14ac:dyDescent="0.25">
      <c r="A63" s="18" t="s">
        <v>693</v>
      </c>
    </row>
    <row r="64" spans="1:1" x14ac:dyDescent="0.25">
      <c r="A64" s="18" t="s">
        <v>1418</v>
      </c>
    </row>
    <row r="65" spans="1:1" x14ac:dyDescent="0.25">
      <c r="A65" s="16" t="s">
        <v>1433</v>
      </c>
    </row>
    <row r="66" spans="1:1" x14ac:dyDescent="0.25">
      <c r="A66" s="17" t="s">
        <v>1433</v>
      </c>
    </row>
    <row r="67" spans="1:1" x14ac:dyDescent="0.25">
      <c r="A67" s="18" t="s">
        <v>1433</v>
      </c>
    </row>
    <row r="68" spans="1:1" x14ac:dyDescent="0.25">
      <c r="A68" s="16" t="s">
        <v>1434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B16E2-5342-46C4-86BF-8CEA6F877ED7}">
  <dimension ref="A3:B356"/>
  <sheetViews>
    <sheetView zoomScale="115" zoomScaleNormal="115" workbookViewId="0">
      <selection activeCell="B12" sqref="B12"/>
    </sheetView>
  </sheetViews>
  <sheetFormatPr defaultRowHeight="15" x14ac:dyDescent="0.25"/>
  <cols>
    <col min="1" max="1" width="19.5703125" bestFit="1" customWidth="1"/>
    <col min="2" max="2" width="20.7109375" bestFit="1" customWidth="1"/>
    <col min="3" max="11" width="12.5703125" bestFit="1" customWidth="1"/>
    <col min="12" max="12" width="14.7109375" bestFit="1" customWidth="1"/>
    <col min="13" max="13" width="12.5703125" bestFit="1" customWidth="1"/>
    <col min="14" max="14" width="13.28515625" bestFit="1" customWidth="1"/>
    <col min="15" max="24" width="12.5703125" bestFit="1" customWidth="1"/>
    <col min="25" max="25" width="14.7109375" bestFit="1" customWidth="1"/>
    <col min="26" max="26" width="12.5703125" bestFit="1" customWidth="1"/>
    <col min="27" max="27" width="13.85546875" bestFit="1" customWidth="1"/>
    <col min="28" max="28" width="9" bestFit="1" customWidth="1"/>
    <col min="29" max="29" width="11.7109375" bestFit="1" customWidth="1"/>
    <col min="30" max="30" width="12.5703125" bestFit="1" customWidth="1"/>
    <col min="31" max="31" width="13.42578125" bestFit="1" customWidth="1"/>
    <col min="32" max="33" width="12" bestFit="1" customWidth="1"/>
    <col min="34" max="34" width="13.28515625" bestFit="1" customWidth="1"/>
    <col min="35" max="36" width="11" bestFit="1" customWidth="1"/>
    <col min="37" max="37" width="13.28515625" bestFit="1" customWidth="1"/>
    <col min="38" max="38" width="12" bestFit="1" customWidth="1"/>
    <col min="39" max="39" width="9.140625" bestFit="1" customWidth="1"/>
    <col min="40" max="40" width="13.28515625" bestFit="1" customWidth="1"/>
    <col min="41" max="41" width="12" bestFit="1" customWidth="1"/>
    <col min="42" max="42" width="11" bestFit="1" customWidth="1"/>
    <col min="43" max="43" width="12.5703125" bestFit="1" customWidth="1"/>
    <col min="44" max="44" width="12" bestFit="1" customWidth="1"/>
    <col min="45" max="45" width="12.5703125" bestFit="1" customWidth="1"/>
    <col min="46" max="47" width="12" bestFit="1" customWidth="1"/>
    <col min="48" max="48" width="12.5703125" bestFit="1" customWidth="1"/>
    <col min="49" max="49" width="11" bestFit="1" customWidth="1"/>
    <col min="50" max="50" width="12" bestFit="1" customWidth="1"/>
    <col min="51" max="51" width="13.28515625" bestFit="1" customWidth="1"/>
    <col min="52" max="53" width="12" bestFit="1" customWidth="1"/>
    <col min="54" max="54" width="13.28515625" bestFit="1" customWidth="1"/>
    <col min="55" max="55" width="12" bestFit="1" customWidth="1"/>
    <col min="56" max="56" width="11" bestFit="1" customWidth="1"/>
    <col min="57" max="57" width="13.28515625" bestFit="1" customWidth="1"/>
    <col min="58" max="58" width="12" bestFit="1" customWidth="1"/>
    <col min="59" max="59" width="11" bestFit="1" customWidth="1"/>
    <col min="60" max="60" width="13.85546875" bestFit="1" customWidth="1"/>
    <col min="61" max="61" width="12" bestFit="1" customWidth="1"/>
    <col min="62" max="62" width="11" bestFit="1" customWidth="1"/>
    <col min="63" max="63" width="13.85546875" bestFit="1" customWidth="1"/>
    <col min="64" max="64" width="12" bestFit="1" customWidth="1"/>
    <col min="65" max="65" width="11" bestFit="1" customWidth="1"/>
    <col min="66" max="66" width="13.85546875" bestFit="1" customWidth="1"/>
    <col min="67" max="67" width="11.42578125" bestFit="1" customWidth="1"/>
    <col min="68" max="68" width="14.28515625" bestFit="1" customWidth="1"/>
    <col min="69" max="70" width="12" bestFit="1" customWidth="1"/>
    <col min="71" max="71" width="14.28515625" bestFit="1" customWidth="1"/>
    <col min="72" max="73" width="12" bestFit="1" customWidth="1"/>
    <col min="74" max="74" width="14.28515625" bestFit="1" customWidth="1"/>
    <col min="75" max="76" width="12" bestFit="1" customWidth="1"/>
    <col min="77" max="77" width="13.85546875" bestFit="1" customWidth="1"/>
    <col min="78" max="78" width="12" bestFit="1" customWidth="1"/>
    <col min="79" max="79" width="11" bestFit="1" customWidth="1"/>
    <col min="80" max="80" width="13.85546875" bestFit="1" customWidth="1"/>
    <col min="81" max="81" width="12" bestFit="1" customWidth="1"/>
    <col min="82" max="82" width="13.28515625" bestFit="1" customWidth="1"/>
    <col min="83" max="83" width="12" bestFit="1" customWidth="1"/>
    <col min="84" max="84" width="11" bestFit="1" customWidth="1"/>
    <col min="85" max="85" width="13.28515625" bestFit="1" customWidth="1"/>
    <col min="86" max="86" width="12" bestFit="1" customWidth="1"/>
    <col min="87" max="87" width="10" bestFit="1" customWidth="1"/>
    <col min="88" max="88" width="14.28515625" bestFit="1" customWidth="1"/>
    <col min="89" max="90" width="12" bestFit="1" customWidth="1"/>
    <col min="91" max="91" width="14.28515625" bestFit="1" customWidth="1"/>
    <col min="92" max="93" width="12" bestFit="1" customWidth="1"/>
    <col min="94" max="94" width="14.28515625" bestFit="1" customWidth="1"/>
    <col min="95" max="95" width="9" bestFit="1" customWidth="1"/>
    <col min="96" max="96" width="11.7109375" bestFit="1" customWidth="1"/>
    <col min="97" max="97" width="12" bestFit="1" customWidth="1"/>
  </cols>
  <sheetData>
    <row r="3" spans="1:2" x14ac:dyDescent="0.25">
      <c r="A3" s="15" t="s">
        <v>1432</v>
      </c>
      <c r="B3" t="s">
        <v>1474</v>
      </c>
    </row>
    <row r="4" spans="1:2" x14ac:dyDescent="0.25">
      <c r="A4" s="16" t="s">
        <v>1441</v>
      </c>
      <c r="B4">
        <v>371604.58274000004</v>
      </c>
    </row>
    <row r="5" spans="1:2" x14ac:dyDescent="0.25">
      <c r="A5" s="17" t="s">
        <v>655</v>
      </c>
      <c r="B5">
        <v>12248.675999999999</v>
      </c>
    </row>
    <row r="6" spans="1:2" x14ac:dyDescent="0.25">
      <c r="A6" s="17" t="s">
        <v>653</v>
      </c>
      <c r="B6">
        <v>15618.84504</v>
      </c>
    </row>
    <row r="7" spans="1:2" x14ac:dyDescent="0.25">
      <c r="A7" s="17" t="s">
        <v>659</v>
      </c>
      <c r="B7">
        <v>23379.011199999997</v>
      </c>
    </row>
    <row r="8" spans="1:2" x14ac:dyDescent="0.25">
      <c r="A8" s="17" t="s">
        <v>657</v>
      </c>
      <c r="B8">
        <v>40811.05186</v>
      </c>
    </row>
    <row r="9" spans="1:2" x14ac:dyDescent="0.25">
      <c r="A9" s="17" t="s">
        <v>656</v>
      </c>
      <c r="B9">
        <v>104633.05091000001</v>
      </c>
    </row>
    <row r="10" spans="1:2" x14ac:dyDescent="0.25">
      <c r="A10" s="17" t="s">
        <v>654</v>
      </c>
      <c r="B10">
        <v>32506.559399999998</v>
      </c>
    </row>
    <row r="11" spans="1:2" x14ac:dyDescent="0.25">
      <c r="A11" s="17" t="s">
        <v>652</v>
      </c>
      <c r="B11">
        <v>21196.913249999998</v>
      </c>
    </row>
    <row r="12" spans="1:2" x14ac:dyDescent="0.25">
      <c r="A12" s="17" t="s">
        <v>650</v>
      </c>
      <c r="B12">
        <v>11003.7672</v>
      </c>
    </row>
    <row r="13" spans="1:2" x14ac:dyDescent="0.25">
      <c r="A13" s="17" t="s">
        <v>651</v>
      </c>
      <c r="B13">
        <v>32280.32474</v>
      </c>
    </row>
    <row r="14" spans="1:2" x14ac:dyDescent="0.25">
      <c r="A14" s="17" t="s">
        <v>658</v>
      </c>
      <c r="B14">
        <v>66551.125379999983</v>
      </c>
    </row>
    <row r="15" spans="1:2" x14ac:dyDescent="0.25">
      <c r="A15" s="17" t="s">
        <v>660</v>
      </c>
      <c r="B15">
        <v>11375.257759999999</v>
      </c>
    </row>
    <row r="16" spans="1:2" x14ac:dyDescent="0.25">
      <c r="A16" s="16" t="s">
        <v>1442</v>
      </c>
      <c r="B16">
        <v>239506.82714000001</v>
      </c>
    </row>
    <row r="17" spans="1:2" x14ac:dyDescent="0.25">
      <c r="A17" s="17" t="s">
        <v>655</v>
      </c>
      <c r="B17">
        <v>57491.062559999998</v>
      </c>
    </row>
    <row r="18" spans="1:2" x14ac:dyDescent="0.25">
      <c r="A18" s="17" t="s">
        <v>659</v>
      </c>
      <c r="B18">
        <v>14197.064400000001</v>
      </c>
    </row>
    <row r="19" spans="1:2" x14ac:dyDescent="0.25">
      <c r="A19" s="17" t="s">
        <v>657</v>
      </c>
      <c r="B19">
        <v>16219.34496</v>
      </c>
    </row>
    <row r="20" spans="1:2" x14ac:dyDescent="0.25">
      <c r="A20" s="17" t="s">
        <v>656</v>
      </c>
      <c r="B20">
        <v>37482.345600000001</v>
      </c>
    </row>
    <row r="21" spans="1:2" x14ac:dyDescent="0.25">
      <c r="A21" s="17" t="s">
        <v>650</v>
      </c>
      <c r="B21">
        <v>24447.95865</v>
      </c>
    </row>
    <row r="22" spans="1:2" x14ac:dyDescent="0.25">
      <c r="A22" s="17" t="s">
        <v>651</v>
      </c>
      <c r="B22">
        <v>48850.80702</v>
      </c>
    </row>
    <row r="23" spans="1:2" x14ac:dyDescent="0.25">
      <c r="A23" s="17" t="s">
        <v>661</v>
      </c>
      <c r="B23">
        <v>20171.63305</v>
      </c>
    </row>
    <row r="24" spans="1:2" x14ac:dyDescent="0.25">
      <c r="A24" s="17" t="s">
        <v>658</v>
      </c>
      <c r="B24">
        <v>20646.6109</v>
      </c>
    </row>
    <row r="25" spans="1:2" x14ac:dyDescent="0.25">
      <c r="A25" s="16" t="s">
        <v>1443</v>
      </c>
      <c r="B25">
        <v>336135.16749999998</v>
      </c>
    </row>
    <row r="26" spans="1:2" x14ac:dyDescent="0.25">
      <c r="A26" s="17" t="s">
        <v>655</v>
      </c>
      <c r="B26">
        <v>68920.107260000004</v>
      </c>
    </row>
    <row r="27" spans="1:2" x14ac:dyDescent="0.25">
      <c r="A27" s="17" t="s">
        <v>653</v>
      </c>
      <c r="B27">
        <v>7901.5041599999995</v>
      </c>
    </row>
    <row r="28" spans="1:2" x14ac:dyDescent="0.25">
      <c r="A28" s="17" t="s">
        <v>657</v>
      </c>
      <c r="B28">
        <v>33208.325400000002</v>
      </c>
    </row>
    <row r="29" spans="1:2" x14ac:dyDescent="0.25">
      <c r="A29" s="17" t="s">
        <v>656</v>
      </c>
      <c r="B29">
        <v>5810.4844599999997</v>
      </c>
    </row>
    <row r="30" spans="1:2" x14ac:dyDescent="0.25">
      <c r="A30" s="17" t="s">
        <v>654</v>
      </c>
      <c r="B30">
        <v>4856.35725</v>
      </c>
    </row>
    <row r="31" spans="1:2" x14ac:dyDescent="0.25">
      <c r="A31" s="17" t="s">
        <v>652</v>
      </c>
      <c r="B31">
        <v>20606.46444</v>
      </c>
    </row>
    <row r="32" spans="1:2" x14ac:dyDescent="0.25">
      <c r="A32" s="17" t="s">
        <v>650</v>
      </c>
      <c r="B32">
        <v>17731.623</v>
      </c>
    </row>
    <row r="33" spans="1:2" x14ac:dyDescent="0.25">
      <c r="A33" s="17" t="s">
        <v>651</v>
      </c>
      <c r="B33">
        <v>40139.874619999995</v>
      </c>
    </row>
    <row r="34" spans="1:2" x14ac:dyDescent="0.25">
      <c r="A34" s="17" t="s">
        <v>661</v>
      </c>
      <c r="B34">
        <v>1886.9915999999998</v>
      </c>
    </row>
    <row r="35" spans="1:2" x14ac:dyDescent="0.25">
      <c r="A35" s="17" t="s">
        <v>658</v>
      </c>
      <c r="B35">
        <v>96832.738060000003</v>
      </c>
    </row>
    <row r="36" spans="1:2" x14ac:dyDescent="0.25">
      <c r="A36" s="17" t="s">
        <v>660</v>
      </c>
      <c r="B36">
        <v>38240.697249999997</v>
      </c>
    </row>
    <row r="37" spans="1:2" x14ac:dyDescent="0.25">
      <c r="A37" s="16" t="s">
        <v>1444</v>
      </c>
      <c r="B37">
        <v>339044.67038999998</v>
      </c>
    </row>
    <row r="38" spans="1:2" x14ac:dyDescent="0.25">
      <c r="A38" s="17" t="s">
        <v>655</v>
      </c>
      <c r="B38">
        <v>37330.00275</v>
      </c>
    </row>
    <row r="39" spans="1:2" x14ac:dyDescent="0.25">
      <c r="A39" s="17" t="s">
        <v>653</v>
      </c>
      <c r="B39">
        <v>52625.804160000007</v>
      </c>
    </row>
    <row r="40" spans="1:2" x14ac:dyDescent="0.25">
      <c r="A40" s="17" t="s">
        <v>659</v>
      </c>
      <c r="B40">
        <v>64096.735299999993</v>
      </c>
    </row>
    <row r="41" spans="1:2" x14ac:dyDescent="0.25">
      <c r="A41" s="17" t="s">
        <v>657</v>
      </c>
      <c r="B41">
        <v>36549.429260000004</v>
      </c>
    </row>
    <row r="42" spans="1:2" x14ac:dyDescent="0.25">
      <c r="A42" s="17" t="s">
        <v>656</v>
      </c>
      <c r="B42">
        <v>215.19839999999996</v>
      </c>
    </row>
    <row r="43" spans="1:2" x14ac:dyDescent="0.25">
      <c r="A43" s="17" t="s">
        <v>654</v>
      </c>
      <c r="B43">
        <v>7105.3528000000006</v>
      </c>
    </row>
    <row r="44" spans="1:2" x14ac:dyDescent="0.25">
      <c r="A44" s="17" t="s">
        <v>650</v>
      </c>
      <c r="B44">
        <v>667.74</v>
      </c>
    </row>
    <row r="45" spans="1:2" x14ac:dyDescent="0.25">
      <c r="A45" s="17" t="s">
        <v>651</v>
      </c>
      <c r="B45">
        <v>24833.097520000003</v>
      </c>
    </row>
    <row r="46" spans="1:2" x14ac:dyDescent="0.25">
      <c r="A46" s="17" t="s">
        <v>661</v>
      </c>
      <c r="B46">
        <v>58520.369640000004</v>
      </c>
    </row>
    <row r="47" spans="1:2" x14ac:dyDescent="0.25">
      <c r="A47" s="17" t="s">
        <v>658</v>
      </c>
      <c r="B47">
        <v>31801.900559999998</v>
      </c>
    </row>
    <row r="48" spans="1:2" x14ac:dyDescent="0.25">
      <c r="A48" s="17" t="s">
        <v>660</v>
      </c>
      <c r="B48">
        <v>25299.040000000001</v>
      </c>
    </row>
    <row r="49" spans="1:2" x14ac:dyDescent="0.25">
      <c r="A49" s="16" t="s">
        <v>1445</v>
      </c>
      <c r="B49">
        <v>383755.41966000001</v>
      </c>
    </row>
    <row r="50" spans="1:2" x14ac:dyDescent="0.25">
      <c r="A50" s="17" t="s">
        <v>655</v>
      </c>
      <c r="B50">
        <v>41358.420049999993</v>
      </c>
    </row>
    <row r="51" spans="1:2" x14ac:dyDescent="0.25">
      <c r="A51" s="17" t="s">
        <v>653</v>
      </c>
      <c r="B51">
        <v>7466.3063999999986</v>
      </c>
    </row>
    <row r="52" spans="1:2" x14ac:dyDescent="0.25">
      <c r="A52" s="17" t="s">
        <v>657</v>
      </c>
      <c r="B52">
        <v>9189.1634999999987</v>
      </c>
    </row>
    <row r="53" spans="1:2" x14ac:dyDescent="0.25">
      <c r="A53" s="17" t="s">
        <v>656</v>
      </c>
      <c r="B53">
        <v>47066.843850000005</v>
      </c>
    </row>
    <row r="54" spans="1:2" x14ac:dyDescent="0.25">
      <c r="A54" s="17" t="s">
        <v>654</v>
      </c>
      <c r="B54">
        <v>43785.68778</v>
      </c>
    </row>
    <row r="55" spans="1:2" x14ac:dyDescent="0.25">
      <c r="A55" s="17" t="s">
        <v>652</v>
      </c>
      <c r="B55">
        <v>82602.550499999998</v>
      </c>
    </row>
    <row r="56" spans="1:2" x14ac:dyDescent="0.25">
      <c r="A56" s="17" t="s">
        <v>650</v>
      </c>
      <c r="B56">
        <v>3823.6151599999998</v>
      </c>
    </row>
    <row r="57" spans="1:2" x14ac:dyDescent="0.25">
      <c r="A57" s="17" t="s">
        <v>661</v>
      </c>
      <c r="B57">
        <v>27331.829999999998</v>
      </c>
    </row>
    <row r="58" spans="1:2" x14ac:dyDescent="0.25">
      <c r="A58" s="17" t="s">
        <v>658</v>
      </c>
      <c r="B58">
        <v>23687.524440000001</v>
      </c>
    </row>
    <row r="59" spans="1:2" x14ac:dyDescent="0.25">
      <c r="A59" s="17" t="s">
        <v>660</v>
      </c>
      <c r="B59">
        <v>97443.477979999996</v>
      </c>
    </row>
    <row r="60" spans="1:2" x14ac:dyDescent="0.25">
      <c r="A60" s="16" t="s">
        <v>1446</v>
      </c>
      <c r="B60">
        <v>366808.72250000003</v>
      </c>
    </row>
    <row r="61" spans="1:2" x14ac:dyDescent="0.25">
      <c r="A61" s="17" t="s">
        <v>655</v>
      </c>
      <c r="B61">
        <v>45754.744080000004</v>
      </c>
    </row>
    <row r="62" spans="1:2" x14ac:dyDescent="0.25">
      <c r="A62" s="17" t="s">
        <v>653</v>
      </c>
      <c r="B62">
        <v>24972.288</v>
      </c>
    </row>
    <row r="63" spans="1:2" x14ac:dyDescent="0.25">
      <c r="A63" s="17" t="s">
        <v>659</v>
      </c>
      <c r="B63">
        <v>33684.350699999995</v>
      </c>
    </row>
    <row r="64" spans="1:2" x14ac:dyDescent="0.25">
      <c r="A64" s="17" t="s">
        <v>657</v>
      </c>
      <c r="B64">
        <v>68199.913</v>
      </c>
    </row>
    <row r="65" spans="1:2" x14ac:dyDescent="0.25">
      <c r="A65" s="17" t="s">
        <v>656</v>
      </c>
      <c r="B65">
        <v>56176.777799999996</v>
      </c>
    </row>
    <row r="66" spans="1:2" x14ac:dyDescent="0.25">
      <c r="A66" s="17" t="s">
        <v>654</v>
      </c>
      <c r="B66">
        <v>11006.647559999999</v>
      </c>
    </row>
    <row r="67" spans="1:2" x14ac:dyDescent="0.25">
      <c r="A67" s="17" t="s">
        <v>652</v>
      </c>
      <c r="B67">
        <v>34082.864639999993</v>
      </c>
    </row>
    <row r="68" spans="1:2" x14ac:dyDescent="0.25">
      <c r="A68" s="17" t="s">
        <v>650</v>
      </c>
      <c r="B68">
        <v>15174.425699999998</v>
      </c>
    </row>
    <row r="69" spans="1:2" x14ac:dyDescent="0.25">
      <c r="A69" s="17" t="s">
        <v>651</v>
      </c>
      <c r="B69">
        <v>49501.660319999995</v>
      </c>
    </row>
    <row r="70" spans="1:2" x14ac:dyDescent="0.25">
      <c r="A70" s="17" t="s">
        <v>658</v>
      </c>
      <c r="B70">
        <v>853.32276999999988</v>
      </c>
    </row>
    <row r="71" spans="1:2" x14ac:dyDescent="0.25">
      <c r="A71" s="17" t="s">
        <v>660</v>
      </c>
      <c r="B71">
        <v>27401.727929999997</v>
      </c>
    </row>
    <row r="72" spans="1:2" x14ac:dyDescent="0.25">
      <c r="A72" s="16" t="s">
        <v>1447</v>
      </c>
      <c r="B72">
        <v>382101.36679999996</v>
      </c>
    </row>
    <row r="73" spans="1:2" x14ac:dyDescent="0.25">
      <c r="A73" s="17" t="s">
        <v>655</v>
      </c>
      <c r="B73">
        <v>61471.696859999996</v>
      </c>
    </row>
    <row r="74" spans="1:2" x14ac:dyDescent="0.25">
      <c r="A74" s="17" t="s">
        <v>653</v>
      </c>
      <c r="B74">
        <v>14466.95104</v>
      </c>
    </row>
    <row r="75" spans="1:2" x14ac:dyDescent="0.25">
      <c r="A75" s="17" t="s">
        <v>659</v>
      </c>
      <c r="B75">
        <v>23668.560000000001</v>
      </c>
    </row>
    <row r="76" spans="1:2" x14ac:dyDescent="0.25">
      <c r="A76" s="17" t="s">
        <v>657</v>
      </c>
      <c r="B76">
        <v>28412.100360000004</v>
      </c>
    </row>
    <row r="77" spans="1:2" x14ac:dyDescent="0.25">
      <c r="A77" s="17" t="s">
        <v>656</v>
      </c>
      <c r="B77">
        <v>56963.241009999998</v>
      </c>
    </row>
    <row r="78" spans="1:2" x14ac:dyDescent="0.25">
      <c r="A78" s="17" t="s">
        <v>654</v>
      </c>
      <c r="B78">
        <v>35984.636809999996</v>
      </c>
    </row>
    <row r="79" spans="1:2" x14ac:dyDescent="0.25">
      <c r="A79" s="17" t="s">
        <v>652</v>
      </c>
      <c r="B79">
        <v>38506.528819999992</v>
      </c>
    </row>
    <row r="80" spans="1:2" x14ac:dyDescent="0.25">
      <c r="A80" s="17" t="s">
        <v>650</v>
      </c>
      <c r="B80">
        <v>16061.972879999999</v>
      </c>
    </row>
    <row r="81" spans="1:2" x14ac:dyDescent="0.25">
      <c r="A81" s="17" t="s">
        <v>651</v>
      </c>
      <c r="B81">
        <v>27158.894079999998</v>
      </c>
    </row>
    <row r="82" spans="1:2" x14ac:dyDescent="0.25">
      <c r="A82" s="17" t="s">
        <v>661</v>
      </c>
      <c r="B82">
        <v>79406.784939999983</v>
      </c>
    </row>
    <row r="83" spans="1:2" x14ac:dyDescent="0.25">
      <c r="A83" s="16" t="s">
        <v>1448</v>
      </c>
      <c r="B83">
        <v>354378.93715999997</v>
      </c>
    </row>
    <row r="84" spans="1:2" x14ac:dyDescent="0.25">
      <c r="A84" s="17" t="s">
        <v>653</v>
      </c>
      <c r="B84">
        <v>20713.040080000002</v>
      </c>
    </row>
    <row r="85" spans="1:2" x14ac:dyDescent="0.25">
      <c r="A85" s="17" t="s">
        <v>659</v>
      </c>
      <c r="B85">
        <v>77129.274059999996</v>
      </c>
    </row>
    <row r="86" spans="1:2" x14ac:dyDescent="0.25">
      <c r="A86" s="17" t="s">
        <v>657</v>
      </c>
      <c r="B86">
        <v>32011.666519999995</v>
      </c>
    </row>
    <row r="87" spans="1:2" x14ac:dyDescent="0.25">
      <c r="A87" s="17" t="s">
        <v>656</v>
      </c>
      <c r="B87">
        <v>78869.293639999989</v>
      </c>
    </row>
    <row r="88" spans="1:2" x14ac:dyDescent="0.25">
      <c r="A88" s="17" t="s">
        <v>654</v>
      </c>
      <c r="B88">
        <v>40695.91504</v>
      </c>
    </row>
    <row r="89" spans="1:2" x14ac:dyDescent="0.25">
      <c r="A89" s="17" t="s">
        <v>652</v>
      </c>
      <c r="B89">
        <v>18641.222160000001</v>
      </c>
    </row>
    <row r="90" spans="1:2" x14ac:dyDescent="0.25">
      <c r="A90" s="17" t="s">
        <v>651</v>
      </c>
      <c r="B90">
        <v>12967.958640000001</v>
      </c>
    </row>
    <row r="91" spans="1:2" x14ac:dyDescent="0.25">
      <c r="A91" s="17" t="s">
        <v>658</v>
      </c>
      <c r="B91">
        <v>61319.075339999996</v>
      </c>
    </row>
    <row r="92" spans="1:2" x14ac:dyDescent="0.25">
      <c r="A92" s="17" t="s">
        <v>660</v>
      </c>
      <c r="B92">
        <v>12031.491680000001</v>
      </c>
    </row>
    <row r="93" spans="1:2" x14ac:dyDescent="0.25">
      <c r="A93" s="16" t="s">
        <v>1449</v>
      </c>
      <c r="B93">
        <v>433788.64049000002</v>
      </c>
    </row>
    <row r="94" spans="1:2" x14ac:dyDescent="0.25">
      <c r="A94" s="17" t="s">
        <v>655</v>
      </c>
      <c r="B94">
        <v>24894.430559999997</v>
      </c>
    </row>
    <row r="95" spans="1:2" x14ac:dyDescent="0.25">
      <c r="A95" s="17" t="s">
        <v>653</v>
      </c>
      <c r="B95">
        <v>26150.364320000001</v>
      </c>
    </row>
    <row r="96" spans="1:2" x14ac:dyDescent="0.25">
      <c r="A96" s="17" t="s">
        <v>659</v>
      </c>
      <c r="B96">
        <v>10869.182940000001</v>
      </c>
    </row>
    <row r="97" spans="1:2" x14ac:dyDescent="0.25">
      <c r="A97" s="17" t="s">
        <v>657</v>
      </c>
      <c r="B97">
        <v>39546.774539999999</v>
      </c>
    </row>
    <row r="98" spans="1:2" x14ac:dyDescent="0.25">
      <c r="A98" s="17" t="s">
        <v>656</v>
      </c>
      <c r="B98">
        <v>142962.67473</v>
      </c>
    </row>
    <row r="99" spans="1:2" x14ac:dyDescent="0.25">
      <c r="A99" s="17" t="s">
        <v>654</v>
      </c>
      <c r="B99">
        <v>22044.871499999997</v>
      </c>
    </row>
    <row r="100" spans="1:2" x14ac:dyDescent="0.25">
      <c r="A100" s="17" t="s">
        <v>650</v>
      </c>
      <c r="B100">
        <v>3115.3609199999996</v>
      </c>
    </row>
    <row r="101" spans="1:2" x14ac:dyDescent="0.25">
      <c r="A101" s="17" t="s">
        <v>651</v>
      </c>
      <c r="B101">
        <v>4737.2198399999997</v>
      </c>
    </row>
    <row r="102" spans="1:2" x14ac:dyDescent="0.25">
      <c r="A102" s="17" t="s">
        <v>661</v>
      </c>
      <c r="B102">
        <v>86597.081299999991</v>
      </c>
    </row>
    <row r="103" spans="1:2" x14ac:dyDescent="0.25">
      <c r="A103" s="17" t="s">
        <v>658</v>
      </c>
      <c r="B103">
        <v>4132.0325200000007</v>
      </c>
    </row>
    <row r="104" spans="1:2" x14ac:dyDescent="0.25">
      <c r="A104" s="17" t="s">
        <v>660</v>
      </c>
      <c r="B104">
        <v>68738.647320000004</v>
      </c>
    </row>
    <row r="105" spans="1:2" x14ac:dyDescent="0.25">
      <c r="A105" s="16" t="s">
        <v>1450</v>
      </c>
      <c r="B105">
        <v>307793.71461999998</v>
      </c>
    </row>
    <row r="106" spans="1:2" x14ac:dyDescent="0.25">
      <c r="A106" s="17" t="s">
        <v>655</v>
      </c>
      <c r="B106">
        <v>39239.197899999999</v>
      </c>
    </row>
    <row r="107" spans="1:2" x14ac:dyDescent="0.25">
      <c r="A107" s="17" t="s">
        <v>653</v>
      </c>
      <c r="B107">
        <v>9774.3888000000006</v>
      </c>
    </row>
    <row r="108" spans="1:2" x14ac:dyDescent="0.25">
      <c r="A108" s="17" t="s">
        <v>659</v>
      </c>
      <c r="B108">
        <v>79081.561010000005</v>
      </c>
    </row>
    <row r="109" spans="1:2" x14ac:dyDescent="0.25">
      <c r="A109" s="17" t="s">
        <v>657</v>
      </c>
      <c r="B109">
        <v>20654.544699999999</v>
      </c>
    </row>
    <row r="110" spans="1:2" x14ac:dyDescent="0.25">
      <c r="A110" s="17" t="s">
        <v>656</v>
      </c>
      <c r="B110">
        <v>321.93290999999999</v>
      </c>
    </row>
    <row r="111" spans="1:2" x14ac:dyDescent="0.25">
      <c r="A111" s="17" t="s">
        <v>654</v>
      </c>
      <c r="B111">
        <v>24305.882859999998</v>
      </c>
    </row>
    <row r="112" spans="1:2" x14ac:dyDescent="0.25">
      <c r="A112" s="17" t="s">
        <v>652</v>
      </c>
      <c r="B112">
        <v>15253.069799999999</v>
      </c>
    </row>
    <row r="113" spans="1:2" x14ac:dyDescent="0.25">
      <c r="A113" s="17" t="s">
        <v>650</v>
      </c>
      <c r="B113">
        <v>66852.128960000002</v>
      </c>
    </row>
    <row r="114" spans="1:2" x14ac:dyDescent="0.25">
      <c r="A114" s="17" t="s">
        <v>660</v>
      </c>
      <c r="B114">
        <v>52311.007679999995</v>
      </c>
    </row>
    <row r="115" spans="1:2" x14ac:dyDescent="0.25">
      <c r="A115" s="16" t="s">
        <v>1451</v>
      </c>
      <c r="B115">
        <v>221608.49786999999</v>
      </c>
    </row>
    <row r="116" spans="1:2" x14ac:dyDescent="0.25">
      <c r="A116" s="17" t="s">
        <v>655</v>
      </c>
      <c r="B116">
        <v>70563.592109999998</v>
      </c>
    </row>
    <row r="117" spans="1:2" x14ac:dyDescent="0.25">
      <c r="A117" s="17" t="s">
        <v>653</v>
      </c>
      <c r="B117">
        <v>8128.5187499999993</v>
      </c>
    </row>
    <row r="118" spans="1:2" x14ac:dyDescent="0.25">
      <c r="A118" s="17" t="s">
        <v>657</v>
      </c>
      <c r="B118">
        <v>12040.64352</v>
      </c>
    </row>
    <row r="119" spans="1:2" x14ac:dyDescent="0.25">
      <c r="A119" s="17" t="s">
        <v>656</v>
      </c>
      <c r="B119">
        <v>30546.068040000002</v>
      </c>
    </row>
    <row r="120" spans="1:2" x14ac:dyDescent="0.25">
      <c r="A120" s="17" t="s">
        <v>654</v>
      </c>
      <c r="B120">
        <v>7120.6486400000003</v>
      </c>
    </row>
    <row r="121" spans="1:2" x14ac:dyDescent="0.25">
      <c r="A121" s="17" t="s">
        <v>652</v>
      </c>
      <c r="B121">
        <v>7955.6342199999999</v>
      </c>
    </row>
    <row r="122" spans="1:2" x14ac:dyDescent="0.25">
      <c r="A122" s="17" t="s">
        <v>650</v>
      </c>
      <c r="B122">
        <v>15860.782080000001</v>
      </c>
    </row>
    <row r="123" spans="1:2" x14ac:dyDescent="0.25">
      <c r="A123" s="17" t="s">
        <v>651</v>
      </c>
      <c r="B123">
        <v>23687.576009999997</v>
      </c>
    </row>
    <row r="124" spans="1:2" x14ac:dyDescent="0.25">
      <c r="A124" s="17" t="s">
        <v>658</v>
      </c>
      <c r="B124">
        <v>35720.318400000004</v>
      </c>
    </row>
    <row r="125" spans="1:2" x14ac:dyDescent="0.25">
      <c r="A125" s="17" t="s">
        <v>660</v>
      </c>
      <c r="B125">
        <v>9984.7160999999978</v>
      </c>
    </row>
    <row r="126" spans="1:2" x14ac:dyDescent="0.25">
      <c r="A126" s="16" t="s">
        <v>1452</v>
      </c>
      <c r="B126">
        <v>178642.73715000003</v>
      </c>
    </row>
    <row r="127" spans="1:2" x14ac:dyDescent="0.25">
      <c r="A127" s="17" t="s">
        <v>655</v>
      </c>
      <c r="B127">
        <v>1801.4076000000002</v>
      </c>
    </row>
    <row r="128" spans="1:2" x14ac:dyDescent="0.25">
      <c r="A128" s="17" t="s">
        <v>653</v>
      </c>
      <c r="B128">
        <v>4141.7599999999993</v>
      </c>
    </row>
    <row r="129" spans="1:2" x14ac:dyDescent="0.25">
      <c r="A129" s="17" t="s">
        <v>659</v>
      </c>
      <c r="B129">
        <v>11406.96</v>
      </c>
    </row>
    <row r="130" spans="1:2" x14ac:dyDescent="0.25">
      <c r="A130" s="17" t="s">
        <v>657</v>
      </c>
      <c r="B130">
        <v>9847.2358600000007</v>
      </c>
    </row>
    <row r="131" spans="1:2" x14ac:dyDescent="0.25">
      <c r="A131" s="17" t="s">
        <v>656</v>
      </c>
      <c r="B131">
        <v>13921.506140000001</v>
      </c>
    </row>
    <row r="132" spans="1:2" x14ac:dyDescent="0.25">
      <c r="A132" s="17" t="s">
        <v>654</v>
      </c>
      <c r="B132">
        <v>26759.28775</v>
      </c>
    </row>
    <row r="133" spans="1:2" x14ac:dyDescent="0.25">
      <c r="A133" s="17" t="s">
        <v>650</v>
      </c>
      <c r="B133">
        <v>47962.717579999997</v>
      </c>
    </row>
    <row r="134" spans="1:2" x14ac:dyDescent="0.25">
      <c r="A134" s="17" t="s">
        <v>651</v>
      </c>
      <c r="B134">
        <v>685.06776000000002</v>
      </c>
    </row>
    <row r="135" spans="1:2" x14ac:dyDescent="0.25">
      <c r="A135" s="17" t="s">
        <v>661</v>
      </c>
      <c r="B135">
        <v>3116.21</v>
      </c>
    </row>
    <row r="136" spans="1:2" x14ac:dyDescent="0.25">
      <c r="A136" s="17" t="s">
        <v>658</v>
      </c>
      <c r="B136">
        <v>27965.366600000001</v>
      </c>
    </row>
    <row r="137" spans="1:2" x14ac:dyDescent="0.25">
      <c r="A137" s="17" t="s">
        <v>660</v>
      </c>
      <c r="B137">
        <v>31035.217859999997</v>
      </c>
    </row>
    <row r="138" spans="1:2" x14ac:dyDescent="0.25">
      <c r="A138" s="16" t="s">
        <v>1453</v>
      </c>
      <c r="B138">
        <v>299100.37307999999</v>
      </c>
    </row>
    <row r="139" spans="1:2" x14ac:dyDescent="0.25">
      <c r="A139" s="17" t="s">
        <v>655</v>
      </c>
      <c r="B139">
        <v>8567.3924999999999</v>
      </c>
    </row>
    <row r="140" spans="1:2" x14ac:dyDescent="0.25">
      <c r="A140" s="17" t="s">
        <v>653</v>
      </c>
      <c r="B140">
        <v>19139.594240000002</v>
      </c>
    </row>
    <row r="141" spans="1:2" x14ac:dyDescent="0.25">
      <c r="A141" s="17" t="s">
        <v>657</v>
      </c>
      <c r="B141">
        <v>29263.361400000002</v>
      </c>
    </row>
    <row r="142" spans="1:2" x14ac:dyDescent="0.25">
      <c r="A142" s="17" t="s">
        <v>656</v>
      </c>
      <c r="B142">
        <v>41020.909639999998</v>
      </c>
    </row>
    <row r="143" spans="1:2" x14ac:dyDescent="0.25">
      <c r="A143" s="17" t="s">
        <v>654</v>
      </c>
      <c r="B143">
        <v>33792.866320000001</v>
      </c>
    </row>
    <row r="144" spans="1:2" x14ac:dyDescent="0.25">
      <c r="A144" s="17" t="s">
        <v>652</v>
      </c>
      <c r="B144">
        <v>67110.666420000009</v>
      </c>
    </row>
    <row r="145" spans="1:2" x14ac:dyDescent="0.25">
      <c r="A145" s="17" t="s">
        <v>661</v>
      </c>
      <c r="B145">
        <v>54214.972159999998</v>
      </c>
    </row>
    <row r="146" spans="1:2" x14ac:dyDescent="0.25">
      <c r="A146" s="17" t="s">
        <v>658</v>
      </c>
      <c r="B146">
        <v>27424.450400000002</v>
      </c>
    </row>
    <row r="147" spans="1:2" x14ac:dyDescent="0.25">
      <c r="A147" s="17" t="s">
        <v>660</v>
      </c>
      <c r="B147">
        <v>18566.16</v>
      </c>
    </row>
    <row r="148" spans="1:2" x14ac:dyDescent="0.25">
      <c r="A148" s="16" t="s">
        <v>1454</v>
      </c>
      <c r="B148">
        <v>223498.20032</v>
      </c>
    </row>
    <row r="149" spans="1:2" x14ac:dyDescent="0.25">
      <c r="A149" s="17" t="s">
        <v>655</v>
      </c>
      <c r="B149">
        <v>22987.3279</v>
      </c>
    </row>
    <row r="150" spans="1:2" x14ac:dyDescent="0.25">
      <c r="A150" s="17" t="s">
        <v>659</v>
      </c>
      <c r="B150">
        <v>56274.47408</v>
      </c>
    </row>
    <row r="151" spans="1:2" x14ac:dyDescent="0.25">
      <c r="A151" s="17" t="s">
        <v>657</v>
      </c>
      <c r="B151">
        <v>20050.102040000002</v>
      </c>
    </row>
    <row r="152" spans="1:2" x14ac:dyDescent="0.25">
      <c r="A152" s="17" t="s">
        <v>654</v>
      </c>
      <c r="B152">
        <v>33308.550000000003</v>
      </c>
    </row>
    <row r="153" spans="1:2" x14ac:dyDescent="0.25">
      <c r="A153" s="17" t="s">
        <v>652</v>
      </c>
      <c r="B153">
        <v>15705.464199999999</v>
      </c>
    </row>
    <row r="154" spans="1:2" x14ac:dyDescent="0.25">
      <c r="A154" s="17" t="s">
        <v>650</v>
      </c>
      <c r="B154">
        <v>52609.065839999996</v>
      </c>
    </row>
    <row r="155" spans="1:2" x14ac:dyDescent="0.25">
      <c r="A155" s="17" t="s">
        <v>661</v>
      </c>
      <c r="B155">
        <v>6576.298960000001</v>
      </c>
    </row>
    <row r="156" spans="1:2" x14ac:dyDescent="0.25">
      <c r="A156" s="17" t="s">
        <v>658</v>
      </c>
      <c r="B156">
        <v>11332.142999999998</v>
      </c>
    </row>
    <row r="157" spans="1:2" x14ac:dyDescent="0.25">
      <c r="A157" s="17" t="s">
        <v>660</v>
      </c>
      <c r="B157">
        <v>4654.7743</v>
      </c>
    </row>
    <row r="158" spans="1:2" x14ac:dyDescent="0.25">
      <c r="A158" s="16" t="s">
        <v>1455</v>
      </c>
      <c r="B158">
        <v>550462.84643999999</v>
      </c>
    </row>
    <row r="159" spans="1:2" x14ac:dyDescent="0.25">
      <c r="A159" s="17" t="s">
        <v>655</v>
      </c>
      <c r="B159">
        <v>93430.735400000005</v>
      </c>
    </row>
    <row r="160" spans="1:2" x14ac:dyDescent="0.25">
      <c r="A160" s="17" t="s">
        <v>653</v>
      </c>
      <c r="B160">
        <v>29536.716</v>
      </c>
    </row>
    <row r="161" spans="1:2" x14ac:dyDescent="0.25">
      <c r="A161" s="17" t="s">
        <v>657</v>
      </c>
      <c r="B161">
        <v>60768.60312</v>
      </c>
    </row>
    <row r="162" spans="1:2" x14ac:dyDescent="0.25">
      <c r="A162" s="17" t="s">
        <v>656</v>
      </c>
      <c r="B162">
        <v>14114.068500000001</v>
      </c>
    </row>
    <row r="163" spans="1:2" x14ac:dyDescent="0.25">
      <c r="A163" s="17" t="s">
        <v>654</v>
      </c>
      <c r="B163">
        <v>12462.65055</v>
      </c>
    </row>
    <row r="164" spans="1:2" x14ac:dyDescent="0.25">
      <c r="A164" s="17" t="s">
        <v>652</v>
      </c>
      <c r="B164">
        <v>32142.113530000002</v>
      </c>
    </row>
    <row r="165" spans="1:2" x14ac:dyDescent="0.25">
      <c r="A165" s="17" t="s">
        <v>650</v>
      </c>
      <c r="B165">
        <v>36649.808400000002</v>
      </c>
    </row>
    <row r="166" spans="1:2" x14ac:dyDescent="0.25">
      <c r="A166" s="17" t="s">
        <v>651</v>
      </c>
      <c r="B166">
        <v>112088.8161</v>
      </c>
    </row>
    <row r="167" spans="1:2" x14ac:dyDescent="0.25">
      <c r="A167" s="17" t="s">
        <v>661</v>
      </c>
      <c r="B167">
        <v>78566.392940000005</v>
      </c>
    </row>
    <row r="168" spans="1:2" x14ac:dyDescent="0.25">
      <c r="A168" s="17" t="s">
        <v>658</v>
      </c>
      <c r="B168">
        <v>48616.566040000005</v>
      </c>
    </row>
    <row r="169" spans="1:2" x14ac:dyDescent="0.25">
      <c r="A169" s="17" t="s">
        <v>660</v>
      </c>
      <c r="B169">
        <v>32086.37586</v>
      </c>
    </row>
    <row r="170" spans="1:2" x14ac:dyDescent="0.25">
      <c r="A170" s="16" t="s">
        <v>1456</v>
      </c>
      <c r="B170">
        <v>275628.61963000003</v>
      </c>
    </row>
    <row r="171" spans="1:2" x14ac:dyDescent="0.25">
      <c r="A171" s="17" t="s">
        <v>655</v>
      </c>
      <c r="B171">
        <v>10937.519999999999</v>
      </c>
    </row>
    <row r="172" spans="1:2" x14ac:dyDescent="0.25">
      <c r="A172" s="17" t="s">
        <v>653</v>
      </c>
      <c r="B172">
        <v>79082.507010000001</v>
      </c>
    </row>
    <row r="173" spans="1:2" x14ac:dyDescent="0.25">
      <c r="A173" s="17" t="s">
        <v>659</v>
      </c>
      <c r="B173">
        <v>50774.406560000003</v>
      </c>
    </row>
    <row r="174" spans="1:2" x14ac:dyDescent="0.25">
      <c r="A174" s="17" t="s">
        <v>657</v>
      </c>
      <c r="B174">
        <v>27907.424579999999</v>
      </c>
    </row>
    <row r="175" spans="1:2" x14ac:dyDescent="0.25">
      <c r="A175" s="17" t="s">
        <v>654</v>
      </c>
      <c r="B175">
        <v>30229.994880000002</v>
      </c>
    </row>
    <row r="176" spans="1:2" x14ac:dyDescent="0.25">
      <c r="A176" s="17" t="s">
        <v>652</v>
      </c>
      <c r="B176">
        <v>23449.833500000001</v>
      </c>
    </row>
    <row r="177" spans="1:2" x14ac:dyDescent="0.25">
      <c r="A177" s="17" t="s">
        <v>650</v>
      </c>
      <c r="B177">
        <v>27763.018220000002</v>
      </c>
    </row>
    <row r="178" spans="1:2" x14ac:dyDescent="0.25">
      <c r="A178" s="17" t="s">
        <v>660</v>
      </c>
      <c r="B178">
        <v>25483.91488</v>
      </c>
    </row>
    <row r="179" spans="1:2" x14ac:dyDescent="0.25">
      <c r="A179" s="16" t="s">
        <v>1457</v>
      </c>
      <c r="B179">
        <v>486970.83348000003</v>
      </c>
    </row>
    <row r="180" spans="1:2" x14ac:dyDescent="0.25">
      <c r="A180" s="17" t="s">
        <v>655</v>
      </c>
      <c r="B180">
        <v>38096.18406</v>
      </c>
    </row>
    <row r="181" spans="1:2" x14ac:dyDescent="0.25">
      <c r="A181" s="17" t="s">
        <v>653</v>
      </c>
      <c r="B181">
        <v>141645.56601000001</v>
      </c>
    </row>
    <row r="182" spans="1:2" x14ac:dyDescent="0.25">
      <c r="A182" s="17" t="s">
        <v>659</v>
      </c>
      <c r="B182">
        <v>20703.052239999997</v>
      </c>
    </row>
    <row r="183" spans="1:2" x14ac:dyDescent="0.25">
      <c r="A183" s="17" t="s">
        <v>652</v>
      </c>
      <c r="B183">
        <v>9315.4974099999999</v>
      </c>
    </row>
    <row r="184" spans="1:2" x14ac:dyDescent="0.25">
      <c r="A184" s="17" t="s">
        <v>650</v>
      </c>
      <c r="B184">
        <v>17867.219160000001</v>
      </c>
    </row>
    <row r="185" spans="1:2" x14ac:dyDescent="0.25">
      <c r="A185" s="17" t="s">
        <v>651</v>
      </c>
      <c r="B185">
        <v>119970.84924</v>
      </c>
    </row>
    <row r="186" spans="1:2" x14ac:dyDescent="0.25">
      <c r="A186" s="17" t="s">
        <v>661</v>
      </c>
      <c r="B186">
        <v>76636.156479999991</v>
      </c>
    </row>
    <row r="187" spans="1:2" x14ac:dyDescent="0.25">
      <c r="A187" s="17" t="s">
        <v>658</v>
      </c>
      <c r="B187">
        <v>62736.308879999997</v>
      </c>
    </row>
    <row r="188" spans="1:2" x14ac:dyDescent="0.25">
      <c r="A188" s="16" t="s">
        <v>1458</v>
      </c>
      <c r="B188">
        <v>236474.06156999999</v>
      </c>
    </row>
    <row r="189" spans="1:2" x14ac:dyDescent="0.25">
      <c r="A189" s="17" t="s">
        <v>655</v>
      </c>
      <c r="B189">
        <v>46991.747199999998</v>
      </c>
    </row>
    <row r="190" spans="1:2" x14ac:dyDescent="0.25">
      <c r="A190" s="17" t="s">
        <v>653</v>
      </c>
      <c r="B190">
        <v>46226.11952</v>
      </c>
    </row>
    <row r="191" spans="1:2" x14ac:dyDescent="0.25">
      <c r="A191" s="17" t="s">
        <v>659</v>
      </c>
      <c r="B191">
        <v>5769.2758000000003</v>
      </c>
    </row>
    <row r="192" spans="1:2" x14ac:dyDescent="0.25">
      <c r="A192" s="17" t="s">
        <v>657</v>
      </c>
      <c r="B192">
        <v>10388.429999999998</v>
      </c>
    </row>
    <row r="193" spans="1:2" x14ac:dyDescent="0.25">
      <c r="A193" s="17" t="s">
        <v>656</v>
      </c>
      <c r="B193">
        <v>5189.8836000000001</v>
      </c>
    </row>
    <row r="194" spans="1:2" x14ac:dyDescent="0.25">
      <c r="A194" s="17" t="s">
        <v>654</v>
      </c>
      <c r="B194">
        <v>4577.1480000000001</v>
      </c>
    </row>
    <row r="195" spans="1:2" x14ac:dyDescent="0.25">
      <c r="A195" s="17" t="s">
        <v>652</v>
      </c>
      <c r="B195">
        <v>4603.0824400000001</v>
      </c>
    </row>
    <row r="196" spans="1:2" x14ac:dyDescent="0.25">
      <c r="A196" s="17" t="s">
        <v>650</v>
      </c>
      <c r="B196">
        <v>3799.8031499999997</v>
      </c>
    </row>
    <row r="197" spans="1:2" x14ac:dyDescent="0.25">
      <c r="A197" s="17" t="s">
        <v>651</v>
      </c>
      <c r="B197">
        <v>7135.57</v>
      </c>
    </row>
    <row r="198" spans="1:2" x14ac:dyDescent="0.25">
      <c r="A198" s="17" t="s">
        <v>658</v>
      </c>
      <c r="B198">
        <v>29905.537640000002</v>
      </c>
    </row>
    <row r="199" spans="1:2" x14ac:dyDescent="0.25">
      <c r="A199" s="17" t="s">
        <v>660</v>
      </c>
      <c r="B199">
        <v>71887.464219999994</v>
      </c>
    </row>
    <row r="200" spans="1:2" x14ac:dyDescent="0.25">
      <c r="A200" s="16" t="s">
        <v>1459</v>
      </c>
      <c r="B200">
        <v>634490.72337999998</v>
      </c>
    </row>
    <row r="201" spans="1:2" x14ac:dyDescent="0.25">
      <c r="A201" s="17" t="s">
        <v>655</v>
      </c>
      <c r="B201">
        <v>41658.527040000008</v>
      </c>
    </row>
    <row r="202" spans="1:2" x14ac:dyDescent="0.25">
      <c r="A202" s="17" t="s">
        <v>653</v>
      </c>
      <c r="B202">
        <v>55516.603510000001</v>
      </c>
    </row>
    <row r="203" spans="1:2" x14ac:dyDescent="0.25">
      <c r="A203" s="17" t="s">
        <v>659</v>
      </c>
      <c r="B203">
        <v>70180.55992</v>
      </c>
    </row>
    <row r="204" spans="1:2" x14ac:dyDescent="0.25">
      <c r="A204" s="17" t="s">
        <v>656</v>
      </c>
      <c r="B204">
        <v>65111.38614000001</v>
      </c>
    </row>
    <row r="205" spans="1:2" x14ac:dyDescent="0.25">
      <c r="A205" s="17" t="s">
        <v>654</v>
      </c>
      <c r="B205">
        <v>31513.423040000001</v>
      </c>
    </row>
    <row r="206" spans="1:2" x14ac:dyDescent="0.25">
      <c r="A206" s="17" t="s">
        <v>652</v>
      </c>
      <c r="B206">
        <v>68665.574250000005</v>
      </c>
    </row>
    <row r="207" spans="1:2" x14ac:dyDescent="0.25">
      <c r="A207" s="17" t="s">
        <v>650</v>
      </c>
      <c r="B207">
        <v>181608.69623999999</v>
      </c>
    </row>
    <row r="208" spans="1:2" x14ac:dyDescent="0.25">
      <c r="A208" s="17" t="s">
        <v>651</v>
      </c>
      <c r="B208">
        <v>15009.056700000001</v>
      </c>
    </row>
    <row r="209" spans="1:2" x14ac:dyDescent="0.25">
      <c r="A209" s="17" t="s">
        <v>661</v>
      </c>
      <c r="B209">
        <v>39907.476419999999</v>
      </c>
    </row>
    <row r="210" spans="1:2" x14ac:dyDescent="0.25">
      <c r="A210" s="17" t="s">
        <v>658</v>
      </c>
      <c r="B210">
        <v>65319.420119999995</v>
      </c>
    </row>
    <row r="211" spans="1:2" x14ac:dyDescent="0.25">
      <c r="A211" s="16" t="s">
        <v>1460</v>
      </c>
      <c r="B211">
        <v>382009.37596000003</v>
      </c>
    </row>
    <row r="212" spans="1:2" x14ac:dyDescent="0.25">
      <c r="A212" s="17" t="s">
        <v>653</v>
      </c>
      <c r="B212">
        <v>5335.5655499999993</v>
      </c>
    </row>
    <row r="213" spans="1:2" x14ac:dyDescent="0.25">
      <c r="A213" s="17" t="s">
        <v>659</v>
      </c>
      <c r="B213">
        <v>55548.646980000005</v>
      </c>
    </row>
    <row r="214" spans="1:2" x14ac:dyDescent="0.25">
      <c r="A214" s="17" t="s">
        <v>657</v>
      </c>
      <c r="B214">
        <v>17419.586900000002</v>
      </c>
    </row>
    <row r="215" spans="1:2" x14ac:dyDescent="0.25">
      <c r="A215" s="17" t="s">
        <v>656</v>
      </c>
      <c r="B215">
        <v>56166.983609999996</v>
      </c>
    </row>
    <row r="216" spans="1:2" x14ac:dyDescent="0.25">
      <c r="A216" s="17" t="s">
        <v>654</v>
      </c>
      <c r="B216">
        <v>39717.144099999998</v>
      </c>
    </row>
    <row r="217" spans="1:2" x14ac:dyDescent="0.25">
      <c r="A217" s="17" t="s">
        <v>652</v>
      </c>
      <c r="B217">
        <v>11984.891250000001</v>
      </c>
    </row>
    <row r="218" spans="1:2" x14ac:dyDescent="0.25">
      <c r="A218" s="17" t="s">
        <v>651</v>
      </c>
      <c r="B218">
        <v>55110.619960000004</v>
      </c>
    </row>
    <row r="219" spans="1:2" x14ac:dyDescent="0.25">
      <c r="A219" s="17" t="s">
        <v>661</v>
      </c>
      <c r="B219">
        <v>88311.186580000009</v>
      </c>
    </row>
    <row r="220" spans="1:2" x14ac:dyDescent="0.25">
      <c r="A220" s="17" t="s">
        <v>658</v>
      </c>
      <c r="B220">
        <v>52414.751029999999</v>
      </c>
    </row>
    <row r="221" spans="1:2" x14ac:dyDescent="0.25">
      <c r="A221" s="16" t="s">
        <v>1461</v>
      </c>
      <c r="B221">
        <v>215576.67437999998</v>
      </c>
    </row>
    <row r="222" spans="1:2" x14ac:dyDescent="0.25">
      <c r="A222" s="17" t="s">
        <v>655</v>
      </c>
      <c r="B222">
        <v>24523.006720000001</v>
      </c>
    </row>
    <row r="223" spans="1:2" x14ac:dyDescent="0.25">
      <c r="A223" s="17" t="s">
        <v>653</v>
      </c>
      <c r="B223">
        <v>17453.3436</v>
      </c>
    </row>
    <row r="224" spans="1:2" x14ac:dyDescent="0.25">
      <c r="A224" s="17" t="s">
        <v>659</v>
      </c>
      <c r="B224">
        <v>13437.300239999999</v>
      </c>
    </row>
    <row r="225" spans="1:2" x14ac:dyDescent="0.25">
      <c r="A225" s="17" t="s">
        <v>656</v>
      </c>
      <c r="B225">
        <v>6271.3801999999996</v>
      </c>
    </row>
    <row r="226" spans="1:2" x14ac:dyDescent="0.25">
      <c r="A226" s="17" t="s">
        <v>654</v>
      </c>
      <c r="B226">
        <v>6631.6443100000006</v>
      </c>
    </row>
    <row r="227" spans="1:2" x14ac:dyDescent="0.25">
      <c r="A227" s="17" t="s">
        <v>652</v>
      </c>
      <c r="B227">
        <v>31024.83872</v>
      </c>
    </row>
    <row r="228" spans="1:2" x14ac:dyDescent="0.25">
      <c r="A228" s="17" t="s">
        <v>650</v>
      </c>
      <c r="B228">
        <v>70602.927789999987</v>
      </c>
    </row>
    <row r="229" spans="1:2" x14ac:dyDescent="0.25">
      <c r="A229" s="17" t="s">
        <v>661</v>
      </c>
      <c r="B229">
        <v>29618.551199999998</v>
      </c>
    </row>
    <row r="230" spans="1:2" x14ac:dyDescent="0.25">
      <c r="A230" s="17" t="s">
        <v>658</v>
      </c>
      <c r="B230">
        <v>16013.681599999998</v>
      </c>
    </row>
    <row r="231" spans="1:2" x14ac:dyDescent="0.25">
      <c r="A231" s="16" t="s">
        <v>1462</v>
      </c>
      <c r="B231">
        <v>374300.10980999999</v>
      </c>
    </row>
    <row r="232" spans="1:2" x14ac:dyDescent="0.25">
      <c r="A232" s="17" t="s">
        <v>655</v>
      </c>
      <c r="B232">
        <v>110.14919999999999</v>
      </c>
    </row>
    <row r="233" spans="1:2" x14ac:dyDescent="0.25">
      <c r="A233" s="17" t="s">
        <v>653</v>
      </c>
      <c r="B233">
        <v>21931.50405</v>
      </c>
    </row>
    <row r="234" spans="1:2" x14ac:dyDescent="0.25">
      <c r="A234" s="17" t="s">
        <v>659</v>
      </c>
      <c r="B234">
        <v>45749.975680000003</v>
      </c>
    </row>
    <row r="235" spans="1:2" x14ac:dyDescent="0.25">
      <c r="A235" s="17" t="s">
        <v>657</v>
      </c>
      <c r="B235">
        <v>45104.930900000007</v>
      </c>
    </row>
    <row r="236" spans="1:2" x14ac:dyDescent="0.25">
      <c r="A236" s="17" t="s">
        <v>656</v>
      </c>
      <c r="B236">
        <v>68292.728010000006</v>
      </c>
    </row>
    <row r="237" spans="1:2" x14ac:dyDescent="0.25">
      <c r="A237" s="17" t="s">
        <v>654</v>
      </c>
      <c r="B237">
        <v>12668.50728</v>
      </c>
    </row>
    <row r="238" spans="1:2" x14ac:dyDescent="0.25">
      <c r="A238" s="17" t="s">
        <v>650</v>
      </c>
      <c r="B238">
        <v>4866.3287999999993</v>
      </c>
    </row>
    <row r="239" spans="1:2" x14ac:dyDescent="0.25">
      <c r="A239" s="17" t="s">
        <v>651</v>
      </c>
      <c r="B239">
        <v>28041.02492</v>
      </c>
    </row>
    <row r="240" spans="1:2" x14ac:dyDescent="0.25">
      <c r="A240" s="17" t="s">
        <v>661</v>
      </c>
      <c r="B240">
        <v>4826.5396199999996</v>
      </c>
    </row>
    <row r="241" spans="1:2" x14ac:dyDescent="0.25">
      <c r="A241" s="17" t="s">
        <v>658</v>
      </c>
      <c r="B241">
        <v>33938.142760000002</v>
      </c>
    </row>
    <row r="242" spans="1:2" x14ac:dyDescent="0.25">
      <c r="A242" s="17" t="s">
        <v>660</v>
      </c>
      <c r="B242">
        <v>108770.27859</v>
      </c>
    </row>
    <row r="243" spans="1:2" x14ac:dyDescent="0.25">
      <c r="A243" s="16" t="s">
        <v>1463</v>
      </c>
      <c r="B243">
        <v>209101.52076000001</v>
      </c>
    </row>
    <row r="244" spans="1:2" x14ac:dyDescent="0.25">
      <c r="A244" s="17" t="s">
        <v>655</v>
      </c>
      <c r="B244">
        <v>16257.340179999999</v>
      </c>
    </row>
    <row r="245" spans="1:2" x14ac:dyDescent="0.25">
      <c r="A245" s="17" t="s">
        <v>659</v>
      </c>
      <c r="B245">
        <v>9378.6258099999995</v>
      </c>
    </row>
    <row r="246" spans="1:2" x14ac:dyDescent="0.25">
      <c r="A246" s="17" t="s">
        <v>656</v>
      </c>
      <c r="B246">
        <v>16870.419779999997</v>
      </c>
    </row>
    <row r="247" spans="1:2" x14ac:dyDescent="0.25">
      <c r="A247" s="17" t="s">
        <v>654</v>
      </c>
      <c r="B247">
        <v>24075.089819999997</v>
      </c>
    </row>
    <row r="248" spans="1:2" x14ac:dyDescent="0.25">
      <c r="A248" s="17" t="s">
        <v>652</v>
      </c>
      <c r="B248">
        <v>49494.318980000011</v>
      </c>
    </row>
    <row r="249" spans="1:2" x14ac:dyDescent="0.25">
      <c r="A249" s="17" t="s">
        <v>650</v>
      </c>
      <c r="B249">
        <v>13669.81</v>
      </c>
    </row>
    <row r="250" spans="1:2" x14ac:dyDescent="0.25">
      <c r="A250" s="17" t="s">
        <v>651</v>
      </c>
      <c r="B250">
        <v>52727.976460000005</v>
      </c>
    </row>
    <row r="251" spans="1:2" x14ac:dyDescent="0.25">
      <c r="A251" s="17" t="s">
        <v>661</v>
      </c>
      <c r="B251">
        <v>5565.3272500000003</v>
      </c>
    </row>
    <row r="252" spans="1:2" x14ac:dyDescent="0.25">
      <c r="A252" s="17" t="s">
        <v>658</v>
      </c>
      <c r="B252">
        <v>21062.61248</v>
      </c>
    </row>
    <row r="253" spans="1:2" x14ac:dyDescent="0.25">
      <c r="A253" s="16" t="s">
        <v>1464</v>
      </c>
      <c r="B253">
        <v>469902.36902000004</v>
      </c>
    </row>
    <row r="254" spans="1:2" x14ac:dyDescent="0.25">
      <c r="A254" s="17" t="s">
        <v>655</v>
      </c>
      <c r="B254">
        <v>27194.152039999997</v>
      </c>
    </row>
    <row r="255" spans="1:2" x14ac:dyDescent="0.25">
      <c r="A255" s="17" t="s">
        <v>659</v>
      </c>
      <c r="B255">
        <v>49097.717239999998</v>
      </c>
    </row>
    <row r="256" spans="1:2" x14ac:dyDescent="0.25">
      <c r="A256" s="17" t="s">
        <v>656</v>
      </c>
      <c r="B256">
        <v>17964.4038</v>
      </c>
    </row>
    <row r="257" spans="1:2" x14ac:dyDescent="0.25">
      <c r="A257" s="17" t="s">
        <v>654</v>
      </c>
      <c r="B257">
        <v>249678.13582000002</v>
      </c>
    </row>
    <row r="258" spans="1:2" x14ac:dyDescent="0.25">
      <c r="A258" s="17" t="s">
        <v>652</v>
      </c>
      <c r="B258">
        <v>9062.34692</v>
      </c>
    </row>
    <row r="259" spans="1:2" x14ac:dyDescent="0.25">
      <c r="A259" s="17" t="s">
        <v>650</v>
      </c>
      <c r="B259">
        <v>10946.711730000001</v>
      </c>
    </row>
    <row r="260" spans="1:2" x14ac:dyDescent="0.25">
      <c r="A260" s="17" t="s">
        <v>651</v>
      </c>
      <c r="B260">
        <v>43539.233140000004</v>
      </c>
    </row>
    <row r="261" spans="1:2" x14ac:dyDescent="0.25">
      <c r="A261" s="17" t="s">
        <v>661</v>
      </c>
      <c r="B261">
        <v>15187.141260000002</v>
      </c>
    </row>
    <row r="262" spans="1:2" x14ac:dyDescent="0.25">
      <c r="A262" s="17" t="s">
        <v>658</v>
      </c>
      <c r="B262">
        <v>19800.88896</v>
      </c>
    </row>
    <row r="263" spans="1:2" x14ac:dyDescent="0.25">
      <c r="A263" s="17" t="s">
        <v>660</v>
      </c>
      <c r="B263">
        <v>27431.638109999996</v>
      </c>
    </row>
    <row r="264" spans="1:2" x14ac:dyDescent="0.25">
      <c r="A264" s="16" t="s">
        <v>1465</v>
      </c>
      <c r="B264">
        <v>416985.76566999994</v>
      </c>
    </row>
    <row r="265" spans="1:2" x14ac:dyDescent="0.25">
      <c r="A265" s="17" t="s">
        <v>655</v>
      </c>
      <c r="B265">
        <v>9469.7678000000014</v>
      </c>
    </row>
    <row r="266" spans="1:2" x14ac:dyDescent="0.25">
      <c r="A266" s="17" t="s">
        <v>653</v>
      </c>
      <c r="B266">
        <v>17930.494560000003</v>
      </c>
    </row>
    <row r="267" spans="1:2" x14ac:dyDescent="0.25">
      <c r="A267" s="17" t="s">
        <v>657</v>
      </c>
      <c r="B267">
        <v>43635.435039999997</v>
      </c>
    </row>
    <row r="268" spans="1:2" x14ac:dyDescent="0.25">
      <c r="A268" s="17" t="s">
        <v>656</v>
      </c>
      <c r="B268">
        <v>32187.988280000001</v>
      </c>
    </row>
    <row r="269" spans="1:2" x14ac:dyDescent="0.25">
      <c r="A269" s="17" t="s">
        <v>654</v>
      </c>
      <c r="B269">
        <v>35554.10024</v>
      </c>
    </row>
    <row r="270" spans="1:2" x14ac:dyDescent="0.25">
      <c r="A270" s="17" t="s">
        <v>652</v>
      </c>
      <c r="B270">
        <v>14287.896349999999</v>
      </c>
    </row>
    <row r="271" spans="1:2" x14ac:dyDescent="0.25">
      <c r="A271" s="17" t="s">
        <v>650</v>
      </c>
      <c r="B271">
        <v>13108.78584</v>
      </c>
    </row>
    <row r="272" spans="1:2" x14ac:dyDescent="0.25">
      <c r="A272" s="17" t="s">
        <v>651</v>
      </c>
      <c r="B272">
        <v>68626.652039999986</v>
      </c>
    </row>
    <row r="273" spans="1:2" x14ac:dyDescent="0.25">
      <c r="A273" s="17" t="s">
        <v>661</v>
      </c>
      <c r="B273">
        <v>14032.850879999998</v>
      </c>
    </row>
    <row r="274" spans="1:2" x14ac:dyDescent="0.25">
      <c r="A274" s="17" t="s">
        <v>658</v>
      </c>
      <c r="B274">
        <v>114279.15346</v>
      </c>
    </row>
    <row r="275" spans="1:2" x14ac:dyDescent="0.25">
      <c r="A275" s="17" t="s">
        <v>660</v>
      </c>
      <c r="B275">
        <v>53872.641179999999</v>
      </c>
    </row>
    <row r="276" spans="1:2" x14ac:dyDescent="0.25">
      <c r="A276" s="16" t="s">
        <v>1466</v>
      </c>
      <c r="B276">
        <v>375285.78265999997</v>
      </c>
    </row>
    <row r="277" spans="1:2" x14ac:dyDescent="0.25">
      <c r="A277" s="17" t="s">
        <v>655</v>
      </c>
      <c r="B277">
        <v>67158.244760000001</v>
      </c>
    </row>
    <row r="278" spans="1:2" x14ac:dyDescent="0.25">
      <c r="A278" s="17" t="s">
        <v>653</v>
      </c>
      <c r="B278">
        <v>76122.593299999993</v>
      </c>
    </row>
    <row r="279" spans="1:2" x14ac:dyDescent="0.25">
      <c r="A279" s="17" t="s">
        <v>659</v>
      </c>
      <c r="B279">
        <v>9684.8756000000012</v>
      </c>
    </row>
    <row r="280" spans="1:2" x14ac:dyDescent="0.25">
      <c r="A280" s="17" t="s">
        <v>657</v>
      </c>
      <c r="B280">
        <v>5331.6696000000002</v>
      </c>
    </row>
    <row r="281" spans="1:2" x14ac:dyDescent="0.25">
      <c r="A281" s="17" t="s">
        <v>656</v>
      </c>
      <c r="B281">
        <v>10666.229420000001</v>
      </c>
    </row>
    <row r="282" spans="1:2" x14ac:dyDescent="0.25">
      <c r="A282" s="17" t="s">
        <v>654</v>
      </c>
      <c r="B282">
        <v>62421.224639999993</v>
      </c>
    </row>
    <row r="283" spans="1:2" x14ac:dyDescent="0.25">
      <c r="A283" s="17" t="s">
        <v>652</v>
      </c>
      <c r="B283">
        <v>63856.506820000002</v>
      </c>
    </row>
    <row r="284" spans="1:2" x14ac:dyDescent="0.25">
      <c r="A284" s="17" t="s">
        <v>650</v>
      </c>
      <c r="B284">
        <v>4569.8508000000002</v>
      </c>
    </row>
    <row r="285" spans="1:2" x14ac:dyDescent="0.25">
      <c r="A285" s="17" t="s">
        <v>651</v>
      </c>
      <c r="B285">
        <v>1010.3759200000001</v>
      </c>
    </row>
    <row r="286" spans="1:2" x14ac:dyDescent="0.25">
      <c r="A286" s="17" t="s">
        <v>661</v>
      </c>
      <c r="B286">
        <v>31556.187599999997</v>
      </c>
    </row>
    <row r="287" spans="1:2" x14ac:dyDescent="0.25">
      <c r="A287" s="17" t="s">
        <v>658</v>
      </c>
      <c r="B287">
        <v>39263.702919999996</v>
      </c>
    </row>
    <row r="288" spans="1:2" x14ac:dyDescent="0.25">
      <c r="A288" s="17" t="s">
        <v>660</v>
      </c>
      <c r="B288">
        <v>3644.3212800000006</v>
      </c>
    </row>
    <row r="289" spans="1:2" x14ac:dyDescent="0.25">
      <c r="A289" s="16" t="s">
        <v>1467</v>
      </c>
      <c r="B289">
        <v>127009.5058</v>
      </c>
    </row>
    <row r="290" spans="1:2" x14ac:dyDescent="0.25">
      <c r="A290" s="17" t="s">
        <v>655</v>
      </c>
      <c r="B290">
        <v>24161.26311</v>
      </c>
    </row>
    <row r="291" spans="1:2" x14ac:dyDescent="0.25">
      <c r="A291" s="17" t="s">
        <v>657</v>
      </c>
      <c r="B291">
        <v>22983.34563</v>
      </c>
    </row>
    <row r="292" spans="1:2" x14ac:dyDescent="0.25">
      <c r="A292" s="17" t="s">
        <v>656</v>
      </c>
      <c r="B292">
        <v>7643.2649999999994</v>
      </c>
    </row>
    <row r="293" spans="1:2" x14ac:dyDescent="0.25">
      <c r="A293" s="17" t="s">
        <v>654</v>
      </c>
      <c r="B293">
        <v>39388.573900000003</v>
      </c>
    </row>
    <row r="294" spans="1:2" x14ac:dyDescent="0.25">
      <c r="A294" s="17" t="s">
        <v>652</v>
      </c>
      <c r="B294">
        <v>14268.607679999999</v>
      </c>
    </row>
    <row r="295" spans="1:2" x14ac:dyDescent="0.25">
      <c r="A295" s="17" t="s">
        <v>661</v>
      </c>
      <c r="B295">
        <v>12954.358080000002</v>
      </c>
    </row>
    <row r="296" spans="1:2" x14ac:dyDescent="0.25">
      <c r="A296" s="17" t="s">
        <v>658</v>
      </c>
      <c r="B296">
        <v>5610.0923999999995</v>
      </c>
    </row>
    <row r="297" spans="1:2" x14ac:dyDescent="0.25">
      <c r="A297" s="16" t="s">
        <v>1468</v>
      </c>
      <c r="B297">
        <v>416944.18554999999</v>
      </c>
    </row>
    <row r="298" spans="1:2" x14ac:dyDescent="0.25">
      <c r="A298" s="17" t="s">
        <v>655</v>
      </c>
      <c r="B298">
        <v>11939.431199999999</v>
      </c>
    </row>
    <row r="299" spans="1:2" x14ac:dyDescent="0.25">
      <c r="A299" s="17" t="s">
        <v>653</v>
      </c>
      <c r="B299">
        <v>60697.470840000002</v>
      </c>
    </row>
    <row r="300" spans="1:2" x14ac:dyDescent="0.25">
      <c r="A300" s="17" t="s">
        <v>659</v>
      </c>
      <c r="B300">
        <v>4071.8</v>
      </c>
    </row>
    <row r="301" spans="1:2" x14ac:dyDescent="0.25">
      <c r="A301" s="17" t="s">
        <v>657</v>
      </c>
      <c r="B301">
        <v>67281.056590000007</v>
      </c>
    </row>
    <row r="302" spans="1:2" x14ac:dyDescent="0.25">
      <c r="A302" s="17" t="s">
        <v>656</v>
      </c>
      <c r="B302">
        <v>12955.824749999998</v>
      </c>
    </row>
    <row r="303" spans="1:2" x14ac:dyDescent="0.25">
      <c r="A303" s="17" t="s">
        <v>654</v>
      </c>
      <c r="B303">
        <v>91856.869250000003</v>
      </c>
    </row>
    <row r="304" spans="1:2" x14ac:dyDescent="0.25">
      <c r="A304" s="17" t="s">
        <v>650</v>
      </c>
      <c r="B304">
        <v>123535.74428</v>
      </c>
    </row>
    <row r="305" spans="1:2" x14ac:dyDescent="0.25">
      <c r="A305" s="17" t="s">
        <v>658</v>
      </c>
      <c r="B305">
        <v>44605.988639999996</v>
      </c>
    </row>
    <row r="306" spans="1:2" x14ac:dyDescent="0.25">
      <c r="A306" s="16" t="s">
        <v>1469</v>
      </c>
      <c r="B306">
        <v>241851.10650000002</v>
      </c>
    </row>
    <row r="307" spans="1:2" x14ac:dyDescent="0.25">
      <c r="A307" s="17" t="s">
        <v>655</v>
      </c>
      <c r="B307">
        <v>16213.632800000001</v>
      </c>
    </row>
    <row r="308" spans="1:2" x14ac:dyDescent="0.25">
      <c r="A308" s="17" t="s">
        <v>653</v>
      </c>
      <c r="B308">
        <v>27756.432000000001</v>
      </c>
    </row>
    <row r="309" spans="1:2" x14ac:dyDescent="0.25">
      <c r="A309" s="17" t="s">
        <v>659</v>
      </c>
      <c r="B309">
        <v>62366.338009999999</v>
      </c>
    </row>
    <row r="310" spans="1:2" x14ac:dyDescent="0.25">
      <c r="A310" s="17" t="s">
        <v>657</v>
      </c>
      <c r="B310">
        <v>5159.7893599999998</v>
      </c>
    </row>
    <row r="311" spans="1:2" x14ac:dyDescent="0.25">
      <c r="A311" s="17" t="s">
        <v>654</v>
      </c>
      <c r="B311">
        <v>34805.040549999998</v>
      </c>
    </row>
    <row r="312" spans="1:2" x14ac:dyDescent="0.25">
      <c r="A312" s="17" t="s">
        <v>652</v>
      </c>
      <c r="B312">
        <v>14527.748400000002</v>
      </c>
    </row>
    <row r="313" spans="1:2" x14ac:dyDescent="0.25">
      <c r="A313" s="17" t="s">
        <v>650</v>
      </c>
      <c r="B313">
        <v>38264.510399999999</v>
      </c>
    </row>
    <row r="314" spans="1:2" x14ac:dyDescent="0.25">
      <c r="A314" s="17" t="s">
        <v>651</v>
      </c>
      <c r="B314">
        <v>10786.32144</v>
      </c>
    </row>
    <row r="315" spans="1:2" x14ac:dyDescent="0.25">
      <c r="A315" s="17" t="s">
        <v>661</v>
      </c>
      <c r="B315">
        <v>434.45248000000004</v>
      </c>
    </row>
    <row r="316" spans="1:2" x14ac:dyDescent="0.25">
      <c r="A316" s="17" t="s">
        <v>658</v>
      </c>
      <c r="B316">
        <v>26003.218060000003</v>
      </c>
    </row>
    <row r="317" spans="1:2" x14ac:dyDescent="0.25">
      <c r="A317" s="17" t="s">
        <v>660</v>
      </c>
      <c r="B317">
        <v>5533.6230000000005</v>
      </c>
    </row>
    <row r="318" spans="1:2" x14ac:dyDescent="0.25">
      <c r="A318" s="16" t="s">
        <v>1470</v>
      </c>
      <c r="B318">
        <v>416924.94901000004</v>
      </c>
    </row>
    <row r="319" spans="1:2" x14ac:dyDescent="0.25">
      <c r="A319" s="17" t="s">
        <v>659</v>
      </c>
      <c r="B319">
        <v>68861.979880000014</v>
      </c>
    </row>
    <row r="320" spans="1:2" x14ac:dyDescent="0.25">
      <c r="A320" s="17" t="s">
        <v>657</v>
      </c>
      <c r="B320">
        <v>41419.524249999995</v>
      </c>
    </row>
    <row r="321" spans="1:2" x14ac:dyDescent="0.25">
      <c r="A321" s="17" t="s">
        <v>654</v>
      </c>
      <c r="B321">
        <v>599.53200000000004</v>
      </c>
    </row>
    <row r="322" spans="1:2" x14ac:dyDescent="0.25">
      <c r="A322" s="17" t="s">
        <v>652</v>
      </c>
      <c r="B322">
        <v>29808.424959999997</v>
      </c>
    </row>
    <row r="323" spans="1:2" x14ac:dyDescent="0.25">
      <c r="A323" s="17" t="s">
        <v>650</v>
      </c>
      <c r="B323">
        <v>50650.005999999994</v>
      </c>
    </row>
    <row r="324" spans="1:2" x14ac:dyDescent="0.25">
      <c r="A324" s="17" t="s">
        <v>651</v>
      </c>
      <c r="B324">
        <v>100069.71683999999</v>
      </c>
    </row>
    <row r="325" spans="1:2" x14ac:dyDescent="0.25">
      <c r="A325" s="17" t="s">
        <v>661</v>
      </c>
      <c r="B325">
        <v>18061.204320000004</v>
      </c>
    </row>
    <row r="326" spans="1:2" x14ac:dyDescent="0.25">
      <c r="A326" s="17" t="s">
        <v>658</v>
      </c>
      <c r="B326">
        <v>91431.437760000001</v>
      </c>
    </row>
    <row r="327" spans="1:2" x14ac:dyDescent="0.25">
      <c r="A327" s="17" t="s">
        <v>660</v>
      </c>
      <c r="B327">
        <v>16023.123</v>
      </c>
    </row>
    <row r="328" spans="1:2" x14ac:dyDescent="0.25">
      <c r="A328" s="16" t="s">
        <v>1471</v>
      </c>
      <c r="B328">
        <v>141266.51419000002</v>
      </c>
    </row>
    <row r="329" spans="1:2" x14ac:dyDescent="0.25">
      <c r="A329" s="17" t="s">
        <v>655</v>
      </c>
      <c r="B329">
        <v>7071.6331400000008</v>
      </c>
    </row>
    <row r="330" spans="1:2" x14ac:dyDescent="0.25">
      <c r="A330" s="17" t="s">
        <v>653</v>
      </c>
      <c r="B330">
        <v>15530.929919999999</v>
      </c>
    </row>
    <row r="331" spans="1:2" x14ac:dyDescent="0.25">
      <c r="A331" s="17" t="s">
        <v>659</v>
      </c>
      <c r="B331">
        <v>14108.16791</v>
      </c>
    </row>
    <row r="332" spans="1:2" x14ac:dyDescent="0.25">
      <c r="A332" s="17" t="s">
        <v>657</v>
      </c>
      <c r="B332">
        <v>14877.464000000002</v>
      </c>
    </row>
    <row r="333" spans="1:2" x14ac:dyDescent="0.25">
      <c r="A333" s="17" t="s">
        <v>654</v>
      </c>
      <c r="B333">
        <v>42824.196989999997</v>
      </c>
    </row>
    <row r="334" spans="1:2" x14ac:dyDescent="0.25">
      <c r="A334" s="17" t="s">
        <v>652</v>
      </c>
      <c r="B334">
        <v>31130.741829999995</v>
      </c>
    </row>
    <row r="335" spans="1:2" x14ac:dyDescent="0.25">
      <c r="A335" s="17" t="s">
        <v>650</v>
      </c>
      <c r="B335">
        <v>1030.7574</v>
      </c>
    </row>
    <row r="336" spans="1:2" x14ac:dyDescent="0.25">
      <c r="A336" s="17" t="s">
        <v>660</v>
      </c>
      <c r="B336">
        <v>14692.623000000001</v>
      </c>
    </row>
    <row r="337" spans="1:2" x14ac:dyDescent="0.25">
      <c r="A337" s="16" t="s">
        <v>1472</v>
      </c>
      <c r="B337">
        <v>347613.18766999996</v>
      </c>
    </row>
    <row r="338" spans="1:2" x14ac:dyDescent="0.25">
      <c r="A338" s="17" t="s">
        <v>655</v>
      </c>
      <c r="B338">
        <v>85419.017859999993</v>
      </c>
    </row>
    <row r="339" spans="1:2" x14ac:dyDescent="0.25">
      <c r="A339" s="17" t="s">
        <v>653</v>
      </c>
      <c r="B339">
        <v>64160.245439999999</v>
      </c>
    </row>
    <row r="340" spans="1:2" x14ac:dyDescent="0.25">
      <c r="A340" s="17" t="s">
        <v>659</v>
      </c>
      <c r="B340">
        <v>21270.482609999999</v>
      </c>
    </row>
    <row r="341" spans="1:2" x14ac:dyDescent="0.25">
      <c r="A341" s="17" t="s">
        <v>654</v>
      </c>
      <c r="B341">
        <v>20028.787380000002</v>
      </c>
    </row>
    <row r="342" spans="1:2" x14ac:dyDescent="0.25">
      <c r="A342" s="17" t="s">
        <v>652</v>
      </c>
      <c r="B342">
        <v>50582.705609999997</v>
      </c>
    </row>
    <row r="343" spans="1:2" x14ac:dyDescent="0.25">
      <c r="A343" s="17" t="s">
        <v>650</v>
      </c>
      <c r="B343">
        <v>52863.98113</v>
      </c>
    </row>
    <row r="344" spans="1:2" x14ac:dyDescent="0.25">
      <c r="A344" s="17" t="s">
        <v>651</v>
      </c>
      <c r="B344">
        <v>2879.9836</v>
      </c>
    </row>
    <row r="345" spans="1:2" x14ac:dyDescent="0.25">
      <c r="A345" s="17" t="s">
        <v>661</v>
      </c>
      <c r="B345">
        <v>12972.00222</v>
      </c>
    </row>
    <row r="346" spans="1:2" x14ac:dyDescent="0.25">
      <c r="A346" s="17" t="s">
        <v>658</v>
      </c>
      <c r="B346">
        <v>25249.613219999999</v>
      </c>
    </row>
    <row r="347" spans="1:2" x14ac:dyDescent="0.25">
      <c r="A347" s="17" t="s">
        <v>660</v>
      </c>
      <c r="B347">
        <v>12186.368600000002</v>
      </c>
    </row>
    <row r="348" spans="1:2" x14ac:dyDescent="0.25">
      <c r="A348" s="16" t="s">
        <v>1473</v>
      </c>
      <c r="B348">
        <v>172279.72760000001</v>
      </c>
    </row>
    <row r="349" spans="1:2" x14ac:dyDescent="0.25">
      <c r="A349" s="17" t="s">
        <v>655</v>
      </c>
      <c r="B349">
        <v>24172.044580000002</v>
      </c>
    </row>
    <row r="350" spans="1:2" x14ac:dyDescent="0.25">
      <c r="A350" s="17" t="s">
        <v>653</v>
      </c>
      <c r="B350">
        <v>12597.52224</v>
      </c>
    </row>
    <row r="351" spans="1:2" x14ac:dyDescent="0.25">
      <c r="A351" s="17" t="s">
        <v>654</v>
      </c>
      <c r="B351">
        <v>29627.320319999999</v>
      </c>
    </row>
    <row r="352" spans="1:2" x14ac:dyDescent="0.25">
      <c r="A352" s="17" t="s">
        <v>652</v>
      </c>
      <c r="B352">
        <v>74882.385600000009</v>
      </c>
    </row>
    <row r="353" spans="1:2" x14ac:dyDescent="0.25">
      <c r="A353" s="17" t="s">
        <v>650</v>
      </c>
      <c r="B353">
        <v>9050.5052999999989</v>
      </c>
    </row>
    <row r="354" spans="1:2" x14ac:dyDescent="0.25">
      <c r="A354" s="17" t="s">
        <v>661</v>
      </c>
      <c r="B354">
        <v>13185.543</v>
      </c>
    </row>
    <row r="355" spans="1:2" x14ac:dyDescent="0.25">
      <c r="A355" s="17" t="s">
        <v>658</v>
      </c>
      <c r="B355">
        <v>8764.4065599999994</v>
      </c>
    </row>
    <row r="356" spans="1:2" x14ac:dyDescent="0.25">
      <c r="A356" s="16" t="s">
        <v>1434</v>
      </c>
      <c r="B356">
        <v>10928845.716499999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3FA58-646C-4A25-9557-E590B6E626D6}">
  <dimension ref="A3:C641"/>
  <sheetViews>
    <sheetView workbookViewId="0">
      <selection activeCell="C16" sqref="C16"/>
    </sheetView>
  </sheetViews>
  <sheetFormatPr defaultRowHeight="15" x14ac:dyDescent="0.25"/>
  <cols>
    <col min="1" max="1" width="14" bestFit="1" customWidth="1"/>
    <col min="2" max="2" width="10.28515625" bestFit="1" customWidth="1"/>
    <col min="3" max="3" width="20.7109375" bestFit="1" customWidth="1"/>
  </cols>
  <sheetData>
    <row r="3" spans="1:3" x14ac:dyDescent="0.25">
      <c r="A3" s="15" t="s">
        <v>9</v>
      </c>
      <c r="B3" s="15" t="s">
        <v>10</v>
      </c>
      <c r="C3" t="s">
        <v>1474</v>
      </c>
    </row>
    <row r="4" spans="1:3" x14ac:dyDescent="0.25">
      <c r="A4" t="s">
        <v>733</v>
      </c>
      <c r="B4" t="s">
        <v>873</v>
      </c>
      <c r="C4">
        <v>1446.9507000000001</v>
      </c>
    </row>
    <row r="5" spans="1:3" x14ac:dyDescent="0.25">
      <c r="A5" t="s">
        <v>733</v>
      </c>
      <c r="B5" t="s">
        <v>1355</v>
      </c>
      <c r="C5">
        <v>10693.88488</v>
      </c>
    </row>
    <row r="6" spans="1:3" x14ac:dyDescent="0.25">
      <c r="A6" t="s">
        <v>733</v>
      </c>
      <c r="B6" t="s">
        <v>1067</v>
      </c>
      <c r="C6">
        <v>5610.0923999999995</v>
      </c>
    </row>
    <row r="7" spans="1:3" x14ac:dyDescent="0.25">
      <c r="A7" t="s">
        <v>733</v>
      </c>
      <c r="B7" t="s">
        <v>1149</v>
      </c>
      <c r="C7">
        <v>10893.6232</v>
      </c>
    </row>
    <row r="8" spans="1:3" x14ac:dyDescent="0.25">
      <c r="A8" t="s">
        <v>733</v>
      </c>
      <c r="B8" t="s">
        <v>1074</v>
      </c>
      <c r="C8">
        <v>17067.938400000003</v>
      </c>
    </row>
    <row r="9" spans="1:3" x14ac:dyDescent="0.25">
      <c r="A9" t="s">
        <v>733</v>
      </c>
      <c r="B9" t="s">
        <v>1128</v>
      </c>
      <c r="C9">
        <v>14431.738420000001</v>
      </c>
    </row>
    <row r="10" spans="1:3" x14ac:dyDescent="0.25">
      <c r="A10" t="s">
        <v>733</v>
      </c>
      <c r="B10" t="s">
        <v>1175</v>
      </c>
      <c r="C10">
        <v>31513.085009999999</v>
      </c>
    </row>
    <row r="11" spans="1:3" x14ac:dyDescent="0.25">
      <c r="A11" t="s">
        <v>733</v>
      </c>
      <c r="B11" t="s">
        <v>1027</v>
      </c>
      <c r="C11">
        <v>7382.1450000000004</v>
      </c>
    </row>
    <row r="12" spans="1:3" x14ac:dyDescent="0.25">
      <c r="A12" t="s">
        <v>733</v>
      </c>
      <c r="B12" t="s">
        <v>1225</v>
      </c>
      <c r="C12">
        <v>7507.4514899999995</v>
      </c>
    </row>
    <row r="13" spans="1:3" x14ac:dyDescent="0.25">
      <c r="A13" t="s">
        <v>733</v>
      </c>
      <c r="B13" t="s">
        <v>1321</v>
      </c>
      <c r="C13">
        <v>12040.64352</v>
      </c>
    </row>
    <row r="14" spans="1:3" x14ac:dyDescent="0.25">
      <c r="A14" t="s">
        <v>733</v>
      </c>
      <c r="B14" t="s">
        <v>941</v>
      </c>
      <c r="C14">
        <v>28386.015839999996</v>
      </c>
    </row>
    <row r="15" spans="1:3" x14ac:dyDescent="0.25">
      <c r="A15" t="s">
        <v>733</v>
      </c>
      <c r="B15" t="s">
        <v>748</v>
      </c>
      <c r="C15">
        <v>7578.84</v>
      </c>
    </row>
    <row r="16" spans="1:3" x14ac:dyDescent="0.25">
      <c r="A16" t="s">
        <v>733</v>
      </c>
      <c r="B16" t="s">
        <v>1212</v>
      </c>
      <c r="C16">
        <v>22620.859800000002</v>
      </c>
    </row>
    <row r="17" spans="1:3" x14ac:dyDescent="0.25">
      <c r="A17" t="s">
        <v>733</v>
      </c>
      <c r="B17" t="s">
        <v>792</v>
      </c>
      <c r="C17">
        <v>272.98599999999999</v>
      </c>
    </row>
    <row r="18" spans="1:3" x14ac:dyDescent="0.25">
      <c r="A18" t="s">
        <v>733</v>
      </c>
      <c r="B18" t="s">
        <v>995</v>
      </c>
      <c r="C18">
        <v>17964.4038</v>
      </c>
    </row>
    <row r="19" spans="1:3" x14ac:dyDescent="0.25">
      <c r="A19" t="s">
        <v>733</v>
      </c>
      <c r="B19" t="s">
        <v>793</v>
      </c>
      <c r="C19">
        <v>4569.8508000000002</v>
      </c>
    </row>
    <row r="20" spans="1:3" x14ac:dyDescent="0.25">
      <c r="A20" t="s">
        <v>733</v>
      </c>
      <c r="B20" t="s">
        <v>1059</v>
      </c>
      <c r="C20">
        <v>9829.0483199999999</v>
      </c>
    </row>
    <row r="21" spans="1:3" x14ac:dyDescent="0.25">
      <c r="A21" t="s">
        <v>733</v>
      </c>
      <c r="B21" t="s">
        <v>837</v>
      </c>
      <c r="C21">
        <v>5960.3340000000007</v>
      </c>
    </row>
    <row r="22" spans="1:3" x14ac:dyDescent="0.25">
      <c r="A22" t="s">
        <v>733</v>
      </c>
      <c r="B22" t="s">
        <v>904</v>
      </c>
      <c r="C22">
        <v>14549.029120000001</v>
      </c>
    </row>
    <row r="23" spans="1:3" x14ac:dyDescent="0.25">
      <c r="A23" t="s">
        <v>733</v>
      </c>
      <c r="B23" t="s">
        <v>804</v>
      </c>
      <c r="C23">
        <v>10647.727199999999</v>
      </c>
    </row>
    <row r="24" spans="1:3" x14ac:dyDescent="0.25">
      <c r="A24" t="s">
        <v>733</v>
      </c>
      <c r="B24" t="s">
        <v>1231</v>
      </c>
      <c r="C24">
        <v>8644.6696000000011</v>
      </c>
    </row>
    <row r="25" spans="1:3" x14ac:dyDescent="0.25">
      <c r="A25" t="s">
        <v>733</v>
      </c>
      <c r="B25" t="s">
        <v>1150</v>
      </c>
      <c r="C25">
        <v>7969.4615000000003</v>
      </c>
    </row>
    <row r="26" spans="1:3" x14ac:dyDescent="0.25">
      <c r="A26" t="s">
        <v>733</v>
      </c>
      <c r="B26" t="s">
        <v>1046</v>
      </c>
      <c r="C26">
        <v>11283.400799999999</v>
      </c>
    </row>
    <row r="27" spans="1:3" x14ac:dyDescent="0.25">
      <c r="A27" t="s">
        <v>733</v>
      </c>
      <c r="B27" t="s">
        <v>1053</v>
      </c>
      <c r="C27">
        <v>53034.364139999991</v>
      </c>
    </row>
    <row r="28" spans="1:3" x14ac:dyDescent="0.25">
      <c r="A28" t="s">
        <v>733</v>
      </c>
      <c r="B28" t="s">
        <v>1223</v>
      </c>
      <c r="C28">
        <v>1547.3500000000001</v>
      </c>
    </row>
    <row r="29" spans="1:3" x14ac:dyDescent="0.25">
      <c r="A29" t="s">
        <v>733</v>
      </c>
      <c r="B29" t="s">
        <v>1066</v>
      </c>
      <c r="C29">
        <v>7105.3528000000006</v>
      </c>
    </row>
    <row r="30" spans="1:3" x14ac:dyDescent="0.25">
      <c r="A30" t="s">
        <v>733</v>
      </c>
      <c r="B30" t="s">
        <v>1089</v>
      </c>
      <c r="C30">
        <v>23195.01828</v>
      </c>
    </row>
    <row r="31" spans="1:3" x14ac:dyDescent="0.25">
      <c r="A31" t="s">
        <v>733</v>
      </c>
      <c r="B31" t="s">
        <v>1250</v>
      </c>
      <c r="C31">
        <v>1010.3759200000001</v>
      </c>
    </row>
    <row r="32" spans="1:3" x14ac:dyDescent="0.25">
      <c r="A32" t="s">
        <v>733</v>
      </c>
      <c r="B32" t="s">
        <v>919</v>
      </c>
      <c r="C32">
        <v>10388.429999999998</v>
      </c>
    </row>
    <row r="33" spans="1:3" x14ac:dyDescent="0.25">
      <c r="A33" t="s">
        <v>733</v>
      </c>
      <c r="B33" t="s">
        <v>1279</v>
      </c>
      <c r="C33">
        <v>15530.929919999999</v>
      </c>
    </row>
    <row r="34" spans="1:3" x14ac:dyDescent="0.25">
      <c r="A34" t="s">
        <v>733</v>
      </c>
      <c r="B34" t="s">
        <v>955</v>
      </c>
      <c r="C34">
        <v>908.03700000000003</v>
      </c>
    </row>
    <row r="35" spans="1:3" x14ac:dyDescent="0.25">
      <c r="A35" t="s">
        <v>733</v>
      </c>
      <c r="B35" t="s">
        <v>993</v>
      </c>
      <c r="C35">
        <v>7568.9632000000001</v>
      </c>
    </row>
    <row r="36" spans="1:3" x14ac:dyDescent="0.25">
      <c r="A36" t="s">
        <v>733</v>
      </c>
      <c r="B36" t="s">
        <v>1184</v>
      </c>
      <c r="C36">
        <v>19628.476999999999</v>
      </c>
    </row>
    <row r="37" spans="1:3" x14ac:dyDescent="0.25">
      <c r="A37" t="s">
        <v>733</v>
      </c>
      <c r="B37" t="s">
        <v>1255</v>
      </c>
      <c r="C37">
        <v>22526.66</v>
      </c>
    </row>
    <row r="38" spans="1:3" x14ac:dyDescent="0.25">
      <c r="A38" t="s">
        <v>733</v>
      </c>
      <c r="B38" t="s">
        <v>1310</v>
      </c>
      <c r="C38">
        <v>6732.4334000000008</v>
      </c>
    </row>
    <row r="39" spans="1:3" x14ac:dyDescent="0.25">
      <c r="A39" t="s">
        <v>733</v>
      </c>
      <c r="B39" t="s">
        <v>1004</v>
      </c>
      <c r="C39">
        <v>7235.2134999999998</v>
      </c>
    </row>
    <row r="40" spans="1:3" x14ac:dyDescent="0.25">
      <c r="A40" t="s">
        <v>733</v>
      </c>
      <c r="B40" t="s">
        <v>756</v>
      </c>
      <c r="C40">
        <v>10936.992</v>
      </c>
    </row>
    <row r="41" spans="1:3" x14ac:dyDescent="0.25">
      <c r="A41" t="s">
        <v>733</v>
      </c>
      <c r="B41" t="s">
        <v>892</v>
      </c>
      <c r="C41">
        <v>10382.65884</v>
      </c>
    </row>
    <row r="42" spans="1:3" x14ac:dyDescent="0.25">
      <c r="A42" t="s">
        <v>733</v>
      </c>
      <c r="B42" t="s">
        <v>865</v>
      </c>
      <c r="C42">
        <v>4417.8334199999999</v>
      </c>
    </row>
    <row r="43" spans="1:3" x14ac:dyDescent="0.25">
      <c r="A43" t="s">
        <v>733</v>
      </c>
      <c r="B43" t="s">
        <v>888</v>
      </c>
      <c r="C43">
        <v>11015.510400000003</v>
      </c>
    </row>
    <row r="44" spans="1:3" x14ac:dyDescent="0.25">
      <c r="A44" t="s">
        <v>733</v>
      </c>
      <c r="B44" t="s">
        <v>1024</v>
      </c>
      <c r="C44">
        <v>19066.045319999997</v>
      </c>
    </row>
    <row r="45" spans="1:3" x14ac:dyDescent="0.25">
      <c r="A45" t="s">
        <v>733</v>
      </c>
      <c r="B45" t="s">
        <v>810</v>
      </c>
      <c r="C45">
        <v>35396.277799999996</v>
      </c>
    </row>
    <row r="46" spans="1:3" x14ac:dyDescent="0.25">
      <c r="A46" t="s">
        <v>733</v>
      </c>
      <c r="B46" t="s">
        <v>847</v>
      </c>
      <c r="C46">
        <v>2117.4834999999998</v>
      </c>
    </row>
    <row r="47" spans="1:3" x14ac:dyDescent="0.25">
      <c r="A47" t="s">
        <v>733</v>
      </c>
      <c r="B47" t="s">
        <v>1303</v>
      </c>
      <c r="C47">
        <v>4577.1480000000001</v>
      </c>
    </row>
    <row r="48" spans="1:3" x14ac:dyDescent="0.25">
      <c r="A48" t="s">
        <v>733</v>
      </c>
      <c r="B48" t="s">
        <v>921</v>
      </c>
      <c r="C48">
        <v>26759.28775</v>
      </c>
    </row>
    <row r="49" spans="1:3" x14ac:dyDescent="0.25">
      <c r="A49" t="s">
        <v>733</v>
      </c>
      <c r="B49" t="s">
        <v>1352</v>
      </c>
      <c r="C49">
        <v>1030.7574</v>
      </c>
    </row>
    <row r="50" spans="1:3" x14ac:dyDescent="0.25">
      <c r="A50" t="s">
        <v>733</v>
      </c>
      <c r="B50" t="s">
        <v>1322</v>
      </c>
      <c r="C50">
        <v>9022.35</v>
      </c>
    </row>
    <row r="51" spans="1:3" x14ac:dyDescent="0.25">
      <c r="A51" t="s">
        <v>733</v>
      </c>
      <c r="B51" t="s">
        <v>961</v>
      </c>
      <c r="C51">
        <v>5533.6230000000005</v>
      </c>
    </row>
    <row r="52" spans="1:3" x14ac:dyDescent="0.25">
      <c r="A52" t="s">
        <v>733</v>
      </c>
      <c r="B52" t="s">
        <v>1286</v>
      </c>
      <c r="C52">
        <v>15860.782080000001</v>
      </c>
    </row>
    <row r="53" spans="1:3" x14ac:dyDescent="0.25">
      <c r="A53" t="s">
        <v>733</v>
      </c>
      <c r="B53" t="s">
        <v>1285</v>
      </c>
      <c r="C53">
        <v>20163.409200000002</v>
      </c>
    </row>
    <row r="54" spans="1:3" x14ac:dyDescent="0.25">
      <c r="A54" t="s">
        <v>733</v>
      </c>
      <c r="B54" t="s">
        <v>831</v>
      </c>
      <c r="C54">
        <v>34139.159999999996</v>
      </c>
    </row>
    <row r="55" spans="1:3" x14ac:dyDescent="0.25">
      <c r="A55" t="s">
        <v>733</v>
      </c>
      <c r="B55" t="s">
        <v>1194</v>
      </c>
      <c r="C55">
        <v>930.17574000000002</v>
      </c>
    </row>
    <row r="56" spans="1:3" x14ac:dyDescent="0.25">
      <c r="A56" t="s">
        <v>733</v>
      </c>
      <c r="B56" t="s">
        <v>948</v>
      </c>
      <c r="C56">
        <v>7854.6693599999999</v>
      </c>
    </row>
    <row r="57" spans="1:3" x14ac:dyDescent="0.25">
      <c r="A57" t="s">
        <v>733</v>
      </c>
      <c r="B57" t="s">
        <v>1086</v>
      </c>
      <c r="C57">
        <v>26552.60298</v>
      </c>
    </row>
    <row r="58" spans="1:3" x14ac:dyDescent="0.25">
      <c r="A58" t="s">
        <v>733</v>
      </c>
      <c r="B58" t="s">
        <v>1033</v>
      </c>
      <c r="C58">
        <v>12699.28</v>
      </c>
    </row>
    <row r="59" spans="1:3" x14ac:dyDescent="0.25">
      <c r="A59" t="s">
        <v>733</v>
      </c>
      <c r="B59" t="s">
        <v>791</v>
      </c>
      <c r="C59">
        <v>4790.1068000000005</v>
      </c>
    </row>
    <row r="60" spans="1:3" x14ac:dyDescent="0.25">
      <c r="A60" t="s">
        <v>733</v>
      </c>
      <c r="B60" t="s">
        <v>1022</v>
      </c>
      <c r="C60">
        <v>26765.040239999998</v>
      </c>
    </row>
    <row r="61" spans="1:3" x14ac:dyDescent="0.25">
      <c r="A61" t="s">
        <v>733</v>
      </c>
      <c r="B61" t="s">
        <v>784</v>
      </c>
      <c r="C61">
        <v>14894.903999999999</v>
      </c>
    </row>
    <row r="62" spans="1:3" x14ac:dyDescent="0.25">
      <c r="A62" t="s">
        <v>733</v>
      </c>
      <c r="B62" t="s">
        <v>881</v>
      </c>
      <c r="C62">
        <v>13321.14</v>
      </c>
    </row>
    <row r="63" spans="1:3" x14ac:dyDescent="0.25">
      <c r="A63" t="s">
        <v>733</v>
      </c>
      <c r="B63" t="s">
        <v>1171</v>
      </c>
      <c r="C63">
        <v>24278.849280000002</v>
      </c>
    </row>
    <row r="64" spans="1:3" x14ac:dyDescent="0.25">
      <c r="A64" t="s">
        <v>733</v>
      </c>
      <c r="B64" t="s">
        <v>1080</v>
      </c>
      <c r="C64">
        <v>79082.507010000001</v>
      </c>
    </row>
    <row r="65" spans="1:3" x14ac:dyDescent="0.25">
      <c r="A65" t="s">
        <v>733</v>
      </c>
      <c r="B65" t="s">
        <v>914</v>
      </c>
      <c r="C65">
        <v>18.659839999999999</v>
      </c>
    </row>
    <row r="66" spans="1:3" x14ac:dyDescent="0.25">
      <c r="A66" t="s">
        <v>733</v>
      </c>
      <c r="B66" t="s">
        <v>1092</v>
      </c>
      <c r="C66">
        <v>4071.8</v>
      </c>
    </row>
    <row r="67" spans="1:3" x14ac:dyDescent="0.25">
      <c r="A67" t="s">
        <v>733</v>
      </c>
      <c r="B67" t="s">
        <v>876</v>
      </c>
      <c r="C67">
        <v>32086.37586</v>
      </c>
    </row>
    <row r="68" spans="1:3" x14ac:dyDescent="0.25">
      <c r="A68" t="s">
        <v>733</v>
      </c>
      <c r="B68" t="s">
        <v>1227</v>
      </c>
      <c r="C68">
        <v>11859.695119999998</v>
      </c>
    </row>
    <row r="69" spans="1:3" x14ac:dyDescent="0.25">
      <c r="A69" t="s">
        <v>733</v>
      </c>
      <c r="B69" t="s">
        <v>1291</v>
      </c>
      <c r="C69">
        <v>13108.78584</v>
      </c>
    </row>
    <row r="70" spans="1:3" x14ac:dyDescent="0.25">
      <c r="A70" t="s">
        <v>733</v>
      </c>
      <c r="B70" t="s">
        <v>1199</v>
      </c>
      <c r="C70">
        <v>2719.8567000000003</v>
      </c>
    </row>
    <row r="71" spans="1:3" x14ac:dyDescent="0.25">
      <c r="A71" t="s">
        <v>733</v>
      </c>
      <c r="B71" t="s">
        <v>1338</v>
      </c>
      <c r="C71">
        <v>13856.52411</v>
      </c>
    </row>
    <row r="72" spans="1:3" x14ac:dyDescent="0.25">
      <c r="A72" t="s">
        <v>733</v>
      </c>
      <c r="B72" t="s">
        <v>1094</v>
      </c>
      <c r="C72">
        <v>35167.7448</v>
      </c>
    </row>
    <row r="73" spans="1:3" x14ac:dyDescent="0.25">
      <c r="A73" t="s">
        <v>733</v>
      </c>
      <c r="B73" t="s">
        <v>1326</v>
      </c>
      <c r="C73">
        <v>8366.02</v>
      </c>
    </row>
    <row r="74" spans="1:3" x14ac:dyDescent="0.25">
      <c r="A74" t="s">
        <v>733</v>
      </c>
      <c r="B74" t="s">
        <v>744</v>
      </c>
      <c r="C74">
        <v>16006.14344</v>
      </c>
    </row>
    <row r="75" spans="1:3" x14ac:dyDescent="0.25">
      <c r="A75" t="s">
        <v>733</v>
      </c>
      <c r="B75" t="s">
        <v>1011</v>
      </c>
      <c r="C75">
        <v>6066.54648</v>
      </c>
    </row>
    <row r="76" spans="1:3" x14ac:dyDescent="0.25">
      <c r="A76" t="s">
        <v>733</v>
      </c>
      <c r="B76" t="s">
        <v>752</v>
      </c>
      <c r="C76">
        <v>38096.18406</v>
      </c>
    </row>
    <row r="77" spans="1:3" x14ac:dyDescent="0.25">
      <c r="A77" t="s">
        <v>733</v>
      </c>
      <c r="B77" t="s">
        <v>1072</v>
      </c>
      <c r="C77">
        <v>3021.5016000000001</v>
      </c>
    </row>
    <row r="78" spans="1:3" x14ac:dyDescent="0.25">
      <c r="A78" t="s">
        <v>733</v>
      </c>
      <c r="B78" t="s">
        <v>1275</v>
      </c>
      <c r="C78">
        <v>4737.2198399999997</v>
      </c>
    </row>
    <row r="79" spans="1:3" x14ac:dyDescent="0.25">
      <c r="A79" t="s">
        <v>733</v>
      </c>
      <c r="B79" t="s">
        <v>1026</v>
      </c>
      <c r="C79">
        <v>23375.594060000003</v>
      </c>
    </row>
    <row r="80" spans="1:3" x14ac:dyDescent="0.25">
      <c r="A80" t="s">
        <v>733</v>
      </c>
      <c r="B80" t="s">
        <v>1188</v>
      </c>
      <c r="C80">
        <v>14752.706080000002</v>
      </c>
    </row>
    <row r="81" spans="1:3" x14ac:dyDescent="0.25">
      <c r="A81" t="s">
        <v>733</v>
      </c>
      <c r="B81" t="s">
        <v>759</v>
      </c>
      <c r="C81">
        <v>8596.2905599999995</v>
      </c>
    </row>
    <row r="82" spans="1:3" x14ac:dyDescent="0.25">
      <c r="A82" t="s">
        <v>733</v>
      </c>
      <c r="B82" t="s">
        <v>943</v>
      </c>
      <c r="C82">
        <v>17847.907199999998</v>
      </c>
    </row>
    <row r="83" spans="1:3" x14ac:dyDescent="0.25">
      <c r="A83" t="s">
        <v>733</v>
      </c>
      <c r="B83" t="s">
        <v>827</v>
      </c>
      <c r="C83">
        <v>20079.343620000003</v>
      </c>
    </row>
    <row r="84" spans="1:3" x14ac:dyDescent="0.25">
      <c r="A84" t="s">
        <v>733</v>
      </c>
      <c r="B84" t="s">
        <v>800</v>
      </c>
      <c r="C84">
        <v>16013.681599999998</v>
      </c>
    </row>
    <row r="85" spans="1:3" x14ac:dyDescent="0.25">
      <c r="A85" t="s">
        <v>733</v>
      </c>
      <c r="B85" t="s">
        <v>811</v>
      </c>
      <c r="C85">
        <v>33062.236480000007</v>
      </c>
    </row>
    <row r="86" spans="1:3" x14ac:dyDescent="0.25">
      <c r="A86" t="s">
        <v>733</v>
      </c>
      <c r="B86" t="s">
        <v>1288</v>
      </c>
      <c r="C86">
        <v>46450.26</v>
      </c>
    </row>
    <row r="87" spans="1:3" x14ac:dyDescent="0.25">
      <c r="A87" t="s">
        <v>733</v>
      </c>
      <c r="B87" t="s">
        <v>1270</v>
      </c>
      <c r="C87">
        <v>20430.771599999996</v>
      </c>
    </row>
    <row r="88" spans="1:3" x14ac:dyDescent="0.25">
      <c r="A88" t="s">
        <v>733</v>
      </c>
      <c r="B88" t="s">
        <v>1040</v>
      </c>
      <c r="C88">
        <v>43084.872000000003</v>
      </c>
    </row>
    <row r="89" spans="1:3" x14ac:dyDescent="0.25">
      <c r="A89" t="s">
        <v>733</v>
      </c>
      <c r="B89" t="s">
        <v>916</v>
      </c>
      <c r="C89">
        <v>7689.4560000000001</v>
      </c>
    </row>
    <row r="90" spans="1:3" x14ac:dyDescent="0.25">
      <c r="A90" t="s">
        <v>733</v>
      </c>
      <c r="B90" t="s">
        <v>1142</v>
      </c>
      <c r="C90">
        <v>23668.560000000001</v>
      </c>
    </row>
    <row r="91" spans="1:3" x14ac:dyDescent="0.25">
      <c r="A91" t="s">
        <v>733</v>
      </c>
      <c r="B91" t="s">
        <v>843</v>
      </c>
      <c r="C91">
        <v>549.80010000000004</v>
      </c>
    </row>
    <row r="92" spans="1:3" x14ac:dyDescent="0.25">
      <c r="A92" t="s">
        <v>1479</v>
      </c>
      <c r="C92">
        <v>1331648.9160700005</v>
      </c>
    </row>
    <row r="93" spans="1:3" x14ac:dyDescent="0.25">
      <c r="A93" t="s">
        <v>727</v>
      </c>
      <c r="B93" t="s">
        <v>809</v>
      </c>
      <c r="C93">
        <v>6874.4828600000001</v>
      </c>
    </row>
    <row r="94" spans="1:3" x14ac:dyDescent="0.25">
      <c r="A94" t="s">
        <v>727</v>
      </c>
      <c r="B94" t="s">
        <v>903</v>
      </c>
      <c r="C94">
        <v>2316.2621999999997</v>
      </c>
    </row>
    <row r="95" spans="1:3" x14ac:dyDescent="0.25">
      <c r="A95" t="s">
        <v>727</v>
      </c>
      <c r="B95" t="s">
        <v>1247</v>
      </c>
      <c r="C95">
        <v>33308.550000000003</v>
      </c>
    </row>
    <row r="96" spans="1:3" x14ac:dyDescent="0.25">
      <c r="A96" t="s">
        <v>727</v>
      </c>
      <c r="B96" t="s">
        <v>1205</v>
      </c>
      <c r="C96">
        <v>15374.563199999999</v>
      </c>
    </row>
    <row r="97" spans="1:3" x14ac:dyDescent="0.25">
      <c r="A97" t="s">
        <v>727</v>
      </c>
      <c r="B97" t="s">
        <v>1313</v>
      </c>
      <c r="C97">
        <v>6137.8019999999988</v>
      </c>
    </row>
    <row r="98" spans="1:3" x14ac:dyDescent="0.25">
      <c r="A98" t="s">
        <v>727</v>
      </c>
      <c r="B98" t="s">
        <v>1341</v>
      </c>
      <c r="C98">
        <v>2077.46</v>
      </c>
    </row>
    <row r="99" spans="1:3" x14ac:dyDescent="0.25">
      <c r="A99" t="s">
        <v>727</v>
      </c>
      <c r="B99" t="s">
        <v>1358</v>
      </c>
      <c r="C99">
        <v>13983.752729999998</v>
      </c>
    </row>
    <row r="100" spans="1:3" x14ac:dyDescent="0.25">
      <c r="A100" t="s">
        <v>727</v>
      </c>
      <c r="B100" t="s">
        <v>768</v>
      </c>
      <c r="C100">
        <v>27331.829999999998</v>
      </c>
    </row>
    <row r="101" spans="1:3" x14ac:dyDescent="0.25">
      <c r="A101" t="s">
        <v>727</v>
      </c>
      <c r="B101" t="s">
        <v>906</v>
      </c>
      <c r="C101">
        <v>97.0154</v>
      </c>
    </row>
    <row r="102" spans="1:3" x14ac:dyDescent="0.25">
      <c r="A102" t="s">
        <v>727</v>
      </c>
      <c r="B102" t="s">
        <v>1361</v>
      </c>
      <c r="C102">
        <v>40476.013200000001</v>
      </c>
    </row>
    <row r="103" spans="1:3" x14ac:dyDescent="0.25">
      <c r="A103" t="s">
        <v>727</v>
      </c>
      <c r="B103" t="s">
        <v>1135</v>
      </c>
      <c r="C103">
        <v>16946.091840000001</v>
      </c>
    </row>
    <row r="104" spans="1:3" x14ac:dyDescent="0.25">
      <c r="A104" t="s">
        <v>727</v>
      </c>
      <c r="B104" t="s">
        <v>860</v>
      </c>
      <c r="C104">
        <v>65111.38614000001</v>
      </c>
    </row>
    <row r="105" spans="1:3" x14ac:dyDescent="0.25">
      <c r="A105" t="s">
        <v>727</v>
      </c>
      <c r="B105" t="s">
        <v>1125</v>
      </c>
      <c r="C105">
        <v>48097.911050000002</v>
      </c>
    </row>
    <row r="106" spans="1:3" x14ac:dyDescent="0.25">
      <c r="A106" t="s">
        <v>727</v>
      </c>
      <c r="B106" t="s">
        <v>858</v>
      </c>
      <c r="C106">
        <v>2072.9258400000003</v>
      </c>
    </row>
    <row r="107" spans="1:3" x14ac:dyDescent="0.25">
      <c r="A107" t="s">
        <v>727</v>
      </c>
      <c r="B107" t="s">
        <v>1218</v>
      </c>
      <c r="C107">
        <v>6063.2517199999993</v>
      </c>
    </row>
    <row r="108" spans="1:3" x14ac:dyDescent="0.25">
      <c r="A108" t="s">
        <v>727</v>
      </c>
      <c r="B108" t="s">
        <v>1257</v>
      </c>
      <c r="C108">
        <v>6435.2555999999995</v>
      </c>
    </row>
    <row r="109" spans="1:3" x14ac:dyDescent="0.25">
      <c r="A109" t="s">
        <v>727</v>
      </c>
      <c r="B109" t="s">
        <v>1111</v>
      </c>
      <c r="C109">
        <v>15348.702599999999</v>
      </c>
    </row>
    <row r="110" spans="1:3" x14ac:dyDescent="0.25">
      <c r="A110" t="s">
        <v>727</v>
      </c>
      <c r="B110" t="s">
        <v>758</v>
      </c>
      <c r="C110">
        <v>24894.430559999997</v>
      </c>
    </row>
    <row r="111" spans="1:3" x14ac:dyDescent="0.25">
      <c r="A111" t="s">
        <v>727</v>
      </c>
      <c r="B111" t="s">
        <v>821</v>
      </c>
      <c r="C111">
        <v>1654.8966000000003</v>
      </c>
    </row>
    <row r="112" spans="1:3" x14ac:dyDescent="0.25">
      <c r="A112" t="s">
        <v>727</v>
      </c>
      <c r="B112" t="s">
        <v>816</v>
      </c>
      <c r="C112">
        <v>5331.6696000000002</v>
      </c>
    </row>
    <row r="113" spans="1:3" x14ac:dyDescent="0.25">
      <c r="A113" t="s">
        <v>727</v>
      </c>
      <c r="B113" t="s">
        <v>1058</v>
      </c>
      <c r="C113">
        <v>26015.449459999996</v>
      </c>
    </row>
    <row r="114" spans="1:3" x14ac:dyDescent="0.25">
      <c r="A114" t="s">
        <v>727</v>
      </c>
      <c r="B114" t="s">
        <v>1244</v>
      </c>
      <c r="C114">
        <v>3525.5505600000001</v>
      </c>
    </row>
    <row r="115" spans="1:3" x14ac:dyDescent="0.25">
      <c r="A115" t="s">
        <v>727</v>
      </c>
      <c r="B115" t="s">
        <v>1101</v>
      </c>
      <c r="C115">
        <v>18554.370299999999</v>
      </c>
    </row>
    <row r="116" spans="1:3" x14ac:dyDescent="0.25">
      <c r="A116" t="s">
        <v>727</v>
      </c>
      <c r="B116" t="s">
        <v>1192</v>
      </c>
      <c r="C116">
        <v>24321.57</v>
      </c>
    </row>
    <row r="117" spans="1:3" x14ac:dyDescent="0.25">
      <c r="A117" t="s">
        <v>727</v>
      </c>
      <c r="B117" t="s">
        <v>746</v>
      </c>
      <c r="C117">
        <v>4968.5039999999999</v>
      </c>
    </row>
    <row r="118" spans="1:3" x14ac:dyDescent="0.25">
      <c r="A118" t="s">
        <v>727</v>
      </c>
      <c r="B118" t="s">
        <v>870</v>
      </c>
      <c r="C118">
        <v>9698.1638399999993</v>
      </c>
    </row>
    <row r="119" spans="1:3" x14ac:dyDescent="0.25">
      <c r="A119" t="s">
        <v>727</v>
      </c>
      <c r="B119" t="s">
        <v>743</v>
      </c>
      <c r="C119">
        <v>60928.502359999999</v>
      </c>
    </row>
    <row r="120" spans="1:3" x14ac:dyDescent="0.25">
      <c r="A120" t="s">
        <v>727</v>
      </c>
      <c r="B120" t="s">
        <v>1028</v>
      </c>
      <c r="C120">
        <v>8903.4839999999986</v>
      </c>
    </row>
    <row r="121" spans="1:3" x14ac:dyDescent="0.25">
      <c r="A121" t="s">
        <v>727</v>
      </c>
      <c r="B121" t="s">
        <v>891</v>
      </c>
      <c r="C121">
        <v>24147.922500000001</v>
      </c>
    </row>
    <row r="122" spans="1:3" x14ac:dyDescent="0.25">
      <c r="A122" t="s">
        <v>727</v>
      </c>
      <c r="B122" t="s">
        <v>1198</v>
      </c>
      <c r="C122">
        <v>84136.119600000005</v>
      </c>
    </row>
    <row r="123" spans="1:3" x14ac:dyDescent="0.25">
      <c r="A123" t="s">
        <v>727</v>
      </c>
      <c r="B123" t="s">
        <v>944</v>
      </c>
      <c r="C123">
        <v>18061.204320000004</v>
      </c>
    </row>
    <row r="124" spans="1:3" x14ac:dyDescent="0.25">
      <c r="A124" t="s">
        <v>727</v>
      </c>
      <c r="B124" t="s">
        <v>1049</v>
      </c>
      <c r="C124">
        <v>8780.5809000000008</v>
      </c>
    </row>
    <row r="125" spans="1:3" x14ac:dyDescent="0.25">
      <c r="A125" t="s">
        <v>727</v>
      </c>
      <c r="B125" t="s">
        <v>1201</v>
      </c>
      <c r="C125">
        <v>25269.09</v>
      </c>
    </row>
    <row r="126" spans="1:3" x14ac:dyDescent="0.25">
      <c r="A126" t="s">
        <v>727</v>
      </c>
      <c r="B126" t="s">
        <v>819</v>
      </c>
      <c r="C126">
        <v>13146.470699999998</v>
      </c>
    </row>
    <row r="127" spans="1:3" x14ac:dyDescent="0.25">
      <c r="A127" t="s">
        <v>727</v>
      </c>
      <c r="B127" t="s">
        <v>895</v>
      </c>
      <c r="C127">
        <v>5650.1744000000008</v>
      </c>
    </row>
    <row r="128" spans="1:3" x14ac:dyDescent="0.25">
      <c r="A128" t="s">
        <v>727</v>
      </c>
      <c r="B128" t="s">
        <v>994</v>
      </c>
      <c r="C128">
        <v>22882.675440000003</v>
      </c>
    </row>
    <row r="129" spans="1:3" x14ac:dyDescent="0.25">
      <c r="A129" t="s">
        <v>727</v>
      </c>
      <c r="B129" t="s">
        <v>1082</v>
      </c>
      <c r="C129">
        <v>27158.894079999998</v>
      </c>
    </row>
    <row r="130" spans="1:3" x14ac:dyDescent="0.25">
      <c r="A130" t="s">
        <v>727</v>
      </c>
      <c r="B130" t="s">
        <v>990</v>
      </c>
      <c r="C130">
        <v>19073.059649999999</v>
      </c>
    </row>
    <row r="131" spans="1:3" x14ac:dyDescent="0.25">
      <c r="A131" t="s">
        <v>727</v>
      </c>
      <c r="B131" t="s">
        <v>1307</v>
      </c>
      <c r="C131">
        <v>496.98660000000001</v>
      </c>
    </row>
    <row r="132" spans="1:3" x14ac:dyDescent="0.25">
      <c r="A132" t="s">
        <v>727</v>
      </c>
      <c r="B132" t="s">
        <v>954</v>
      </c>
      <c r="C132">
        <v>13519.529099999998</v>
      </c>
    </row>
    <row r="133" spans="1:3" x14ac:dyDescent="0.25">
      <c r="A133" t="s">
        <v>727</v>
      </c>
      <c r="B133" t="s">
        <v>1351</v>
      </c>
      <c r="C133">
        <v>41419.524249999995</v>
      </c>
    </row>
    <row r="134" spans="1:3" x14ac:dyDescent="0.25">
      <c r="A134" t="s">
        <v>727</v>
      </c>
      <c r="B134" t="s">
        <v>1328</v>
      </c>
      <c r="C134">
        <v>8128.5187499999993</v>
      </c>
    </row>
    <row r="135" spans="1:3" x14ac:dyDescent="0.25">
      <c r="A135" t="s">
        <v>727</v>
      </c>
      <c r="B135" t="s">
        <v>1060</v>
      </c>
      <c r="C135">
        <v>2373.9623200000001</v>
      </c>
    </row>
    <row r="136" spans="1:3" x14ac:dyDescent="0.25">
      <c r="A136" t="s">
        <v>727</v>
      </c>
      <c r="B136" t="s">
        <v>808</v>
      </c>
      <c r="C136">
        <v>4427.9172000000008</v>
      </c>
    </row>
    <row r="137" spans="1:3" x14ac:dyDescent="0.25">
      <c r="A137" t="s">
        <v>727</v>
      </c>
      <c r="B137" t="s">
        <v>905</v>
      </c>
      <c r="C137">
        <v>8928.9795999999988</v>
      </c>
    </row>
    <row r="138" spans="1:3" x14ac:dyDescent="0.25">
      <c r="A138" t="s">
        <v>727</v>
      </c>
      <c r="B138" t="s">
        <v>1323</v>
      </c>
      <c r="C138">
        <v>11742.8703</v>
      </c>
    </row>
    <row r="139" spans="1:3" x14ac:dyDescent="0.25">
      <c r="A139" t="s">
        <v>727</v>
      </c>
      <c r="B139" t="s">
        <v>1224</v>
      </c>
      <c r="C139">
        <v>6664.0999999999995</v>
      </c>
    </row>
    <row r="140" spans="1:3" x14ac:dyDescent="0.25">
      <c r="A140" t="s">
        <v>727</v>
      </c>
      <c r="B140" t="s">
        <v>1252</v>
      </c>
      <c r="C140">
        <v>855.72881999999993</v>
      </c>
    </row>
    <row r="141" spans="1:3" x14ac:dyDescent="0.25">
      <c r="A141" t="s">
        <v>727</v>
      </c>
      <c r="B141" t="s">
        <v>1197</v>
      </c>
      <c r="C141">
        <v>1808.04592</v>
      </c>
    </row>
    <row r="142" spans="1:3" x14ac:dyDescent="0.25">
      <c r="A142" t="s">
        <v>727</v>
      </c>
      <c r="B142" t="s">
        <v>812</v>
      </c>
      <c r="C142">
        <v>21787.936199999996</v>
      </c>
    </row>
    <row r="143" spans="1:3" x14ac:dyDescent="0.25">
      <c r="A143" t="s">
        <v>727</v>
      </c>
      <c r="B143" t="s">
        <v>1253</v>
      </c>
      <c r="C143">
        <v>7399.4832000000006</v>
      </c>
    </row>
    <row r="144" spans="1:3" x14ac:dyDescent="0.25">
      <c r="A144" t="s">
        <v>727</v>
      </c>
      <c r="B144" t="s">
        <v>1298</v>
      </c>
      <c r="C144">
        <v>17540.201120000002</v>
      </c>
    </row>
    <row r="145" spans="1:3" x14ac:dyDescent="0.25">
      <c r="A145" t="s">
        <v>727</v>
      </c>
      <c r="B145" t="s">
        <v>778</v>
      </c>
      <c r="C145">
        <v>17930.494560000003</v>
      </c>
    </row>
    <row r="146" spans="1:3" x14ac:dyDescent="0.25">
      <c r="A146" t="s">
        <v>727</v>
      </c>
      <c r="B146" t="s">
        <v>861</v>
      </c>
      <c r="C146">
        <v>853.32276999999988</v>
      </c>
    </row>
    <row r="147" spans="1:3" x14ac:dyDescent="0.25">
      <c r="A147" t="s">
        <v>727</v>
      </c>
      <c r="B147" t="s">
        <v>859</v>
      </c>
      <c r="C147">
        <v>8909.8587200000002</v>
      </c>
    </row>
    <row r="148" spans="1:3" x14ac:dyDescent="0.25">
      <c r="A148" t="s">
        <v>727</v>
      </c>
      <c r="B148" t="s">
        <v>844</v>
      </c>
      <c r="C148">
        <v>27676.35</v>
      </c>
    </row>
    <row r="149" spans="1:3" x14ac:dyDescent="0.25">
      <c r="A149" t="s">
        <v>727</v>
      </c>
      <c r="B149" t="s">
        <v>1302</v>
      </c>
      <c r="C149">
        <v>3378.1478400000001</v>
      </c>
    </row>
    <row r="150" spans="1:3" x14ac:dyDescent="0.25">
      <c r="A150" t="s">
        <v>727</v>
      </c>
      <c r="B150" t="s">
        <v>1238</v>
      </c>
      <c r="C150">
        <v>32335.21802</v>
      </c>
    </row>
    <row r="151" spans="1:3" x14ac:dyDescent="0.25">
      <c r="A151" t="s">
        <v>727</v>
      </c>
      <c r="B151" t="s">
        <v>1193</v>
      </c>
      <c r="C151">
        <v>1662.6945600000001</v>
      </c>
    </row>
    <row r="152" spans="1:3" x14ac:dyDescent="0.25">
      <c r="A152" t="s">
        <v>727</v>
      </c>
      <c r="B152" t="s">
        <v>1185</v>
      </c>
      <c r="C152">
        <v>23694.405119999999</v>
      </c>
    </row>
    <row r="153" spans="1:3" x14ac:dyDescent="0.25">
      <c r="A153" t="s">
        <v>727</v>
      </c>
      <c r="B153" t="s">
        <v>1131</v>
      </c>
      <c r="C153">
        <v>13185.543</v>
      </c>
    </row>
    <row r="154" spans="1:3" x14ac:dyDescent="0.25">
      <c r="A154" t="s">
        <v>727</v>
      </c>
      <c r="B154" t="s">
        <v>764</v>
      </c>
      <c r="C154">
        <v>9805.8573800000013</v>
      </c>
    </row>
    <row r="155" spans="1:3" x14ac:dyDescent="0.25">
      <c r="A155" t="s">
        <v>727</v>
      </c>
      <c r="B155" t="s">
        <v>964</v>
      </c>
      <c r="C155">
        <v>667.15008</v>
      </c>
    </row>
    <row r="156" spans="1:3" x14ac:dyDescent="0.25">
      <c r="A156" t="s">
        <v>727</v>
      </c>
      <c r="B156" t="s">
        <v>795</v>
      </c>
      <c r="C156">
        <v>27701.570400000001</v>
      </c>
    </row>
    <row r="157" spans="1:3" x14ac:dyDescent="0.25">
      <c r="A157" t="s">
        <v>727</v>
      </c>
      <c r="B157" t="s">
        <v>1099</v>
      </c>
      <c r="C157">
        <v>21584.693520000001</v>
      </c>
    </row>
    <row r="158" spans="1:3" x14ac:dyDescent="0.25">
      <c r="A158" t="s">
        <v>727</v>
      </c>
      <c r="B158" t="s">
        <v>956</v>
      </c>
      <c r="C158">
        <v>4503.4363999999996</v>
      </c>
    </row>
    <row r="159" spans="1:3" x14ac:dyDescent="0.25">
      <c r="A159" t="s">
        <v>727</v>
      </c>
      <c r="B159" t="s">
        <v>940</v>
      </c>
      <c r="C159">
        <v>6702.3501999999999</v>
      </c>
    </row>
    <row r="160" spans="1:3" x14ac:dyDescent="0.25">
      <c r="A160" t="s">
        <v>727</v>
      </c>
      <c r="B160" t="s">
        <v>803</v>
      </c>
      <c r="C160">
        <v>8930.7124999999996</v>
      </c>
    </row>
    <row r="161" spans="1:3" x14ac:dyDescent="0.25">
      <c r="A161" t="s">
        <v>727</v>
      </c>
      <c r="B161" t="s">
        <v>984</v>
      </c>
      <c r="C161">
        <v>12186.368600000002</v>
      </c>
    </row>
    <row r="162" spans="1:3" x14ac:dyDescent="0.25">
      <c r="A162" t="s">
        <v>727</v>
      </c>
      <c r="B162" t="s">
        <v>770</v>
      </c>
      <c r="C162">
        <v>18957.37689</v>
      </c>
    </row>
    <row r="163" spans="1:3" x14ac:dyDescent="0.25">
      <c r="A163" t="s">
        <v>727</v>
      </c>
      <c r="B163" t="s">
        <v>794</v>
      </c>
      <c r="C163">
        <v>33687.501800000005</v>
      </c>
    </row>
    <row r="164" spans="1:3" x14ac:dyDescent="0.25">
      <c r="A164" t="s">
        <v>727</v>
      </c>
      <c r="B164" t="s">
        <v>839</v>
      </c>
      <c r="C164">
        <v>12080.215199999999</v>
      </c>
    </row>
    <row r="165" spans="1:3" x14ac:dyDescent="0.25">
      <c r="A165" t="s">
        <v>727</v>
      </c>
      <c r="B165" t="s">
        <v>1245</v>
      </c>
      <c r="C165">
        <v>50296.415399999998</v>
      </c>
    </row>
    <row r="166" spans="1:3" x14ac:dyDescent="0.25">
      <c r="A166" t="s">
        <v>727</v>
      </c>
      <c r="B166" t="s">
        <v>835</v>
      </c>
      <c r="C166">
        <v>6324.5775999999996</v>
      </c>
    </row>
    <row r="167" spans="1:3" x14ac:dyDescent="0.25">
      <c r="A167" t="s">
        <v>727</v>
      </c>
      <c r="B167" t="s">
        <v>820</v>
      </c>
      <c r="C167">
        <v>14197.064400000001</v>
      </c>
    </row>
    <row r="168" spans="1:3" x14ac:dyDescent="0.25">
      <c r="A168" t="s">
        <v>727</v>
      </c>
      <c r="B168" t="s">
        <v>968</v>
      </c>
      <c r="C168">
        <v>14269.848599999999</v>
      </c>
    </row>
    <row r="169" spans="1:3" x14ac:dyDescent="0.25">
      <c r="A169" t="s">
        <v>727</v>
      </c>
      <c r="B169" t="s">
        <v>734</v>
      </c>
      <c r="C169">
        <v>4866.3287999999993</v>
      </c>
    </row>
    <row r="170" spans="1:3" x14ac:dyDescent="0.25">
      <c r="A170" t="s">
        <v>727</v>
      </c>
      <c r="B170" t="s">
        <v>771</v>
      </c>
      <c r="C170">
        <v>11995.153920000001</v>
      </c>
    </row>
    <row r="171" spans="1:3" x14ac:dyDescent="0.25">
      <c r="A171" t="s">
        <v>727</v>
      </c>
      <c r="B171" t="s">
        <v>1127</v>
      </c>
      <c r="C171">
        <v>19800.88896</v>
      </c>
    </row>
    <row r="172" spans="1:3" x14ac:dyDescent="0.25">
      <c r="A172" t="s">
        <v>727</v>
      </c>
      <c r="B172" t="s">
        <v>1170</v>
      </c>
      <c r="C172">
        <v>7340.3891399999993</v>
      </c>
    </row>
    <row r="173" spans="1:3" x14ac:dyDescent="0.25">
      <c r="A173" t="s">
        <v>727</v>
      </c>
      <c r="B173" t="s">
        <v>1137</v>
      </c>
      <c r="C173">
        <v>7832.0010999999995</v>
      </c>
    </row>
    <row r="174" spans="1:3" x14ac:dyDescent="0.25">
      <c r="A174" t="s">
        <v>727</v>
      </c>
      <c r="B174" t="s">
        <v>1023</v>
      </c>
      <c r="C174">
        <v>10456.416880000001</v>
      </c>
    </row>
    <row r="175" spans="1:3" x14ac:dyDescent="0.25">
      <c r="A175" t="s">
        <v>727</v>
      </c>
      <c r="B175" t="s">
        <v>1210</v>
      </c>
      <c r="C175">
        <v>4212.3745999999992</v>
      </c>
    </row>
    <row r="176" spans="1:3" x14ac:dyDescent="0.25">
      <c r="A176" t="s">
        <v>727</v>
      </c>
      <c r="B176" t="s">
        <v>971</v>
      </c>
      <c r="C176">
        <v>139277.83032000001</v>
      </c>
    </row>
    <row r="177" spans="1:3" x14ac:dyDescent="0.25">
      <c r="A177" t="s">
        <v>727</v>
      </c>
      <c r="B177" t="s">
        <v>1319</v>
      </c>
      <c r="C177">
        <v>25131.155999999999</v>
      </c>
    </row>
    <row r="178" spans="1:3" x14ac:dyDescent="0.25">
      <c r="A178" t="s">
        <v>727</v>
      </c>
      <c r="B178" t="s">
        <v>911</v>
      </c>
      <c r="C178">
        <v>321.93290999999999</v>
      </c>
    </row>
    <row r="179" spans="1:3" x14ac:dyDescent="0.25">
      <c r="A179" t="s">
        <v>727</v>
      </c>
      <c r="B179" t="s">
        <v>1034</v>
      </c>
      <c r="C179">
        <v>25577.274079999999</v>
      </c>
    </row>
    <row r="180" spans="1:3" x14ac:dyDescent="0.25">
      <c r="A180" t="s">
        <v>727</v>
      </c>
      <c r="B180" t="s">
        <v>1001</v>
      </c>
      <c r="C180">
        <v>17594.028880000002</v>
      </c>
    </row>
    <row r="181" spans="1:3" x14ac:dyDescent="0.25">
      <c r="A181" t="s">
        <v>727</v>
      </c>
      <c r="B181" t="s">
        <v>1293</v>
      </c>
      <c r="C181">
        <v>6766.9829999999993</v>
      </c>
    </row>
    <row r="182" spans="1:3" x14ac:dyDescent="0.25">
      <c r="A182" t="s">
        <v>727</v>
      </c>
      <c r="B182" t="s">
        <v>1057</v>
      </c>
      <c r="C182">
        <v>703.2428000000001</v>
      </c>
    </row>
    <row r="183" spans="1:3" x14ac:dyDescent="0.25">
      <c r="A183" t="s">
        <v>1480</v>
      </c>
      <c r="C183">
        <v>1545646.997579999</v>
      </c>
    </row>
    <row r="184" spans="1:3" x14ac:dyDescent="0.25">
      <c r="A184" t="s">
        <v>731</v>
      </c>
      <c r="B184" t="s">
        <v>1209</v>
      </c>
      <c r="C184">
        <v>1009.2969000000002</v>
      </c>
    </row>
    <row r="185" spans="1:3" x14ac:dyDescent="0.25">
      <c r="A185" t="s">
        <v>731</v>
      </c>
      <c r="B185" t="s">
        <v>1211</v>
      </c>
      <c r="C185">
        <v>41914.215840000004</v>
      </c>
    </row>
    <row r="186" spans="1:3" x14ac:dyDescent="0.25">
      <c r="A186" t="s">
        <v>731</v>
      </c>
      <c r="B186" t="s">
        <v>1267</v>
      </c>
      <c r="C186">
        <v>42433.254400000005</v>
      </c>
    </row>
    <row r="187" spans="1:3" x14ac:dyDescent="0.25">
      <c r="A187" t="s">
        <v>731</v>
      </c>
      <c r="B187" t="s">
        <v>900</v>
      </c>
      <c r="C187">
        <v>14448.298699999998</v>
      </c>
    </row>
    <row r="188" spans="1:3" x14ac:dyDescent="0.25">
      <c r="A188" t="s">
        <v>731</v>
      </c>
      <c r="B188" t="s">
        <v>879</v>
      </c>
      <c r="C188">
        <v>12954.358080000002</v>
      </c>
    </row>
    <row r="189" spans="1:3" x14ac:dyDescent="0.25">
      <c r="A189" t="s">
        <v>731</v>
      </c>
      <c r="B189" t="s">
        <v>1029</v>
      </c>
      <c r="C189">
        <v>20455.985130000001</v>
      </c>
    </row>
    <row r="190" spans="1:3" x14ac:dyDescent="0.25">
      <c r="A190" t="s">
        <v>731</v>
      </c>
      <c r="B190" t="s">
        <v>749</v>
      </c>
      <c r="C190">
        <v>7090.5672000000004</v>
      </c>
    </row>
    <row r="191" spans="1:3" x14ac:dyDescent="0.25">
      <c r="A191" t="s">
        <v>731</v>
      </c>
      <c r="B191" t="s">
        <v>1261</v>
      </c>
      <c r="C191">
        <v>58526.83122</v>
      </c>
    </row>
    <row r="192" spans="1:3" x14ac:dyDescent="0.25">
      <c r="A192" t="s">
        <v>731</v>
      </c>
      <c r="B192" t="s">
        <v>1179</v>
      </c>
      <c r="C192">
        <v>9771.4483199999995</v>
      </c>
    </row>
    <row r="193" spans="1:3" x14ac:dyDescent="0.25">
      <c r="A193" t="s">
        <v>731</v>
      </c>
      <c r="B193" t="s">
        <v>1316</v>
      </c>
      <c r="C193">
        <v>3823.6151599999998</v>
      </c>
    </row>
    <row r="194" spans="1:3" x14ac:dyDescent="0.25">
      <c r="A194" t="s">
        <v>731</v>
      </c>
      <c r="B194" t="s">
        <v>1273</v>
      </c>
      <c r="C194">
        <v>19581.87</v>
      </c>
    </row>
    <row r="195" spans="1:3" x14ac:dyDescent="0.25">
      <c r="A195" t="s">
        <v>731</v>
      </c>
      <c r="B195" t="s">
        <v>1083</v>
      </c>
      <c r="C195">
        <v>12236.874600000001</v>
      </c>
    </row>
    <row r="196" spans="1:3" x14ac:dyDescent="0.25">
      <c r="A196" t="s">
        <v>731</v>
      </c>
      <c r="B196" t="s">
        <v>853</v>
      </c>
      <c r="C196">
        <v>592.92849000000001</v>
      </c>
    </row>
    <row r="197" spans="1:3" x14ac:dyDescent="0.25">
      <c r="A197" t="s">
        <v>731</v>
      </c>
      <c r="B197" t="s">
        <v>1013</v>
      </c>
      <c r="C197">
        <v>8907.6924999999992</v>
      </c>
    </row>
    <row r="198" spans="1:3" x14ac:dyDescent="0.25">
      <c r="A198" t="s">
        <v>731</v>
      </c>
      <c r="B198" t="s">
        <v>980</v>
      </c>
      <c r="C198">
        <v>9774.3888000000006</v>
      </c>
    </row>
    <row r="199" spans="1:3" x14ac:dyDescent="0.25">
      <c r="A199" t="s">
        <v>731</v>
      </c>
      <c r="B199" t="s">
        <v>1118</v>
      </c>
      <c r="C199">
        <v>22064.910300000003</v>
      </c>
    </row>
    <row r="200" spans="1:3" x14ac:dyDescent="0.25">
      <c r="A200" t="s">
        <v>731</v>
      </c>
      <c r="B200" t="s">
        <v>973</v>
      </c>
      <c r="C200">
        <v>3823.5108</v>
      </c>
    </row>
    <row r="201" spans="1:3" x14ac:dyDescent="0.25">
      <c r="A201" t="s">
        <v>731</v>
      </c>
      <c r="B201" t="s">
        <v>1104</v>
      </c>
      <c r="C201">
        <v>4133.25108</v>
      </c>
    </row>
    <row r="202" spans="1:3" x14ac:dyDescent="0.25">
      <c r="A202" t="s">
        <v>731</v>
      </c>
      <c r="B202" t="s">
        <v>1363</v>
      </c>
      <c r="C202">
        <v>266.17821999999995</v>
      </c>
    </row>
    <row r="203" spans="1:3" x14ac:dyDescent="0.25">
      <c r="A203" t="s">
        <v>731</v>
      </c>
      <c r="B203" t="s">
        <v>1215</v>
      </c>
      <c r="C203">
        <v>36161.097000000002</v>
      </c>
    </row>
    <row r="204" spans="1:3" x14ac:dyDescent="0.25">
      <c r="A204" t="s">
        <v>731</v>
      </c>
      <c r="B204" t="s">
        <v>880</v>
      </c>
      <c r="C204">
        <v>3562.9028999999996</v>
      </c>
    </row>
    <row r="205" spans="1:3" x14ac:dyDescent="0.25">
      <c r="A205" t="s">
        <v>731</v>
      </c>
      <c r="B205" t="s">
        <v>753</v>
      </c>
      <c r="C205">
        <v>39263.702919999996</v>
      </c>
    </row>
    <row r="206" spans="1:3" x14ac:dyDescent="0.25">
      <c r="A206" t="s">
        <v>731</v>
      </c>
      <c r="B206" t="s">
        <v>798</v>
      </c>
      <c r="C206">
        <v>26304.275999999998</v>
      </c>
    </row>
    <row r="207" spans="1:3" x14ac:dyDescent="0.25">
      <c r="A207" t="s">
        <v>731</v>
      </c>
      <c r="B207" t="s">
        <v>998</v>
      </c>
      <c r="C207">
        <v>40139.874619999995</v>
      </c>
    </row>
    <row r="208" spans="1:3" x14ac:dyDescent="0.25">
      <c r="A208" t="s">
        <v>731</v>
      </c>
      <c r="B208" t="s">
        <v>1241</v>
      </c>
      <c r="C208">
        <v>3921.1744000000008</v>
      </c>
    </row>
    <row r="209" spans="1:3" x14ac:dyDescent="0.25">
      <c r="A209" t="s">
        <v>731</v>
      </c>
      <c r="B209" t="s">
        <v>1305</v>
      </c>
      <c r="C209">
        <v>19139.594240000002</v>
      </c>
    </row>
    <row r="210" spans="1:3" x14ac:dyDescent="0.25">
      <c r="A210" t="s">
        <v>731</v>
      </c>
      <c r="B210" t="s">
        <v>1079</v>
      </c>
      <c r="C210">
        <v>13637.287999999999</v>
      </c>
    </row>
    <row r="211" spans="1:3" x14ac:dyDescent="0.25">
      <c r="A211" t="s">
        <v>731</v>
      </c>
      <c r="B211" t="s">
        <v>833</v>
      </c>
      <c r="C211">
        <v>25502.910479999999</v>
      </c>
    </row>
    <row r="212" spans="1:3" x14ac:dyDescent="0.25">
      <c r="A212" t="s">
        <v>731</v>
      </c>
      <c r="B212" t="s">
        <v>787</v>
      </c>
      <c r="C212">
        <v>2518.8755800000004</v>
      </c>
    </row>
    <row r="213" spans="1:3" x14ac:dyDescent="0.25">
      <c r="A213" t="s">
        <v>731</v>
      </c>
      <c r="B213" t="s">
        <v>1096</v>
      </c>
      <c r="C213">
        <v>82514.711519999997</v>
      </c>
    </row>
    <row r="214" spans="1:3" x14ac:dyDescent="0.25">
      <c r="A214" t="s">
        <v>731</v>
      </c>
      <c r="B214" t="s">
        <v>1248</v>
      </c>
      <c r="C214">
        <v>10859.64</v>
      </c>
    </row>
    <row r="215" spans="1:3" x14ac:dyDescent="0.25">
      <c r="A215" t="s">
        <v>731</v>
      </c>
      <c r="B215" t="s">
        <v>1315</v>
      </c>
      <c r="C215">
        <v>40563.321749999996</v>
      </c>
    </row>
    <row r="216" spans="1:3" x14ac:dyDescent="0.25">
      <c r="A216" t="s">
        <v>731</v>
      </c>
      <c r="B216" t="s">
        <v>805</v>
      </c>
      <c r="C216">
        <v>6393.0952799999995</v>
      </c>
    </row>
    <row r="217" spans="1:3" x14ac:dyDescent="0.25">
      <c r="A217" t="s">
        <v>731</v>
      </c>
      <c r="B217" t="s">
        <v>1043</v>
      </c>
      <c r="C217">
        <v>9847.2358600000007</v>
      </c>
    </row>
    <row r="218" spans="1:3" x14ac:dyDescent="0.25">
      <c r="A218" t="s">
        <v>731</v>
      </c>
      <c r="B218" t="s">
        <v>1038</v>
      </c>
      <c r="C218">
        <v>5932.7856000000002</v>
      </c>
    </row>
    <row r="219" spans="1:3" x14ac:dyDescent="0.25">
      <c r="A219" t="s">
        <v>731</v>
      </c>
      <c r="B219" t="s">
        <v>1276</v>
      </c>
      <c r="C219">
        <v>14114.068500000001</v>
      </c>
    </row>
    <row r="220" spans="1:3" x14ac:dyDescent="0.25">
      <c r="A220" t="s">
        <v>731</v>
      </c>
      <c r="B220" t="s">
        <v>976</v>
      </c>
      <c r="C220">
        <v>34082.864639999993</v>
      </c>
    </row>
    <row r="221" spans="1:3" x14ac:dyDescent="0.25">
      <c r="A221" t="s">
        <v>731</v>
      </c>
      <c r="B221" t="s">
        <v>1191</v>
      </c>
      <c r="C221">
        <v>7643.2649999999994</v>
      </c>
    </row>
    <row r="222" spans="1:3" x14ac:dyDescent="0.25">
      <c r="A222" t="s">
        <v>731</v>
      </c>
      <c r="B222" t="s">
        <v>1337</v>
      </c>
      <c r="C222">
        <v>7071.6331400000008</v>
      </c>
    </row>
    <row r="223" spans="1:3" x14ac:dyDescent="0.25">
      <c r="A223" t="s">
        <v>731</v>
      </c>
      <c r="B223" t="s">
        <v>757</v>
      </c>
      <c r="C223">
        <v>20225.2248</v>
      </c>
    </row>
    <row r="224" spans="1:3" x14ac:dyDescent="0.25">
      <c r="A224" t="s">
        <v>731</v>
      </c>
      <c r="B224" t="s">
        <v>989</v>
      </c>
      <c r="C224">
        <v>24161.205600000001</v>
      </c>
    </row>
    <row r="225" spans="1:3" x14ac:dyDescent="0.25">
      <c r="A225" t="s">
        <v>731</v>
      </c>
      <c r="B225" t="s">
        <v>1242</v>
      </c>
      <c r="C225">
        <v>8297.4286000000011</v>
      </c>
    </row>
    <row r="226" spans="1:3" x14ac:dyDescent="0.25">
      <c r="A226" t="s">
        <v>731</v>
      </c>
      <c r="B226" t="s">
        <v>838</v>
      </c>
      <c r="C226">
        <v>12335.654849999999</v>
      </c>
    </row>
    <row r="227" spans="1:3" x14ac:dyDescent="0.25">
      <c r="A227" t="s">
        <v>731</v>
      </c>
      <c r="B227" t="s">
        <v>924</v>
      </c>
      <c r="C227">
        <v>19542.975350000001</v>
      </c>
    </row>
    <row r="228" spans="1:3" x14ac:dyDescent="0.25">
      <c r="A228" t="s">
        <v>731</v>
      </c>
      <c r="B228" t="s">
        <v>1297</v>
      </c>
      <c r="C228">
        <v>4229.4321199999995</v>
      </c>
    </row>
    <row r="229" spans="1:3" x14ac:dyDescent="0.25">
      <c r="A229" t="s">
        <v>731</v>
      </c>
      <c r="B229" t="s">
        <v>1121</v>
      </c>
      <c r="C229">
        <v>65066.934229999999</v>
      </c>
    </row>
    <row r="230" spans="1:3" x14ac:dyDescent="0.25">
      <c r="A230" t="s">
        <v>731</v>
      </c>
      <c r="B230" t="s">
        <v>985</v>
      </c>
      <c r="C230">
        <v>17453.3436</v>
      </c>
    </row>
    <row r="231" spans="1:3" x14ac:dyDescent="0.25">
      <c r="A231" t="s">
        <v>731</v>
      </c>
      <c r="B231" t="s">
        <v>885</v>
      </c>
      <c r="C231">
        <v>21572.590500000002</v>
      </c>
    </row>
    <row r="232" spans="1:3" x14ac:dyDescent="0.25">
      <c r="A232" t="s">
        <v>731</v>
      </c>
      <c r="B232" t="s">
        <v>1254</v>
      </c>
      <c r="C232">
        <v>64192.976999999999</v>
      </c>
    </row>
    <row r="233" spans="1:3" x14ac:dyDescent="0.25">
      <c r="A233" t="s">
        <v>731</v>
      </c>
      <c r="B233" t="s">
        <v>1327</v>
      </c>
      <c r="C233">
        <v>14910.609600000002</v>
      </c>
    </row>
    <row r="234" spans="1:3" x14ac:dyDescent="0.25">
      <c r="A234" t="s">
        <v>731</v>
      </c>
      <c r="B234" t="s">
        <v>1102</v>
      </c>
      <c r="C234">
        <v>13784.586000000001</v>
      </c>
    </row>
    <row r="235" spans="1:3" x14ac:dyDescent="0.25">
      <c r="A235" t="s">
        <v>731</v>
      </c>
      <c r="B235" t="s">
        <v>790</v>
      </c>
      <c r="C235">
        <v>29659.68995</v>
      </c>
    </row>
    <row r="236" spans="1:3" x14ac:dyDescent="0.25">
      <c r="A236" t="s">
        <v>731</v>
      </c>
      <c r="B236" t="s">
        <v>1143</v>
      </c>
      <c r="C236">
        <v>5323.9903199999999</v>
      </c>
    </row>
    <row r="237" spans="1:3" x14ac:dyDescent="0.25">
      <c r="A237" t="s">
        <v>731</v>
      </c>
      <c r="B237" t="s">
        <v>1009</v>
      </c>
      <c r="C237">
        <v>8567.3924999999999</v>
      </c>
    </row>
    <row r="238" spans="1:3" x14ac:dyDescent="0.25">
      <c r="A238" t="s">
        <v>731</v>
      </c>
      <c r="B238" t="s">
        <v>907</v>
      </c>
      <c r="C238">
        <v>31556.187599999997</v>
      </c>
    </row>
    <row r="239" spans="1:3" x14ac:dyDescent="0.25">
      <c r="A239" t="s">
        <v>731</v>
      </c>
      <c r="B239" t="s">
        <v>836</v>
      </c>
      <c r="C239">
        <v>13669.81</v>
      </c>
    </row>
    <row r="240" spans="1:3" x14ac:dyDescent="0.25">
      <c r="A240" t="s">
        <v>731</v>
      </c>
      <c r="B240" t="s">
        <v>1122</v>
      </c>
      <c r="C240">
        <v>434.45248000000004</v>
      </c>
    </row>
    <row r="241" spans="1:3" x14ac:dyDescent="0.25">
      <c r="A241" t="s">
        <v>731</v>
      </c>
      <c r="B241" t="s">
        <v>1268</v>
      </c>
      <c r="C241">
        <v>15155.326800000001</v>
      </c>
    </row>
    <row r="242" spans="1:3" x14ac:dyDescent="0.25">
      <c r="A242" t="s">
        <v>731</v>
      </c>
      <c r="B242" t="s">
        <v>1299</v>
      </c>
      <c r="C242">
        <v>44173.627960000005</v>
      </c>
    </row>
    <row r="243" spans="1:3" x14ac:dyDescent="0.25">
      <c r="A243" t="s">
        <v>731</v>
      </c>
      <c r="B243" t="s">
        <v>1159</v>
      </c>
      <c r="C243">
        <v>30435.614999999998</v>
      </c>
    </row>
    <row r="244" spans="1:3" x14ac:dyDescent="0.25">
      <c r="A244" t="s">
        <v>731</v>
      </c>
      <c r="B244" t="s">
        <v>786</v>
      </c>
      <c r="C244">
        <v>5785.8</v>
      </c>
    </row>
    <row r="245" spans="1:3" x14ac:dyDescent="0.25">
      <c r="A245" t="s">
        <v>731</v>
      </c>
      <c r="B245" t="s">
        <v>926</v>
      </c>
      <c r="C245">
        <v>24374.594880000001</v>
      </c>
    </row>
    <row r="246" spans="1:3" x14ac:dyDescent="0.25">
      <c r="A246" t="s">
        <v>731</v>
      </c>
      <c r="B246" t="s">
        <v>1141</v>
      </c>
      <c r="C246">
        <v>4679.7141600000004</v>
      </c>
    </row>
    <row r="247" spans="1:3" x14ac:dyDescent="0.25">
      <c r="A247" t="s">
        <v>731</v>
      </c>
      <c r="B247" t="s">
        <v>851</v>
      </c>
      <c r="C247">
        <v>65119.329599999997</v>
      </c>
    </row>
    <row r="248" spans="1:3" x14ac:dyDescent="0.25">
      <c r="A248" t="s">
        <v>731</v>
      </c>
      <c r="B248" t="s">
        <v>1130</v>
      </c>
      <c r="C248">
        <v>18641.222160000001</v>
      </c>
    </row>
    <row r="249" spans="1:3" x14ac:dyDescent="0.25">
      <c r="A249" t="s">
        <v>731</v>
      </c>
      <c r="B249" t="s">
        <v>1158</v>
      </c>
      <c r="C249">
        <v>15366.983199999999</v>
      </c>
    </row>
    <row r="250" spans="1:3" x14ac:dyDescent="0.25">
      <c r="A250" t="s">
        <v>731</v>
      </c>
      <c r="B250" t="s">
        <v>806</v>
      </c>
      <c r="C250">
        <v>20171.63305</v>
      </c>
    </row>
    <row r="251" spans="1:3" x14ac:dyDescent="0.25">
      <c r="A251" t="s">
        <v>731</v>
      </c>
      <c r="B251" t="s">
        <v>739</v>
      </c>
      <c r="C251">
        <v>4141.7599999999993</v>
      </c>
    </row>
    <row r="252" spans="1:3" x14ac:dyDescent="0.25">
      <c r="A252" t="s">
        <v>731</v>
      </c>
      <c r="B252" t="s">
        <v>1332</v>
      </c>
      <c r="C252">
        <v>33938.142760000002</v>
      </c>
    </row>
    <row r="253" spans="1:3" x14ac:dyDescent="0.25">
      <c r="A253" t="s">
        <v>731</v>
      </c>
      <c r="B253" t="s">
        <v>1164</v>
      </c>
      <c r="C253">
        <v>58057.65</v>
      </c>
    </row>
    <row r="254" spans="1:3" x14ac:dyDescent="0.25">
      <c r="A254" t="s">
        <v>731</v>
      </c>
      <c r="B254" t="s">
        <v>1155</v>
      </c>
      <c r="C254">
        <v>102122.94203999999</v>
      </c>
    </row>
    <row r="255" spans="1:3" x14ac:dyDescent="0.25">
      <c r="A255" t="s">
        <v>731</v>
      </c>
      <c r="B255" t="s">
        <v>1017</v>
      </c>
      <c r="C255">
        <v>11696.156879999999</v>
      </c>
    </row>
    <row r="256" spans="1:3" x14ac:dyDescent="0.25">
      <c r="A256" t="s">
        <v>731</v>
      </c>
      <c r="B256" t="s">
        <v>1063</v>
      </c>
      <c r="C256">
        <v>27756.432000000001</v>
      </c>
    </row>
    <row r="257" spans="1:3" x14ac:dyDescent="0.25">
      <c r="A257" t="s">
        <v>731</v>
      </c>
      <c r="B257" t="s">
        <v>1120</v>
      </c>
      <c r="C257">
        <v>19773.362699999998</v>
      </c>
    </row>
    <row r="258" spans="1:3" x14ac:dyDescent="0.25">
      <c r="A258" t="s">
        <v>731</v>
      </c>
      <c r="B258" t="s">
        <v>845</v>
      </c>
      <c r="C258">
        <v>30151.675319999998</v>
      </c>
    </row>
    <row r="259" spans="1:3" x14ac:dyDescent="0.25">
      <c r="A259" t="s">
        <v>731</v>
      </c>
      <c r="B259" t="s">
        <v>958</v>
      </c>
      <c r="C259">
        <v>15490.527</v>
      </c>
    </row>
    <row r="260" spans="1:3" x14ac:dyDescent="0.25">
      <c r="A260" t="s">
        <v>731</v>
      </c>
      <c r="B260" t="s">
        <v>866</v>
      </c>
      <c r="C260">
        <v>8336.8896000000004</v>
      </c>
    </row>
    <row r="261" spans="1:3" x14ac:dyDescent="0.25">
      <c r="A261" t="s">
        <v>731</v>
      </c>
      <c r="B261" t="s">
        <v>754</v>
      </c>
      <c r="C261">
        <v>23782.310720000001</v>
      </c>
    </row>
    <row r="262" spans="1:3" x14ac:dyDescent="0.25">
      <c r="A262" t="s">
        <v>731</v>
      </c>
      <c r="B262" t="s">
        <v>1136</v>
      </c>
      <c r="C262">
        <v>5250.4239000000007</v>
      </c>
    </row>
    <row r="263" spans="1:3" x14ac:dyDescent="0.25">
      <c r="A263" t="s">
        <v>731</v>
      </c>
      <c r="B263" t="s">
        <v>1018</v>
      </c>
      <c r="C263">
        <v>15505.479600000001</v>
      </c>
    </row>
    <row r="264" spans="1:3" x14ac:dyDescent="0.25">
      <c r="A264" t="s">
        <v>731</v>
      </c>
      <c r="B264" t="s">
        <v>767</v>
      </c>
      <c r="C264">
        <v>13218.5</v>
      </c>
    </row>
    <row r="265" spans="1:3" x14ac:dyDescent="0.25">
      <c r="A265" t="s">
        <v>1481</v>
      </c>
      <c r="C265">
        <v>1711094.3776</v>
      </c>
    </row>
    <row r="266" spans="1:3" x14ac:dyDescent="0.25">
      <c r="A266" t="s">
        <v>732</v>
      </c>
      <c r="B266" t="s">
        <v>1073</v>
      </c>
      <c r="C266">
        <v>26106.613960000002</v>
      </c>
    </row>
    <row r="267" spans="1:3" x14ac:dyDescent="0.25">
      <c r="A267" t="s">
        <v>732</v>
      </c>
      <c r="B267" t="s">
        <v>1300</v>
      </c>
      <c r="C267">
        <v>25079.480689999997</v>
      </c>
    </row>
    <row r="268" spans="1:3" x14ac:dyDescent="0.25">
      <c r="A268" t="s">
        <v>732</v>
      </c>
      <c r="B268" t="s">
        <v>1048</v>
      </c>
      <c r="C268">
        <v>5032.4433599999993</v>
      </c>
    </row>
    <row r="269" spans="1:3" x14ac:dyDescent="0.25">
      <c r="A269" t="s">
        <v>732</v>
      </c>
      <c r="B269" t="s">
        <v>1005</v>
      </c>
      <c r="C269">
        <v>7120.6486400000003</v>
      </c>
    </row>
    <row r="270" spans="1:3" x14ac:dyDescent="0.25">
      <c r="A270" t="s">
        <v>732</v>
      </c>
      <c r="B270" t="s">
        <v>1325</v>
      </c>
      <c r="C270">
        <v>5725.6496000000006</v>
      </c>
    </row>
    <row r="271" spans="1:3" x14ac:dyDescent="0.25">
      <c r="A271" t="s">
        <v>732</v>
      </c>
      <c r="B271" t="s">
        <v>950</v>
      </c>
      <c r="C271">
        <v>7738.9596900000006</v>
      </c>
    </row>
    <row r="272" spans="1:3" x14ac:dyDescent="0.25">
      <c r="A272" t="s">
        <v>732</v>
      </c>
      <c r="B272" t="s">
        <v>920</v>
      </c>
      <c r="C272">
        <v>4831.9464600000001</v>
      </c>
    </row>
    <row r="273" spans="1:3" x14ac:dyDescent="0.25">
      <c r="A273" t="s">
        <v>732</v>
      </c>
      <c r="B273" t="s">
        <v>939</v>
      </c>
      <c r="C273">
        <v>26131.70736</v>
      </c>
    </row>
    <row r="274" spans="1:3" x14ac:dyDescent="0.25">
      <c r="A274" t="s">
        <v>732</v>
      </c>
      <c r="B274" t="s">
        <v>830</v>
      </c>
      <c r="C274">
        <v>147.00756000000001</v>
      </c>
    </row>
    <row r="275" spans="1:3" x14ac:dyDescent="0.25">
      <c r="A275" t="s">
        <v>732</v>
      </c>
      <c r="B275" t="s">
        <v>1138</v>
      </c>
      <c r="C275">
        <v>13437.300239999999</v>
      </c>
    </row>
    <row r="276" spans="1:3" x14ac:dyDescent="0.25">
      <c r="A276" t="s">
        <v>732</v>
      </c>
      <c r="B276" t="s">
        <v>901</v>
      </c>
      <c r="C276">
        <v>12413.98458</v>
      </c>
    </row>
    <row r="277" spans="1:3" x14ac:dyDescent="0.25">
      <c r="A277" t="s">
        <v>732</v>
      </c>
      <c r="B277" t="s">
        <v>874</v>
      </c>
      <c r="C277">
        <v>87404.929919999995</v>
      </c>
    </row>
    <row r="278" spans="1:3" x14ac:dyDescent="0.25">
      <c r="A278" t="s">
        <v>732</v>
      </c>
      <c r="B278" t="s">
        <v>802</v>
      </c>
      <c r="C278">
        <v>8671.7354400000004</v>
      </c>
    </row>
    <row r="279" spans="1:3" x14ac:dyDescent="0.25">
      <c r="A279" t="s">
        <v>732</v>
      </c>
      <c r="B279" t="s">
        <v>1206</v>
      </c>
      <c r="C279">
        <v>8330.2513199999994</v>
      </c>
    </row>
    <row r="280" spans="1:3" x14ac:dyDescent="0.25">
      <c r="A280" t="s">
        <v>732</v>
      </c>
      <c r="B280" t="s">
        <v>1243</v>
      </c>
      <c r="C280">
        <v>9232.2830599999998</v>
      </c>
    </row>
    <row r="281" spans="1:3" x14ac:dyDescent="0.25">
      <c r="A281" t="s">
        <v>732</v>
      </c>
      <c r="B281" t="s">
        <v>951</v>
      </c>
      <c r="C281">
        <v>2231.6467200000002</v>
      </c>
    </row>
    <row r="282" spans="1:3" x14ac:dyDescent="0.25">
      <c r="A282" t="s">
        <v>732</v>
      </c>
      <c r="B282" t="s">
        <v>849</v>
      </c>
      <c r="C282">
        <v>24523.006720000001</v>
      </c>
    </row>
    <row r="283" spans="1:3" x14ac:dyDescent="0.25">
      <c r="A283" t="s">
        <v>732</v>
      </c>
      <c r="B283" t="s">
        <v>981</v>
      </c>
      <c r="C283">
        <v>607.30668000000003</v>
      </c>
    </row>
    <row r="284" spans="1:3" x14ac:dyDescent="0.25">
      <c r="A284" t="s">
        <v>732</v>
      </c>
      <c r="B284" t="s">
        <v>1331</v>
      </c>
      <c r="C284">
        <v>5962.1422499999999</v>
      </c>
    </row>
    <row r="285" spans="1:3" x14ac:dyDescent="0.25">
      <c r="A285" t="s">
        <v>732</v>
      </c>
      <c r="B285" t="s">
        <v>823</v>
      </c>
      <c r="C285">
        <v>624.43503999999996</v>
      </c>
    </row>
    <row r="286" spans="1:3" x14ac:dyDescent="0.25">
      <c r="A286" t="s">
        <v>732</v>
      </c>
      <c r="B286" t="s">
        <v>1062</v>
      </c>
      <c r="C286">
        <v>6229.7423999999992</v>
      </c>
    </row>
    <row r="287" spans="1:3" x14ac:dyDescent="0.25">
      <c r="A287" t="s">
        <v>732</v>
      </c>
      <c r="B287" t="s">
        <v>983</v>
      </c>
      <c r="C287">
        <v>11813.604160000001</v>
      </c>
    </row>
    <row r="288" spans="1:3" x14ac:dyDescent="0.25">
      <c r="A288" t="s">
        <v>732</v>
      </c>
      <c r="B288" t="s">
        <v>869</v>
      </c>
      <c r="C288">
        <v>27370.540859999997</v>
      </c>
    </row>
    <row r="289" spans="1:3" x14ac:dyDescent="0.25">
      <c r="A289" t="s">
        <v>732</v>
      </c>
      <c r="B289" t="s">
        <v>1007</v>
      </c>
      <c r="C289">
        <v>29536.716</v>
      </c>
    </row>
    <row r="290" spans="1:3" x14ac:dyDescent="0.25">
      <c r="A290" t="s">
        <v>732</v>
      </c>
      <c r="B290" t="s">
        <v>1161</v>
      </c>
      <c r="C290">
        <v>13450.74</v>
      </c>
    </row>
    <row r="291" spans="1:3" x14ac:dyDescent="0.25">
      <c r="A291" t="s">
        <v>732</v>
      </c>
      <c r="B291" t="s">
        <v>817</v>
      </c>
      <c r="C291">
        <v>524.81174999999996</v>
      </c>
    </row>
    <row r="292" spans="1:3" x14ac:dyDescent="0.25">
      <c r="A292" t="s">
        <v>732</v>
      </c>
      <c r="B292" t="s">
        <v>1132</v>
      </c>
      <c r="C292">
        <v>12972.00222</v>
      </c>
    </row>
    <row r="293" spans="1:3" x14ac:dyDescent="0.25">
      <c r="A293" t="s">
        <v>732</v>
      </c>
      <c r="B293" t="s">
        <v>855</v>
      </c>
      <c r="C293">
        <v>22983.34563</v>
      </c>
    </row>
    <row r="294" spans="1:3" x14ac:dyDescent="0.25">
      <c r="A294" t="s">
        <v>732</v>
      </c>
      <c r="B294" t="s">
        <v>1359</v>
      </c>
      <c r="C294">
        <v>5096.4790800000001</v>
      </c>
    </row>
    <row r="295" spans="1:3" x14ac:dyDescent="0.25">
      <c r="A295" t="s">
        <v>732</v>
      </c>
      <c r="B295" t="s">
        <v>1152</v>
      </c>
      <c r="C295">
        <v>9509.2865999999995</v>
      </c>
    </row>
    <row r="296" spans="1:3" x14ac:dyDescent="0.25">
      <c r="A296" t="s">
        <v>732</v>
      </c>
      <c r="B296" t="s">
        <v>1349</v>
      </c>
      <c r="C296">
        <v>846.34703999999988</v>
      </c>
    </row>
    <row r="297" spans="1:3" x14ac:dyDescent="0.25">
      <c r="A297" t="s">
        <v>732</v>
      </c>
      <c r="B297" t="s">
        <v>923</v>
      </c>
      <c r="C297">
        <v>8590.7094000000016</v>
      </c>
    </row>
    <row r="298" spans="1:3" x14ac:dyDescent="0.25">
      <c r="A298" t="s">
        <v>732</v>
      </c>
      <c r="B298" t="s">
        <v>1085</v>
      </c>
      <c r="C298">
        <v>16487.22781</v>
      </c>
    </row>
    <row r="299" spans="1:3" x14ac:dyDescent="0.25">
      <c r="A299" t="s">
        <v>732</v>
      </c>
      <c r="B299" t="s">
        <v>1283</v>
      </c>
      <c r="C299">
        <v>1846.8040799999999</v>
      </c>
    </row>
    <row r="300" spans="1:3" x14ac:dyDescent="0.25">
      <c r="A300" t="s">
        <v>732</v>
      </c>
      <c r="B300" t="s">
        <v>1031</v>
      </c>
      <c r="C300">
        <v>3190.8713200000002</v>
      </c>
    </row>
    <row r="301" spans="1:3" x14ac:dyDescent="0.25">
      <c r="A301" t="s">
        <v>732</v>
      </c>
      <c r="B301" t="s">
        <v>785</v>
      </c>
      <c r="C301">
        <v>599.53200000000004</v>
      </c>
    </row>
    <row r="302" spans="1:3" x14ac:dyDescent="0.25">
      <c r="A302" t="s">
        <v>732</v>
      </c>
      <c r="B302" t="s">
        <v>986</v>
      </c>
      <c r="C302">
        <v>17689.623</v>
      </c>
    </row>
    <row r="303" spans="1:3" x14ac:dyDescent="0.25">
      <c r="A303" t="s">
        <v>732</v>
      </c>
      <c r="B303" t="s">
        <v>1106</v>
      </c>
      <c r="C303">
        <v>32280.32474</v>
      </c>
    </row>
    <row r="304" spans="1:3" x14ac:dyDescent="0.25">
      <c r="A304" t="s">
        <v>732</v>
      </c>
      <c r="B304" t="s">
        <v>1166</v>
      </c>
      <c r="C304">
        <v>12967.958640000001</v>
      </c>
    </row>
    <row r="305" spans="1:3" x14ac:dyDescent="0.25">
      <c r="A305" t="s">
        <v>732</v>
      </c>
      <c r="B305" t="s">
        <v>1233</v>
      </c>
      <c r="C305">
        <v>20332.775539999999</v>
      </c>
    </row>
    <row r="306" spans="1:3" x14ac:dyDescent="0.25">
      <c r="A306" t="s">
        <v>732</v>
      </c>
      <c r="B306" t="s">
        <v>789</v>
      </c>
      <c r="C306">
        <v>31680.795320000001</v>
      </c>
    </row>
    <row r="307" spans="1:3" x14ac:dyDescent="0.25">
      <c r="A307" t="s">
        <v>732</v>
      </c>
      <c r="B307" t="s">
        <v>938</v>
      </c>
      <c r="C307">
        <v>25553.782800000001</v>
      </c>
    </row>
    <row r="308" spans="1:3" x14ac:dyDescent="0.25">
      <c r="A308" t="s">
        <v>732</v>
      </c>
      <c r="B308" t="s">
        <v>1190</v>
      </c>
      <c r="C308">
        <v>7854.6931199999999</v>
      </c>
    </row>
    <row r="309" spans="1:3" x14ac:dyDescent="0.25">
      <c r="A309" t="s">
        <v>732</v>
      </c>
      <c r="B309" t="s">
        <v>864</v>
      </c>
      <c r="C309">
        <v>7703.8640800000003</v>
      </c>
    </row>
    <row r="310" spans="1:3" x14ac:dyDescent="0.25">
      <c r="A310" t="s">
        <v>732</v>
      </c>
      <c r="B310" t="s">
        <v>797</v>
      </c>
      <c r="C310">
        <v>72665.817450000002</v>
      </c>
    </row>
    <row r="311" spans="1:3" x14ac:dyDescent="0.25">
      <c r="A311" t="s">
        <v>732</v>
      </c>
      <c r="B311" t="s">
        <v>967</v>
      </c>
      <c r="C311">
        <v>5280.8577599999999</v>
      </c>
    </row>
    <row r="312" spans="1:3" x14ac:dyDescent="0.25">
      <c r="A312" t="s">
        <v>732</v>
      </c>
      <c r="B312" t="s">
        <v>912</v>
      </c>
      <c r="C312">
        <v>7098.5495999999994</v>
      </c>
    </row>
    <row r="313" spans="1:3" x14ac:dyDescent="0.25">
      <c r="A313" t="s">
        <v>732</v>
      </c>
      <c r="B313" t="s">
        <v>1039</v>
      </c>
      <c r="C313">
        <v>1641.7107199999998</v>
      </c>
    </row>
    <row r="314" spans="1:3" x14ac:dyDescent="0.25">
      <c r="A314" t="s">
        <v>732</v>
      </c>
      <c r="B314" t="s">
        <v>1181</v>
      </c>
      <c r="C314">
        <v>45547.183360000003</v>
      </c>
    </row>
    <row r="315" spans="1:3" x14ac:dyDescent="0.25">
      <c r="A315" t="s">
        <v>732</v>
      </c>
      <c r="B315" t="s">
        <v>1014</v>
      </c>
      <c r="C315">
        <v>17441.021520000002</v>
      </c>
    </row>
    <row r="316" spans="1:3" x14ac:dyDescent="0.25">
      <c r="A316" t="s">
        <v>732</v>
      </c>
      <c r="B316" t="s">
        <v>1032</v>
      </c>
      <c r="C316">
        <v>66.920760000000001</v>
      </c>
    </row>
    <row r="317" spans="1:3" x14ac:dyDescent="0.25">
      <c r="A317" t="s">
        <v>732</v>
      </c>
      <c r="B317" t="s">
        <v>917</v>
      </c>
      <c r="C317">
        <v>8698.8768300000011</v>
      </c>
    </row>
    <row r="318" spans="1:3" x14ac:dyDescent="0.25">
      <c r="A318" t="s">
        <v>732</v>
      </c>
      <c r="B318" t="s">
        <v>1097</v>
      </c>
      <c r="C318">
        <v>7327.9533600000004</v>
      </c>
    </row>
    <row r="319" spans="1:3" x14ac:dyDescent="0.25">
      <c r="A319" t="s">
        <v>732</v>
      </c>
      <c r="B319" t="s">
        <v>1123</v>
      </c>
      <c r="C319">
        <v>16142.527829999999</v>
      </c>
    </row>
    <row r="320" spans="1:3" x14ac:dyDescent="0.25">
      <c r="A320" t="s">
        <v>732</v>
      </c>
      <c r="B320" t="s">
        <v>1295</v>
      </c>
      <c r="C320">
        <v>8520.2954399999999</v>
      </c>
    </row>
    <row r="321" spans="1:3" x14ac:dyDescent="0.25">
      <c r="A321" t="s">
        <v>732</v>
      </c>
      <c r="B321" t="s">
        <v>1306</v>
      </c>
      <c r="C321">
        <v>14466.95104</v>
      </c>
    </row>
    <row r="322" spans="1:3" x14ac:dyDescent="0.25">
      <c r="A322" t="s">
        <v>732</v>
      </c>
      <c r="B322" t="s">
        <v>1256</v>
      </c>
      <c r="C322">
        <v>16121.273400000002</v>
      </c>
    </row>
    <row r="323" spans="1:3" x14ac:dyDescent="0.25">
      <c r="A323" t="s">
        <v>732</v>
      </c>
      <c r="B323" t="s">
        <v>1281</v>
      </c>
      <c r="C323">
        <v>10937.519999999999</v>
      </c>
    </row>
    <row r="324" spans="1:3" x14ac:dyDescent="0.25">
      <c r="A324" t="s">
        <v>732</v>
      </c>
      <c r="B324" t="s">
        <v>1044</v>
      </c>
      <c r="C324">
        <v>30799.273800000003</v>
      </c>
    </row>
    <row r="325" spans="1:3" x14ac:dyDescent="0.25">
      <c r="A325" t="s">
        <v>732</v>
      </c>
      <c r="B325" t="s">
        <v>929</v>
      </c>
      <c r="C325">
        <v>31191.64716</v>
      </c>
    </row>
    <row r="326" spans="1:3" x14ac:dyDescent="0.25">
      <c r="A326" t="s">
        <v>732</v>
      </c>
      <c r="B326" t="s">
        <v>899</v>
      </c>
      <c r="C326">
        <v>85637.740319999997</v>
      </c>
    </row>
    <row r="327" spans="1:3" x14ac:dyDescent="0.25">
      <c r="A327" t="s">
        <v>732</v>
      </c>
      <c r="B327" t="s">
        <v>801</v>
      </c>
      <c r="C327">
        <v>14287.896349999999</v>
      </c>
    </row>
    <row r="328" spans="1:3" x14ac:dyDescent="0.25">
      <c r="A328" t="s">
        <v>732</v>
      </c>
      <c r="B328" t="s">
        <v>1187</v>
      </c>
      <c r="C328">
        <v>23132.398349999996</v>
      </c>
    </row>
    <row r="329" spans="1:3" x14ac:dyDescent="0.25">
      <c r="A329" t="s">
        <v>732</v>
      </c>
      <c r="B329" t="s">
        <v>742</v>
      </c>
      <c r="C329">
        <v>14714.12934</v>
      </c>
    </row>
    <row r="330" spans="1:3" x14ac:dyDescent="0.25">
      <c r="A330" t="s">
        <v>732</v>
      </c>
      <c r="B330" t="s">
        <v>909</v>
      </c>
      <c r="C330">
        <v>92715.25</v>
      </c>
    </row>
    <row r="331" spans="1:3" x14ac:dyDescent="0.25">
      <c r="A331" t="s">
        <v>732</v>
      </c>
      <c r="B331" t="s">
        <v>1290</v>
      </c>
      <c r="C331">
        <v>10519.776450000001</v>
      </c>
    </row>
    <row r="332" spans="1:3" x14ac:dyDescent="0.25">
      <c r="A332" t="s">
        <v>732</v>
      </c>
      <c r="B332" t="s">
        <v>1180</v>
      </c>
      <c r="C332">
        <v>5565.3272500000003</v>
      </c>
    </row>
    <row r="333" spans="1:3" x14ac:dyDescent="0.25">
      <c r="A333" t="s">
        <v>732</v>
      </c>
      <c r="B333" t="s">
        <v>1314</v>
      </c>
      <c r="C333">
        <v>1801.4076000000002</v>
      </c>
    </row>
    <row r="334" spans="1:3" x14ac:dyDescent="0.25">
      <c r="A334" t="s">
        <v>732</v>
      </c>
      <c r="B334" t="s">
        <v>925</v>
      </c>
      <c r="C334">
        <v>8763.2849999999999</v>
      </c>
    </row>
    <row r="335" spans="1:3" x14ac:dyDescent="0.25">
      <c r="A335" t="s">
        <v>732</v>
      </c>
      <c r="B335" t="s">
        <v>902</v>
      </c>
      <c r="C335">
        <v>6824.2884000000004</v>
      </c>
    </row>
    <row r="336" spans="1:3" x14ac:dyDescent="0.25">
      <c r="A336" t="s">
        <v>732</v>
      </c>
      <c r="B336" t="s">
        <v>1117</v>
      </c>
      <c r="C336">
        <v>15257.51748</v>
      </c>
    </row>
    <row r="337" spans="1:3" x14ac:dyDescent="0.25">
      <c r="A337" t="s">
        <v>732</v>
      </c>
      <c r="B337" t="s">
        <v>992</v>
      </c>
      <c r="C337">
        <v>4375.3620000000001</v>
      </c>
    </row>
    <row r="338" spans="1:3" x14ac:dyDescent="0.25">
      <c r="A338" t="s">
        <v>732</v>
      </c>
      <c r="B338" t="s">
        <v>945</v>
      </c>
      <c r="C338">
        <v>1774.8072</v>
      </c>
    </row>
    <row r="339" spans="1:3" x14ac:dyDescent="0.25">
      <c r="A339" t="s">
        <v>732</v>
      </c>
      <c r="B339" t="s">
        <v>922</v>
      </c>
      <c r="C339">
        <v>28072.190160000002</v>
      </c>
    </row>
    <row r="340" spans="1:3" x14ac:dyDescent="0.25">
      <c r="A340" t="s">
        <v>732</v>
      </c>
      <c r="B340" t="s">
        <v>813</v>
      </c>
      <c r="C340">
        <v>4877.1379800000004</v>
      </c>
    </row>
    <row r="341" spans="1:3" x14ac:dyDescent="0.25">
      <c r="A341" t="s">
        <v>732</v>
      </c>
      <c r="B341" t="s">
        <v>1344</v>
      </c>
      <c r="C341">
        <v>9256.14</v>
      </c>
    </row>
    <row r="342" spans="1:3" x14ac:dyDescent="0.25">
      <c r="A342" t="s">
        <v>732</v>
      </c>
      <c r="B342" t="s">
        <v>1278</v>
      </c>
      <c r="C342">
        <v>4826.5396199999996</v>
      </c>
    </row>
    <row r="343" spans="1:3" x14ac:dyDescent="0.25">
      <c r="A343" t="s">
        <v>732</v>
      </c>
      <c r="B343" t="s">
        <v>740</v>
      </c>
      <c r="C343">
        <v>2886.4496399999998</v>
      </c>
    </row>
    <row r="344" spans="1:3" x14ac:dyDescent="0.25">
      <c r="A344" t="s">
        <v>732</v>
      </c>
      <c r="B344" t="s">
        <v>1006</v>
      </c>
      <c r="C344">
        <v>34632.106319999999</v>
      </c>
    </row>
    <row r="345" spans="1:3" x14ac:dyDescent="0.25">
      <c r="A345" t="s">
        <v>732</v>
      </c>
      <c r="B345" t="s">
        <v>1274</v>
      </c>
      <c r="C345">
        <v>30652.403519999996</v>
      </c>
    </row>
    <row r="346" spans="1:3" x14ac:dyDescent="0.25">
      <c r="A346" t="s">
        <v>732</v>
      </c>
      <c r="B346" t="s">
        <v>1165</v>
      </c>
      <c r="C346">
        <v>2627.6239999999998</v>
      </c>
    </row>
    <row r="347" spans="1:3" x14ac:dyDescent="0.25">
      <c r="A347" t="s">
        <v>732</v>
      </c>
      <c r="B347" t="s">
        <v>918</v>
      </c>
      <c r="C347">
        <v>26408.63841</v>
      </c>
    </row>
    <row r="348" spans="1:3" x14ac:dyDescent="0.25">
      <c r="A348" t="s">
        <v>732</v>
      </c>
      <c r="B348" t="s">
        <v>1228</v>
      </c>
      <c r="C348">
        <v>4682.9519799999998</v>
      </c>
    </row>
    <row r="349" spans="1:3" x14ac:dyDescent="0.25">
      <c r="A349" t="s">
        <v>732</v>
      </c>
      <c r="B349" t="s">
        <v>988</v>
      </c>
      <c r="C349">
        <v>6468.2751599999992</v>
      </c>
    </row>
    <row r="350" spans="1:3" x14ac:dyDescent="0.25">
      <c r="A350" t="s">
        <v>732</v>
      </c>
      <c r="B350" t="s">
        <v>822</v>
      </c>
      <c r="C350">
        <v>11842.8464</v>
      </c>
    </row>
    <row r="351" spans="1:3" x14ac:dyDescent="0.25">
      <c r="A351" t="s">
        <v>732</v>
      </c>
      <c r="B351" t="s">
        <v>852</v>
      </c>
      <c r="C351">
        <v>5769.2758000000003</v>
      </c>
    </row>
    <row r="352" spans="1:3" x14ac:dyDescent="0.25">
      <c r="A352" t="s">
        <v>732</v>
      </c>
      <c r="B352" t="s">
        <v>1265</v>
      </c>
      <c r="C352">
        <v>534.57695999999999</v>
      </c>
    </row>
    <row r="353" spans="1:3" x14ac:dyDescent="0.25">
      <c r="A353" t="s">
        <v>732</v>
      </c>
      <c r="B353" t="s">
        <v>897</v>
      </c>
      <c r="C353">
        <v>12194.714</v>
      </c>
    </row>
    <row r="354" spans="1:3" x14ac:dyDescent="0.25">
      <c r="A354" t="s">
        <v>732</v>
      </c>
      <c r="B354" t="s">
        <v>1232</v>
      </c>
      <c r="C354">
        <v>16574.544740000001</v>
      </c>
    </row>
    <row r="355" spans="1:3" x14ac:dyDescent="0.25">
      <c r="A355" t="s">
        <v>732</v>
      </c>
      <c r="B355" t="s">
        <v>1052</v>
      </c>
      <c r="C355">
        <v>2915.4540999999999</v>
      </c>
    </row>
    <row r="356" spans="1:3" x14ac:dyDescent="0.25">
      <c r="A356" t="s">
        <v>732</v>
      </c>
      <c r="B356" t="s">
        <v>1129</v>
      </c>
      <c r="C356">
        <v>56176.777799999996</v>
      </c>
    </row>
    <row r="357" spans="1:3" x14ac:dyDescent="0.25">
      <c r="A357" t="s">
        <v>732</v>
      </c>
      <c r="B357" t="s">
        <v>1000</v>
      </c>
      <c r="C357">
        <v>38818.760160000005</v>
      </c>
    </row>
    <row r="358" spans="1:3" x14ac:dyDescent="0.25">
      <c r="A358" t="s">
        <v>732</v>
      </c>
      <c r="B358" t="s">
        <v>894</v>
      </c>
      <c r="C358">
        <v>22044.871499999997</v>
      </c>
    </row>
    <row r="359" spans="1:3" x14ac:dyDescent="0.25">
      <c r="A359" t="s">
        <v>732</v>
      </c>
      <c r="B359" t="s">
        <v>774</v>
      </c>
      <c r="C359">
        <v>41106.800970000004</v>
      </c>
    </row>
    <row r="360" spans="1:3" x14ac:dyDescent="0.25">
      <c r="A360" t="s">
        <v>1482</v>
      </c>
      <c r="C360">
        <v>1551152.7018699993</v>
      </c>
    </row>
    <row r="361" spans="1:3" x14ac:dyDescent="0.25">
      <c r="A361" t="s">
        <v>729</v>
      </c>
      <c r="B361" t="s">
        <v>1230</v>
      </c>
      <c r="C361">
        <v>25249.613219999999</v>
      </c>
    </row>
    <row r="362" spans="1:3" x14ac:dyDescent="0.25">
      <c r="A362" t="s">
        <v>729</v>
      </c>
      <c r="B362" t="s">
        <v>1045</v>
      </c>
      <c r="C362">
        <v>879.05840000000001</v>
      </c>
    </row>
    <row r="363" spans="1:3" x14ac:dyDescent="0.25">
      <c r="A363" t="s">
        <v>729</v>
      </c>
      <c r="B363" t="s">
        <v>1229</v>
      </c>
      <c r="C363">
        <v>30692.47896</v>
      </c>
    </row>
    <row r="364" spans="1:3" x14ac:dyDescent="0.25">
      <c r="A364" t="s">
        <v>729</v>
      </c>
      <c r="B364" t="s">
        <v>1324</v>
      </c>
      <c r="C364">
        <v>51768.181920000003</v>
      </c>
    </row>
    <row r="365" spans="1:3" x14ac:dyDescent="0.25">
      <c r="A365" t="s">
        <v>729</v>
      </c>
      <c r="B365" t="s">
        <v>1114</v>
      </c>
      <c r="C365">
        <v>12881.097599999999</v>
      </c>
    </row>
    <row r="366" spans="1:3" x14ac:dyDescent="0.25">
      <c r="A366" t="s">
        <v>729</v>
      </c>
      <c r="B366" t="s">
        <v>775</v>
      </c>
      <c r="C366">
        <v>10558.74</v>
      </c>
    </row>
    <row r="367" spans="1:3" x14ac:dyDescent="0.25">
      <c r="A367" t="s">
        <v>729</v>
      </c>
      <c r="B367" t="s">
        <v>957</v>
      </c>
      <c r="C367">
        <v>66988.771199999988</v>
      </c>
    </row>
    <row r="368" spans="1:3" x14ac:dyDescent="0.25">
      <c r="A368" t="s">
        <v>729</v>
      </c>
      <c r="B368" t="s">
        <v>960</v>
      </c>
      <c r="C368">
        <v>30479.418970000002</v>
      </c>
    </row>
    <row r="369" spans="1:3" x14ac:dyDescent="0.25">
      <c r="A369" t="s">
        <v>729</v>
      </c>
      <c r="B369" t="s">
        <v>1036</v>
      </c>
      <c r="C369">
        <v>39686.4182</v>
      </c>
    </row>
    <row r="370" spans="1:3" x14ac:dyDescent="0.25">
      <c r="A370" t="s">
        <v>729</v>
      </c>
      <c r="B370" t="s">
        <v>832</v>
      </c>
      <c r="C370">
        <v>5328.4890400000004</v>
      </c>
    </row>
    <row r="371" spans="1:3" x14ac:dyDescent="0.25">
      <c r="A371" t="s">
        <v>729</v>
      </c>
      <c r="B371" t="s">
        <v>1075</v>
      </c>
      <c r="C371">
        <v>1115.1975999999997</v>
      </c>
    </row>
    <row r="372" spans="1:3" x14ac:dyDescent="0.25">
      <c r="A372" t="s">
        <v>729</v>
      </c>
      <c r="B372" t="s">
        <v>807</v>
      </c>
      <c r="C372">
        <v>9373.460219999999</v>
      </c>
    </row>
    <row r="373" spans="1:3" x14ac:dyDescent="0.25">
      <c r="A373" t="s">
        <v>729</v>
      </c>
      <c r="B373" t="s">
        <v>1213</v>
      </c>
      <c r="C373">
        <v>40488.792960000006</v>
      </c>
    </row>
    <row r="374" spans="1:3" x14ac:dyDescent="0.25">
      <c r="A374" t="s">
        <v>729</v>
      </c>
      <c r="B374" t="s">
        <v>824</v>
      </c>
      <c r="C374">
        <v>8324.8326000000015</v>
      </c>
    </row>
    <row r="375" spans="1:3" x14ac:dyDescent="0.25">
      <c r="A375" t="s">
        <v>729</v>
      </c>
      <c r="B375" t="s">
        <v>779</v>
      </c>
      <c r="C375">
        <v>32506.559399999998</v>
      </c>
    </row>
    <row r="376" spans="1:3" x14ac:dyDescent="0.25">
      <c r="A376" t="s">
        <v>729</v>
      </c>
      <c r="B376" t="s">
        <v>781</v>
      </c>
      <c r="C376">
        <v>109244</v>
      </c>
    </row>
    <row r="377" spans="1:3" x14ac:dyDescent="0.25">
      <c r="A377" t="s">
        <v>729</v>
      </c>
      <c r="B377" t="s">
        <v>878</v>
      </c>
      <c r="C377">
        <v>25672.127039999999</v>
      </c>
    </row>
    <row r="378" spans="1:3" x14ac:dyDescent="0.25">
      <c r="A378" t="s">
        <v>729</v>
      </c>
      <c r="B378" t="s">
        <v>991</v>
      </c>
      <c r="C378">
        <v>2394.1605599999998</v>
      </c>
    </row>
    <row r="379" spans="1:3" x14ac:dyDescent="0.25">
      <c r="A379" t="s">
        <v>729</v>
      </c>
      <c r="B379" t="s">
        <v>1357</v>
      </c>
      <c r="C379">
        <v>32704.386400000003</v>
      </c>
    </row>
    <row r="380" spans="1:3" x14ac:dyDescent="0.25">
      <c r="A380" t="s">
        <v>729</v>
      </c>
      <c r="B380" t="s">
        <v>1172</v>
      </c>
      <c r="C380">
        <v>2795.6384399999997</v>
      </c>
    </row>
    <row r="381" spans="1:3" x14ac:dyDescent="0.25">
      <c r="A381" t="s">
        <v>729</v>
      </c>
      <c r="B381" t="s">
        <v>1296</v>
      </c>
      <c r="C381">
        <v>10166.535600000001</v>
      </c>
    </row>
    <row r="382" spans="1:3" x14ac:dyDescent="0.25">
      <c r="A382" t="s">
        <v>729</v>
      </c>
      <c r="B382" t="s">
        <v>982</v>
      </c>
      <c r="C382">
        <v>3592.04</v>
      </c>
    </row>
    <row r="383" spans="1:3" x14ac:dyDescent="0.25">
      <c r="A383" t="s">
        <v>729</v>
      </c>
      <c r="B383" t="s">
        <v>1217</v>
      </c>
      <c r="C383">
        <v>21908.731650000002</v>
      </c>
    </row>
    <row r="384" spans="1:3" x14ac:dyDescent="0.25">
      <c r="A384" t="s">
        <v>729</v>
      </c>
      <c r="B384" t="s">
        <v>1311</v>
      </c>
      <c r="C384">
        <v>4280.6786400000001</v>
      </c>
    </row>
    <row r="385" spans="1:3" x14ac:dyDescent="0.25">
      <c r="A385" t="s">
        <v>729</v>
      </c>
      <c r="B385" t="s">
        <v>848</v>
      </c>
      <c r="C385">
        <v>1499.22</v>
      </c>
    </row>
    <row r="386" spans="1:3" x14ac:dyDescent="0.25">
      <c r="A386" t="s">
        <v>729</v>
      </c>
      <c r="B386" t="s">
        <v>755</v>
      </c>
      <c r="C386">
        <v>19903.585040000002</v>
      </c>
    </row>
    <row r="387" spans="1:3" x14ac:dyDescent="0.25">
      <c r="A387" t="s">
        <v>729</v>
      </c>
      <c r="B387" t="s">
        <v>1133</v>
      </c>
      <c r="C387">
        <v>17731.623</v>
      </c>
    </row>
    <row r="388" spans="1:3" x14ac:dyDescent="0.25">
      <c r="A388" t="s">
        <v>729</v>
      </c>
      <c r="B388" t="s">
        <v>932</v>
      </c>
      <c r="C388">
        <v>8349.2224200000001</v>
      </c>
    </row>
    <row r="389" spans="1:3" x14ac:dyDescent="0.25">
      <c r="A389" t="s">
        <v>729</v>
      </c>
      <c r="B389" t="s">
        <v>1110</v>
      </c>
      <c r="C389">
        <v>43553.493060000001</v>
      </c>
    </row>
    <row r="390" spans="1:3" x14ac:dyDescent="0.25">
      <c r="A390" t="s">
        <v>729</v>
      </c>
      <c r="B390" t="s">
        <v>1309</v>
      </c>
      <c r="C390">
        <v>13882.6016</v>
      </c>
    </row>
    <row r="391" spans="1:3" x14ac:dyDescent="0.25">
      <c r="A391" t="s">
        <v>729</v>
      </c>
      <c r="B391" t="s">
        <v>1240</v>
      </c>
      <c r="C391">
        <v>15323.926799999999</v>
      </c>
    </row>
    <row r="392" spans="1:3" x14ac:dyDescent="0.25">
      <c r="A392" t="s">
        <v>729</v>
      </c>
      <c r="B392" t="s">
        <v>1041</v>
      </c>
      <c r="C392">
        <v>3644.3212800000006</v>
      </c>
    </row>
    <row r="393" spans="1:3" x14ac:dyDescent="0.25">
      <c r="A393" t="s">
        <v>729</v>
      </c>
      <c r="B393" t="s">
        <v>1308</v>
      </c>
      <c r="C393">
        <v>12091.190399999999</v>
      </c>
    </row>
    <row r="394" spans="1:3" x14ac:dyDescent="0.25">
      <c r="A394" t="s">
        <v>729</v>
      </c>
      <c r="B394" t="s">
        <v>1116</v>
      </c>
      <c r="C394">
        <v>47693.373</v>
      </c>
    </row>
    <row r="395" spans="1:3" x14ac:dyDescent="0.25">
      <c r="A395" t="s">
        <v>729</v>
      </c>
      <c r="B395" t="s">
        <v>1091</v>
      </c>
      <c r="C395">
        <v>49336.511399999996</v>
      </c>
    </row>
    <row r="396" spans="1:3" x14ac:dyDescent="0.25">
      <c r="A396" t="s">
        <v>729</v>
      </c>
      <c r="B396" t="s">
        <v>1051</v>
      </c>
      <c r="C396">
        <v>16306.59375</v>
      </c>
    </row>
    <row r="397" spans="1:3" x14ac:dyDescent="0.25">
      <c r="A397" t="s">
        <v>729</v>
      </c>
      <c r="B397" t="s">
        <v>863</v>
      </c>
      <c r="C397">
        <v>16071.44868</v>
      </c>
    </row>
    <row r="398" spans="1:3" x14ac:dyDescent="0.25">
      <c r="A398" t="s">
        <v>729</v>
      </c>
      <c r="B398" t="s">
        <v>1251</v>
      </c>
      <c r="C398">
        <v>9807.7842799999999</v>
      </c>
    </row>
    <row r="399" spans="1:3" x14ac:dyDescent="0.25">
      <c r="A399" t="s">
        <v>729</v>
      </c>
      <c r="B399" t="s">
        <v>846</v>
      </c>
      <c r="C399">
        <v>34.689059999999998</v>
      </c>
    </row>
    <row r="400" spans="1:3" x14ac:dyDescent="0.25">
      <c r="A400" t="s">
        <v>729</v>
      </c>
      <c r="B400" t="s">
        <v>1282</v>
      </c>
      <c r="C400">
        <v>29673.454499999993</v>
      </c>
    </row>
    <row r="401" spans="1:3" x14ac:dyDescent="0.25">
      <c r="A401" t="s">
        <v>729</v>
      </c>
      <c r="B401" t="s">
        <v>1055</v>
      </c>
      <c r="C401">
        <v>7493.1076000000012</v>
      </c>
    </row>
    <row r="402" spans="1:3" x14ac:dyDescent="0.25">
      <c r="A402" t="s">
        <v>729</v>
      </c>
      <c r="B402" t="s">
        <v>1354</v>
      </c>
      <c r="C402">
        <v>30229.994880000002</v>
      </c>
    </row>
    <row r="403" spans="1:3" x14ac:dyDescent="0.25">
      <c r="A403" t="s">
        <v>729</v>
      </c>
      <c r="B403" t="s">
        <v>1356</v>
      </c>
      <c r="C403">
        <v>50090.397499999999</v>
      </c>
    </row>
    <row r="404" spans="1:3" x14ac:dyDescent="0.25">
      <c r="A404" t="s">
        <v>729</v>
      </c>
      <c r="B404" t="s">
        <v>814</v>
      </c>
      <c r="C404">
        <v>60292.805299999993</v>
      </c>
    </row>
    <row r="405" spans="1:3" x14ac:dyDescent="0.25">
      <c r="A405" t="s">
        <v>729</v>
      </c>
      <c r="B405" t="s">
        <v>1056</v>
      </c>
      <c r="C405">
        <v>39546.774539999999</v>
      </c>
    </row>
    <row r="406" spans="1:3" x14ac:dyDescent="0.25">
      <c r="A406" t="s">
        <v>729</v>
      </c>
      <c r="B406" t="s">
        <v>1277</v>
      </c>
      <c r="C406">
        <v>10792.637119999999</v>
      </c>
    </row>
    <row r="407" spans="1:3" x14ac:dyDescent="0.25">
      <c r="A407" t="s">
        <v>729</v>
      </c>
      <c r="B407" t="s">
        <v>782</v>
      </c>
      <c r="C407">
        <v>35621.302319999995</v>
      </c>
    </row>
    <row r="408" spans="1:3" x14ac:dyDescent="0.25">
      <c r="A408" t="s">
        <v>729</v>
      </c>
      <c r="B408" t="s">
        <v>1196</v>
      </c>
      <c r="C408">
        <v>1886.9915999999998</v>
      </c>
    </row>
    <row r="409" spans="1:3" x14ac:dyDescent="0.25">
      <c r="A409" t="s">
        <v>729</v>
      </c>
      <c r="B409" t="s">
        <v>1346</v>
      </c>
      <c r="C409">
        <v>18500.693520000001</v>
      </c>
    </row>
    <row r="410" spans="1:3" x14ac:dyDescent="0.25">
      <c r="A410" t="s">
        <v>729</v>
      </c>
      <c r="B410" t="s">
        <v>1113</v>
      </c>
      <c r="C410">
        <v>33200.038079999998</v>
      </c>
    </row>
    <row r="411" spans="1:3" x14ac:dyDescent="0.25">
      <c r="A411" t="s">
        <v>729</v>
      </c>
      <c r="B411" t="s">
        <v>1010</v>
      </c>
      <c r="C411">
        <v>79548.755999999994</v>
      </c>
    </row>
    <row r="412" spans="1:3" x14ac:dyDescent="0.25">
      <c r="A412" t="s">
        <v>729</v>
      </c>
      <c r="B412" t="s">
        <v>928</v>
      </c>
      <c r="C412">
        <v>3928.3797600000003</v>
      </c>
    </row>
    <row r="413" spans="1:3" x14ac:dyDescent="0.25">
      <c r="A413" t="s">
        <v>729</v>
      </c>
      <c r="B413" t="s">
        <v>1345</v>
      </c>
      <c r="C413">
        <v>82141.339799999987</v>
      </c>
    </row>
    <row r="414" spans="1:3" x14ac:dyDescent="0.25">
      <c r="A414" t="s">
        <v>729</v>
      </c>
      <c r="B414" t="s">
        <v>1200</v>
      </c>
      <c r="C414">
        <v>14261.92439</v>
      </c>
    </row>
    <row r="415" spans="1:3" x14ac:dyDescent="0.25">
      <c r="A415" t="s">
        <v>729</v>
      </c>
      <c r="B415" t="s">
        <v>937</v>
      </c>
      <c r="C415">
        <v>47962.717579999997</v>
      </c>
    </row>
    <row r="416" spans="1:3" x14ac:dyDescent="0.25">
      <c r="A416" t="s">
        <v>729</v>
      </c>
      <c r="B416" t="s">
        <v>1334</v>
      </c>
      <c r="C416">
        <v>1062.5902000000001</v>
      </c>
    </row>
    <row r="417" spans="1:3" x14ac:dyDescent="0.25">
      <c r="A417" t="s">
        <v>729</v>
      </c>
      <c r="B417" t="s">
        <v>1237</v>
      </c>
      <c r="C417">
        <v>10189.8891</v>
      </c>
    </row>
    <row r="418" spans="1:3" x14ac:dyDescent="0.25">
      <c r="A418" t="s">
        <v>729</v>
      </c>
      <c r="B418" t="s">
        <v>854</v>
      </c>
      <c r="C418">
        <v>39516.804389999998</v>
      </c>
    </row>
    <row r="419" spans="1:3" x14ac:dyDescent="0.25">
      <c r="A419" t="s">
        <v>729</v>
      </c>
      <c r="B419" t="s">
        <v>842</v>
      </c>
      <c r="C419">
        <v>1660.3999999999999</v>
      </c>
    </row>
    <row r="420" spans="1:3" x14ac:dyDescent="0.25">
      <c r="A420" t="s">
        <v>729</v>
      </c>
      <c r="B420" t="s">
        <v>1269</v>
      </c>
      <c r="C420">
        <v>7823.4472399999995</v>
      </c>
    </row>
    <row r="421" spans="1:3" x14ac:dyDescent="0.25">
      <c r="A421" t="s">
        <v>729</v>
      </c>
      <c r="B421" t="s">
        <v>1147</v>
      </c>
      <c r="C421">
        <v>31513.423040000001</v>
      </c>
    </row>
    <row r="422" spans="1:3" x14ac:dyDescent="0.25">
      <c r="A422" t="s">
        <v>729</v>
      </c>
      <c r="B422" t="s">
        <v>818</v>
      </c>
      <c r="C422">
        <v>21062.61248</v>
      </c>
    </row>
    <row r="423" spans="1:3" x14ac:dyDescent="0.25">
      <c r="A423" t="s">
        <v>729</v>
      </c>
      <c r="B423" t="s">
        <v>1284</v>
      </c>
      <c r="C423">
        <v>18830.12472</v>
      </c>
    </row>
    <row r="424" spans="1:3" x14ac:dyDescent="0.25">
      <c r="A424" t="s">
        <v>729</v>
      </c>
      <c r="B424" t="s">
        <v>949</v>
      </c>
      <c r="C424">
        <v>15253.069799999999</v>
      </c>
    </row>
    <row r="425" spans="1:3" x14ac:dyDescent="0.25">
      <c r="A425" t="s">
        <v>729</v>
      </c>
      <c r="B425" t="s">
        <v>1112</v>
      </c>
      <c r="C425">
        <v>6576.298960000001</v>
      </c>
    </row>
    <row r="426" spans="1:3" x14ac:dyDescent="0.25">
      <c r="A426" t="s">
        <v>729</v>
      </c>
      <c r="B426" t="s">
        <v>889</v>
      </c>
      <c r="C426">
        <v>8909.6646800000017</v>
      </c>
    </row>
    <row r="427" spans="1:3" x14ac:dyDescent="0.25">
      <c r="A427" t="s">
        <v>729</v>
      </c>
      <c r="B427" t="s">
        <v>766</v>
      </c>
      <c r="C427">
        <v>9647.3852800000004</v>
      </c>
    </row>
    <row r="428" spans="1:3" x14ac:dyDescent="0.25">
      <c r="A428" t="s">
        <v>729</v>
      </c>
      <c r="B428" t="s">
        <v>1167</v>
      </c>
      <c r="C428">
        <v>1950.0031200000001</v>
      </c>
    </row>
    <row r="429" spans="1:3" x14ac:dyDescent="0.25">
      <c r="A429" t="s">
        <v>729</v>
      </c>
      <c r="B429" t="s">
        <v>1236</v>
      </c>
      <c r="C429">
        <v>8637.1874499999994</v>
      </c>
    </row>
    <row r="430" spans="1:3" x14ac:dyDescent="0.25">
      <c r="A430" t="s">
        <v>729</v>
      </c>
      <c r="B430" t="s">
        <v>1015</v>
      </c>
      <c r="C430">
        <v>13035.970220000001</v>
      </c>
    </row>
    <row r="431" spans="1:3" x14ac:dyDescent="0.25">
      <c r="A431" t="s">
        <v>729</v>
      </c>
      <c r="B431" t="s">
        <v>857</v>
      </c>
      <c r="C431">
        <v>10817.3416</v>
      </c>
    </row>
    <row r="432" spans="1:3" x14ac:dyDescent="0.25">
      <c r="A432" t="s">
        <v>729</v>
      </c>
      <c r="B432" t="s">
        <v>1353</v>
      </c>
      <c r="C432">
        <v>2355.2113199999999</v>
      </c>
    </row>
    <row r="433" spans="1:3" x14ac:dyDescent="0.25">
      <c r="A433" t="s">
        <v>729</v>
      </c>
      <c r="B433" t="s">
        <v>890</v>
      </c>
      <c r="C433">
        <v>7203.8047000000006</v>
      </c>
    </row>
    <row r="434" spans="1:3" x14ac:dyDescent="0.25">
      <c r="A434" t="s">
        <v>729</v>
      </c>
      <c r="B434" t="s">
        <v>1272</v>
      </c>
      <c r="C434">
        <v>3340.6370000000002</v>
      </c>
    </row>
    <row r="435" spans="1:3" x14ac:dyDescent="0.25">
      <c r="A435" t="s">
        <v>729</v>
      </c>
      <c r="B435" t="s">
        <v>1348</v>
      </c>
      <c r="C435">
        <v>10786.32144</v>
      </c>
    </row>
    <row r="436" spans="1:3" x14ac:dyDescent="0.25">
      <c r="A436" t="s">
        <v>729</v>
      </c>
      <c r="B436" t="s">
        <v>1087</v>
      </c>
      <c r="C436">
        <v>34816.968000000001</v>
      </c>
    </row>
    <row r="437" spans="1:3" x14ac:dyDescent="0.25">
      <c r="A437" t="s">
        <v>729</v>
      </c>
      <c r="B437" t="s">
        <v>1065</v>
      </c>
      <c r="C437">
        <v>8764.4065599999994</v>
      </c>
    </row>
    <row r="438" spans="1:3" x14ac:dyDescent="0.25">
      <c r="A438" t="s">
        <v>729</v>
      </c>
      <c r="B438" t="s">
        <v>996</v>
      </c>
      <c r="C438">
        <v>8186.057600000001</v>
      </c>
    </row>
    <row r="439" spans="1:3" x14ac:dyDescent="0.25">
      <c r="A439" t="s">
        <v>729</v>
      </c>
      <c r="B439" t="s">
        <v>1301</v>
      </c>
      <c r="C439">
        <v>34307.159999999996</v>
      </c>
    </row>
    <row r="440" spans="1:3" x14ac:dyDescent="0.25">
      <c r="A440" t="s">
        <v>729</v>
      </c>
      <c r="B440" t="s">
        <v>1263</v>
      </c>
      <c r="C440">
        <v>9262.0686600000008</v>
      </c>
    </row>
    <row r="441" spans="1:3" x14ac:dyDescent="0.25">
      <c r="A441" t="s">
        <v>729</v>
      </c>
      <c r="B441" t="s">
        <v>1078</v>
      </c>
      <c r="C441">
        <v>3175.1547799999998</v>
      </c>
    </row>
    <row r="442" spans="1:3" x14ac:dyDescent="0.25">
      <c r="A442" t="s">
        <v>729</v>
      </c>
      <c r="B442" t="s">
        <v>736</v>
      </c>
      <c r="C442">
        <v>319.72248000000002</v>
      </c>
    </row>
    <row r="443" spans="1:3" x14ac:dyDescent="0.25">
      <c r="A443" t="s">
        <v>729</v>
      </c>
      <c r="B443" t="s">
        <v>763</v>
      </c>
      <c r="C443">
        <v>20084.133720000002</v>
      </c>
    </row>
    <row r="444" spans="1:3" x14ac:dyDescent="0.25">
      <c r="A444" t="s">
        <v>729</v>
      </c>
      <c r="B444" t="s">
        <v>1169</v>
      </c>
      <c r="C444">
        <v>5546.4642200000008</v>
      </c>
    </row>
    <row r="445" spans="1:3" x14ac:dyDescent="0.25">
      <c r="A445" t="s">
        <v>729</v>
      </c>
      <c r="B445" t="s">
        <v>1021</v>
      </c>
      <c r="C445">
        <v>20028.787380000002</v>
      </c>
    </row>
    <row r="446" spans="1:3" x14ac:dyDescent="0.25">
      <c r="A446" t="s">
        <v>729</v>
      </c>
      <c r="B446" t="s">
        <v>788</v>
      </c>
      <c r="C446">
        <v>215.19839999999996</v>
      </c>
    </row>
    <row r="447" spans="1:3" x14ac:dyDescent="0.25">
      <c r="A447" t="s">
        <v>1483</v>
      </c>
      <c r="C447">
        <v>1774358.6154200004</v>
      </c>
    </row>
    <row r="448" spans="1:3" x14ac:dyDescent="0.25">
      <c r="A448" t="s">
        <v>730</v>
      </c>
      <c r="B448" t="s">
        <v>1154</v>
      </c>
      <c r="C448">
        <v>9984.7160999999978</v>
      </c>
    </row>
    <row r="449" spans="1:3" x14ac:dyDescent="0.25">
      <c r="A449" t="s">
        <v>730</v>
      </c>
      <c r="B449" t="s">
        <v>751</v>
      </c>
      <c r="C449">
        <v>35367.211040000002</v>
      </c>
    </row>
    <row r="450" spans="1:3" x14ac:dyDescent="0.25">
      <c r="A450" t="s">
        <v>730</v>
      </c>
      <c r="B450" t="s">
        <v>1016</v>
      </c>
      <c r="C450">
        <v>667.74</v>
      </c>
    </row>
    <row r="451" spans="1:3" x14ac:dyDescent="0.25">
      <c r="A451" t="s">
        <v>730</v>
      </c>
      <c r="B451" t="s">
        <v>1081</v>
      </c>
      <c r="C451">
        <v>2206.8000000000002</v>
      </c>
    </row>
    <row r="452" spans="1:3" x14ac:dyDescent="0.25">
      <c r="A452" t="s">
        <v>730</v>
      </c>
      <c r="B452" t="s">
        <v>947</v>
      </c>
      <c r="C452">
        <v>24223.05</v>
      </c>
    </row>
    <row r="453" spans="1:3" x14ac:dyDescent="0.25">
      <c r="A453" t="s">
        <v>730</v>
      </c>
      <c r="B453" t="s">
        <v>1077</v>
      </c>
      <c r="C453">
        <v>8938.8996600000009</v>
      </c>
    </row>
    <row r="454" spans="1:3" x14ac:dyDescent="0.25">
      <c r="A454" t="s">
        <v>730</v>
      </c>
      <c r="B454" t="s">
        <v>762</v>
      </c>
      <c r="C454">
        <v>3913.2000000000003</v>
      </c>
    </row>
    <row r="455" spans="1:3" x14ac:dyDescent="0.25">
      <c r="A455" t="s">
        <v>730</v>
      </c>
      <c r="B455" t="s">
        <v>1294</v>
      </c>
      <c r="C455">
        <v>33071.3145</v>
      </c>
    </row>
    <row r="456" spans="1:3" x14ac:dyDescent="0.25">
      <c r="A456" t="s">
        <v>730</v>
      </c>
      <c r="B456" t="s">
        <v>1246</v>
      </c>
      <c r="C456">
        <v>5189.8836000000001</v>
      </c>
    </row>
    <row r="457" spans="1:3" x14ac:dyDescent="0.25">
      <c r="A457" t="s">
        <v>730</v>
      </c>
      <c r="B457" t="s">
        <v>936</v>
      </c>
      <c r="C457">
        <v>25299.040000000001</v>
      </c>
    </row>
    <row r="458" spans="1:3" x14ac:dyDescent="0.25">
      <c r="A458" t="s">
        <v>730</v>
      </c>
      <c r="B458" t="s">
        <v>1105</v>
      </c>
      <c r="C458">
        <v>16873.45</v>
      </c>
    </row>
    <row r="459" spans="1:3" x14ac:dyDescent="0.25">
      <c r="A459" t="s">
        <v>730</v>
      </c>
      <c r="B459" t="s">
        <v>1061</v>
      </c>
      <c r="C459">
        <v>3799.8031499999997</v>
      </c>
    </row>
    <row r="460" spans="1:3" x14ac:dyDescent="0.25">
      <c r="A460" t="s">
        <v>730</v>
      </c>
      <c r="B460" t="s">
        <v>841</v>
      </c>
      <c r="C460">
        <v>23687.524440000001</v>
      </c>
    </row>
    <row r="461" spans="1:3" x14ac:dyDescent="0.25">
      <c r="A461" t="s">
        <v>730</v>
      </c>
      <c r="B461" t="s">
        <v>1182</v>
      </c>
      <c r="C461">
        <v>12289.2</v>
      </c>
    </row>
    <row r="462" spans="1:3" x14ac:dyDescent="0.25">
      <c r="A462" t="s">
        <v>730</v>
      </c>
      <c r="B462" t="s">
        <v>972</v>
      </c>
      <c r="C462">
        <v>6684.1875</v>
      </c>
    </row>
    <row r="463" spans="1:3" x14ac:dyDescent="0.25">
      <c r="A463" t="s">
        <v>730</v>
      </c>
      <c r="B463" t="s">
        <v>1216</v>
      </c>
      <c r="C463">
        <v>5127.0390600000001</v>
      </c>
    </row>
    <row r="464" spans="1:3" x14ac:dyDescent="0.25">
      <c r="A464" t="s">
        <v>730</v>
      </c>
      <c r="B464" t="s">
        <v>965</v>
      </c>
      <c r="C464">
        <v>5814.6927299999998</v>
      </c>
    </row>
    <row r="465" spans="1:3" x14ac:dyDescent="0.25">
      <c r="A465" t="s">
        <v>730</v>
      </c>
      <c r="B465" t="s">
        <v>1156</v>
      </c>
      <c r="C465">
        <v>29627.320319999999</v>
      </c>
    </row>
    <row r="466" spans="1:3" x14ac:dyDescent="0.25">
      <c r="A466" t="s">
        <v>730</v>
      </c>
      <c r="B466" t="s">
        <v>867</v>
      </c>
      <c r="C466">
        <v>3494.4040799999998</v>
      </c>
    </row>
    <row r="467" spans="1:3" x14ac:dyDescent="0.25">
      <c r="A467" t="s">
        <v>730</v>
      </c>
      <c r="B467" t="s">
        <v>1264</v>
      </c>
      <c r="C467">
        <v>618.19979999999987</v>
      </c>
    </row>
    <row r="468" spans="1:3" x14ac:dyDescent="0.25">
      <c r="A468" t="s">
        <v>730</v>
      </c>
      <c r="B468" t="s">
        <v>1002</v>
      </c>
      <c r="C468">
        <v>6946.8</v>
      </c>
    </row>
    <row r="469" spans="1:3" x14ac:dyDescent="0.25">
      <c r="A469" t="s">
        <v>730</v>
      </c>
      <c r="B469" t="s">
        <v>1160</v>
      </c>
      <c r="C469">
        <v>19637.76528</v>
      </c>
    </row>
    <row r="470" spans="1:3" x14ac:dyDescent="0.25">
      <c r="A470" t="s">
        <v>730</v>
      </c>
      <c r="B470" t="s">
        <v>934</v>
      </c>
      <c r="C470">
        <v>14963.769179999999</v>
      </c>
    </row>
    <row r="471" spans="1:3" x14ac:dyDescent="0.25">
      <c r="A471" t="s">
        <v>730</v>
      </c>
      <c r="B471" t="s">
        <v>1126</v>
      </c>
      <c r="C471">
        <v>11285.764020000001</v>
      </c>
    </row>
    <row r="472" spans="1:3" x14ac:dyDescent="0.25">
      <c r="A472" t="s">
        <v>730</v>
      </c>
      <c r="B472" t="s">
        <v>825</v>
      </c>
      <c r="C472">
        <v>19510.808000000001</v>
      </c>
    </row>
    <row r="473" spans="1:3" x14ac:dyDescent="0.25">
      <c r="A473" t="s">
        <v>730</v>
      </c>
      <c r="B473" t="s">
        <v>975</v>
      </c>
      <c r="C473">
        <v>9684.8756000000012</v>
      </c>
    </row>
    <row r="474" spans="1:3" x14ac:dyDescent="0.25">
      <c r="A474" t="s">
        <v>730</v>
      </c>
      <c r="B474" t="s">
        <v>1020</v>
      </c>
      <c r="C474">
        <v>76.138720000000006</v>
      </c>
    </row>
    <row r="475" spans="1:3" x14ac:dyDescent="0.25">
      <c r="A475" t="s">
        <v>730</v>
      </c>
      <c r="B475" t="s">
        <v>997</v>
      </c>
      <c r="C475">
        <v>560.36831999999993</v>
      </c>
    </row>
    <row r="476" spans="1:3" x14ac:dyDescent="0.25">
      <c r="A476" t="s">
        <v>730</v>
      </c>
      <c r="B476" t="s">
        <v>1068</v>
      </c>
      <c r="C476">
        <v>4856.35725</v>
      </c>
    </row>
    <row r="477" spans="1:3" x14ac:dyDescent="0.25">
      <c r="A477" t="s">
        <v>730</v>
      </c>
      <c r="B477" t="s">
        <v>1146</v>
      </c>
      <c r="C477">
        <v>16134.22069</v>
      </c>
    </row>
    <row r="478" spans="1:3" x14ac:dyDescent="0.25">
      <c r="A478" t="s">
        <v>730</v>
      </c>
      <c r="B478" t="s">
        <v>1174</v>
      </c>
      <c r="C478">
        <v>12668.50728</v>
      </c>
    </row>
    <row r="479" spans="1:3" x14ac:dyDescent="0.25">
      <c r="A479" t="s">
        <v>730</v>
      </c>
      <c r="B479" t="s">
        <v>862</v>
      </c>
      <c r="C479">
        <v>2642.1686999999997</v>
      </c>
    </row>
    <row r="480" spans="1:3" x14ac:dyDescent="0.25">
      <c r="A480" t="s">
        <v>730</v>
      </c>
      <c r="B480" t="s">
        <v>1304</v>
      </c>
      <c r="C480">
        <v>841.00536</v>
      </c>
    </row>
    <row r="481" spans="1:3" x14ac:dyDescent="0.25">
      <c r="A481" t="s">
        <v>730</v>
      </c>
      <c r="B481" t="s">
        <v>737</v>
      </c>
      <c r="C481">
        <v>5225.2710400000005</v>
      </c>
    </row>
    <row r="482" spans="1:3" x14ac:dyDescent="0.25">
      <c r="A482" t="s">
        <v>730</v>
      </c>
      <c r="B482" t="s">
        <v>1317</v>
      </c>
      <c r="C482">
        <v>22676.312610000001</v>
      </c>
    </row>
    <row r="483" spans="1:3" x14ac:dyDescent="0.25">
      <c r="A483" t="s">
        <v>730</v>
      </c>
      <c r="B483" t="s">
        <v>883</v>
      </c>
      <c r="C483">
        <v>42495.805439999996</v>
      </c>
    </row>
    <row r="484" spans="1:3" x14ac:dyDescent="0.25">
      <c r="A484" t="s">
        <v>730</v>
      </c>
      <c r="B484" t="s">
        <v>799</v>
      </c>
      <c r="C484">
        <v>12153.267360000002</v>
      </c>
    </row>
    <row r="485" spans="1:3" x14ac:dyDescent="0.25">
      <c r="A485" t="s">
        <v>730</v>
      </c>
      <c r="B485" t="s">
        <v>1360</v>
      </c>
      <c r="C485">
        <v>33017.42</v>
      </c>
    </row>
    <row r="486" spans="1:3" x14ac:dyDescent="0.25">
      <c r="A486" t="s">
        <v>730</v>
      </c>
      <c r="B486" t="s">
        <v>979</v>
      </c>
      <c r="C486">
        <v>2909.8689199999999</v>
      </c>
    </row>
    <row r="487" spans="1:3" x14ac:dyDescent="0.25">
      <c r="A487" t="s">
        <v>730</v>
      </c>
      <c r="B487" t="s">
        <v>765</v>
      </c>
      <c r="C487">
        <v>26150.364320000001</v>
      </c>
    </row>
    <row r="488" spans="1:3" x14ac:dyDescent="0.25">
      <c r="A488" t="s">
        <v>730</v>
      </c>
      <c r="B488" t="s">
        <v>1109</v>
      </c>
      <c r="C488">
        <v>38422.022320000004</v>
      </c>
    </row>
    <row r="489" spans="1:3" x14ac:dyDescent="0.25">
      <c r="A489" t="s">
        <v>730</v>
      </c>
      <c r="B489" t="s">
        <v>931</v>
      </c>
      <c r="C489">
        <v>11326.846439999999</v>
      </c>
    </row>
    <row r="490" spans="1:3" x14ac:dyDescent="0.25">
      <c r="A490" t="s">
        <v>730</v>
      </c>
      <c r="B490" t="s">
        <v>1037</v>
      </c>
      <c r="C490">
        <v>8093.4784</v>
      </c>
    </row>
    <row r="491" spans="1:3" x14ac:dyDescent="0.25">
      <c r="A491" t="s">
        <v>730</v>
      </c>
      <c r="B491" t="s">
        <v>1318</v>
      </c>
      <c r="C491">
        <v>370.86</v>
      </c>
    </row>
    <row r="492" spans="1:3" x14ac:dyDescent="0.25">
      <c r="A492" t="s">
        <v>730</v>
      </c>
      <c r="B492" t="s">
        <v>1095</v>
      </c>
      <c r="C492">
        <v>4804.4682400000002</v>
      </c>
    </row>
    <row r="493" spans="1:3" x14ac:dyDescent="0.25">
      <c r="A493" t="s">
        <v>730</v>
      </c>
      <c r="B493" t="s">
        <v>896</v>
      </c>
      <c r="C493">
        <v>8154.5511600000009</v>
      </c>
    </row>
    <row r="494" spans="1:3" x14ac:dyDescent="0.25">
      <c r="A494" t="s">
        <v>730</v>
      </c>
      <c r="B494" t="s">
        <v>1186</v>
      </c>
      <c r="C494">
        <v>11984.891250000001</v>
      </c>
    </row>
    <row r="495" spans="1:3" x14ac:dyDescent="0.25">
      <c r="A495" t="s">
        <v>730</v>
      </c>
      <c r="B495" t="s">
        <v>1162</v>
      </c>
      <c r="C495">
        <v>41138.261999999995</v>
      </c>
    </row>
    <row r="496" spans="1:3" x14ac:dyDescent="0.25">
      <c r="A496" t="s">
        <v>730</v>
      </c>
      <c r="B496" t="s">
        <v>1140</v>
      </c>
      <c r="C496">
        <v>21541.017959999997</v>
      </c>
    </row>
    <row r="497" spans="1:3" x14ac:dyDescent="0.25">
      <c r="A497" t="s">
        <v>730</v>
      </c>
      <c r="B497" t="s">
        <v>1219</v>
      </c>
      <c r="C497">
        <v>5159.7893599999998</v>
      </c>
    </row>
    <row r="498" spans="1:3" x14ac:dyDescent="0.25">
      <c r="A498" t="s">
        <v>730</v>
      </c>
      <c r="B498" t="s">
        <v>1287</v>
      </c>
      <c r="C498">
        <v>33551.927499999998</v>
      </c>
    </row>
    <row r="499" spans="1:3" x14ac:dyDescent="0.25">
      <c r="A499" t="s">
        <v>730</v>
      </c>
      <c r="B499" t="s">
        <v>1050</v>
      </c>
      <c r="C499">
        <v>9062.34692</v>
      </c>
    </row>
    <row r="500" spans="1:3" x14ac:dyDescent="0.25">
      <c r="A500" t="s">
        <v>730</v>
      </c>
      <c r="B500" t="s">
        <v>1064</v>
      </c>
      <c r="C500">
        <v>2537.2908000000002</v>
      </c>
    </row>
    <row r="501" spans="1:3" x14ac:dyDescent="0.25">
      <c r="A501" t="s">
        <v>730</v>
      </c>
      <c r="B501" t="s">
        <v>1222</v>
      </c>
      <c r="C501">
        <v>9614.4403999999995</v>
      </c>
    </row>
    <row r="502" spans="1:3" x14ac:dyDescent="0.25">
      <c r="A502" t="s">
        <v>730</v>
      </c>
      <c r="B502" t="s">
        <v>1189</v>
      </c>
      <c r="C502">
        <v>20797.98</v>
      </c>
    </row>
    <row r="503" spans="1:3" x14ac:dyDescent="0.25">
      <c r="A503" t="s">
        <v>730</v>
      </c>
      <c r="B503" t="s">
        <v>1019</v>
      </c>
      <c r="C503">
        <v>3978.6474000000003</v>
      </c>
    </row>
    <row r="504" spans="1:3" x14ac:dyDescent="0.25">
      <c r="A504" t="s">
        <v>730</v>
      </c>
      <c r="B504" t="s">
        <v>1012</v>
      </c>
      <c r="C504">
        <v>34840.344000000005</v>
      </c>
    </row>
    <row r="505" spans="1:3" x14ac:dyDescent="0.25">
      <c r="A505" t="s">
        <v>730</v>
      </c>
      <c r="B505" t="s">
        <v>761</v>
      </c>
      <c r="C505">
        <v>3980.7075</v>
      </c>
    </row>
    <row r="506" spans="1:3" x14ac:dyDescent="0.25">
      <c r="A506" t="s">
        <v>730</v>
      </c>
      <c r="B506" t="s">
        <v>1100</v>
      </c>
      <c r="C506">
        <v>19547.329920000004</v>
      </c>
    </row>
    <row r="507" spans="1:3" x14ac:dyDescent="0.25">
      <c r="A507" t="s">
        <v>730</v>
      </c>
      <c r="B507" t="s">
        <v>828</v>
      </c>
      <c r="C507">
        <v>5487.6023999999998</v>
      </c>
    </row>
    <row r="508" spans="1:3" x14ac:dyDescent="0.25">
      <c r="A508" t="s">
        <v>730</v>
      </c>
      <c r="B508" t="s">
        <v>745</v>
      </c>
      <c r="C508">
        <v>10370.549999999999</v>
      </c>
    </row>
    <row r="509" spans="1:3" x14ac:dyDescent="0.25">
      <c r="A509" t="s">
        <v>730</v>
      </c>
      <c r="B509" t="s">
        <v>978</v>
      </c>
      <c r="C509">
        <v>12248.675999999999</v>
      </c>
    </row>
    <row r="510" spans="1:3" x14ac:dyDescent="0.25">
      <c r="A510" t="s">
        <v>730</v>
      </c>
      <c r="B510" t="s">
        <v>959</v>
      </c>
      <c r="C510">
        <v>21573.6495</v>
      </c>
    </row>
    <row r="511" spans="1:3" x14ac:dyDescent="0.25">
      <c r="A511" t="s">
        <v>730</v>
      </c>
      <c r="B511" t="s">
        <v>1339</v>
      </c>
      <c r="C511">
        <v>29175.036029999999</v>
      </c>
    </row>
    <row r="512" spans="1:3" x14ac:dyDescent="0.25">
      <c r="A512" t="s">
        <v>730</v>
      </c>
      <c r="B512" t="s">
        <v>915</v>
      </c>
      <c r="C512">
        <v>41352.246200000009</v>
      </c>
    </row>
    <row r="513" spans="1:3" x14ac:dyDescent="0.25">
      <c r="A513" t="s">
        <v>730</v>
      </c>
      <c r="B513" t="s">
        <v>1312</v>
      </c>
      <c r="C513">
        <v>7173.3342799999991</v>
      </c>
    </row>
    <row r="514" spans="1:3" x14ac:dyDescent="0.25">
      <c r="A514" t="s">
        <v>730</v>
      </c>
      <c r="B514" t="s">
        <v>1070</v>
      </c>
      <c r="C514">
        <v>28247.74656</v>
      </c>
    </row>
    <row r="515" spans="1:3" x14ac:dyDescent="0.25">
      <c r="A515" t="s">
        <v>730</v>
      </c>
      <c r="B515" t="s">
        <v>1226</v>
      </c>
      <c r="C515">
        <v>110.14919999999999</v>
      </c>
    </row>
    <row r="516" spans="1:3" x14ac:dyDescent="0.25">
      <c r="A516" t="s">
        <v>730</v>
      </c>
      <c r="B516" t="s">
        <v>856</v>
      </c>
      <c r="C516">
        <v>16061.972879999999</v>
      </c>
    </row>
    <row r="517" spans="1:3" x14ac:dyDescent="0.25">
      <c r="A517" t="s">
        <v>730</v>
      </c>
      <c r="B517" t="s">
        <v>1108</v>
      </c>
      <c r="C517">
        <v>31005.24768</v>
      </c>
    </row>
    <row r="518" spans="1:3" x14ac:dyDescent="0.25">
      <c r="A518" t="s">
        <v>730</v>
      </c>
      <c r="B518" t="s">
        <v>871</v>
      </c>
      <c r="C518">
        <v>4336.2427499999994</v>
      </c>
    </row>
    <row r="519" spans="1:3" x14ac:dyDescent="0.25">
      <c r="A519" t="s">
        <v>730</v>
      </c>
      <c r="B519" t="s">
        <v>875</v>
      </c>
      <c r="C519">
        <v>8211.6342000000004</v>
      </c>
    </row>
    <row r="520" spans="1:3" x14ac:dyDescent="0.25">
      <c r="A520" t="s">
        <v>730</v>
      </c>
      <c r="B520" t="s">
        <v>1266</v>
      </c>
      <c r="C520">
        <v>11924.0978</v>
      </c>
    </row>
    <row r="521" spans="1:3" x14ac:dyDescent="0.25">
      <c r="A521" t="s">
        <v>730</v>
      </c>
      <c r="B521" t="s">
        <v>796</v>
      </c>
      <c r="C521">
        <v>10947.904</v>
      </c>
    </row>
    <row r="522" spans="1:3" x14ac:dyDescent="0.25">
      <c r="A522" t="s">
        <v>730</v>
      </c>
      <c r="B522" t="s">
        <v>834</v>
      </c>
      <c r="C522">
        <v>52780.07</v>
      </c>
    </row>
    <row r="523" spans="1:3" x14ac:dyDescent="0.25">
      <c r="A523" t="s">
        <v>730</v>
      </c>
      <c r="B523" t="s">
        <v>1153</v>
      </c>
      <c r="C523">
        <v>14527.748400000002</v>
      </c>
    </row>
    <row r="524" spans="1:3" x14ac:dyDescent="0.25">
      <c r="A524" t="s">
        <v>730</v>
      </c>
      <c r="B524" t="s">
        <v>1145</v>
      </c>
      <c r="C524">
        <v>2059.0056</v>
      </c>
    </row>
    <row r="525" spans="1:3" x14ac:dyDescent="0.25">
      <c r="A525" t="s">
        <v>730</v>
      </c>
      <c r="B525" t="s">
        <v>1239</v>
      </c>
      <c r="C525">
        <v>34800.431400000001</v>
      </c>
    </row>
    <row r="526" spans="1:3" x14ac:dyDescent="0.25">
      <c r="A526" t="s">
        <v>730</v>
      </c>
      <c r="B526" t="s">
        <v>970</v>
      </c>
      <c r="C526">
        <v>37038.581760000001</v>
      </c>
    </row>
    <row r="527" spans="1:3" x14ac:dyDescent="0.25">
      <c r="A527" t="s">
        <v>730</v>
      </c>
      <c r="B527" t="s">
        <v>1168</v>
      </c>
      <c r="C527">
        <v>27249</v>
      </c>
    </row>
    <row r="528" spans="1:3" x14ac:dyDescent="0.25">
      <c r="A528" t="s">
        <v>730</v>
      </c>
      <c r="B528" t="s">
        <v>840</v>
      </c>
      <c r="C528">
        <v>518.65436999999997</v>
      </c>
    </row>
    <row r="529" spans="1:3" x14ac:dyDescent="0.25">
      <c r="A529" t="s">
        <v>730</v>
      </c>
      <c r="B529" t="s">
        <v>1234</v>
      </c>
      <c r="C529">
        <v>7428.1108999999988</v>
      </c>
    </row>
    <row r="530" spans="1:3" x14ac:dyDescent="0.25">
      <c r="A530" t="s">
        <v>730</v>
      </c>
      <c r="B530" t="s">
        <v>1362</v>
      </c>
      <c r="C530">
        <v>12769.38768</v>
      </c>
    </row>
    <row r="531" spans="1:3" x14ac:dyDescent="0.25">
      <c r="A531" t="s">
        <v>730</v>
      </c>
      <c r="B531" t="s">
        <v>893</v>
      </c>
      <c r="C531">
        <v>29263.754519999995</v>
      </c>
    </row>
    <row r="532" spans="1:3" x14ac:dyDescent="0.25">
      <c r="A532" t="s">
        <v>730</v>
      </c>
      <c r="B532" t="s">
        <v>1054</v>
      </c>
      <c r="C532">
        <v>22380.204000000002</v>
      </c>
    </row>
    <row r="533" spans="1:3" x14ac:dyDescent="0.25">
      <c r="A533" t="s">
        <v>730</v>
      </c>
      <c r="B533" t="s">
        <v>1207</v>
      </c>
      <c r="C533">
        <v>19233.355499999998</v>
      </c>
    </row>
    <row r="534" spans="1:3" x14ac:dyDescent="0.25">
      <c r="A534" t="s">
        <v>730</v>
      </c>
      <c r="B534" t="s">
        <v>1320</v>
      </c>
      <c r="C534">
        <v>68665.574250000005</v>
      </c>
    </row>
    <row r="535" spans="1:3" x14ac:dyDescent="0.25">
      <c r="A535" t="s">
        <v>730</v>
      </c>
      <c r="B535" t="s">
        <v>930</v>
      </c>
      <c r="C535">
        <v>21679.749799999998</v>
      </c>
    </row>
    <row r="536" spans="1:3" x14ac:dyDescent="0.25">
      <c r="A536" t="s">
        <v>1484</v>
      </c>
      <c r="C536">
        <v>1398841.4532999997</v>
      </c>
    </row>
    <row r="537" spans="1:3" x14ac:dyDescent="0.25">
      <c r="A537" t="s">
        <v>728</v>
      </c>
      <c r="B537" t="s">
        <v>1235</v>
      </c>
      <c r="C537">
        <v>10869.182940000001</v>
      </c>
    </row>
    <row r="538" spans="1:3" x14ac:dyDescent="0.25">
      <c r="A538" t="s">
        <v>728</v>
      </c>
      <c r="B538" t="s">
        <v>1069</v>
      </c>
      <c r="C538">
        <v>16219.34496</v>
      </c>
    </row>
    <row r="539" spans="1:3" x14ac:dyDescent="0.25">
      <c r="A539" t="s">
        <v>728</v>
      </c>
      <c r="B539" t="s">
        <v>966</v>
      </c>
      <c r="C539">
        <v>2879.9836</v>
      </c>
    </row>
    <row r="540" spans="1:3" x14ac:dyDescent="0.25">
      <c r="A540" t="s">
        <v>728</v>
      </c>
      <c r="B540" t="s">
        <v>1124</v>
      </c>
      <c r="C540">
        <v>2525.0635000000002</v>
      </c>
    </row>
    <row r="541" spans="1:3" x14ac:dyDescent="0.25">
      <c r="A541" t="s">
        <v>728</v>
      </c>
      <c r="B541" t="s">
        <v>1208</v>
      </c>
      <c r="C541">
        <v>27194.152039999997</v>
      </c>
    </row>
    <row r="542" spans="1:3" x14ac:dyDescent="0.25">
      <c r="A542" t="s">
        <v>728</v>
      </c>
      <c r="B542" t="s">
        <v>999</v>
      </c>
      <c r="C542">
        <v>12597.52224</v>
      </c>
    </row>
    <row r="543" spans="1:3" x14ac:dyDescent="0.25">
      <c r="A543" t="s">
        <v>728</v>
      </c>
      <c r="B543" t="s">
        <v>1220</v>
      </c>
      <c r="C543">
        <v>28856.475000000002</v>
      </c>
    </row>
    <row r="544" spans="1:3" x14ac:dyDescent="0.25">
      <c r="A544" t="s">
        <v>728</v>
      </c>
      <c r="B544" t="s">
        <v>783</v>
      </c>
      <c r="C544">
        <v>34444.462359999998</v>
      </c>
    </row>
    <row r="545" spans="1:3" x14ac:dyDescent="0.25">
      <c r="A545" t="s">
        <v>728</v>
      </c>
      <c r="B545" t="s">
        <v>1260</v>
      </c>
      <c r="C545">
        <v>11406.96</v>
      </c>
    </row>
    <row r="546" spans="1:3" x14ac:dyDescent="0.25">
      <c r="A546" t="s">
        <v>728</v>
      </c>
      <c r="B546" t="s">
        <v>1271</v>
      </c>
      <c r="C546">
        <v>66260.314239999992</v>
      </c>
    </row>
    <row r="547" spans="1:3" x14ac:dyDescent="0.25">
      <c r="A547" t="s">
        <v>728</v>
      </c>
      <c r="B547" t="s">
        <v>1144</v>
      </c>
      <c r="C547">
        <v>6899.8804600000003</v>
      </c>
    </row>
    <row r="548" spans="1:3" x14ac:dyDescent="0.25">
      <c r="A548" t="s">
        <v>728</v>
      </c>
      <c r="B548" t="s">
        <v>1249</v>
      </c>
      <c r="C548">
        <v>22201.762229999997</v>
      </c>
    </row>
    <row r="549" spans="1:3" x14ac:dyDescent="0.25">
      <c r="A549" t="s">
        <v>728</v>
      </c>
      <c r="B549" t="s">
        <v>1259</v>
      </c>
      <c r="C549">
        <v>2146.5580500000001</v>
      </c>
    </row>
    <row r="550" spans="1:3" x14ac:dyDescent="0.25">
      <c r="A550" t="s">
        <v>728</v>
      </c>
      <c r="B550" t="s">
        <v>1173</v>
      </c>
      <c r="C550">
        <v>20672.289000000001</v>
      </c>
    </row>
    <row r="551" spans="1:3" x14ac:dyDescent="0.25">
      <c r="A551" t="s">
        <v>728</v>
      </c>
      <c r="B551" t="s">
        <v>962</v>
      </c>
      <c r="C551">
        <v>16609.090809999998</v>
      </c>
    </row>
    <row r="552" spans="1:3" x14ac:dyDescent="0.25">
      <c r="A552" t="s">
        <v>728</v>
      </c>
      <c r="B552" t="s">
        <v>1047</v>
      </c>
      <c r="C552">
        <v>40325.31</v>
      </c>
    </row>
    <row r="553" spans="1:3" x14ac:dyDescent="0.25">
      <c r="A553" t="s">
        <v>728</v>
      </c>
      <c r="B553" t="s">
        <v>1183</v>
      </c>
      <c r="C553">
        <v>12462.65055</v>
      </c>
    </row>
    <row r="554" spans="1:3" x14ac:dyDescent="0.25">
      <c r="A554" t="s">
        <v>728</v>
      </c>
      <c r="B554" t="s">
        <v>1289</v>
      </c>
      <c r="C554">
        <v>50545.319219999998</v>
      </c>
    </row>
    <row r="555" spans="1:3" x14ac:dyDescent="0.25">
      <c r="A555" t="s">
        <v>728</v>
      </c>
      <c r="B555" t="s">
        <v>1163</v>
      </c>
      <c r="C555">
        <v>12955.824749999998</v>
      </c>
    </row>
    <row r="556" spans="1:3" x14ac:dyDescent="0.25">
      <c r="A556" t="s">
        <v>728</v>
      </c>
      <c r="B556" t="s">
        <v>780</v>
      </c>
      <c r="C556">
        <v>7135.57</v>
      </c>
    </row>
    <row r="557" spans="1:3" x14ac:dyDescent="0.25">
      <c r="A557" t="s">
        <v>728</v>
      </c>
      <c r="B557" t="s">
        <v>1258</v>
      </c>
      <c r="C557">
        <v>8326.6852500000005</v>
      </c>
    </row>
    <row r="558" spans="1:3" x14ac:dyDescent="0.25">
      <c r="A558" t="s">
        <v>728</v>
      </c>
      <c r="B558" t="s">
        <v>953</v>
      </c>
      <c r="C558">
        <v>28211.92124</v>
      </c>
    </row>
    <row r="559" spans="1:3" x14ac:dyDescent="0.25">
      <c r="A559" t="s">
        <v>728</v>
      </c>
      <c r="B559" t="s">
        <v>987</v>
      </c>
      <c r="C559">
        <v>25483.91488</v>
      </c>
    </row>
    <row r="560" spans="1:3" x14ac:dyDescent="0.25">
      <c r="A560" t="s">
        <v>728</v>
      </c>
      <c r="B560" t="s">
        <v>1042</v>
      </c>
      <c r="C560">
        <v>5334.9141999999993</v>
      </c>
    </row>
    <row r="561" spans="1:3" x14ac:dyDescent="0.25">
      <c r="A561" t="s">
        <v>728</v>
      </c>
      <c r="B561" t="s">
        <v>946</v>
      </c>
      <c r="C561">
        <v>6984.8246399999998</v>
      </c>
    </row>
    <row r="562" spans="1:3" x14ac:dyDescent="0.25">
      <c r="A562" t="s">
        <v>728</v>
      </c>
      <c r="B562" t="s">
        <v>776</v>
      </c>
      <c r="C562">
        <v>30596.565999999999</v>
      </c>
    </row>
    <row r="563" spans="1:3" x14ac:dyDescent="0.25">
      <c r="A563" t="s">
        <v>728</v>
      </c>
      <c r="B563" t="s">
        <v>1202</v>
      </c>
      <c r="C563">
        <v>16252.219979999998</v>
      </c>
    </row>
    <row r="564" spans="1:3" x14ac:dyDescent="0.25">
      <c r="A564" t="s">
        <v>728</v>
      </c>
      <c r="B564" t="s">
        <v>1098</v>
      </c>
      <c r="C564">
        <v>12717.311040000001</v>
      </c>
    </row>
    <row r="565" spans="1:3" x14ac:dyDescent="0.25">
      <c r="A565" t="s">
        <v>728</v>
      </c>
      <c r="B565" t="s">
        <v>1103</v>
      </c>
      <c r="C565">
        <v>4569.5735999999997</v>
      </c>
    </row>
    <row r="566" spans="1:3" x14ac:dyDescent="0.25">
      <c r="A566" t="s">
        <v>728</v>
      </c>
      <c r="B566" t="s">
        <v>908</v>
      </c>
      <c r="C566">
        <v>1952.6356799999999</v>
      </c>
    </row>
    <row r="567" spans="1:3" x14ac:dyDescent="0.25">
      <c r="A567" t="s">
        <v>728</v>
      </c>
      <c r="B567" t="s">
        <v>1214</v>
      </c>
      <c r="C567">
        <v>4738.5261</v>
      </c>
    </row>
    <row r="568" spans="1:3" x14ac:dyDescent="0.25">
      <c r="A568" t="s">
        <v>728</v>
      </c>
      <c r="B568" t="s">
        <v>898</v>
      </c>
      <c r="C568">
        <v>11851.806399999999</v>
      </c>
    </row>
    <row r="569" spans="1:3" x14ac:dyDescent="0.25">
      <c r="A569" t="s">
        <v>728</v>
      </c>
      <c r="B569" t="s">
        <v>760</v>
      </c>
      <c r="C569">
        <v>1756.6999999999998</v>
      </c>
    </row>
    <row r="570" spans="1:3" x14ac:dyDescent="0.25">
      <c r="A570" t="s">
        <v>728</v>
      </c>
      <c r="B570" t="s">
        <v>882</v>
      </c>
      <c r="C570">
        <v>14877.464000000002</v>
      </c>
    </row>
    <row r="571" spans="1:3" x14ac:dyDescent="0.25">
      <c r="A571" t="s">
        <v>728</v>
      </c>
      <c r="B571" t="s">
        <v>877</v>
      </c>
      <c r="C571">
        <v>9969.4201499999999</v>
      </c>
    </row>
    <row r="572" spans="1:3" x14ac:dyDescent="0.25">
      <c r="A572" t="s">
        <v>728</v>
      </c>
      <c r="B572" t="s">
        <v>769</v>
      </c>
      <c r="C572">
        <v>6631.6443100000006</v>
      </c>
    </row>
    <row r="573" spans="1:3" x14ac:dyDescent="0.25">
      <c r="A573" t="s">
        <v>728</v>
      </c>
      <c r="B573" t="s">
        <v>1262</v>
      </c>
      <c r="C573">
        <v>33421.1</v>
      </c>
    </row>
    <row r="574" spans="1:3" x14ac:dyDescent="0.25">
      <c r="A574" t="s">
        <v>728</v>
      </c>
      <c r="B574" t="s">
        <v>1329</v>
      </c>
      <c r="C574">
        <v>3116.21</v>
      </c>
    </row>
    <row r="575" spans="1:3" x14ac:dyDescent="0.25">
      <c r="A575" t="s">
        <v>728</v>
      </c>
      <c r="B575" t="s">
        <v>868</v>
      </c>
      <c r="C575">
        <v>12031.491680000001</v>
      </c>
    </row>
    <row r="576" spans="1:3" x14ac:dyDescent="0.25">
      <c r="A576" t="s">
        <v>728</v>
      </c>
      <c r="B576" t="s">
        <v>1176</v>
      </c>
      <c r="C576">
        <v>5960.04288</v>
      </c>
    </row>
    <row r="577" spans="1:3" x14ac:dyDescent="0.25">
      <c r="A577" t="s">
        <v>728</v>
      </c>
      <c r="B577" t="s">
        <v>1076</v>
      </c>
      <c r="C577">
        <v>20053.439999999999</v>
      </c>
    </row>
    <row r="578" spans="1:3" x14ac:dyDescent="0.25">
      <c r="A578" t="s">
        <v>728</v>
      </c>
      <c r="B578" t="s">
        <v>1343</v>
      </c>
      <c r="C578">
        <v>18003.847679999999</v>
      </c>
    </row>
    <row r="579" spans="1:3" x14ac:dyDescent="0.25">
      <c r="A579" t="s">
        <v>728</v>
      </c>
      <c r="B579" t="s">
        <v>872</v>
      </c>
      <c r="C579">
        <v>35567.737920000007</v>
      </c>
    </row>
    <row r="580" spans="1:3" x14ac:dyDescent="0.25">
      <c r="A580" t="s">
        <v>728</v>
      </c>
      <c r="B580" t="s">
        <v>927</v>
      </c>
      <c r="C580">
        <v>4402.1164799999997</v>
      </c>
    </row>
    <row r="581" spans="1:3" x14ac:dyDescent="0.25">
      <c r="A581" t="s">
        <v>728</v>
      </c>
      <c r="B581" t="s">
        <v>974</v>
      </c>
      <c r="C581">
        <v>4436.6291200000005</v>
      </c>
    </row>
    <row r="582" spans="1:3" x14ac:dyDescent="0.25">
      <c r="A582" t="s">
        <v>728</v>
      </c>
      <c r="B582" t="s">
        <v>1336</v>
      </c>
      <c r="C582">
        <v>5457.4317000000001</v>
      </c>
    </row>
    <row r="583" spans="1:3" x14ac:dyDescent="0.25">
      <c r="A583" t="s">
        <v>728</v>
      </c>
      <c r="B583" t="s">
        <v>910</v>
      </c>
      <c r="C583">
        <v>15656.47056</v>
      </c>
    </row>
    <row r="584" spans="1:3" x14ac:dyDescent="0.25">
      <c r="A584" t="s">
        <v>728</v>
      </c>
      <c r="B584" t="s">
        <v>1347</v>
      </c>
      <c r="C584">
        <v>10464.138360000001</v>
      </c>
    </row>
    <row r="585" spans="1:3" x14ac:dyDescent="0.25">
      <c r="A585" t="s">
        <v>728</v>
      </c>
      <c r="B585" t="s">
        <v>1071</v>
      </c>
      <c r="C585">
        <v>38535.955099999999</v>
      </c>
    </row>
    <row r="586" spans="1:3" x14ac:dyDescent="0.25">
      <c r="A586" t="s">
        <v>728</v>
      </c>
      <c r="B586" t="s">
        <v>977</v>
      </c>
      <c r="C586">
        <v>748.22303999999997</v>
      </c>
    </row>
    <row r="587" spans="1:3" x14ac:dyDescent="0.25">
      <c r="A587" t="s">
        <v>728</v>
      </c>
      <c r="B587" t="s">
        <v>1340</v>
      </c>
      <c r="C587">
        <v>2736.27018</v>
      </c>
    </row>
    <row r="588" spans="1:3" x14ac:dyDescent="0.25">
      <c r="A588" t="s">
        <v>728</v>
      </c>
      <c r="B588" t="s">
        <v>1134</v>
      </c>
      <c r="C588">
        <v>17427.164800000002</v>
      </c>
    </row>
    <row r="589" spans="1:3" x14ac:dyDescent="0.25">
      <c r="A589" t="s">
        <v>728</v>
      </c>
      <c r="B589" t="s">
        <v>952</v>
      </c>
      <c r="C589">
        <v>6535.6324800000002</v>
      </c>
    </row>
    <row r="590" spans="1:3" x14ac:dyDescent="0.25">
      <c r="A590" t="s">
        <v>728</v>
      </c>
      <c r="B590" t="s">
        <v>1350</v>
      </c>
      <c r="C590">
        <v>25174.028880000002</v>
      </c>
    </row>
    <row r="591" spans="1:3" x14ac:dyDescent="0.25">
      <c r="A591" t="s">
        <v>728</v>
      </c>
      <c r="B591" t="s">
        <v>1221</v>
      </c>
      <c r="C591">
        <v>4025.8565599999993</v>
      </c>
    </row>
    <row r="592" spans="1:3" x14ac:dyDescent="0.25">
      <c r="A592" t="s">
        <v>728</v>
      </c>
      <c r="B592" t="s">
        <v>1151</v>
      </c>
      <c r="C592">
        <v>741.43835999999999</v>
      </c>
    </row>
    <row r="593" spans="1:3" x14ac:dyDescent="0.25">
      <c r="A593" t="s">
        <v>728</v>
      </c>
      <c r="B593" t="s">
        <v>1115</v>
      </c>
      <c r="C593">
        <v>37562.28</v>
      </c>
    </row>
    <row r="594" spans="1:3" x14ac:dyDescent="0.25">
      <c r="A594" t="s">
        <v>728</v>
      </c>
      <c r="B594" t="s">
        <v>942</v>
      </c>
      <c r="C594">
        <v>15825.399369999997</v>
      </c>
    </row>
    <row r="595" spans="1:3" x14ac:dyDescent="0.25">
      <c r="A595" t="s">
        <v>728</v>
      </c>
      <c r="B595" t="s">
        <v>1335</v>
      </c>
      <c r="C595">
        <v>39810.328000000001</v>
      </c>
    </row>
    <row r="596" spans="1:3" x14ac:dyDescent="0.25">
      <c r="A596" t="s">
        <v>728</v>
      </c>
      <c r="B596" t="s">
        <v>884</v>
      </c>
      <c r="C596">
        <v>7901.5041599999995</v>
      </c>
    </row>
    <row r="597" spans="1:3" x14ac:dyDescent="0.25">
      <c r="A597" t="s">
        <v>728</v>
      </c>
      <c r="B597" t="s">
        <v>741</v>
      </c>
      <c r="C597">
        <v>685.06776000000002</v>
      </c>
    </row>
    <row r="598" spans="1:3" x14ac:dyDescent="0.25">
      <c r="A598" t="s">
        <v>728</v>
      </c>
      <c r="B598" t="s">
        <v>1157</v>
      </c>
      <c r="C598">
        <v>58091.634960000003</v>
      </c>
    </row>
    <row r="599" spans="1:3" x14ac:dyDescent="0.25">
      <c r="A599" t="s">
        <v>728</v>
      </c>
      <c r="B599" t="s">
        <v>850</v>
      </c>
      <c r="C599">
        <v>765.99195000000009</v>
      </c>
    </row>
    <row r="600" spans="1:3" x14ac:dyDescent="0.25">
      <c r="A600" t="s">
        <v>728</v>
      </c>
      <c r="B600" t="s">
        <v>826</v>
      </c>
      <c r="C600">
        <v>10161.46624</v>
      </c>
    </row>
    <row r="601" spans="1:3" x14ac:dyDescent="0.25">
      <c r="A601" t="s">
        <v>728</v>
      </c>
      <c r="B601" t="s">
        <v>1035</v>
      </c>
      <c r="C601">
        <v>9866.3104799999983</v>
      </c>
    </row>
    <row r="602" spans="1:3" x14ac:dyDescent="0.25">
      <c r="A602" t="s">
        <v>728</v>
      </c>
      <c r="B602" t="s">
        <v>773</v>
      </c>
      <c r="C602">
        <v>3562.1983800000003</v>
      </c>
    </row>
    <row r="603" spans="1:3" x14ac:dyDescent="0.25">
      <c r="A603" t="s">
        <v>728</v>
      </c>
      <c r="B603" t="s">
        <v>1292</v>
      </c>
      <c r="C603">
        <v>13251.48</v>
      </c>
    </row>
    <row r="604" spans="1:3" x14ac:dyDescent="0.25">
      <c r="A604" t="s">
        <v>728</v>
      </c>
      <c r="B604" t="s">
        <v>1093</v>
      </c>
      <c r="C604">
        <v>14813.731920000002</v>
      </c>
    </row>
    <row r="605" spans="1:3" x14ac:dyDescent="0.25">
      <c r="A605" t="s">
        <v>728</v>
      </c>
      <c r="B605" t="s">
        <v>1003</v>
      </c>
      <c r="C605">
        <v>7678.2113999999992</v>
      </c>
    </row>
    <row r="606" spans="1:3" x14ac:dyDescent="0.25">
      <c r="A606" t="s">
        <v>728</v>
      </c>
      <c r="B606" t="s">
        <v>750</v>
      </c>
      <c r="C606">
        <v>25948.414799999995</v>
      </c>
    </row>
    <row r="607" spans="1:3" x14ac:dyDescent="0.25">
      <c r="A607" t="s">
        <v>728</v>
      </c>
      <c r="B607" t="s">
        <v>1195</v>
      </c>
      <c r="C607">
        <v>4055.5175999999997</v>
      </c>
    </row>
    <row r="608" spans="1:3" x14ac:dyDescent="0.25">
      <c r="A608" t="s">
        <v>728</v>
      </c>
      <c r="B608" t="s">
        <v>933</v>
      </c>
      <c r="C608">
        <v>55880.483749999999</v>
      </c>
    </row>
    <row r="609" spans="1:3" x14ac:dyDescent="0.25">
      <c r="A609" t="s">
        <v>728</v>
      </c>
      <c r="B609" t="s">
        <v>963</v>
      </c>
      <c r="C609">
        <v>7446.5209000000004</v>
      </c>
    </row>
    <row r="610" spans="1:3" x14ac:dyDescent="0.25">
      <c r="A610" t="s">
        <v>728</v>
      </c>
      <c r="B610" t="s">
        <v>1204</v>
      </c>
      <c r="C610">
        <v>36549.429260000004</v>
      </c>
    </row>
    <row r="611" spans="1:3" x14ac:dyDescent="0.25">
      <c r="A611" t="s">
        <v>728</v>
      </c>
      <c r="B611" t="s">
        <v>887</v>
      </c>
      <c r="C611">
        <v>29654.83008</v>
      </c>
    </row>
    <row r="612" spans="1:3" x14ac:dyDescent="0.25">
      <c r="A612" t="s">
        <v>728</v>
      </c>
      <c r="B612" t="s">
        <v>772</v>
      </c>
      <c r="C612">
        <v>14968.239</v>
      </c>
    </row>
    <row r="613" spans="1:3" x14ac:dyDescent="0.25">
      <c r="A613" t="s">
        <v>728</v>
      </c>
      <c r="B613" t="s">
        <v>1084</v>
      </c>
      <c r="C613">
        <v>4132.0325200000007</v>
      </c>
    </row>
    <row r="614" spans="1:3" x14ac:dyDescent="0.25">
      <c r="A614" t="s">
        <v>728</v>
      </c>
      <c r="B614" t="s">
        <v>969</v>
      </c>
      <c r="C614">
        <v>17359.804799999998</v>
      </c>
    </row>
    <row r="615" spans="1:3" x14ac:dyDescent="0.25">
      <c r="A615" t="s">
        <v>728</v>
      </c>
      <c r="B615" t="s">
        <v>1030</v>
      </c>
      <c r="C615">
        <v>4241.88105</v>
      </c>
    </row>
    <row r="616" spans="1:3" x14ac:dyDescent="0.25">
      <c r="A616" t="s">
        <v>728</v>
      </c>
      <c r="B616" t="s">
        <v>1178</v>
      </c>
      <c r="C616">
        <v>1925.29872</v>
      </c>
    </row>
    <row r="617" spans="1:3" x14ac:dyDescent="0.25">
      <c r="A617" t="s">
        <v>728</v>
      </c>
      <c r="B617" t="s">
        <v>738</v>
      </c>
      <c r="C617">
        <v>10957.9797</v>
      </c>
    </row>
    <row r="618" spans="1:3" x14ac:dyDescent="0.25">
      <c r="A618" t="s">
        <v>728</v>
      </c>
      <c r="B618" t="s">
        <v>913</v>
      </c>
      <c r="C618">
        <v>4420.5961799999995</v>
      </c>
    </row>
    <row r="619" spans="1:3" x14ac:dyDescent="0.25">
      <c r="A619" t="s">
        <v>728</v>
      </c>
      <c r="B619" t="s">
        <v>886</v>
      </c>
      <c r="C619">
        <v>4139.8127999999997</v>
      </c>
    </row>
    <row r="620" spans="1:3" x14ac:dyDescent="0.25">
      <c r="A620" t="s">
        <v>728</v>
      </c>
      <c r="B620" t="s">
        <v>747</v>
      </c>
      <c r="C620">
        <v>21585.15</v>
      </c>
    </row>
    <row r="621" spans="1:3" x14ac:dyDescent="0.25">
      <c r="A621" t="s">
        <v>728</v>
      </c>
      <c r="B621" t="s">
        <v>935</v>
      </c>
      <c r="C621">
        <v>4637.7968000000001</v>
      </c>
    </row>
    <row r="622" spans="1:3" x14ac:dyDescent="0.25">
      <c r="A622" t="s">
        <v>728</v>
      </c>
      <c r="B622" t="s">
        <v>1107</v>
      </c>
      <c r="C622">
        <v>4117.4880599999997</v>
      </c>
    </row>
    <row r="623" spans="1:3" x14ac:dyDescent="0.25">
      <c r="A623" t="s">
        <v>728</v>
      </c>
      <c r="B623" t="s">
        <v>1008</v>
      </c>
      <c r="C623">
        <v>11417.429099999999</v>
      </c>
    </row>
    <row r="624" spans="1:3" x14ac:dyDescent="0.25">
      <c r="A624" t="s">
        <v>728</v>
      </c>
      <c r="B624" t="s">
        <v>1025</v>
      </c>
      <c r="C624">
        <v>1098.9470800000001</v>
      </c>
    </row>
    <row r="625" spans="1:3" x14ac:dyDescent="0.25">
      <c r="A625" t="s">
        <v>728</v>
      </c>
      <c r="B625" t="s">
        <v>1119</v>
      </c>
      <c r="C625">
        <v>9586.8057599999993</v>
      </c>
    </row>
    <row r="626" spans="1:3" x14ac:dyDescent="0.25">
      <c r="A626" t="s">
        <v>728</v>
      </c>
      <c r="B626" t="s">
        <v>829</v>
      </c>
      <c r="C626">
        <v>43209.006119999991</v>
      </c>
    </row>
    <row r="627" spans="1:3" x14ac:dyDescent="0.25">
      <c r="A627" t="s">
        <v>728</v>
      </c>
      <c r="B627" t="s">
        <v>1342</v>
      </c>
      <c r="C627">
        <v>10260.060159999999</v>
      </c>
    </row>
    <row r="628" spans="1:3" x14ac:dyDescent="0.25">
      <c r="A628" t="s">
        <v>728</v>
      </c>
      <c r="B628" t="s">
        <v>735</v>
      </c>
      <c r="C628">
        <v>17960.432489999999</v>
      </c>
    </row>
    <row r="629" spans="1:3" x14ac:dyDescent="0.25">
      <c r="A629" t="s">
        <v>728</v>
      </c>
      <c r="B629" t="s">
        <v>1139</v>
      </c>
      <c r="C629">
        <v>22457.143800000002</v>
      </c>
    </row>
    <row r="630" spans="1:3" x14ac:dyDescent="0.25">
      <c r="A630" t="s">
        <v>728</v>
      </c>
      <c r="B630" t="s">
        <v>1203</v>
      </c>
      <c r="C630">
        <v>10428.057360000001</v>
      </c>
    </row>
    <row r="631" spans="1:3" x14ac:dyDescent="0.25">
      <c r="A631" t="s">
        <v>728</v>
      </c>
      <c r="B631" t="s">
        <v>1090</v>
      </c>
      <c r="C631">
        <v>43907.94</v>
      </c>
    </row>
    <row r="632" spans="1:3" x14ac:dyDescent="0.25">
      <c r="A632" t="s">
        <v>728</v>
      </c>
      <c r="B632" t="s">
        <v>1177</v>
      </c>
      <c r="C632">
        <v>21664.440000000002</v>
      </c>
    </row>
    <row r="633" spans="1:3" x14ac:dyDescent="0.25">
      <c r="A633" t="s">
        <v>728</v>
      </c>
      <c r="B633" t="s">
        <v>1280</v>
      </c>
      <c r="C633">
        <v>31822.023930000003</v>
      </c>
    </row>
    <row r="634" spans="1:3" x14ac:dyDescent="0.25">
      <c r="A634" t="s">
        <v>728</v>
      </c>
      <c r="B634" t="s">
        <v>815</v>
      </c>
      <c r="C634">
        <v>18258.868320000001</v>
      </c>
    </row>
    <row r="635" spans="1:3" x14ac:dyDescent="0.25">
      <c r="A635" t="s">
        <v>728</v>
      </c>
      <c r="B635" t="s">
        <v>777</v>
      </c>
      <c r="C635">
        <v>10666.229420000001</v>
      </c>
    </row>
    <row r="636" spans="1:3" x14ac:dyDescent="0.25">
      <c r="A636" t="s">
        <v>728</v>
      </c>
      <c r="B636" t="s">
        <v>1333</v>
      </c>
      <c r="C636">
        <v>7466.3063999999986</v>
      </c>
    </row>
    <row r="637" spans="1:3" x14ac:dyDescent="0.25">
      <c r="A637" t="s">
        <v>728</v>
      </c>
      <c r="B637" t="s">
        <v>1330</v>
      </c>
      <c r="C637">
        <v>4409.5168800000001</v>
      </c>
    </row>
    <row r="638" spans="1:3" x14ac:dyDescent="0.25">
      <c r="A638" t="s">
        <v>728</v>
      </c>
      <c r="B638" t="s">
        <v>1088</v>
      </c>
      <c r="C638">
        <v>1122.0896000000002</v>
      </c>
    </row>
    <row r="639" spans="1:3" x14ac:dyDescent="0.25">
      <c r="A639" t="s">
        <v>728</v>
      </c>
      <c r="B639" t="s">
        <v>1148</v>
      </c>
      <c r="C639">
        <v>18411.4084</v>
      </c>
    </row>
    <row r="640" spans="1:3" x14ac:dyDescent="0.25">
      <c r="A640" t="s">
        <v>1485</v>
      </c>
      <c r="C640">
        <v>1616102.6546599993</v>
      </c>
    </row>
    <row r="641" spans="1:3" x14ac:dyDescent="0.25">
      <c r="A641" t="s">
        <v>1434</v>
      </c>
      <c r="C641">
        <v>10928845.716499999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36A08-6A11-4F93-B2D7-7047F40BD763}">
  <dimension ref="A1:F638"/>
  <sheetViews>
    <sheetView workbookViewId="0">
      <selection activeCell="L8" sqref="L8"/>
    </sheetView>
  </sheetViews>
  <sheetFormatPr defaultRowHeight="15" x14ac:dyDescent="0.25"/>
  <cols>
    <col min="1" max="1" width="16.5703125" bestFit="1" customWidth="1"/>
    <col min="2" max="2" width="10" bestFit="1" customWidth="1"/>
    <col min="3" max="3" width="19.5703125" bestFit="1" customWidth="1"/>
    <col min="4" max="4" width="12" bestFit="1" customWidth="1"/>
    <col min="5" max="5" width="12.5703125" bestFit="1" customWidth="1"/>
    <col min="6" max="6" width="16.28515625" bestFit="1" customWidth="1"/>
  </cols>
  <sheetData>
    <row r="1" spans="1:6" s="13" customFormat="1" x14ac:dyDescent="0.25">
      <c r="A1" s="25" t="s">
        <v>9</v>
      </c>
      <c r="B1" s="25" t="s">
        <v>10</v>
      </c>
      <c r="C1" s="25" t="s">
        <v>1474</v>
      </c>
      <c r="D1" s="13" t="s">
        <v>1486</v>
      </c>
      <c r="E1" s="13" t="s">
        <v>1487</v>
      </c>
      <c r="F1" s="13" t="s">
        <v>1488</v>
      </c>
    </row>
    <row r="2" spans="1:6" x14ac:dyDescent="0.25">
      <c r="A2" s="21" t="s">
        <v>733</v>
      </c>
      <c r="B2" t="s">
        <v>873</v>
      </c>
      <c r="C2">
        <v>1446.9507000000001</v>
      </c>
      <c r="D2">
        <f>C2/SUMIFS($C:$C,$A:$A,A2)</f>
        <v>1.086585722812197E-3</v>
      </c>
      <c r="E2" s="24">
        <f>SUMIFS($D$2:D2,$A$2:A2,A2)</f>
        <v>1.086585722812197E-3</v>
      </c>
      <c r="F2" t="str">
        <f>IF(E2&lt;=0.8,"A",IF(E2&lt;=0.95,"B","C"))</f>
        <v>A</v>
      </c>
    </row>
    <row r="3" spans="1:6" x14ac:dyDescent="0.25">
      <c r="A3" s="21" t="s">
        <v>733</v>
      </c>
      <c r="B3" t="s">
        <v>1355</v>
      </c>
      <c r="C3">
        <v>10693.88488</v>
      </c>
      <c r="D3">
        <f t="shared" ref="D3:D66" si="0">C3/SUMIFS($C:$C,$A:$A,A3)</f>
        <v>8.0305587688683684E-3</v>
      </c>
      <c r="E3" s="24">
        <f>SUMIFS($D$2:D3,$A$2:A3,A3)</f>
        <v>9.117144491680565E-3</v>
      </c>
      <c r="F3" t="str">
        <f t="shared" ref="F3:F66" si="1">IF(E3&lt;=0.8,"A",IF(E3&lt;=0.95,"B","C"))</f>
        <v>A</v>
      </c>
    </row>
    <row r="4" spans="1:6" x14ac:dyDescent="0.25">
      <c r="A4" s="21" t="s">
        <v>733</v>
      </c>
      <c r="B4" t="s">
        <v>1067</v>
      </c>
      <c r="C4">
        <v>5610.0923999999995</v>
      </c>
      <c r="D4">
        <f t="shared" si="0"/>
        <v>4.2128915003788398E-3</v>
      </c>
      <c r="E4" s="24">
        <f>SUMIFS($D$2:D4,$A$2:A4,A4)</f>
        <v>1.3330035992059404E-2</v>
      </c>
      <c r="F4" t="str">
        <f t="shared" si="1"/>
        <v>A</v>
      </c>
    </row>
    <row r="5" spans="1:6" x14ac:dyDescent="0.25">
      <c r="A5" s="21" t="s">
        <v>733</v>
      </c>
      <c r="B5" t="s">
        <v>1149</v>
      </c>
      <c r="C5">
        <v>10893.6232</v>
      </c>
      <c r="D5">
        <f t="shared" si="0"/>
        <v>8.1805519972558277E-3</v>
      </c>
      <c r="E5" s="24">
        <f>SUMIFS($D$2:D5,$A$2:A5,A5)</f>
        <v>2.1510587989315232E-2</v>
      </c>
      <c r="F5" t="str">
        <f t="shared" si="1"/>
        <v>A</v>
      </c>
    </row>
    <row r="6" spans="1:6" x14ac:dyDescent="0.25">
      <c r="A6" s="21" t="s">
        <v>733</v>
      </c>
      <c r="B6" t="s">
        <v>1074</v>
      </c>
      <c r="C6">
        <v>17067.938400000003</v>
      </c>
      <c r="D6">
        <f t="shared" si="0"/>
        <v>1.281714586632292E-2</v>
      </c>
      <c r="E6" s="24">
        <f>SUMIFS($D$2:D6,$A$2:A6,A6)</f>
        <v>3.432773385563815E-2</v>
      </c>
      <c r="F6" t="str">
        <f t="shared" si="1"/>
        <v>A</v>
      </c>
    </row>
    <row r="7" spans="1:6" x14ac:dyDescent="0.25">
      <c r="A7" s="21" t="s">
        <v>733</v>
      </c>
      <c r="B7" t="s">
        <v>1128</v>
      </c>
      <c r="C7">
        <v>14431.738420000001</v>
      </c>
      <c r="D7">
        <f t="shared" si="0"/>
        <v>1.0837494962704848E-2</v>
      </c>
      <c r="E7" s="24">
        <f>SUMIFS($D$2:D7,$A$2:A7,A7)</f>
        <v>4.5165228818342999E-2</v>
      </c>
      <c r="F7" t="str">
        <f t="shared" si="1"/>
        <v>A</v>
      </c>
    </row>
    <row r="8" spans="1:6" x14ac:dyDescent="0.25">
      <c r="A8" s="21" t="s">
        <v>733</v>
      </c>
      <c r="B8" t="s">
        <v>1175</v>
      </c>
      <c r="C8">
        <v>31513.085009999999</v>
      </c>
      <c r="D8">
        <f t="shared" si="0"/>
        <v>2.3664709691652283E-2</v>
      </c>
      <c r="E8" s="24">
        <f>SUMIFS($D$2:D8,$A$2:A8,A8)</f>
        <v>6.8829938509995275E-2</v>
      </c>
      <c r="F8" t="str">
        <f t="shared" si="1"/>
        <v>A</v>
      </c>
    </row>
    <row r="9" spans="1:6" x14ac:dyDescent="0.25">
      <c r="A9" s="21" t="s">
        <v>733</v>
      </c>
      <c r="B9" t="s">
        <v>1027</v>
      </c>
      <c r="C9">
        <v>7382.1450000000004</v>
      </c>
      <c r="D9">
        <f t="shared" si="0"/>
        <v>5.5436120669000305E-3</v>
      </c>
      <c r="E9" s="24">
        <f>SUMIFS($D$2:D9,$A$2:A9,A9)</f>
        <v>7.4373550576895306E-2</v>
      </c>
      <c r="F9" t="str">
        <f t="shared" si="1"/>
        <v>A</v>
      </c>
    </row>
    <row r="10" spans="1:6" x14ac:dyDescent="0.25">
      <c r="A10" s="21" t="s">
        <v>733</v>
      </c>
      <c r="B10" t="s">
        <v>1225</v>
      </c>
      <c r="C10">
        <v>7507.4514899999995</v>
      </c>
      <c r="D10">
        <f t="shared" si="0"/>
        <v>5.6377108105612403E-3</v>
      </c>
      <c r="E10" s="24">
        <f>SUMIFS($D$2:D10,$A$2:A10,A10)</f>
        <v>8.0011261387456539E-2</v>
      </c>
      <c r="F10" t="str">
        <f t="shared" si="1"/>
        <v>A</v>
      </c>
    </row>
    <row r="11" spans="1:6" x14ac:dyDescent="0.25">
      <c r="A11" s="21" t="s">
        <v>733</v>
      </c>
      <c r="B11" t="s">
        <v>1321</v>
      </c>
      <c r="C11">
        <v>12040.64352</v>
      </c>
      <c r="D11">
        <f t="shared" si="0"/>
        <v>9.0419053961570319E-3</v>
      </c>
      <c r="E11" s="24">
        <f>SUMIFS($D$2:D11,$A$2:A11,A11)</f>
        <v>8.9053166783613566E-2</v>
      </c>
      <c r="F11" t="str">
        <f t="shared" si="1"/>
        <v>A</v>
      </c>
    </row>
    <row r="12" spans="1:6" x14ac:dyDescent="0.25">
      <c r="A12" s="21" t="s">
        <v>733</v>
      </c>
      <c r="B12" t="s">
        <v>941</v>
      </c>
      <c r="C12">
        <v>28386.015839999996</v>
      </c>
      <c r="D12">
        <f t="shared" si="0"/>
        <v>2.1316441216183014E-2</v>
      </c>
      <c r="E12" s="24">
        <f>SUMIFS($D$2:D12,$A$2:A12,A12)</f>
        <v>0.11036960799979659</v>
      </c>
      <c r="F12" t="str">
        <f t="shared" si="1"/>
        <v>A</v>
      </c>
    </row>
    <row r="13" spans="1:6" x14ac:dyDescent="0.25">
      <c r="A13" s="21" t="s">
        <v>733</v>
      </c>
      <c r="B13" t="s">
        <v>748</v>
      </c>
      <c r="C13">
        <v>7578.84</v>
      </c>
      <c r="D13">
        <f t="shared" si="0"/>
        <v>5.6913199181409498E-3</v>
      </c>
      <c r="E13" s="24">
        <f>SUMIFS($D$2:D13,$A$2:A13,A13)</f>
        <v>0.11606092791793754</v>
      </c>
      <c r="F13" t="str">
        <f t="shared" si="1"/>
        <v>A</v>
      </c>
    </row>
    <row r="14" spans="1:6" x14ac:dyDescent="0.25">
      <c r="A14" s="21" t="s">
        <v>733</v>
      </c>
      <c r="B14" t="s">
        <v>1212</v>
      </c>
      <c r="C14">
        <v>22620.859800000002</v>
      </c>
      <c r="D14">
        <f t="shared" si="0"/>
        <v>1.6987104879534851E-2</v>
      </c>
      <c r="E14" s="24">
        <f>SUMIFS($D$2:D14,$A$2:A14,A14)</f>
        <v>0.1330480327974724</v>
      </c>
      <c r="F14" t="str">
        <f t="shared" si="1"/>
        <v>A</v>
      </c>
    </row>
    <row r="15" spans="1:6" x14ac:dyDescent="0.25">
      <c r="A15" s="21" t="s">
        <v>733</v>
      </c>
      <c r="B15" t="s">
        <v>792</v>
      </c>
      <c r="C15">
        <v>272.98599999999999</v>
      </c>
      <c r="D15">
        <f t="shared" si="0"/>
        <v>2.0499847723050299E-4</v>
      </c>
      <c r="E15" s="24">
        <f>SUMIFS($D$2:D15,$A$2:A15,A15)</f>
        <v>0.13325303127470289</v>
      </c>
      <c r="F15" t="str">
        <f t="shared" si="1"/>
        <v>A</v>
      </c>
    </row>
    <row r="16" spans="1:6" x14ac:dyDescent="0.25">
      <c r="A16" s="21" t="s">
        <v>733</v>
      </c>
      <c r="B16" t="s">
        <v>995</v>
      </c>
      <c r="C16">
        <v>17964.4038</v>
      </c>
      <c r="D16">
        <f t="shared" si="0"/>
        <v>1.3490345377982247E-2</v>
      </c>
      <c r="E16" s="24">
        <f>SUMIFS($D$2:D16,$A$2:A16,A16)</f>
        <v>0.14674337665268514</v>
      </c>
      <c r="F16" t="str">
        <f t="shared" si="1"/>
        <v>A</v>
      </c>
    </row>
    <row r="17" spans="1:6" x14ac:dyDescent="0.25">
      <c r="A17" s="21" t="s">
        <v>733</v>
      </c>
      <c r="B17" t="s">
        <v>793</v>
      </c>
      <c r="C17">
        <v>4569.8508000000002</v>
      </c>
      <c r="D17">
        <f t="shared" si="0"/>
        <v>3.4317234406548171E-3</v>
      </c>
      <c r="E17" s="24">
        <f>SUMIFS($D$2:D17,$A$2:A17,A17)</f>
        <v>0.15017510009333995</v>
      </c>
      <c r="F17" t="str">
        <f t="shared" si="1"/>
        <v>A</v>
      </c>
    </row>
    <row r="18" spans="1:6" x14ac:dyDescent="0.25">
      <c r="A18" s="21" t="s">
        <v>733</v>
      </c>
      <c r="B18" t="s">
        <v>1059</v>
      </c>
      <c r="C18">
        <v>9829.0483199999999</v>
      </c>
      <c r="D18">
        <f t="shared" si="0"/>
        <v>7.3811108929580042E-3</v>
      </c>
      <c r="E18" s="24">
        <f>SUMIFS($D$2:D18,$A$2:A18,A18)</f>
        <v>0.15755621098629796</v>
      </c>
      <c r="F18" t="str">
        <f t="shared" si="1"/>
        <v>A</v>
      </c>
    </row>
    <row r="19" spans="1:6" x14ac:dyDescent="0.25">
      <c r="A19" s="21" t="s">
        <v>733</v>
      </c>
      <c r="B19" t="s">
        <v>837</v>
      </c>
      <c r="C19">
        <v>5960.3340000000007</v>
      </c>
      <c r="D19">
        <f t="shared" si="0"/>
        <v>4.475904968698736E-3</v>
      </c>
      <c r="E19" s="24">
        <f>SUMIFS($D$2:D19,$A$2:A19,A19)</f>
        <v>0.1620321159549967</v>
      </c>
      <c r="F19" t="str">
        <f t="shared" si="1"/>
        <v>A</v>
      </c>
    </row>
    <row r="20" spans="1:6" x14ac:dyDescent="0.25">
      <c r="A20" s="21" t="s">
        <v>733</v>
      </c>
      <c r="B20" t="s">
        <v>904</v>
      </c>
      <c r="C20">
        <v>14549.029120000001</v>
      </c>
      <c r="D20">
        <f t="shared" si="0"/>
        <v>1.0925574259420796E-2</v>
      </c>
      <c r="E20" s="24">
        <f>SUMIFS($D$2:D20,$A$2:A20,A20)</f>
        <v>0.17295769021441748</v>
      </c>
      <c r="F20" t="str">
        <f t="shared" si="1"/>
        <v>A</v>
      </c>
    </row>
    <row r="21" spans="1:6" x14ac:dyDescent="0.25">
      <c r="A21" s="21" t="s">
        <v>733</v>
      </c>
      <c r="B21" t="s">
        <v>804</v>
      </c>
      <c r="C21">
        <v>10647.727199999999</v>
      </c>
      <c r="D21">
        <f t="shared" si="0"/>
        <v>7.9958967198530597E-3</v>
      </c>
      <c r="E21" s="24">
        <f>SUMIFS($D$2:D21,$A$2:A21,A21)</f>
        <v>0.18095358693427055</v>
      </c>
      <c r="F21" t="str">
        <f t="shared" si="1"/>
        <v>A</v>
      </c>
    </row>
    <row r="22" spans="1:6" x14ac:dyDescent="0.25">
      <c r="A22" s="21" t="s">
        <v>733</v>
      </c>
      <c r="B22" t="s">
        <v>1231</v>
      </c>
      <c r="C22">
        <v>8644.6696000000011</v>
      </c>
      <c r="D22">
        <f t="shared" si="0"/>
        <v>6.4917032527705516E-3</v>
      </c>
      <c r="E22" s="24">
        <f>SUMIFS($D$2:D22,$A$2:A22,A22)</f>
        <v>0.18744529018704109</v>
      </c>
      <c r="F22" t="str">
        <f t="shared" si="1"/>
        <v>A</v>
      </c>
    </row>
    <row r="23" spans="1:6" x14ac:dyDescent="0.25">
      <c r="A23" s="21" t="s">
        <v>733</v>
      </c>
      <c r="B23" t="s">
        <v>1150</v>
      </c>
      <c r="C23">
        <v>7969.4615000000003</v>
      </c>
      <c r="D23">
        <f t="shared" si="0"/>
        <v>5.9846566191933664E-3</v>
      </c>
      <c r="E23" s="24">
        <f>SUMIFS($D$2:D23,$A$2:A23,A23)</f>
        <v>0.19342994680623446</v>
      </c>
      <c r="F23" t="str">
        <f t="shared" si="1"/>
        <v>A</v>
      </c>
    </row>
    <row r="24" spans="1:6" x14ac:dyDescent="0.25">
      <c r="A24" s="21" t="s">
        <v>733</v>
      </c>
      <c r="B24" t="s">
        <v>1046</v>
      </c>
      <c r="C24">
        <v>11283.400799999999</v>
      </c>
      <c r="D24">
        <f t="shared" si="0"/>
        <v>8.4732549727144953E-3</v>
      </c>
      <c r="E24" s="24">
        <f>SUMIFS($D$2:D24,$A$2:A24,A24)</f>
        <v>0.20190320177894897</v>
      </c>
      <c r="F24" t="str">
        <f t="shared" si="1"/>
        <v>A</v>
      </c>
    </row>
    <row r="25" spans="1:6" x14ac:dyDescent="0.25">
      <c r="A25" s="21" t="s">
        <v>733</v>
      </c>
      <c r="B25" t="s">
        <v>1053</v>
      </c>
      <c r="C25">
        <v>53034.364139999991</v>
      </c>
      <c r="D25">
        <f t="shared" si="0"/>
        <v>3.9826085914984627E-2</v>
      </c>
      <c r="E25" s="24">
        <f>SUMIFS($D$2:D25,$A$2:A25,A25)</f>
        <v>0.24172928769393359</v>
      </c>
      <c r="F25" t="str">
        <f t="shared" si="1"/>
        <v>A</v>
      </c>
    </row>
    <row r="26" spans="1:6" x14ac:dyDescent="0.25">
      <c r="A26" s="21" t="s">
        <v>733</v>
      </c>
      <c r="B26" t="s">
        <v>1223</v>
      </c>
      <c r="C26">
        <v>1547.3500000000001</v>
      </c>
      <c r="D26">
        <f t="shared" si="0"/>
        <v>1.1619804449408352E-3</v>
      </c>
      <c r="E26" s="24">
        <f>SUMIFS($D$2:D26,$A$2:A26,A26)</f>
        <v>0.24289126813887443</v>
      </c>
      <c r="F26" t="str">
        <f t="shared" si="1"/>
        <v>A</v>
      </c>
    </row>
    <row r="27" spans="1:6" x14ac:dyDescent="0.25">
      <c r="A27" s="21" t="s">
        <v>733</v>
      </c>
      <c r="B27" t="s">
        <v>1066</v>
      </c>
      <c r="C27">
        <v>7105.3528000000006</v>
      </c>
      <c r="D27">
        <f t="shared" si="0"/>
        <v>5.3357553287915532E-3</v>
      </c>
      <c r="E27" s="24">
        <f>SUMIFS($D$2:D27,$A$2:A27,A27)</f>
        <v>0.24822702346766598</v>
      </c>
      <c r="F27" t="str">
        <f t="shared" si="1"/>
        <v>A</v>
      </c>
    </row>
    <row r="28" spans="1:6" x14ac:dyDescent="0.25">
      <c r="A28" s="21" t="s">
        <v>733</v>
      </c>
      <c r="B28" t="s">
        <v>1089</v>
      </c>
      <c r="C28">
        <v>23195.01828</v>
      </c>
      <c r="D28">
        <f t="shared" si="0"/>
        <v>1.7418268434035742E-2</v>
      </c>
      <c r="E28" s="24">
        <f>SUMIFS($D$2:D28,$A$2:A28,A28)</f>
        <v>0.26564529190170172</v>
      </c>
      <c r="F28" t="str">
        <f t="shared" si="1"/>
        <v>A</v>
      </c>
    </row>
    <row r="29" spans="1:6" x14ac:dyDescent="0.25">
      <c r="A29" s="21" t="s">
        <v>733</v>
      </c>
      <c r="B29" t="s">
        <v>1250</v>
      </c>
      <c r="C29">
        <v>1010.3759200000001</v>
      </c>
      <c r="D29">
        <f t="shared" si="0"/>
        <v>7.5874046665531762E-4</v>
      </c>
      <c r="E29" s="24">
        <f>SUMIFS($D$2:D29,$A$2:A29,A29)</f>
        <v>0.26640403236835702</v>
      </c>
      <c r="F29" t="str">
        <f t="shared" si="1"/>
        <v>A</v>
      </c>
    </row>
    <row r="30" spans="1:6" x14ac:dyDescent="0.25">
      <c r="A30" s="21" t="s">
        <v>733</v>
      </c>
      <c r="B30" t="s">
        <v>919</v>
      </c>
      <c r="C30">
        <v>10388.429999999998</v>
      </c>
      <c r="D30">
        <f t="shared" si="0"/>
        <v>7.8011778289570673E-3</v>
      </c>
      <c r="E30" s="24">
        <f>SUMIFS($D$2:D30,$A$2:A30,A30)</f>
        <v>0.27420521019731409</v>
      </c>
      <c r="F30" t="str">
        <f t="shared" si="1"/>
        <v>A</v>
      </c>
    </row>
    <row r="31" spans="1:6" x14ac:dyDescent="0.25">
      <c r="A31" s="21" t="s">
        <v>733</v>
      </c>
      <c r="B31" t="s">
        <v>1279</v>
      </c>
      <c r="C31">
        <v>15530.929919999999</v>
      </c>
      <c r="D31">
        <f t="shared" si="0"/>
        <v>1.1662931372208309E-2</v>
      </c>
      <c r="E31" s="24">
        <f>SUMIFS($D$2:D31,$A$2:A31,A31)</f>
        <v>0.28586814156952239</v>
      </c>
      <c r="F31" t="str">
        <f t="shared" si="1"/>
        <v>A</v>
      </c>
    </row>
    <row r="32" spans="1:6" x14ac:dyDescent="0.25">
      <c r="A32" s="21" t="s">
        <v>733</v>
      </c>
      <c r="B32" t="s">
        <v>955</v>
      </c>
      <c r="C32">
        <v>908.03700000000003</v>
      </c>
      <c r="D32">
        <f t="shared" si="0"/>
        <v>6.818891894417819E-4</v>
      </c>
      <c r="E32" s="24">
        <f>SUMIFS($D$2:D32,$A$2:A32,A32)</f>
        <v>0.28655003075896418</v>
      </c>
      <c r="F32" t="str">
        <f t="shared" si="1"/>
        <v>A</v>
      </c>
    </row>
    <row r="33" spans="1:6" x14ac:dyDescent="0.25">
      <c r="A33" s="21" t="s">
        <v>733</v>
      </c>
      <c r="B33" t="s">
        <v>993</v>
      </c>
      <c r="C33">
        <v>7568.9632000000001</v>
      </c>
      <c r="D33">
        <f t="shared" si="0"/>
        <v>5.6839029481867758E-3</v>
      </c>
      <c r="E33" s="24">
        <f>SUMIFS($D$2:D33,$A$2:A33,A33)</f>
        <v>0.29223393370715095</v>
      </c>
      <c r="F33" t="str">
        <f t="shared" si="1"/>
        <v>A</v>
      </c>
    </row>
    <row r="34" spans="1:6" x14ac:dyDescent="0.25">
      <c r="A34" s="21" t="s">
        <v>733</v>
      </c>
      <c r="B34" t="s">
        <v>1184</v>
      </c>
      <c r="C34">
        <v>19628.476999999999</v>
      </c>
      <c r="D34">
        <f t="shared" si="0"/>
        <v>1.4739978956261316E-2</v>
      </c>
      <c r="E34" s="24">
        <f>SUMIFS($D$2:D34,$A$2:A34,A34)</f>
        <v>0.30697391266341228</v>
      </c>
      <c r="F34" t="str">
        <f t="shared" si="1"/>
        <v>A</v>
      </c>
    </row>
    <row r="35" spans="1:6" x14ac:dyDescent="0.25">
      <c r="A35" s="21" t="s">
        <v>733</v>
      </c>
      <c r="B35" t="s">
        <v>1255</v>
      </c>
      <c r="C35">
        <v>22526.66</v>
      </c>
      <c r="D35">
        <f t="shared" si="0"/>
        <v>1.6916365663767675E-2</v>
      </c>
      <c r="E35" s="24">
        <f>SUMIFS($D$2:D35,$A$2:A35,A35)</f>
        <v>0.32389027832717998</v>
      </c>
      <c r="F35" t="str">
        <f t="shared" si="1"/>
        <v>A</v>
      </c>
    </row>
    <row r="36" spans="1:6" x14ac:dyDescent="0.25">
      <c r="A36" s="21" t="s">
        <v>733</v>
      </c>
      <c r="B36" t="s">
        <v>1310</v>
      </c>
      <c r="C36">
        <v>6732.4334000000008</v>
      </c>
      <c r="D36">
        <f t="shared" si="0"/>
        <v>5.0557119964239122E-3</v>
      </c>
      <c r="E36" s="24">
        <f>SUMIFS($D$2:D36,$A$2:A36,A36)</f>
        <v>0.32894599032360389</v>
      </c>
      <c r="F36" t="str">
        <f t="shared" si="1"/>
        <v>A</v>
      </c>
    </row>
    <row r="37" spans="1:6" x14ac:dyDescent="0.25">
      <c r="A37" s="21" t="s">
        <v>733</v>
      </c>
      <c r="B37" t="s">
        <v>1004</v>
      </c>
      <c r="C37">
        <v>7235.2134999999998</v>
      </c>
      <c r="D37">
        <f t="shared" si="0"/>
        <v>5.4332740504552538E-3</v>
      </c>
      <c r="E37" s="24">
        <f>SUMIFS($D$2:D37,$A$2:A37,A37)</f>
        <v>0.33437926437405913</v>
      </c>
      <c r="F37" t="str">
        <f t="shared" si="1"/>
        <v>A</v>
      </c>
    </row>
    <row r="38" spans="1:6" x14ac:dyDescent="0.25">
      <c r="A38" s="21" t="s">
        <v>733</v>
      </c>
      <c r="B38" t="s">
        <v>756</v>
      </c>
      <c r="C38">
        <v>10936.992</v>
      </c>
      <c r="D38">
        <f t="shared" si="0"/>
        <v>8.2131197405075473E-3</v>
      </c>
      <c r="E38" s="24">
        <f>SUMIFS($D$2:D38,$A$2:A38,A38)</f>
        <v>0.34259238411456666</v>
      </c>
      <c r="F38" t="str">
        <f t="shared" si="1"/>
        <v>A</v>
      </c>
    </row>
    <row r="39" spans="1:6" x14ac:dyDescent="0.25">
      <c r="A39" s="21" t="s">
        <v>733</v>
      </c>
      <c r="B39" t="s">
        <v>892</v>
      </c>
      <c r="C39">
        <v>10382.65884</v>
      </c>
      <c r="D39">
        <f t="shared" si="0"/>
        <v>7.796843983954564E-3</v>
      </c>
      <c r="E39" s="24">
        <f>SUMIFS($D$2:D39,$A$2:A39,A39)</f>
        <v>0.35038922809852124</v>
      </c>
      <c r="F39" t="str">
        <f t="shared" si="1"/>
        <v>A</v>
      </c>
    </row>
    <row r="40" spans="1:6" x14ac:dyDescent="0.25">
      <c r="A40" s="21" t="s">
        <v>733</v>
      </c>
      <c r="B40" t="s">
        <v>865</v>
      </c>
      <c r="C40">
        <v>4417.8334199999999</v>
      </c>
      <c r="D40">
        <f t="shared" si="0"/>
        <v>3.3175661893211565E-3</v>
      </c>
      <c r="E40" s="24">
        <f>SUMIFS($D$2:D40,$A$2:A40,A40)</f>
        <v>0.35370679428784241</v>
      </c>
      <c r="F40" t="str">
        <f t="shared" si="1"/>
        <v>A</v>
      </c>
    </row>
    <row r="41" spans="1:6" x14ac:dyDescent="0.25">
      <c r="A41" s="21" t="s">
        <v>733</v>
      </c>
      <c r="B41" t="s">
        <v>888</v>
      </c>
      <c r="C41">
        <v>11015.510400000003</v>
      </c>
      <c r="D41">
        <f t="shared" si="0"/>
        <v>8.2720830295940802E-3</v>
      </c>
      <c r="E41" s="24">
        <f>SUMIFS($D$2:D41,$A$2:A41,A41)</f>
        <v>0.3619788773174365</v>
      </c>
      <c r="F41" t="str">
        <f t="shared" si="1"/>
        <v>A</v>
      </c>
    </row>
    <row r="42" spans="1:6" x14ac:dyDescent="0.25">
      <c r="A42" s="21" t="s">
        <v>733</v>
      </c>
      <c r="B42" t="s">
        <v>1024</v>
      </c>
      <c r="C42">
        <v>19066.045319999997</v>
      </c>
      <c r="D42">
        <f t="shared" si="0"/>
        <v>1.4317621626778508E-2</v>
      </c>
      <c r="E42" s="24">
        <f>SUMIFS($D$2:D42,$A$2:A42,A42)</f>
        <v>0.37629649894421502</v>
      </c>
      <c r="F42" t="str">
        <f t="shared" si="1"/>
        <v>A</v>
      </c>
    </row>
    <row r="43" spans="1:6" x14ac:dyDescent="0.25">
      <c r="A43" s="21" t="s">
        <v>733</v>
      </c>
      <c r="B43" t="s">
        <v>810</v>
      </c>
      <c r="C43">
        <v>35396.277799999996</v>
      </c>
      <c r="D43">
        <f t="shared" si="0"/>
        <v>2.658078820389272E-2</v>
      </c>
      <c r="E43" s="24">
        <f>SUMIFS($D$2:D43,$A$2:A43,A43)</f>
        <v>0.40287728714810772</v>
      </c>
      <c r="F43" t="str">
        <f t="shared" si="1"/>
        <v>A</v>
      </c>
    </row>
    <row r="44" spans="1:6" x14ac:dyDescent="0.25">
      <c r="A44" s="21" t="s">
        <v>733</v>
      </c>
      <c r="B44" t="s">
        <v>847</v>
      </c>
      <c r="C44">
        <v>2117.4834999999998</v>
      </c>
      <c r="D44">
        <f t="shared" si="0"/>
        <v>1.5901214460108421E-3</v>
      </c>
      <c r="E44" s="24">
        <f>SUMIFS($D$2:D44,$A$2:A44,A44)</f>
        <v>0.40446740859411856</v>
      </c>
      <c r="F44" t="str">
        <f t="shared" si="1"/>
        <v>A</v>
      </c>
    </row>
    <row r="45" spans="1:6" x14ac:dyDescent="0.25">
      <c r="A45" s="21" t="s">
        <v>733</v>
      </c>
      <c r="B45" t="s">
        <v>1303</v>
      </c>
      <c r="C45">
        <v>4577.1480000000001</v>
      </c>
      <c r="D45">
        <f t="shared" si="0"/>
        <v>3.4372032633858234E-3</v>
      </c>
      <c r="E45" s="24">
        <f>SUMIFS($D$2:D45,$A$2:A45,A45)</f>
        <v>0.40790461185750437</v>
      </c>
      <c r="F45" t="str">
        <f t="shared" si="1"/>
        <v>A</v>
      </c>
    </row>
    <row r="46" spans="1:6" x14ac:dyDescent="0.25">
      <c r="A46" s="21" t="s">
        <v>733</v>
      </c>
      <c r="B46" t="s">
        <v>921</v>
      </c>
      <c r="C46">
        <v>26759.28775</v>
      </c>
      <c r="D46">
        <f t="shared" si="0"/>
        <v>2.0094851899082198E-2</v>
      </c>
      <c r="E46" s="24">
        <f>SUMIFS($D$2:D46,$A$2:A46,A46)</f>
        <v>0.4279994637565866</v>
      </c>
      <c r="F46" t="str">
        <f t="shared" si="1"/>
        <v>A</v>
      </c>
    </row>
    <row r="47" spans="1:6" x14ac:dyDescent="0.25">
      <c r="A47" s="21" t="s">
        <v>733</v>
      </c>
      <c r="B47" t="s">
        <v>1352</v>
      </c>
      <c r="C47">
        <v>1030.7574</v>
      </c>
      <c r="D47">
        <f t="shared" si="0"/>
        <v>7.7404591222287027E-4</v>
      </c>
      <c r="E47" s="24">
        <f>SUMIFS($D$2:D47,$A$2:A47,A47)</f>
        <v>0.42877350966880945</v>
      </c>
      <c r="F47" t="str">
        <f t="shared" si="1"/>
        <v>A</v>
      </c>
    </row>
    <row r="48" spans="1:6" x14ac:dyDescent="0.25">
      <c r="A48" s="21" t="s">
        <v>733</v>
      </c>
      <c r="B48" t="s">
        <v>1322</v>
      </c>
      <c r="C48">
        <v>9022.35</v>
      </c>
      <c r="D48">
        <f t="shared" si="0"/>
        <v>6.7753218518188801E-3</v>
      </c>
      <c r="E48" s="24">
        <f>SUMIFS($D$2:D48,$A$2:A48,A48)</f>
        <v>0.43554883152062834</v>
      </c>
      <c r="F48" t="str">
        <f t="shared" si="1"/>
        <v>A</v>
      </c>
    </row>
    <row r="49" spans="1:6" x14ac:dyDescent="0.25">
      <c r="A49" s="21" t="s">
        <v>733</v>
      </c>
      <c r="B49" t="s">
        <v>961</v>
      </c>
      <c r="C49">
        <v>5533.6230000000005</v>
      </c>
      <c r="D49">
        <f t="shared" si="0"/>
        <v>4.1554669051441749E-3</v>
      </c>
      <c r="E49" s="24">
        <f>SUMIFS($D$2:D49,$A$2:A49,A49)</f>
        <v>0.43970429842577252</v>
      </c>
      <c r="F49" t="str">
        <f t="shared" si="1"/>
        <v>A</v>
      </c>
    </row>
    <row r="50" spans="1:6" x14ac:dyDescent="0.25">
      <c r="A50" s="21" t="s">
        <v>733</v>
      </c>
      <c r="B50" t="s">
        <v>1286</v>
      </c>
      <c r="C50">
        <v>15860.782080000001</v>
      </c>
      <c r="D50">
        <f t="shared" si="0"/>
        <v>1.1910633417409135E-2</v>
      </c>
      <c r="E50" s="24">
        <f>SUMIFS($D$2:D50,$A$2:A50,A50)</f>
        <v>0.45161493184318163</v>
      </c>
      <c r="F50" t="str">
        <f t="shared" si="1"/>
        <v>A</v>
      </c>
    </row>
    <row r="51" spans="1:6" x14ac:dyDescent="0.25">
      <c r="A51" s="21" t="s">
        <v>733</v>
      </c>
      <c r="B51" t="s">
        <v>1285</v>
      </c>
      <c r="C51">
        <v>20163.409200000002</v>
      </c>
      <c r="D51">
        <f t="shared" si="0"/>
        <v>1.5141685587449594E-2</v>
      </c>
      <c r="E51" s="24">
        <f>SUMIFS($D$2:D51,$A$2:A51,A51)</f>
        <v>0.46675661743063124</v>
      </c>
      <c r="F51" t="str">
        <f t="shared" si="1"/>
        <v>A</v>
      </c>
    </row>
    <row r="52" spans="1:6" x14ac:dyDescent="0.25">
      <c r="A52" s="21" t="s">
        <v>733</v>
      </c>
      <c r="B52" t="s">
        <v>831</v>
      </c>
      <c r="C52">
        <v>34139.159999999996</v>
      </c>
      <c r="D52">
        <f t="shared" si="0"/>
        <v>2.5636757247362495E-2</v>
      </c>
      <c r="E52" s="24">
        <f>SUMIFS($D$2:D52,$A$2:A52,A52)</f>
        <v>0.49239337467799371</v>
      </c>
      <c r="F52" t="str">
        <f t="shared" si="1"/>
        <v>A</v>
      </c>
    </row>
    <row r="53" spans="1:6" x14ac:dyDescent="0.25">
      <c r="A53" s="21" t="s">
        <v>733</v>
      </c>
      <c r="B53" t="s">
        <v>1194</v>
      </c>
      <c r="C53">
        <v>930.17574000000002</v>
      </c>
      <c r="D53">
        <f t="shared" si="0"/>
        <v>6.985142470923647E-4</v>
      </c>
      <c r="E53" s="24">
        <f>SUMIFS($D$2:D53,$A$2:A53,A53)</f>
        <v>0.4930918889250861</v>
      </c>
      <c r="F53" t="str">
        <f t="shared" si="1"/>
        <v>A</v>
      </c>
    </row>
    <row r="54" spans="1:6" x14ac:dyDescent="0.25">
      <c r="A54" s="21" t="s">
        <v>733</v>
      </c>
      <c r="B54" t="s">
        <v>948</v>
      </c>
      <c r="C54">
        <v>7854.6693599999999</v>
      </c>
      <c r="D54">
        <f t="shared" si="0"/>
        <v>5.8984536128193002E-3</v>
      </c>
      <c r="E54" s="24">
        <f>SUMIFS($D$2:D54,$A$2:A54,A54)</f>
        <v>0.49899034253790542</v>
      </c>
      <c r="F54" t="str">
        <f t="shared" si="1"/>
        <v>A</v>
      </c>
    </row>
    <row r="55" spans="1:6" x14ac:dyDescent="0.25">
      <c r="A55" s="21" t="s">
        <v>733</v>
      </c>
      <c r="B55" t="s">
        <v>1086</v>
      </c>
      <c r="C55">
        <v>26552.60298</v>
      </c>
      <c r="D55">
        <f t="shared" si="0"/>
        <v>1.9939642243214362E-2</v>
      </c>
      <c r="E55" s="24">
        <f>SUMIFS($D$2:D55,$A$2:A55,A55)</f>
        <v>0.51892998478111974</v>
      </c>
      <c r="F55" t="str">
        <f t="shared" si="1"/>
        <v>A</v>
      </c>
    </row>
    <row r="56" spans="1:6" x14ac:dyDescent="0.25">
      <c r="A56" s="21" t="s">
        <v>733</v>
      </c>
      <c r="B56" t="s">
        <v>1033</v>
      </c>
      <c r="C56">
        <v>12699.28</v>
      </c>
      <c r="D56">
        <f t="shared" si="0"/>
        <v>9.5365075935168186E-3</v>
      </c>
      <c r="E56" s="24">
        <f>SUMIFS($D$2:D56,$A$2:A56,A56)</f>
        <v>0.5284664923746365</v>
      </c>
      <c r="F56" t="str">
        <f t="shared" si="1"/>
        <v>A</v>
      </c>
    </row>
    <row r="57" spans="1:6" x14ac:dyDescent="0.25">
      <c r="A57" s="21" t="s">
        <v>733</v>
      </c>
      <c r="B57" t="s">
        <v>791</v>
      </c>
      <c r="C57">
        <v>4790.1068000000005</v>
      </c>
      <c r="D57">
        <f t="shared" si="0"/>
        <v>3.5971243938204807E-3</v>
      </c>
      <c r="E57" s="24">
        <f>SUMIFS($D$2:D57,$A$2:A57,A57)</f>
        <v>0.53206361676845693</v>
      </c>
      <c r="F57" t="str">
        <f t="shared" si="1"/>
        <v>A</v>
      </c>
    </row>
    <row r="58" spans="1:6" x14ac:dyDescent="0.25">
      <c r="A58" s="21" t="s">
        <v>733</v>
      </c>
      <c r="B58" t="s">
        <v>1022</v>
      </c>
      <c r="C58">
        <v>26765.040239999998</v>
      </c>
      <c r="D58">
        <f t="shared" si="0"/>
        <v>2.0099171723872787E-2</v>
      </c>
      <c r="E58" s="24">
        <f>SUMIFS($D$2:D58,$A$2:A58,A58)</f>
        <v>0.55216278849232969</v>
      </c>
      <c r="F58" t="str">
        <f t="shared" si="1"/>
        <v>A</v>
      </c>
    </row>
    <row r="59" spans="1:6" x14ac:dyDescent="0.25">
      <c r="A59" s="21" t="s">
        <v>733</v>
      </c>
      <c r="B59" t="s">
        <v>784</v>
      </c>
      <c r="C59">
        <v>14894.903999999999</v>
      </c>
      <c r="D59">
        <f t="shared" si="0"/>
        <v>1.118530854510681E-2</v>
      </c>
      <c r="E59" s="24">
        <f>SUMIFS($D$2:D59,$A$2:A59,A59)</f>
        <v>0.56334809703743649</v>
      </c>
      <c r="F59" t="str">
        <f t="shared" si="1"/>
        <v>A</v>
      </c>
    </row>
    <row r="60" spans="1:6" x14ac:dyDescent="0.25">
      <c r="A60" s="21" t="s">
        <v>733</v>
      </c>
      <c r="B60" t="s">
        <v>881</v>
      </c>
      <c r="C60">
        <v>13321.14</v>
      </c>
      <c r="D60">
        <f t="shared" si="0"/>
        <v>1.000349254164808E-2</v>
      </c>
      <c r="E60" s="24">
        <f>SUMIFS($D$2:D60,$A$2:A60,A60)</f>
        <v>0.57335158957908461</v>
      </c>
      <c r="F60" t="str">
        <f t="shared" si="1"/>
        <v>A</v>
      </c>
    </row>
    <row r="61" spans="1:6" x14ac:dyDescent="0.25">
      <c r="A61" s="21" t="s">
        <v>733</v>
      </c>
      <c r="B61" t="s">
        <v>1171</v>
      </c>
      <c r="C61">
        <v>24278.849280000002</v>
      </c>
      <c r="D61">
        <f t="shared" si="0"/>
        <v>1.8232169896290999E-2</v>
      </c>
      <c r="E61" s="24">
        <f>SUMIFS($D$2:D61,$A$2:A61,A61)</f>
        <v>0.59158375947537556</v>
      </c>
      <c r="F61" t="str">
        <f t="shared" si="1"/>
        <v>A</v>
      </c>
    </row>
    <row r="62" spans="1:6" x14ac:dyDescent="0.25">
      <c r="A62" s="21" t="s">
        <v>733</v>
      </c>
      <c r="B62" t="s">
        <v>1080</v>
      </c>
      <c r="C62">
        <v>79082.507010000001</v>
      </c>
      <c r="D62">
        <f t="shared" si="0"/>
        <v>5.9386904502870402E-2</v>
      </c>
      <c r="E62" s="24">
        <f>SUMIFS($D$2:D62,$A$2:A62,A62)</f>
        <v>0.65097066397824599</v>
      </c>
      <c r="F62" t="str">
        <f t="shared" si="1"/>
        <v>A</v>
      </c>
    </row>
    <row r="63" spans="1:6" x14ac:dyDescent="0.25">
      <c r="A63" s="21" t="s">
        <v>733</v>
      </c>
      <c r="B63" t="s">
        <v>914</v>
      </c>
      <c r="C63">
        <v>18.659839999999999</v>
      </c>
      <c r="D63">
        <f t="shared" si="0"/>
        <v>1.4012582276617955E-5</v>
      </c>
      <c r="E63" s="24">
        <f>SUMIFS($D$2:D63,$A$2:A63,A63)</f>
        <v>0.65098467656052261</v>
      </c>
      <c r="F63" t="str">
        <f t="shared" si="1"/>
        <v>A</v>
      </c>
    </row>
    <row r="64" spans="1:6" x14ac:dyDescent="0.25">
      <c r="A64" s="21" t="s">
        <v>733</v>
      </c>
      <c r="B64" t="s">
        <v>1092</v>
      </c>
      <c r="C64">
        <v>4071.8</v>
      </c>
      <c r="D64">
        <f t="shared" si="0"/>
        <v>3.0577128482309063E-3</v>
      </c>
      <c r="E64" s="24">
        <f>SUMIFS($D$2:D64,$A$2:A64,A64)</f>
        <v>0.65404238940875348</v>
      </c>
      <c r="F64" t="str">
        <f t="shared" si="1"/>
        <v>A</v>
      </c>
    </row>
    <row r="65" spans="1:6" x14ac:dyDescent="0.25">
      <c r="A65" s="21" t="s">
        <v>733</v>
      </c>
      <c r="B65" t="s">
        <v>876</v>
      </c>
      <c r="C65">
        <v>32086.37586</v>
      </c>
      <c r="D65">
        <f t="shared" si="0"/>
        <v>2.4095221700547176E-2</v>
      </c>
      <c r="E65" s="24">
        <f>SUMIFS($D$2:D65,$A$2:A65,A65)</f>
        <v>0.67813761110930071</v>
      </c>
      <c r="F65" t="str">
        <f t="shared" si="1"/>
        <v>A</v>
      </c>
    </row>
    <row r="66" spans="1:6" x14ac:dyDescent="0.25">
      <c r="A66" s="21" t="s">
        <v>733</v>
      </c>
      <c r="B66" t="s">
        <v>1227</v>
      </c>
      <c r="C66">
        <v>11859.695119999998</v>
      </c>
      <c r="D66">
        <f t="shared" si="0"/>
        <v>8.9060224334508997E-3</v>
      </c>
      <c r="E66" s="24">
        <f>SUMIFS($D$2:D66,$A$2:A66,A66)</f>
        <v>0.68704363354275166</v>
      </c>
      <c r="F66" t="str">
        <f t="shared" si="1"/>
        <v>A</v>
      </c>
    </row>
    <row r="67" spans="1:6" x14ac:dyDescent="0.25">
      <c r="A67" s="21" t="s">
        <v>733</v>
      </c>
      <c r="B67" t="s">
        <v>1291</v>
      </c>
      <c r="C67">
        <v>13108.78584</v>
      </c>
      <c r="D67">
        <f t="shared" ref="D67:D130" si="2">C67/SUMIFS($C:$C,$A:$A,A67)</f>
        <v>9.8440254648252297E-3</v>
      </c>
      <c r="E67" s="24">
        <f>SUMIFS($D$2:D67,$A$2:A67,A67)</f>
        <v>0.69688765900757688</v>
      </c>
      <c r="F67" t="str">
        <f t="shared" ref="F67:F130" si="3">IF(E67&lt;=0.8,"A",IF(E67&lt;=0.95,"B","C"))</f>
        <v>A</v>
      </c>
    </row>
    <row r="68" spans="1:6" x14ac:dyDescent="0.25">
      <c r="A68" s="21" t="s">
        <v>733</v>
      </c>
      <c r="B68" t="s">
        <v>1199</v>
      </c>
      <c r="C68">
        <v>2719.8567000000003</v>
      </c>
      <c r="D68">
        <f t="shared" si="2"/>
        <v>2.0424728073424317E-3</v>
      </c>
      <c r="E68" s="24">
        <f>SUMIFS($D$2:D68,$A$2:A68,A68)</f>
        <v>0.69893013181491925</v>
      </c>
      <c r="F68" t="str">
        <f t="shared" si="3"/>
        <v>A</v>
      </c>
    </row>
    <row r="69" spans="1:6" x14ac:dyDescent="0.25">
      <c r="A69" s="21" t="s">
        <v>733</v>
      </c>
      <c r="B69" t="s">
        <v>1338</v>
      </c>
      <c r="C69">
        <v>13856.52411</v>
      </c>
      <c r="D69">
        <f t="shared" si="2"/>
        <v>1.0405538534055779E-2</v>
      </c>
      <c r="E69" s="24">
        <f>SUMIFS($D$2:D69,$A$2:A69,A69)</f>
        <v>0.70933567034897504</v>
      </c>
      <c r="F69" t="str">
        <f t="shared" si="3"/>
        <v>A</v>
      </c>
    </row>
    <row r="70" spans="1:6" x14ac:dyDescent="0.25">
      <c r="A70" s="21" t="s">
        <v>733</v>
      </c>
      <c r="B70" t="s">
        <v>1094</v>
      </c>
      <c r="C70">
        <v>35167.7448</v>
      </c>
      <c r="D70">
        <f t="shared" si="2"/>
        <v>2.6409171648476261E-2</v>
      </c>
      <c r="E70" s="24">
        <f>SUMIFS($D$2:D70,$A$2:A70,A70)</f>
        <v>0.73574484199745127</v>
      </c>
      <c r="F70" t="str">
        <f t="shared" si="3"/>
        <v>A</v>
      </c>
    </row>
    <row r="71" spans="1:6" x14ac:dyDescent="0.25">
      <c r="A71" s="21" t="s">
        <v>733</v>
      </c>
      <c r="B71" t="s">
        <v>1326</v>
      </c>
      <c r="C71">
        <v>8366.02</v>
      </c>
      <c r="D71">
        <f t="shared" si="2"/>
        <v>6.2824517025779078E-3</v>
      </c>
      <c r="E71" s="24">
        <f>SUMIFS($D$2:D71,$A$2:A71,A71)</f>
        <v>0.74202729370002918</v>
      </c>
      <c r="F71" t="str">
        <f t="shared" si="3"/>
        <v>A</v>
      </c>
    </row>
    <row r="72" spans="1:6" x14ac:dyDescent="0.25">
      <c r="A72" s="21" t="s">
        <v>733</v>
      </c>
      <c r="B72" t="s">
        <v>744</v>
      </c>
      <c r="C72">
        <v>16006.14344</v>
      </c>
      <c r="D72">
        <f t="shared" si="2"/>
        <v>1.2019792339288481E-2</v>
      </c>
      <c r="E72" s="24">
        <f>SUMIFS($D$2:D72,$A$2:A72,A72)</f>
        <v>0.75404708603931769</v>
      </c>
      <c r="F72" t="str">
        <f t="shared" si="3"/>
        <v>A</v>
      </c>
    </row>
    <row r="73" spans="1:6" x14ac:dyDescent="0.25">
      <c r="A73" s="21" t="s">
        <v>733</v>
      </c>
      <c r="B73" t="s">
        <v>1011</v>
      </c>
      <c r="C73">
        <v>6066.54648</v>
      </c>
      <c r="D73">
        <f t="shared" si="2"/>
        <v>4.5556650906935451E-3</v>
      </c>
      <c r="E73" s="24">
        <f>SUMIFS($D$2:D73,$A$2:A73,A73)</f>
        <v>0.75860275113001119</v>
      </c>
      <c r="F73" t="str">
        <f t="shared" si="3"/>
        <v>A</v>
      </c>
    </row>
    <row r="74" spans="1:6" x14ac:dyDescent="0.25">
      <c r="A74" s="21" t="s">
        <v>733</v>
      </c>
      <c r="B74" t="s">
        <v>752</v>
      </c>
      <c r="C74">
        <v>38096.18406</v>
      </c>
      <c r="D74">
        <f t="shared" si="2"/>
        <v>2.8608279254588007E-2</v>
      </c>
      <c r="E74" s="24">
        <f>SUMIFS($D$2:D74,$A$2:A74,A74)</f>
        <v>0.78721103038459916</v>
      </c>
      <c r="F74" t="str">
        <f t="shared" si="3"/>
        <v>A</v>
      </c>
    </row>
    <row r="75" spans="1:6" x14ac:dyDescent="0.25">
      <c r="A75" s="21" t="s">
        <v>733</v>
      </c>
      <c r="B75" t="s">
        <v>1072</v>
      </c>
      <c r="C75">
        <v>3021.5016000000001</v>
      </c>
      <c r="D75">
        <f t="shared" si="2"/>
        <v>2.2689926477897342E-3</v>
      </c>
      <c r="E75" s="24">
        <f>SUMIFS($D$2:D75,$A$2:A75,A75)</f>
        <v>0.78948002303238884</v>
      </c>
      <c r="F75" t="str">
        <f t="shared" si="3"/>
        <v>A</v>
      </c>
    </row>
    <row r="76" spans="1:6" x14ac:dyDescent="0.25">
      <c r="A76" s="21" t="s">
        <v>733</v>
      </c>
      <c r="B76" t="s">
        <v>1275</v>
      </c>
      <c r="C76">
        <v>4737.2198399999997</v>
      </c>
      <c r="D76">
        <f t="shared" si="2"/>
        <v>3.5574090008503255E-3</v>
      </c>
      <c r="E76" s="24">
        <f>SUMIFS($D$2:D76,$A$2:A76,A76)</f>
        <v>0.79303743203323918</v>
      </c>
      <c r="F76" t="str">
        <f t="shared" si="3"/>
        <v>A</v>
      </c>
    </row>
    <row r="77" spans="1:6" x14ac:dyDescent="0.25">
      <c r="A77" s="21" t="s">
        <v>733</v>
      </c>
      <c r="B77" t="s">
        <v>1026</v>
      </c>
      <c r="C77">
        <v>23375.594060000003</v>
      </c>
      <c r="D77">
        <f t="shared" si="2"/>
        <v>1.7553871578243542E-2</v>
      </c>
      <c r="E77" s="24">
        <f>SUMIFS($D$2:D77,$A$2:A77,A77)</f>
        <v>0.81059130361148268</v>
      </c>
      <c r="F77" t="str">
        <f t="shared" si="3"/>
        <v>B</v>
      </c>
    </row>
    <row r="78" spans="1:6" x14ac:dyDescent="0.25">
      <c r="A78" s="21" t="s">
        <v>733</v>
      </c>
      <c r="B78" t="s">
        <v>1188</v>
      </c>
      <c r="C78">
        <v>14752.706080000002</v>
      </c>
      <c r="D78">
        <f t="shared" si="2"/>
        <v>1.1078525204329831E-2</v>
      </c>
      <c r="E78" s="24">
        <f>SUMIFS($D$2:D78,$A$2:A78,A78)</f>
        <v>0.82166982881581252</v>
      </c>
      <c r="F78" t="str">
        <f t="shared" si="3"/>
        <v>B</v>
      </c>
    </row>
    <row r="79" spans="1:6" x14ac:dyDescent="0.25">
      <c r="A79" s="21" t="s">
        <v>733</v>
      </c>
      <c r="B79" t="s">
        <v>759</v>
      </c>
      <c r="C79">
        <v>8596.2905599999995</v>
      </c>
      <c r="D79">
        <f t="shared" si="2"/>
        <v>6.4553730763883413E-3</v>
      </c>
      <c r="E79" s="24">
        <f>SUMIFS($D$2:D79,$A$2:A79,A79)</f>
        <v>0.82812520189220085</v>
      </c>
      <c r="F79" t="str">
        <f t="shared" si="3"/>
        <v>B</v>
      </c>
    </row>
    <row r="80" spans="1:6" x14ac:dyDescent="0.25">
      <c r="A80" s="21" t="s">
        <v>733</v>
      </c>
      <c r="B80" t="s">
        <v>943</v>
      </c>
      <c r="C80">
        <v>17847.907199999998</v>
      </c>
      <c r="D80">
        <f t="shared" si="2"/>
        <v>1.3402862409615622E-2</v>
      </c>
      <c r="E80" s="24">
        <f>SUMIFS($D$2:D80,$A$2:A80,A80)</f>
        <v>0.84152806430181648</v>
      </c>
      <c r="F80" t="str">
        <f t="shared" si="3"/>
        <v>B</v>
      </c>
    </row>
    <row r="81" spans="1:6" x14ac:dyDescent="0.25">
      <c r="A81" s="21" t="s">
        <v>733</v>
      </c>
      <c r="B81" t="s">
        <v>827</v>
      </c>
      <c r="C81">
        <v>20079.343620000003</v>
      </c>
      <c r="D81">
        <f t="shared" si="2"/>
        <v>1.5078556650846623E-2</v>
      </c>
      <c r="E81" s="24">
        <f>SUMIFS($D$2:D81,$A$2:A81,A81)</f>
        <v>0.85660662095266316</v>
      </c>
      <c r="F81" t="str">
        <f t="shared" si="3"/>
        <v>B</v>
      </c>
    </row>
    <row r="82" spans="1:6" x14ac:dyDescent="0.25">
      <c r="A82" s="21" t="s">
        <v>733</v>
      </c>
      <c r="B82" t="s">
        <v>800</v>
      </c>
      <c r="C82">
        <v>16013.681599999998</v>
      </c>
      <c r="D82">
        <f t="shared" si="2"/>
        <v>1.2025453110614186E-2</v>
      </c>
      <c r="E82" s="24">
        <f>SUMIFS($D$2:D82,$A$2:A82,A82)</f>
        <v>0.86863207406327736</v>
      </c>
      <c r="F82" t="str">
        <f t="shared" si="3"/>
        <v>B</v>
      </c>
    </row>
    <row r="83" spans="1:6" x14ac:dyDescent="0.25">
      <c r="A83" s="21" t="s">
        <v>733</v>
      </c>
      <c r="B83" t="s">
        <v>811</v>
      </c>
      <c r="C83">
        <v>33062.236480000007</v>
      </c>
      <c r="D83">
        <f t="shared" si="2"/>
        <v>2.482804294811744E-2</v>
      </c>
      <c r="E83" s="24">
        <f>SUMIFS($D$2:D83,$A$2:A83,A83)</f>
        <v>0.89346011701139483</v>
      </c>
      <c r="F83" t="str">
        <f t="shared" si="3"/>
        <v>B</v>
      </c>
    </row>
    <row r="84" spans="1:6" x14ac:dyDescent="0.25">
      <c r="A84" s="21" t="s">
        <v>733</v>
      </c>
      <c r="B84" t="s">
        <v>1288</v>
      </c>
      <c r="C84">
        <v>46450.26</v>
      </c>
      <c r="D84">
        <f t="shared" si="2"/>
        <v>3.4881761581036917E-2</v>
      </c>
      <c r="E84" s="24">
        <f>SUMIFS($D$2:D84,$A$2:A84,A84)</f>
        <v>0.92834187859243178</v>
      </c>
      <c r="F84" t="str">
        <f t="shared" si="3"/>
        <v>B</v>
      </c>
    </row>
    <row r="85" spans="1:6" x14ac:dyDescent="0.25">
      <c r="A85" s="21" t="s">
        <v>733</v>
      </c>
      <c r="B85" t="s">
        <v>1270</v>
      </c>
      <c r="C85">
        <v>20430.771599999996</v>
      </c>
      <c r="D85">
        <f t="shared" si="2"/>
        <v>1.5342461029665282E-2</v>
      </c>
      <c r="E85" s="24">
        <f>SUMIFS($D$2:D85,$A$2:A85,A85)</f>
        <v>0.94368433962209708</v>
      </c>
      <c r="F85" t="str">
        <f t="shared" si="3"/>
        <v>B</v>
      </c>
    </row>
    <row r="86" spans="1:6" x14ac:dyDescent="0.25">
      <c r="A86" s="21" t="s">
        <v>733</v>
      </c>
      <c r="B86" t="s">
        <v>1040</v>
      </c>
      <c r="C86">
        <v>43084.872000000003</v>
      </c>
      <c r="D86">
        <f t="shared" si="2"/>
        <v>3.235452789399873E-2</v>
      </c>
      <c r="E86" s="24">
        <f>SUMIFS($D$2:D86,$A$2:A86,A86)</f>
        <v>0.97603886751609581</v>
      </c>
      <c r="F86" t="str">
        <f t="shared" si="3"/>
        <v>C</v>
      </c>
    </row>
    <row r="87" spans="1:6" x14ac:dyDescent="0.25">
      <c r="A87" s="21" t="s">
        <v>733</v>
      </c>
      <c r="B87" t="s">
        <v>916</v>
      </c>
      <c r="C87">
        <v>7689.4560000000001</v>
      </c>
      <c r="D87">
        <f t="shared" si="2"/>
        <v>5.7743868576811807E-3</v>
      </c>
      <c r="E87" s="24">
        <f>SUMIFS($D$2:D87,$A$2:A87,A87)</f>
        <v>0.98181325437377698</v>
      </c>
      <c r="F87" t="str">
        <f t="shared" si="3"/>
        <v>C</v>
      </c>
    </row>
    <row r="88" spans="1:6" x14ac:dyDescent="0.25">
      <c r="A88" s="21" t="s">
        <v>733</v>
      </c>
      <c r="B88" t="s">
        <v>1142</v>
      </c>
      <c r="C88">
        <v>23668.560000000001</v>
      </c>
      <c r="D88">
        <f t="shared" si="2"/>
        <v>1.7773873965107347E-2</v>
      </c>
      <c r="E88" s="24">
        <f>SUMIFS($D$2:D88,$A$2:A88,A88)</f>
        <v>0.9995871283388843</v>
      </c>
      <c r="F88" t="str">
        <f t="shared" si="3"/>
        <v>C</v>
      </c>
    </row>
    <row r="89" spans="1:6" x14ac:dyDescent="0.25">
      <c r="A89" s="22" t="s">
        <v>733</v>
      </c>
      <c r="B89" t="s">
        <v>843</v>
      </c>
      <c r="C89">
        <v>549.80010000000004</v>
      </c>
      <c r="D89">
        <f t="shared" si="2"/>
        <v>4.1287166111514249E-4</v>
      </c>
      <c r="E89" s="24">
        <f>SUMIFS($D$2:D89,$A$2:A89,A89)</f>
        <v>0.99999999999999944</v>
      </c>
      <c r="F89" t="str">
        <f t="shared" si="3"/>
        <v>C</v>
      </c>
    </row>
    <row r="90" spans="1:6" x14ac:dyDescent="0.25">
      <c r="A90" s="23" t="s">
        <v>1479</v>
      </c>
      <c r="B90" s="23"/>
      <c r="C90" s="23">
        <v>1331648.9160700005</v>
      </c>
      <c r="D90">
        <f t="shared" si="2"/>
        <v>1</v>
      </c>
      <c r="E90" s="24">
        <f>SUMIFS($D$2:D90,$A$2:A90,A90)</f>
        <v>1</v>
      </c>
      <c r="F90" t="str">
        <f t="shared" si="3"/>
        <v>C</v>
      </c>
    </row>
    <row r="91" spans="1:6" x14ac:dyDescent="0.25">
      <c r="A91" s="21" t="s">
        <v>727</v>
      </c>
      <c r="B91" t="s">
        <v>809</v>
      </c>
      <c r="C91">
        <v>6874.4828600000001</v>
      </c>
      <c r="D91">
        <f t="shared" si="2"/>
        <v>4.4476409366196136E-3</v>
      </c>
      <c r="E91" s="24">
        <f>SUMIFS($D$2:D91,$A$2:A91,A91)</f>
        <v>4.4476409366196136E-3</v>
      </c>
      <c r="F91" t="str">
        <f t="shared" si="3"/>
        <v>A</v>
      </c>
    </row>
    <row r="92" spans="1:6" x14ac:dyDescent="0.25">
      <c r="A92" s="21" t="s">
        <v>727</v>
      </c>
      <c r="B92" t="s">
        <v>903</v>
      </c>
      <c r="C92">
        <v>2316.2621999999997</v>
      </c>
      <c r="D92">
        <f t="shared" si="2"/>
        <v>1.4985712802642152E-3</v>
      </c>
      <c r="E92" s="24">
        <f>SUMIFS($D$2:D92,$A$2:A92,A92)</f>
        <v>5.9462122168838288E-3</v>
      </c>
      <c r="F92" t="str">
        <f t="shared" si="3"/>
        <v>A</v>
      </c>
    </row>
    <row r="93" spans="1:6" x14ac:dyDescent="0.25">
      <c r="A93" s="21" t="s">
        <v>727</v>
      </c>
      <c r="B93" t="s">
        <v>1247</v>
      </c>
      <c r="C93">
        <v>33308.550000000003</v>
      </c>
      <c r="D93">
        <f t="shared" si="2"/>
        <v>2.1549907612896605E-2</v>
      </c>
      <c r="E93" s="24">
        <f>SUMIFS($D$2:D93,$A$2:A93,A93)</f>
        <v>2.7496119829780435E-2</v>
      </c>
      <c r="F93" t="str">
        <f t="shared" si="3"/>
        <v>A</v>
      </c>
    </row>
    <row r="94" spans="1:6" x14ac:dyDescent="0.25">
      <c r="A94" s="21" t="s">
        <v>727</v>
      </c>
      <c r="B94" t="s">
        <v>1205</v>
      </c>
      <c r="C94">
        <v>15374.563199999999</v>
      </c>
      <c r="D94">
        <f t="shared" si="2"/>
        <v>9.9470080969793033E-3</v>
      </c>
      <c r="E94" s="24">
        <f>SUMIFS($D$2:D94,$A$2:A94,A94)</f>
        <v>3.7443127926759738E-2</v>
      </c>
      <c r="F94" t="str">
        <f t="shared" si="3"/>
        <v>A</v>
      </c>
    </row>
    <row r="95" spans="1:6" x14ac:dyDescent="0.25">
      <c r="A95" s="21" t="s">
        <v>727</v>
      </c>
      <c r="B95" t="s">
        <v>1313</v>
      </c>
      <c r="C95">
        <v>6137.8019999999988</v>
      </c>
      <c r="D95">
        <f t="shared" si="2"/>
        <v>3.9710244380572546E-3</v>
      </c>
      <c r="E95" s="24">
        <f>SUMIFS($D$2:D95,$A$2:A95,A95)</f>
        <v>4.1414152364816992E-2</v>
      </c>
      <c r="F95" t="str">
        <f t="shared" si="3"/>
        <v>A</v>
      </c>
    </row>
    <row r="96" spans="1:6" x14ac:dyDescent="0.25">
      <c r="A96" s="21" t="s">
        <v>727</v>
      </c>
      <c r="B96" t="s">
        <v>1341</v>
      </c>
      <c r="C96">
        <v>2077.46</v>
      </c>
      <c r="D96">
        <f t="shared" si="2"/>
        <v>1.344071449207131E-3</v>
      </c>
      <c r="E96" s="24">
        <f>SUMIFS($D$2:D96,$A$2:A96,A96)</f>
        <v>4.2758223814024124E-2</v>
      </c>
      <c r="F96" t="str">
        <f t="shared" si="3"/>
        <v>A</v>
      </c>
    </row>
    <row r="97" spans="1:6" x14ac:dyDescent="0.25">
      <c r="A97" s="21" t="s">
        <v>727</v>
      </c>
      <c r="B97" t="s">
        <v>1358</v>
      </c>
      <c r="C97">
        <v>13983.752729999998</v>
      </c>
      <c r="D97">
        <f t="shared" si="2"/>
        <v>9.0471839636697068E-3</v>
      </c>
      <c r="E97" s="24">
        <f>SUMIFS($D$2:D97,$A$2:A97,A97)</f>
        <v>5.1805407777693831E-2</v>
      </c>
      <c r="F97" t="str">
        <f t="shared" si="3"/>
        <v>A</v>
      </c>
    </row>
    <row r="98" spans="1:6" x14ac:dyDescent="0.25">
      <c r="A98" s="21" t="s">
        <v>727</v>
      </c>
      <c r="B98" t="s">
        <v>768</v>
      </c>
      <c r="C98">
        <v>27331.829999999998</v>
      </c>
      <c r="D98">
        <f t="shared" si="2"/>
        <v>1.7683099726388443E-2</v>
      </c>
      <c r="E98" s="24">
        <f>SUMIFS($D$2:D98,$A$2:A98,A98)</f>
        <v>6.9488507504082281E-2</v>
      </c>
      <c r="F98" t="str">
        <f t="shared" si="3"/>
        <v>A</v>
      </c>
    </row>
    <row r="99" spans="1:6" x14ac:dyDescent="0.25">
      <c r="A99" s="21" t="s">
        <v>727</v>
      </c>
      <c r="B99" t="s">
        <v>906</v>
      </c>
      <c r="C99">
        <v>97.0154</v>
      </c>
      <c r="D99">
        <f t="shared" si="2"/>
        <v>6.2766854367068197E-5</v>
      </c>
      <c r="E99" s="24">
        <f>SUMIFS($D$2:D99,$A$2:A99,A99)</f>
        <v>6.955127435844935E-2</v>
      </c>
      <c r="F99" t="str">
        <f t="shared" si="3"/>
        <v>A</v>
      </c>
    </row>
    <row r="100" spans="1:6" x14ac:dyDescent="0.25">
      <c r="A100" s="21" t="s">
        <v>727</v>
      </c>
      <c r="B100" t="s">
        <v>1361</v>
      </c>
      <c r="C100">
        <v>40476.013200000001</v>
      </c>
      <c r="D100">
        <f t="shared" si="2"/>
        <v>2.6187100459142878E-2</v>
      </c>
      <c r="E100" s="24">
        <f>SUMIFS($D$2:D100,$A$2:A100,A100)</f>
        <v>9.5738374817592231E-2</v>
      </c>
      <c r="F100" t="str">
        <f t="shared" si="3"/>
        <v>A</v>
      </c>
    </row>
    <row r="101" spans="1:6" x14ac:dyDescent="0.25">
      <c r="A101" s="21" t="s">
        <v>727</v>
      </c>
      <c r="B101" t="s">
        <v>1135</v>
      </c>
      <c r="C101">
        <v>16946.091840000001</v>
      </c>
      <c r="D101">
        <f t="shared" si="2"/>
        <v>1.0963752956873267E-2</v>
      </c>
      <c r="E101" s="24">
        <f>SUMIFS($D$2:D101,$A$2:A101,A101)</f>
        <v>0.1067021277744655</v>
      </c>
      <c r="F101" t="str">
        <f t="shared" si="3"/>
        <v>A</v>
      </c>
    </row>
    <row r="102" spans="1:6" x14ac:dyDescent="0.25">
      <c r="A102" s="21" t="s">
        <v>727</v>
      </c>
      <c r="B102" t="s">
        <v>860</v>
      </c>
      <c r="C102">
        <v>65111.38614000001</v>
      </c>
      <c r="D102">
        <f t="shared" si="2"/>
        <v>4.2125651097530116E-2</v>
      </c>
      <c r="E102" s="24">
        <f>SUMIFS($D$2:D102,$A$2:A102,A102)</f>
        <v>0.14882777887199561</v>
      </c>
      <c r="F102" t="str">
        <f t="shared" si="3"/>
        <v>A</v>
      </c>
    </row>
    <row r="103" spans="1:6" x14ac:dyDescent="0.25">
      <c r="A103" s="21" t="s">
        <v>727</v>
      </c>
      <c r="B103" t="s">
        <v>1125</v>
      </c>
      <c r="C103">
        <v>48097.911050000002</v>
      </c>
      <c r="D103">
        <f t="shared" si="2"/>
        <v>3.1118302643039664E-2</v>
      </c>
      <c r="E103" s="24">
        <f>SUMIFS($D$2:D103,$A$2:A103,A103)</f>
        <v>0.17994608151503527</v>
      </c>
      <c r="F103" t="str">
        <f t="shared" si="3"/>
        <v>A</v>
      </c>
    </row>
    <row r="104" spans="1:6" x14ac:dyDescent="0.25">
      <c r="A104" s="21" t="s">
        <v>727</v>
      </c>
      <c r="B104" t="s">
        <v>858</v>
      </c>
      <c r="C104">
        <v>2072.9258400000003</v>
      </c>
      <c r="D104">
        <f t="shared" si="2"/>
        <v>1.3411379462746381E-3</v>
      </c>
      <c r="E104" s="24">
        <f>SUMIFS($D$2:D104,$A$2:A104,A104)</f>
        <v>0.18128721946130991</v>
      </c>
      <c r="F104" t="str">
        <f t="shared" si="3"/>
        <v>A</v>
      </c>
    </row>
    <row r="105" spans="1:6" x14ac:dyDescent="0.25">
      <c r="A105" s="21" t="s">
        <v>727</v>
      </c>
      <c r="B105" t="s">
        <v>1218</v>
      </c>
      <c r="C105">
        <v>6063.2517199999993</v>
      </c>
      <c r="D105">
        <f t="shared" si="2"/>
        <v>3.9227920278648099E-3</v>
      </c>
      <c r="E105" s="24">
        <f>SUMIFS($D$2:D105,$A$2:A105,A105)</f>
        <v>0.18521001148917471</v>
      </c>
      <c r="F105" t="str">
        <f t="shared" si="3"/>
        <v>A</v>
      </c>
    </row>
    <row r="106" spans="1:6" x14ac:dyDescent="0.25">
      <c r="A106" s="21" t="s">
        <v>727</v>
      </c>
      <c r="B106" t="s">
        <v>1257</v>
      </c>
      <c r="C106">
        <v>6435.2555999999995</v>
      </c>
      <c r="D106">
        <f t="shared" si="2"/>
        <v>4.1634704496405729E-3</v>
      </c>
      <c r="E106" s="24">
        <f>SUMIFS($D$2:D106,$A$2:A106,A106)</f>
        <v>0.18937348193881529</v>
      </c>
      <c r="F106" t="str">
        <f t="shared" si="3"/>
        <v>A</v>
      </c>
    </row>
    <row r="107" spans="1:6" x14ac:dyDescent="0.25">
      <c r="A107" s="21" t="s">
        <v>727</v>
      </c>
      <c r="B107" t="s">
        <v>1111</v>
      </c>
      <c r="C107">
        <v>15348.702599999999</v>
      </c>
      <c r="D107">
        <f t="shared" si="2"/>
        <v>9.9302768510735485E-3</v>
      </c>
      <c r="E107" s="24">
        <f>SUMIFS($D$2:D107,$A$2:A107,A107)</f>
        <v>0.19930375878988885</v>
      </c>
      <c r="F107" t="str">
        <f t="shared" si="3"/>
        <v>A</v>
      </c>
    </row>
    <row r="108" spans="1:6" x14ac:dyDescent="0.25">
      <c r="A108" s="21" t="s">
        <v>727</v>
      </c>
      <c r="B108" t="s">
        <v>758</v>
      </c>
      <c r="C108">
        <v>24894.430559999997</v>
      </c>
      <c r="D108">
        <f t="shared" si="2"/>
        <v>1.6106155285765061E-2</v>
      </c>
      <c r="E108" s="24">
        <f>SUMIFS($D$2:D108,$A$2:A108,A108)</f>
        <v>0.21540991407565391</v>
      </c>
      <c r="F108" t="str">
        <f t="shared" si="3"/>
        <v>A</v>
      </c>
    </row>
    <row r="109" spans="1:6" x14ac:dyDescent="0.25">
      <c r="A109" s="21" t="s">
        <v>727</v>
      </c>
      <c r="B109" t="s">
        <v>821</v>
      </c>
      <c r="C109">
        <v>1654.8966000000003</v>
      </c>
      <c r="D109">
        <f t="shared" si="2"/>
        <v>1.0706821173211297E-3</v>
      </c>
      <c r="E109" s="24">
        <f>SUMIFS($D$2:D109,$A$2:A109,A109)</f>
        <v>0.21648059619297505</v>
      </c>
      <c r="F109" t="str">
        <f t="shared" si="3"/>
        <v>A</v>
      </c>
    </row>
    <row r="110" spans="1:6" x14ac:dyDescent="0.25">
      <c r="A110" s="21" t="s">
        <v>727</v>
      </c>
      <c r="B110" t="s">
        <v>816</v>
      </c>
      <c r="C110">
        <v>5331.6696000000002</v>
      </c>
      <c r="D110">
        <f t="shared" si="2"/>
        <v>3.4494743032191253E-3</v>
      </c>
      <c r="E110" s="24">
        <f>SUMIFS($D$2:D110,$A$2:A110,A110)</f>
        <v>0.21993007049619417</v>
      </c>
      <c r="F110" t="str">
        <f t="shared" si="3"/>
        <v>A</v>
      </c>
    </row>
    <row r="111" spans="1:6" x14ac:dyDescent="0.25">
      <c r="A111" s="21" t="s">
        <v>727</v>
      </c>
      <c r="B111" t="s">
        <v>1058</v>
      </c>
      <c r="C111">
        <v>26015.449459999996</v>
      </c>
      <c r="D111">
        <f t="shared" si="2"/>
        <v>1.6831430139438094E-2</v>
      </c>
      <c r="E111" s="24">
        <f>SUMIFS($D$2:D111,$A$2:A111,A111)</f>
        <v>0.23676150063563228</v>
      </c>
      <c r="F111" t="str">
        <f t="shared" si="3"/>
        <v>A</v>
      </c>
    </row>
    <row r="112" spans="1:6" x14ac:dyDescent="0.25">
      <c r="A112" s="21" t="s">
        <v>727</v>
      </c>
      <c r="B112" t="s">
        <v>1244</v>
      </c>
      <c r="C112">
        <v>3525.5505600000001</v>
      </c>
      <c r="D112">
        <f t="shared" si="2"/>
        <v>2.2809545552897347E-3</v>
      </c>
      <c r="E112" s="24">
        <f>SUMIFS($D$2:D112,$A$2:A112,A112)</f>
        <v>0.23904245519092202</v>
      </c>
      <c r="F112" t="str">
        <f t="shared" si="3"/>
        <v>A</v>
      </c>
    </row>
    <row r="113" spans="1:6" x14ac:dyDescent="0.25">
      <c r="A113" s="21" t="s">
        <v>727</v>
      </c>
      <c r="B113" t="s">
        <v>1101</v>
      </c>
      <c r="C113">
        <v>18554.370299999999</v>
      </c>
      <c r="D113">
        <f t="shared" si="2"/>
        <v>1.2004274151245629E-2</v>
      </c>
      <c r="E113" s="24">
        <f>SUMIFS($D$2:D113,$A$2:A113,A113)</f>
        <v>0.25104672934216765</v>
      </c>
      <c r="F113" t="str">
        <f t="shared" si="3"/>
        <v>A</v>
      </c>
    </row>
    <row r="114" spans="1:6" x14ac:dyDescent="0.25">
      <c r="A114" s="21" t="s">
        <v>727</v>
      </c>
      <c r="B114" t="s">
        <v>1192</v>
      </c>
      <c r="C114">
        <v>24321.57</v>
      </c>
      <c r="D114">
        <f t="shared" si="2"/>
        <v>1.5735526959312178E-2</v>
      </c>
      <c r="E114" s="24">
        <f>SUMIFS($D$2:D114,$A$2:A114,A114)</f>
        <v>0.26678225630147984</v>
      </c>
      <c r="F114" t="str">
        <f t="shared" si="3"/>
        <v>A</v>
      </c>
    </row>
    <row r="115" spans="1:6" x14ac:dyDescent="0.25">
      <c r="A115" s="21" t="s">
        <v>727</v>
      </c>
      <c r="B115" t="s">
        <v>746</v>
      </c>
      <c r="C115">
        <v>4968.5039999999999</v>
      </c>
      <c r="D115">
        <f t="shared" si="2"/>
        <v>3.2145140564301725E-3</v>
      </c>
      <c r="E115" s="24">
        <f>SUMIFS($D$2:D115,$A$2:A115,A115)</f>
        <v>0.26999677035791003</v>
      </c>
      <c r="F115" t="str">
        <f t="shared" si="3"/>
        <v>A</v>
      </c>
    </row>
    <row r="116" spans="1:6" x14ac:dyDescent="0.25">
      <c r="A116" s="21" t="s">
        <v>727</v>
      </c>
      <c r="B116" t="s">
        <v>870</v>
      </c>
      <c r="C116">
        <v>9698.1638399999993</v>
      </c>
      <c r="D116">
        <f t="shared" si="2"/>
        <v>6.2745011345956081E-3</v>
      </c>
      <c r="E116" s="24">
        <f>SUMIFS($D$2:D116,$A$2:A116,A116)</f>
        <v>0.27627127149250563</v>
      </c>
      <c r="F116" t="str">
        <f t="shared" si="3"/>
        <v>A</v>
      </c>
    </row>
    <row r="117" spans="1:6" x14ac:dyDescent="0.25">
      <c r="A117" s="21" t="s">
        <v>727</v>
      </c>
      <c r="B117" t="s">
        <v>743</v>
      </c>
      <c r="C117">
        <v>60928.502359999999</v>
      </c>
      <c r="D117">
        <f t="shared" si="2"/>
        <v>3.9419416241480119E-2</v>
      </c>
      <c r="E117" s="24">
        <f>SUMIFS($D$2:D117,$A$2:A117,A117)</f>
        <v>0.31569068773398573</v>
      </c>
      <c r="F117" t="str">
        <f t="shared" si="3"/>
        <v>A</v>
      </c>
    </row>
    <row r="118" spans="1:6" x14ac:dyDescent="0.25">
      <c r="A118" s="21" t="s">
        <v>727</v>
      </c>
      <c r="B118" t="s">
        <v>1028</v>
      </c>
      <c r="C118">
        <v>8903.4839999999986</v>
      </c>
      <c r="D118">
        <f t="shared" si="2"/>
        <v>5.7603605570612677E-3</v>
      </c>
      <c r="E118" s="24">
        <f>SUMIFS($D$2:D118,$A$2:A118,A118)</f>
        <v>0.32145104829104698</v>
      </c>
      <c r="F118" t="str">
        <f t="shared" si="3"/>
        <v>A</v>
      </c>
    </row>
    <row r="119" spans="1:6" x14ac:dyDescent="0.25">
      <c r="A119" s="21" t="s">
        <v>727</v>
      </c>
      <c r="B119" t="s">
        <v>891</v>
      </c>
      <c r="C119">
        <v>24147.922500000001</v>
      </c>
      <c r="D119">
        <f t="shared" si="2"/>
        <v>1.562318080247826E-2</v>
      </c>
      <c r="E119" s="24">
        <f>SUMIFS($D$2:D119,$A$2:A119,A119)</f>
        <v>0.33707422909352525</v>
      </c>
      <c r="F119" t="str">
        <f t="shared" si="3"/>
        <v>A</v>
      </c>
    </row>
    <row r="120" spans="1:6" x14ac:dyDescent="0.25">
      <c r="A120" s="21" t="s">
        <v>727</v>
      </c>
      <c r="B120" t="s">
        <v>1198</v>
      </c>
      <c r="C120">
        <v>84136.119600000005</v>
      </c>
      <c r="D120">
        <f t="shared" si="2"/>
        <v>5.443423998605821E-2</v>
      </c>
      <c r="E120" s="24">
        <f>SUMIFS($D$2:D120,$A$2:A120,A120)</f>
        <v>0.39150846907958348</v>
      </c>
      <c r="F120" t="str">
        <f t="shared" si="3"/>
        <v>A</v>
      </c>
    </row>
    <row r="121" spans="1:6" x14ac:dyDescent="0.25">
      <c r="A121" s="21" t="s">
        <v>727</v>
      </c>
      <c r="B121" t="s">
        <v>944</v>
      </c>
      <c r="C121">
        <v>18061.204320000004</v>
      </c>
      <c r="D121">
        <f t="shared" si="2"/>
        <v>1.1685206485231242E-2</v>
      </c>
      <c r="E121" s="24">
        <f>SUMIFS($D$2:D121,$A$2:A121,A121)</f>
        <v>0.40319367556481472</v>
      </c>
      <c r="F121" t="str">
        <f t="shared" si="3"/>
        <v>A</v>
      </c>
    </row>
    <row r="122" spans="1:6" x14ac:dyDescent="0.25">
      <c r="A122" s="21" t="s">
        <v>727</v>
      </c>
      <c r="B122" t="s">
        <v>1049</v>
      </c>
      <c r="C122">
        <v>8780.5809000000008</v>
      </c>
      <c r="D122">
        <f t="shared" si="2"/>
        <v>5.6808449236776908E-3</v>
      </c>
      <c r="E122" s="24">
        <f>SUMIFS($D$2:D122,$A$2:A122,A122)</f>
        <v>0.40887452048849243</v>
      </c>
      <c r="F122" t="str">
        <f t="shared" si="3"/>
        <v>A</v>
      </c>
    </row>
    <row r="123" spans="1:6" x14ac:dyDescent="0.25">
      <c r="A123" s="21" t="s">
        <v>727</v>
      </c>
      <c r="B123" t="s">
        <v>1201</v>
      </c>
      <c r="C123">
        <v>25269.09</v>
      </c>
      <c r="D123">
        <f t="shared" si="2"/>
        <v>1.6348551797120241E-2</v>
      </c>
      <c r="E123" s="24">
        <f>SUMIFS($D$2:D123,$A$2:A123,A123)</f>
        <v>0.42522307228561268</v>
      </c>
      <c r="F123" t="str">
        <f t="shared" si="3"/>
        <v>A</v>
      </c>
    </row>
    <row r="124" spans="1:6" x14ac:dyDescent="0.25">
      <c r="A124" s="21" t="s">
        <v>727</v>
      </c>
      <c r="B124" t="s">
        <v>819</v>
      </c>
      <c r="C124">
        <v>13146.470699999998</v>
      </c>
      <c r="D124">
        <f t="shared" si="2"/>
        <v>8.50548069551668E-3</v>
      </c>
      <c r="E124" s="24">
        <f>SUMIFS($D$2:D124,$A$2:A124,A124)</f>
        <v>0.43372855298112933</v>
      </c>
      <c r="F124" t="str">
        <f t="shared" si="3"/>
        <v>A</v>
      </c>
    </row>
    <row r="125" spans="1:6" x14ac:dyDescent="0.25">
      <c r="A125" s="21" t="s">
        <v>727</v>
      </c>
      <c r="B125" t="s">
        <v>895</v>
      </c>
      <c r="C125">
        <v>5650.1744000000008</v>
      </c>
      <c r="D125">
        <f t="shared" si="2"/>
        <v>3.655539983480323E-3</v>
      </c>
      <c r="E125" s="24">
        <f>SUMIFS($D$2:D125,$A$2:A125,A125)</f>
        <v>0.43738409296460967</v>
      </c>
      <c r="F125" t="str">
        <f t="shared" si="3"/>
        <v>A</v>
      </c>
    </row>
    <row r="126" spans="1:6" x14ac:dyDescent="0.25">
      <c r="A126" s="21" t="s">
        <v>727</v>
      </c>
      <c r="B126" t="s">
        <v>994</v>
      </c>
      <c r="C126">
        <v>22882.675440000003</v>
      </c>
      <c r="D126">
        <f t="shared" si="2"/>
        <v>1.4804593465278381E-2</v>
      </c>
      <c r="E126" s="24">
        <f>SUMIFS($D$2:D126,$A$2:A126,A126)</f>
        <v>0.45218868642988808</v>
      </c>
      <c r="F126" t="str">
        <f t="shared" si="3"/>
        <v>A</v>
      </c>
    </row>
    <row r="127" spans="1:6" x14ac:dyDescent="0.25">
      <c r="A127" s="21" t="s">
        <v>727</v>
      </c>
      <c r="B127" t="s">
        <v>1082</v>
      </c>
      <c r="C127">
        <v>27158.894079999998</v>
      </c>
      <c r="D127">
        <f t="shared" si="2"/>
        <v>1.7571213946342441E-2</v>
      </c>
      <c r="E127" s="24">
        <f>SUMIFS($D$2:D127,$A$2:A127,A127)</f>
        <v>0.4697599003762305</v>
      </c>
      <c r="F127" t="str">
        <f t="shared" si="3"/>
        <v>A</v>
      </c>
    </row>
    <row r="128" spans="1:6" x14ac:dyDescent="0.25">
      <c r="A128" s="21" t="s">
        <v>727</v>
      </c>
      <c r="B128" t="s">
        <v>990</v>
      </c>
      <c r="C128">
        <v>19073.059649999999</v>
      </c>
      <c r="D128">
        <f t="shared" si="2"/>
        <v>1.233985488268826E-2</v>
      </c>
      <c r="E128" s="24">
        <f>SUMIFS($D$2:D128,$A$2:A128,A128)</f>
        <v>0.48209975525891874</v>
      </c>
      <c r="F128" t="str">
        <f t="shared" si="3"/>
        <v>A</v>
      </c>
    </row>
    <row r="129" spans="1:6" x14ac:dyDescent="0.25">
      <c r="A129" s="21" t="s">
        <v>727</v>
      </c>
      <c r="B129" t="s">
        <v>1307</v>
      </c>
      <c r="C129">
        <v>496.98660000000001</v>
      </c>
      <c r="D129">
        <f t="shared" si="2"/>
        <v>3.2153952408158263E-4</v>
      </c>
      <c r="E129" s="24">
        <f>SUMIFS($D$2:D129,$A$2:A129,A129)</f>
        <v>0.48242129478300033</v>
      </c>
      <c r="F129" t="str">
        <f t="shared" si="3"/>
        <v>A</v>
      </c>
    </row>
    <row r="130" spans="1:6" x14ac:dyDescent="0.25">
      <c r="A130" s="21" t="s">
        <v>727</v>
      </c>
      <c r="B130" t="s">
        <v>954</v>
      </c>
      <c r="C130">
        <v>13519.529099999998</v>
      </c>
      <c r="D130">
        <f t="shared" si="2"/>
        <v>8.7468413688037202E-3</v>
      </c>
      <c r="E130" s="24">
        <f>SUMIFS($D$2:D130,$A$2:A130,A130)</f>
        <v>0.49116813615180405</v>
      </c>
      <c r="F130" t="str">
        <f t="shared" si="3"/>
        <v>A</v>
      </c>
    </row>
    <row r="131" spans="1:6" x14ac:dyDescent="0.25">
      <c r="A131" s="21" t="s">
        <v>727</v>
      </c>
      <c r="B131" t="s">
        <v>1351</v>
      </c>
      <c r="C131">
        <v>41419.524249999995</v>
      </c>
      <c r="D131">
        <f t="shared" ref="D131:D194" si="4">C131/SUMIFS($C:$C,$A:$A,A131)</f>
        <v>2.6797531593468656E-2</v>
      </c>
      <c r="E131" s="24">
        <f>SUMIFS($D$2:D131,$A$2:A131,A131)</f>
        <v>0.51796566774527275</v>
      </c>
      <c r="F131" t="str">
        <f t="shared" ref="F131:F194" si="5">IF(E131&lt;=0.8,"A",IF(E131&lt;=0.95,"B","C"))</f>
        <v>A</v>
      </c>
    </row>
    <row r="132" spans="1:6" x14ac:dyDescent="0.25">
      <c r="A132" s="21" t="s">
        <v>727</v>
      </c>
      <c r="B132" t="s">
        <v>1328</v>
      </c>
      <c r="C132">
        <v>8128.5187499999993</v>
      </c>
      <c r="D132">
        <f t="shared" si="4"/>
        <v>5.2589748905970922E-3</v>
      </c>
      <c r="E132" s="24">
        <f>SUMIFS($D$2:D132,$A$2:A132,A132)</f>
        <v>0.52322464263586987</v>
      </c>
      <c r="F132" t="str">
        <f t="shared" si="5"/>
        <v>A</v>
      </c>
    </row>
    <row r="133" spans="1:6" x14ac:dyDescent="0.25">
      <c r="A133" s="21" t="s">
        <v>727</v>
      </c>
      <c r="B133" t="s">
        <v>1060</v>
      </c>
      <c r="C133">
        <v>2373.9623200000001</v>
      </c>
      <c r="D133">
        <f t="shared" si="4"/>
        <v>1.5359020033143948E-3</v>
      </c>
      <c r="E133" s="24">
        <f>SUMIFS($D$2:D133,$A$2:A133,A133)</f>
        <v>0.52476054463918431</v>
      </c>
      <c r="F133" t="str">
        <f t="shared" si="5"/>
        <v>A</v>
      </c>
    </row>
    <row r="134" spans="1:6" x14ac:dyDescent="0.25">
      <c r="A134" s="21" t="s">
        <v>727</v>
      </c>
      <c r="B134" t="s">
        <v>808</v>
      </c>
      <c r="C134">
        <v>4427.9172000000008</v>
      </c>
      <c r="D134">
        <f t="shared" si="4"/>
        <v>2.8647661509599138E-3</v>
      </c>
      <c r="E134" s="24">
        <f>SUMIFS($D$2:D134,$A$2:A134,A134)</f>
        <v>0.52762531079014419</v>
      </c>
      <c r="F134" t="str">
        <f t="shared" si="5"/>
        <v>A</v>
      </c>
    </row>
    <row r="135" spans="1:6" x14ac:dyDescent="0.25">
      <c r="A135" s="21" t="s">
        <v>727</v>
      </c>
      <c r="B135" t="s">
        <v>905</v>
      </c>
      <c r="C135">
        <v>8928.9795999999988</v>
      </c>
      <c r="D135">
        <f t="shared" si="4"/>
        <v>5.7768556559033178E-3</v>
      </c>
      <c r="E135" s="24">
        <f>SUMIFS($D$2:D135,$A$2:A135,A135)</f>
        <v>0.53340216644604754</v>
      </c>
      <c r="F135" t="str">
        <f t="shared" si="5"/>
        <v>A</v>
      </c>
    </row>
    <row r="136" spans="1:6" x14ac:dyDescent="0.25">
      <c r="A136" s="21" t="s">
        <v>727</v>
      </c>
      <c r="B136" t="s">
        <v>1323</v>
      </c>
      <c r="C136">
        <v>11742.8703</v>
      </c>
      <c r="D136">
        <f t="shared" si="4"/>
        <v>7.5973817555921056E-3</v>
      </c>
      <c r="E136" s="24">
        <f>SUMIFS($D$2:D136,$A$2:A136,A136)</f>
        <v>0.54099954820163965</v>
      </c>
      <c r="F136" t="str">
        <f t="shared" si="5"/>
        <v>A</v>
      </c>
    </row>
    <row r="137" spans="1:6" x14ac:dyDescent="0.25">
      <c r="A137" s="21" t="s">
        <v>727</v>
      </c>
      <c r="B137" t="s">
        <v>1224</v>
      </c>
      <c r="C137">
        <v>6664.0999999999995</v>
      </c>
      <c r="D137">
        <f t="shared" si="4"/>
        <v>4.3115278006128832E-3</v>
      </c>
      <c r="E137" s="24">
        <f>SUMIFS($D$2:D137,$A$2:A137,A137)</f>
        <v>0.54531107600225248</v>
      </c>
      <c r="F137" t="str">
        <f t="shared" si="5"/>
        <v>A</v>
      </c>
    </row>
    <row r="138" spans="1:6" x14ac:dyDescent="0.25">
      <c r="A138" s="21" t="s">
        <v>727</v>
      </c>
      <c r="B138" t="s">
        <v>1252</v>
      </c>
      <c r="C138">
        <v>855.72881999999993</v>
      </c>
      <c r="D138">
        <f t="shared" si="4"/>
        <v>5.5363794018932152E-4</v>
      </c>
      <c r="E138" s="24">
        <f>SUMIFS($D$2:D138,$A$2:A138,A138)</f>
        <v>0.54586471394244185</v>
      </c>
      <c r="F138" t="str">
        <f t="shared" si="5"/>
        <v>A</v>
      </c>
    </row>
    <row r="139" spans="1:6" x14ac:dyDescent="0.25">
      <c r="A139" s="21" t="s">
        <v>727</v>
      </c>
      <c r="B139" t="s">
        <v>1197</v>
      </c>
      <c r="C139">
        <v>1808.04592</v>
      </c>
      <c r="D139">
        <f t="shared" si="4"/>
        <v>1.1697663973927008E-3</v>
      </c>
      <c r="E139" s="24">
        <f>SUMIFS($D$2:D139,$A$2:A139,A139)</f>
        <v>0.54703448033983459</v>
      </c>
      <c r="F139" t="str">
        <f t="shared" si="5"/>
        <v>A</v>
      </c>
    </row>
    <row r="140" spans="1:6" x14ac:dyDescent="0.25">
      <c r="A140" s="21" t="s">
        <v>727</v>
      </c>
      <c r="B140" t="s">
        <v>812</v>
      </c>
      <c r="C140">
        <v>21787.936199999996</v>
      </c>
      <c r="D140">
        <f t="shared" si="4"/>
        <v>1.4096320980219356E-2</v>
      </c>
      <c r="E140" s="24">
        <f>SUMIFS($D$2:D140,$A$2:A140,A140)</f>
        <v>0.561130801320054</v>
      </c>
      <c r="F140" t="str">
        <f t="shared" si="5"/>
        <v>A</v>
      </c>
    </row>
    <row r="141" spans="1:6" x14ac:dyDescent="0.25">
      <c r="A141" s="21" t="s">
        <v>727</v>
      </c>
      <c r="B141" t="s">
        <v>1253</v>
      </c>
      <c r="C141">
        <v>7399.4832000000006</v>
      </c>
      <c r="D141">
        <f t="shared" si="4"/>
        <v>4.7873047413706255E-3</v>
      </c>
      <c r="E141" s="24">
        <f>SUMIFS($D$2:D141,$A$2:A141,A141)</f>
        <v>0.56591810606142467</v>
      </c>
      <c r="F141" t="str">
        <f t="shared" si="5"/>
        <v>A</v>
      </c>
    </row>
    <row r="142" spans="1:6" x14ac:dyDescent="0.25">
      <c r="A142" s="21" t="s">
        <v>727</v>
      </c>
      <c r="B142" t="s">
        <v>1298</v>
      </c>
      <c r="C142">
        <v>17540.201120000002</v>
      </c>
      <c r="D142">
        <f t="shared" si="4"/>
        <v>1.1348128743149298E-2</v>
      </c>
      <c r="E142" s="24">
        <f>SUMIFS($D$2:D142,$A$2:A142,A142)</f>
        <v>0.57726623480457395</v>
      </c>
      <c r="F142" t="str">
        <f t="shared" si="5"/>
        <v>A</v>
      </c>
    </row>
    <row r="143" spans="1:6" x14ac:dyDescent="0.25">
      <c r="A143" s="21" t="s">
        <v>727</v>
      </c>
      <c r="B143" t="s">
        <v>778</v>
      </c>
      <c r="C143">
        <v>17930.494560000003</v>
      </c>
      <c r="D143">
        <f t="shared" si="4"/>
        <v>1.1600640112570051E-2</v>
      </c>
      <c r="E143" s="24">
        <f>SUMIFS($D$2:D143,$A$2:A143,A143)</f>
        <v>0.58886687491714396</v>
      </c>
      <c r="F143" t="str">
        <f t="shared" si="5"/>
        <v>A</v>
      </c>
    </row>
    <row r="144" spans="1:6" x14ac:dyDescent="0.25">
      <c r="A144" s="21" t="s">
        <v>727</v>
      </c>
      <c r="B144" t="s">
        <v>861</v>
      </c>
      <c r="C144">
        <v>853.32276999999988</v>
      </c>
      <c r="D144">
        <f t="shared" si="4"/>
        <v>5.5208127815473856E-4</v>
      </c>
      <c r="E144" s="24">
        <f>SUMIFS($D$2:D144,$A$2:A144,A144)</f>
        <v>0.58941895619529872</v>
      </c>
      <c r="F144" t="str">
        <f t="shared" si="5"/>
        <v>A</v>
      </c>
    </row>
    <row r="145" spans="1:6" x14ac:dyDescent="0.25">
      <c r="A145" s="21" t="s">
        <v>727</v>
      </c>
      <c r="B145" t="s">
        <v>859</v>
      </c>
      <c r="C145">
        <v>8909.8587200000002</v>
      </c>
      <c r="D145">
        <f t="shared" si="4"/>
        <v>5.7644848622939518E-3</v>
      </c>
      <c r="E145" s="24">
        <f>SUMIFS($D$2:D145,$A$2:A145,A145)</f>
        <v>0.59518344105759269</v>
      </c>
      <c r="F145" t="str">
        <f t="shared" si="5"/>
        <v>A</v>
      </c>
    </row>
    <row r="146" spans="1:6" x14ac:dyDescent="0.25">
      <c r="A146" s="21" t="s">
        <v>727</v>
      </c>
      <c r="B146" t="s">
        <v>844</v>
      </c>
      <c r="C146">
        <v>27676.35</v>
      </c>
      <c r="D146">
        <f t="shared" si="4"/>
        <v>1.7905996675393884E-2</v>
      </c>
      <c r="E146" s="24">
        <f>SUMIFS($D$2:D146,$A$2:A146,A146)</f>
        <v>0.61308943773298652</v>
      </c>
      <c r="F146" t="str">
        <f t="shared" si="5"/>
        <v>A</v>
      </c>
    </row>
    <row r="147" spans="1:6" x14ac:dyDescent="0.25">
      <c r="A147" s="21" t="s">
        <v>727</v>
      </c>
      <c r="B147" t="s">
        <v>1302</v>
      </c>
      <c r="C147">
        <v>3378.1478400000001</v>
      </c>
      <c r="D147">
        <f t="shared" si="4"/>
        <v>2.1855882004682349E-3</v>
      </c>
      <c r="E147" s="24">
        <f>SUMIFS($D$2:D147,$A$2:A147,A147)</f>
        <v>0.61527502593345473</v>
      </c>
      <c r="F147" t="str">
        <f t="shared" si="5"/>
        <v>A</v>
      </c>
    </row>
    <row r="148" spans="1:6" x14ac:dyDescent="0.25">
      <c r="A148" s="21" t="s">
        <v>727</v>
      </c>
      <c r="B148" t="s">
        <v>1238</v>
      </c>
      <c r="C148">
        <v>32335.21802</v>
      </c>
      <c r="D148">
        <f t="shared" si="4"/>
        <v>2.0920182985265628E-2</v>
      </c>
      <c r="E148" s="24">
        <f>SUMIFS($D$2:D148,$A$2:A148,A148)</f>
        <v>0.63619520891872039</v>
      </c>
      <c r="F148" t="str">
        <f t="shared" si="5"/>
        <v>A</v>
      </c>
    </row>
    <row r="149" spans="1:6" x14ac:dyDescent="0.25">
      <c r="A149" s="21" t="s">
        <v>727</v>
      </c>
      <c r="B149" t="s">
        <v>1193</v>
      </c>
      <c r="C149">
        <v>1662.6945600000001</v>
      </c>
      <c r="D149">
        <f t="shared" si="4"/>
        <v>1.0757272278879078E-3</v>
      </c>
      <c r="E149" s="24">
        <f>SUMIFS($D$2:D149,$A$2:A149,A149)</f>
        <v>0.63727093614660835</v>
      </c>
      <c r="F149" t="str">
        <f t="shared" si="5"/>
        <v>A</v>
      </c>
    </row>
    <row r="150" spans="1:6" x14ac:dyDescent="0.25">
      <c r="A150" s="21" t="s">
        <v>727</v>
      </c>
      <c r="B150" t="s">
        <v>1185</v>
      </c>
      <c r="C150">
        <v>23694.405119999999</v>
      </c>
      <c r="D150">
        <f t="shared" si="4"/>
        <v>1.5329764918573288E-2</v>
      </c>
      <c r="E150" s="24">
        <f>SUMIFS($D$2:D150,$A$2:A150,A150)</f>
        <v>0.65260070106518164</v>
      </c>
      <c r="F150" t="str">
        <f t="shared" si="5"/>
        <v>A</v>
      </c>
    </row>
    <row r="151" spans="1:6" x14ac:dyDescent="0.25">
      <c r="A151" s="21" t="s">
        <v>727</v>
      </c>
      <c r="B151" t="s">
        <v>1131</v>
      </c>
      <c r="C151">
        <v>13185.543</v>
      </c>
      <c r="D151">
        <f t="shared" si="4"/>
        <v>8.5307596240567513E-3</v>
      </c>
      <c r="E151" s="24">
        <f>SUMIFS($D$2:D151,$A$2:A151,A151)</f>
        <v>0.66113146068923845</v>
      </c>
      <c r="F151" t="str">
        <f t="shared" si="5"/>
        <v>A</v>
      </c>
    </row>
    <row r="152" spans="1:6" x14ac:dyDescent="0.25">
      <c r="A152" s="21" t="s">
        <v>727</v>
      </c>
      <c r="B152" t="s">
        <v>764</v>
      </c>
      <c r="C152">
        <v>9805.8573800000013</v>
      </c>
      <c r="D152">
        <f t="shared" si="4"/>
        <v>6.3441765133648983E-3</v>
      </c>
      <c r="E152" s="24">
        <f>SUMIFS($D$2:D152,$A$2:A152,A152)</f>
        <v>0.66747563720260339</v>
      </c>
      <c r="F152" t="str">
        <f t="shared" si="5"/>
        <v>A</v>
      </c>
    </row>
    <row r="153" spans="1:6" x14ac:dyDescent="0.25">
      <c r="A153" s="21" t="s">
        <v>727</v>
      </c>
      <c r="B153" t="s">
        <v>964</v>
      </c>
      <c r="C153">
        <v>667.15008</v>
      </c>
      <c r="D153">
        <f t="shared" si="4"/>
        <v>4.3163159572952227E-4</v>
      </c>
      <c r="E153" s="24">
        <f>SUMIFS($D$2:D153,$A$2:A153,A153)</f>
        <v>0.66790726879833295</v>
      </c>
      <c r="F153" t="str">
        <f t="shared" si="5"/>
        <v>A</v>
      </c>
    </row>
    <row r="154" spans="1:6" x14ac:dyDescent="0.25">
      <c r="A154" s="21" t="s">
        <v>727</v>
      </c>
      <c r="B154" t="s">
        <v>795</v>
      </c>
      <c r="C154">
        <v>27701.570400000001</v>
      </c>
      <c r="D154">
        <f t="shared" si="4"/>
        <v>1.7922313725819684E-2</v>
      </c>
      <c r="E154" s="24">
        <f>SUMIFS($D$2:D154,$A$2:A154,A154)</f>
        <v>0.6858295825241526</v>
      </c>
      <c r="F154" t="str">
        <f t="shared" si="5"/>
        <v>A</v>
      </c>
    </row>
    <row r="155" spans="1:6" x14ac:dyDescent="0.25">
      <c r="A155" s="21" t="s">
        <v>727</v>
      </c>
      <c r="B155" t="s">
        <v>1099</v>
      </c>
      <c r="C155">
        <v>21584.693520000001</v>
      </c>
      <c r="D155">
        <f t="shared" si="4"/>
        <v>1.3964827385421701E-2</v>
      </c>
      <c r="E155" s="24">
        <f>SUMIFS($D$2:D155,$A$2:A155,A155)</f>
        <v>0.69979440990957431</v>
      </c>
      <c r="F155" t="str">
        <f t="shared" si="5"/>
        <v>A</v>
      </c>
    </row>
    <row r="156" spans="1:6" x14ac:dyDescent="0.25">
      <c r="A156" s="21" t="s">
        <v>727</v>
      </c>
      <c r="B156" t="s">
        <v>956</v>
      </c>
      <c r="C156">
        <v>4503.4363999999996</v>
      </c>
      <c r="D156">
        <f t="shared" si="4"/>
        <v>2.9136254313248599E-3</v>
      </c>
      <c r="E156" s="24">
        <f>SUMIFS($D$2:D156,$A$2:A156,A156)</f>
        <v>0.70270803534089921</v>
      </c>
      <c r="F156" t="str">
        <f t="shared" si="5"/>
        <v>A</v>
      </c>
    </row>
    <row r="157" spans="1:6" x14ac:dyDescent="0.25">
      <c r="A157" s="21" t="s">
        <v>727</v>
      </c>
      <c r="B157" t="s">
        <v>940</v>
      </c>
      <c r="C157">
        <v>6702.3501999999999</v>
      </c>
      <c r="D157">
        <f t="shared" si="4"/>
        <v>4.3362748483281041E-3</v>
      </c>
      <c r="E157" s="24">
        <f>SUMIFS($D$2:D157,$A$2:A157,A157)</f>
        <v>0.70704431018922731</v>
      </c>
      <c r="F157" t="str">
        <f t="shared" si="5"/>
        <v>A</v>
      </c>
    </row>
    <row r="158" spans="1:6" x14ac:dyDescent="0.25">
      <c r="A158" s="21" t="s">
        <v>727</v>
      </c>
      <c r="B158" t="s">
        <v>803</v>
      </c>
      <c r="C158">
        <v>8930.7124999999996</v>
      </c>
      <c r="D158">
        <f t="shared" si="4"/>
        <v>5.7779768045243896E-3</v>
      </c>
      <c r="E158" s="24">
        <f>SUMIFS($D$2:D158,$A$2:A158,A158)</f>
        <v>0.71282228699375172</v>
      </c>
      <c r="F158" t="str">
        <f t="shared" si="5"/>
        <v>A</v>
      </c>
    </row>
    <row r="159" spans="1:6" x14ac:dyDescent="0.25">
      <c r="A159" s="21" t="s">
        <v>727</v>
      </c>
      <c r="B159" t="s">
        <v>984</v>
      </c>
      <c r="C159">
        <v>12186.368600000002</v>
      </c>
      <c r="D159">
        <f t="shared" si="4"/>
        <v>7.884315512584731E-3</v>
      </c>
      <c r="E159" s="24">
        <f>SUMIFS($D$2:D159,$A$2:A159,A159)</f>
        <v>0.72070660250633645</v>
      </c>
      <c r="F159" t="str">
        <f t="shared" si="5"/>
        <v>A</v>
      </c>
    </row>
    <row r="160" spans="1:6" x14ac:dyDescent="0.25">
      <c r="A160" s="21" t="s">
        <v>727</v>
      </c>
      <c r="B160" t="s">
        <v>770</v>
      </c>
      <c r="C160">
        <v>18957.37689</v>
      </c>
      <c r="D160">
        <f t="shared" si="4"/>
        <v>1.2265010652290811E-2</v>
      </c>
      <c r="E160" s="24">
        <f>SUMIFS($D$2:D160,$A$2:A160,A160)</f>
        <v>0.73297161315862724</v>
      </c>
      <c r="F160" t="str">
        <f t="shared" si="5"/>
        <v>A</v>
      </c>
    </row>
    <row r="161" spans="1:6" x14ac:dyDescent="0.25">
      <c r="A161" s="21" t="s">
        <v>727</v>
      </c>
      <c r="B161" t="s">
        <v>794</v>
      </c>
      <c r="C161">
        <v>33687.501800000005</v>
      </c>
      <c r="D161">
        <f t="shared" si="4"/>
        <v>2.1795081187841805E-2</v>
      </c>
      <c r="E161" s="24">
        <f>SUMIFS($D$2:D161,$A$2:A161,A161)</f>
        <v>0.75476669434646904</v>
      </c>
      <c r="F161" t="str">
        <f t="shared" si="5"/>
        <v>A</v>
      </c>
    </row>
    <row r="162" spans="1:6" x14ac:dyDescent="0.25">
      <c r="A162" s="21" t="s">
        <v>727</v>
      </c>
      <c r="B162" t="s">
        <v>839</v>
      </c>
      <c r="C162">
        <v>12080.215199999999</v>
      </c>
      <c r="D162">
        <f t="shared" si="4"/>
        <v>7.8156365709077472E-3</v>
      </c>
      <c r="E162" s="24">
        <f>SUMIFS($D$2:D162,$A$2:A162,A162)</f>
        <v>0.76258233091737682</v>
      </c>
      <c r="F162" t="str">
        <f t="shared" si="5"/>
        <v>A</v>
      </c>
    </row>
    <row r="163" spans="1:6" x14ac:dyDescent="0.25">
      <c r="A163" s="21" t="s">
        <v>727</v>
      </c>
      <c r="B163" t="s">
        <v>1245</v>
      </c>
      <c r="C163">
        <v>50296.415399999998</v>
      </c>
      <c r="D163">
        <f t="shared" si="4"/>
        <v>3.2540687154795689E-2</v>
      </c>
      <c r="E163" s="24">
        <f>SUMIFS($D$2:D163,$A$2:A163,A163)</f>
        <v>0.79512301807217245</v>
      </c>
      <c r="F163" t="str">
        <f t="shared" si="5"/>
        <v>A</v>
      </c>
    </row>
    <row r="164" spans="1:6" x14ac:dyDescent="0.25">
      <c r="A164" s="21" t="s">
        <v>727</v>
      </c>
      <c r="B164" t="s">
        <v>835</v>
      </c>
      <c r="C164">
        <v>6324.5775999999996</v>
      </c>
      <c r="D164">
        <f t="shared" si="4"/>
        <v>4.0918641901432316E-3</v>
      </c>
      <c r="E164" s="24">
        <f>SUMIFS($D$2:D164,$A$2:A164,A164)</f>
        <v>0.79921488226231563</v>
      </c>
      <c r="F164" t="str">
        <f t="shared" si="5"/>
        <v>A</v>
      </c>
    </row>
    <row r="165" spans="1:6" x14ac:dyDescent="0.25">
      <c r="A165" s="21" t="s">
        <v>727</v>
      </c>
      <c r="B165" t="s">
        <v>820</v>
      </c>
      <c r="C165">
        <v>14197.064400000001</v>
      </c>
      <c r="D165">
        <f t="shared" si="4"/>
        <v>9.1851919760645058E-3</v>
      </c>
      <c r="E165" s="24">
        <f>SUMIFS($D$2:D165,$A$2:A165,A165)</f>
        <v>0.80840007423838012</v>
      </c>
      <c r="F165" t="str">
        <f t="shared" si="5"/>
        <v>B</v>
      </c>
    </row>
    <row r="166" spans="1:6" x14ac:dyDescent="0.25">
      <c r="A166" s="21" t="s">
        <v>727</v>
      </c>
      <c r="B166" t="s">
        <v>968</v>
      </c>
      <c r="C166">
        <v>14269.848599999999</v>
      </c>
      <c r="D166">
        <f t="shared" si="4"/>
        <v>9.2322817708973201E-3</v>
      </c>
      <c r="E166" s="24">
        <f>SUMIFS($D$2:D166,$A$2:A166,A166)</f>
        <v>0.81763235600927742</v>
      </c>
      <c r="F166" t="str">
        <f t="shared" si="5"/>
        <v>B</v>
      </c>
    </row>
    <row r="167" spans="1:6" x14ac:dyDescent="0.25">
      <c r="A167" s="21" t="s">
        <v>727</v>
      </c>
      <c r="B167" t="s">
        <v>734</v>
      </c>
      <c r="C167">
        <v>4866.3287999999993</v>
      </c>
      <c r="D167">
        <f t="shared" si="4"/>
        <v>3.1484089236540761E-3</v>
      </c>
      <c r="E167" s="24">
        <f>SUMIFS($D$2:D167,$A$2:A167,A167)</f>
        <v>0.82078076493293151</v>
      </c>
      <c r="F167" t="str">
        <f t="shared" si="5"/>
        <v>B</v>
      </c>
    </row>
    <row r="168" spans="1:6" x14ac:dyDescent="0.25">
      <c r="A168" s="21" t="s">
        <v>727</v>
      </c>
      <c r="B168" t="s">
        <v>771</v>
      </c>
      <c r="C168">
        <v>11995.153920000001</v>
      </c>
      <c r="D168">
        <f t="shared" si="4"/>
        <v>7.7606037722589109E-3</v>
      </c>
      <c r="E168" s="24">
        <f>SUMIFS($D$2:D168,$A$2:A168,A168)</f>
        <v>0.82854136870519046</v>
      </c>
      <c r="F168" t="str">
        <f t="shared" si="5"/>
        <v>B</v>
      </c>
    </row>
    <row r="169" spans="1:6" x14ac:dyDescent="0.25">
      <c r="A169" s="21" t="s">
        <v>727</v>
      </c>
      <c r="B169" t="s">
        <v>1127</v>
      </c>
      <c r="C169">
        <v>19800.88896</v>
      </c>
      <c r="D169">
        <f t="shared" si="4"/>
        <v>1.2810744620862341E-2</v>
      </c>
      <c r="E169" s="24">
        <f>SUMIFS($D$2:D169,$A$2:A169,A169)</f>
        <v>0.84135211332605275</v>
      </c>
      <c r="F169" t="str">
        <f t="shared" si="5"/>
        <v>B</v>
      </c>
    </row>
    <row r="170" spans="1:6" x14ac:dyDescent="0.25">
      <c r="A170" s="21" t="s">
        <v>727</v>
      </c>
      <c r="B170" t="s">
        <v>1170</v>
      </c>
      <c r="C170">
        <v>7340.3891399999993</v>
      </c>
      <c r="D170">
        <f t="shared" si="4"/>
        <v>4.7490721694492715E-3</v>
      </c>
      <c r="E170" s="24">
        <f>SUMIFS($D$2:D170,$A$2:A170,A170)</f>
        <v>0.84610118549550206</v>
      </c>
      <c r="F170" t="str">
        <f t="shared" si="5"/>
        <v>B</v>
      </c>
    </row>
    <row r="171" spans="1:6" x14ac:dyDescent="0.25">
      <c r="A171" s="21" t="s">
        <v>727</v>
      </c>
      <c r="B171" t="s">
        <v>1137</v>
      </c>
      <c r="C171">
        <v>7832.0010999999995</v>
      </c>
      <c r="D171">
        <f t="shared" si="4"/>
        <v>5.0671344183131524E-3</v>
      </c>
      <c r="E171" s="24">
        <f>SUMIFS($D$2:D171,$A$2:A171,A171)</f>
        <v>0.85116831991381525</v>
      </c>
      <c r="F171" t="str">
        <f t="shared" si="5"/>
        <v>B</v>
      </c>
    </row>
    <row r="172" spans="1:6" x14ac:dyDescent="0.25">
      <c r="A172" s="21" t="s">
        <v>727</v>
      </c>
      <c r="B172" t="s">
        <v>1023</v>
      </c>
      <c r="C172">
        <v>10456.416880000001</v>
      </c>
      <c r="D172">
        <f t="shared" si="4"/>
        <v>6.7650743645680331E-3</v>
      </c>
      <c r="E172" s="24">
        <f>SUMIFS($D$2:D172,$A$2:A172,A172)</f>
        <v>0.85793339427838333</v>
      </c>
      <c r="F172" t="str">
        <f t="shared" si="5"/>
        <v>B</v>
      </c>
    </row>
    <row r="173" spans="1:6" x14ac:dyDescent="0.25">
      <c r="A173" s="21" t="s">
        <v>727</v>
      </c>
      <c r="B173" t="s">
        <v>1210</v>
      </c>
      <c r="C173">
        <v>4212.3745999999992</v>
      </c>
      <c r="D173">
        <f t="shared" si="4"/>
        <v>2.7253147753628503E-3</v>
      </c>
      <c r="E173" s="24">
        <f>SUMIFS($D$2:D173,$A$2:A173,A173)</f>
        <v>0.8606587090537462</v>
      </c>
      <c r="F173" t="str">
        <f t="shared" si="5"/>
        <v>B</v>
      </c>
    </row>
    <row r="174" spans="1:6" x14ac:dyDescent="0.25">
      <c r="A174" s="21" t="s">
        <v>727</v>
      </c>
      <c r="B174" t="s">
        <v>971</v>
      </c>
      <c r="C174">
        <v>139277.83032000001</v>
      </c>
      <c r="D174">
        <f t="shared" si="4"/>
        <v>9.0109727860284816E-2</v>
      </c>
      <c r="E174" s="24">
        <f>SUMIFS($D$2:D174,$A$2:A174,A174)</f>
        <v>0.95076843691403101</v>
      </c>
      <c r="F174" t="str">
        <f t="shared" si="5"/>
        <v>C</v>
      </c>
    </row>
    <row r="175" spans="1:6" x14ac:dyDescent="0.25">
      <c r="A175" s="21" t="s">
        <v>727</v>
      </c>
      <c r="B175" t="s">
        <v>1319</v>
      </c>
      <c r="C175">
        <v>25131.155999999999</v>
      </c>
      <c r="D175">
        <f t="shared" si="4"/>
        <v>1.6259311498257718E-2</v>
      </c>
      <c r="E175" s="24">
        <f>SUMIFS($D$2:D175,$A$2:A175,A175)</f>
        <v>0.96702774841228878</v>
      </c>
      <c r="F175" t="str">
        <f t="shared" si="5"/>
        <v>C</v>
      </c>
    </row>
    <row r="176" spans="1:6" x14ac:dyDescent="0.25">
      <c r="A176" s="21" t="s">
        <v>727</v>
      </c>
      <c r="B176" t="s">
        <v>911</v>
      </c>
      <c r="C176">
        <v>321.93290999999999</v>
      </c>
      <c r="D176">
        <f t="shared" si="4"/>
        <v>2.0828359289284455E-4</v>
      </c>
      <c r="E176" s="24">
        <f>SUMIFS($D$2:D176,$A$2:A176,A176)</f>
        <v>0.9672360320051816</v>
      </c>
      <c r="F176" t="str">
        <f t="shared" si="5"/>
        <v>C</v>
      </c>
    </row>
    <row r="177" spans="1:6" x14ac:dyDescent="0.25">
      <c r="A177" s="21" t="s">
        <v>727</v>
      </c>
      <c r="B177" t="s">
        <v>1034</v>
      </c>
      <c r="C177">
        <v>25577.274079999999</v>
      </c>
      <c r="D177">
        <f t="shared" si="4"/>
        <v>1.6547940195947738E-2</v>
      </c>
      <c r="E177" s="24">
        <f>SUMIFS($D$2:D177,$A$2:A177,A177)</f>
        <v>0.98378397220112934</v>
      </c>
      <c r="F177" t="str">
        <f t="shared" si="5"/>
        <v>C</v>
      </c>
    </row>
    <row r="178" spans="1:6" x14ac:dyDescent="0.25">
      <c r="A178" s="21" t="s">
        <v>727</v>
      </c>
      <c r="B178" t="s">
        <v>1001</v>
      </c>
      <c r="C178">
        <v>17594.028880000002</v>
      </c>
      <c r="D178">
        <f t="shared" si="4"/>
        <v>1.1382954133477282E-2</v>
      </c>
      <c r="E178" s="24">
        <f>SUMIFS($D$2:D178,$A$2:A178,A178)</f>
        <v>0.99516692633460657</v>
      </c>
      <c r="F178" t="str">
        <f t="shared" si="5"/>
        <v>C</v>
      </c>
    </row>
    <row r="179" spans="1:6" x14ac:dyDescent="0.25">
      <c r="A179" s="21" t="s">
        <v>727</v>
      </c>
      <c r="B179" t="s">
        <v>1293</v>
      </c>
      <c r="C179">
        <v>6766.9829999999993</v>
      </c>
      <c r="D179">
        <f t="shared" si="4"/>
        <v>4.3780908645990862E-3</v>
      </c>
      <c r="E179" s="24">
        <f>SUMIFS($D$2:D179,$A$2:A179,A179)</f>
        <v>0.99954501719920563</v>
      </c>
      <c r="F179" t="str">
        <f t="shared" si="5"/>
        <v>C</v>
      </c>
    </row>
    <row r="180" spans="1:6" x14ac:dyDescent="0.25">
      <c r="A180" s="22" t="s">
        <v>727</v>
      </c>
      <c r="B180" t="s">
        <v>1057</v>
      </c>
      <c r="C180">
        <v>703.2428000000001</v>
      </c>
      <c r="D180">
        <f t="shared" si="4"/>
        <v>4.5498280079543321E-4</v>
      </c>
      <c r="E180" s="24">
        <f>SUMIFS($D$2:D180,$A$2:A180,A180)</f>
        <v>1.0000000000000011</v>
      </c>
      <c r="F180" t="str">
        <f t="shared" si="5"/>
        <v>C</v>
      </c>
    </row>
    <row r="181" spans="1:6" x14ac:dyDescent="0.25">
      <c r="A181" s="23" t="s">
        <v>1480</v>
      </c>
      <c r="B181" s="23"/>
      <c r="C181" s="23">
        <v>1545646.997579999</v>
      </c>
      <c r="D181">
        <f t="shared" si="4"/>
        <v>1</v>
      </c>
      <c r="E181" s="24">
        <f>SUMIFS($D$2:D181,$A$2:A181,A181)</f>
        <v>1</v>
      </c>
      <c r="F181" t="str">
        <f t="shared" si="5"/>
        <v>C</v>
      </c>
    </row>
    <row r="182" spans="1:6" x14ac:dyDescent="0.25">
      <c r="A182" s="21" t="s">
        <v>731</v>
      </c>
      <c r="B182" t="s">
        <v>1209</v>
      </c>
      <c r="C182">
        <v>1009.2969000000002</v>
      </c>
      <c r="D182">
        <f t="shared" si="4"/>
        <v>5.8985460604204143E-4</v>
      </c>
      <c r="E182" s="24">
        <f>SUMIFS($D$2:D182,$A$2:A182,A182)</f>
        <v>5.8985460604204143E-4</v>
      </c>
      <c r="F182" t="str">
        <f t="shared" si="5"/>
        <v>A</v>
      </c>
    </row>
    <row r="183" spans="1:6" x14ac:dyDescent="0.25">
      <c r="A183" s="21" t="s">
        <v>731</v>
      </c>
      <c r="B183" t="s">
        <v>1211</v>
      </c>
      <c r="C183">
        <v>41914.215840000004</v>
      </c>
      <c r="D183">
        <f t="shared" si="4"/>
        <v>2.4495560495493736E-2</v>
      </c>
      <c r="E183" s="24">
        <f>SUMIFS($D$2:D183,$A$2:A183,A183)</f>
        <v>2.5085415101535776E-2</v>
      </c>
      <c r="F183" t="str">
        <f t="shared" si="5"/>
        <v>A</v>
      </c>
    </row>
    <row r="184" spans="1:6" x14ac:dyDescent="0.25">
      <c r="A184" s="21" t="s">
        <v>731</v>
      </c>
      <c r="B184" t="s">
        <v>1267</v>
      </c>
      <c r="C184">
        <v>42433.254400000005</v>
      </c>
      <c r="D184">
        <f t="shared" si="4"/>
        <v>2.4798897685303228E-2</v>
      </c>
      <c r="E184" s="24">
        <f>SUMIFS($D$2:D184,$A$2:A184,A184)</f>
        <v>4.9884312786839004E-2</v>
      </c>
      <c r="F184" t="str">
        <f t="shared" si="5"/>
        <v>A</v>
      </c>
    </row>
    <row r="185" spans="1:6" x14ac:dyDescent="0.25">
      <c r="A185" s="21" t="s">
        <v>731</v>
      </c>
      <c r="B185" t="s">
        <v>900</v>
      </c>
      <c r="C185">
        <v>14448.298699999998</v>
      </c>
      <c r="D185">
        <f t="shared" si="4"/>
        <v>8.4438935041475285E-3</v>
      </c>
      <c r="E185" s="24">
        <f>SUMIFS($D$2:D185,$A$2:A185,A185)</f>
        <v>5.8328206290986534E-2</v>
      </c>
      <c r="F185" t="str">
        <f t="shared" si="5"/>
        <v>A</v>
      </c>
    </row>
    <row r="186" spans="1:6" x14ac:dyDescent="0.25">
      <c r="A186" s="21" t="s">
        <v>731</v>
      </c>
      <c r="B186" t="s">
        <v>879</v>
      </c>
      <c r="C186">
        <v>12954.358080000002</v>
      </c>
      <c r="D186">
        <f t="shared" si="4"/>
        <v>7.5708027853904399E-3</v>
      </c>
      <c r="E186" s="24">
        <f>SUMIFS($D$2:D186,$A$2:A186,A186)</f>
        <v>6.5899009076376969E-2</v>
      </c>
      <c r="F186" t="str">
        <f t="shared" si="5"/>
        <v>A</v>
      </c>
    </row>
    <row r="187" spans="1:6" x14ac:dyDescent="0.25">
      <c r="A187" s="21" t="s">
        <v>731</v>
      </c>
      <c r="B187" t="s">
        <v>1029</v>
      </c>
      <c r="C187">
        <v>20455.985130000001</v>
      </c>
      <c r="D187">
        <f t="shared" si="4"/>
        <v>1.1954913415525211E-2</v>
      </c>
      <c r="E187" s="24">
        <f>SUMIFS($D$2:D187,$A$2:A187,A187)</f>
        <v>7.7853922491902178E-2</v>
      </c>
      <c r="F187" t="str">
        <f t="shared" si="5"/>
        <v>A</v>
      </c>
    </row>
    <row r="188" spans="1:6" x14ac:dyDescent="0.25">
      <c r="A188" s="21" t="s">
        <v>731</v>
      </c>
      <c r="B188" t="s">
        <v>749</v>
      </c>
      <c r="C188">
        <v>7090.5672000000004</v>
      </c>
      <c r="D188">
        <f t="shared" si="4"/>
        <v>4.1438784983592247E-3</v>
      </c>
      <c r="E188" s="24">
        <f>SUMIFS($D$2:D188,$A$2:A188,A188)</f>
        <v>8.1997800990261396E-2</v>
      </c>
      <c r="F188" t="str">
        <f t="shared" si="5"/>
        <v>A</v>
      </c>
    </row>
    <row r="189" spans="1:6" x14ac:dyDescent="0.25">
      <c r="A189" s="21" t="s">
        <v>731</v>
      </c>
      <c r="B189" t="s">
        <v>1261</v>
      </c>
      <c r="C189">
        <v>58526.83122</v>
      </c>
      <c r="D189">
        <f t="shared" si="4"/>
        <v>3.4204326766645324E-2</v>
      </c>
      <c r="E189" s="24">
        <f>SUMIFS($D$2:D189,$A$2:A189,A189)</f>
        <v>0.11620212775690672</v>
      </c>
      <c r="F189" t="str">
        <f t="shared" si="5"/>
        <v>A</v>
      </c>
    </row>
    <row r="190" spans="1:6" x14ac:dyDescent="0.25">
      <c r="A190" s="21" t="s">
        <v>731</v>
      </c>
      <c r="B190" t="s">
        <v>1179</v>
      </c>
      <c r="C190">
        <v>9771.4483199999995</v>
      </c>
      <c r="D190">
        <f t="shared" si="4"/>
        <v>5.7106425267468537E-3</v>
      </c>
      <c r="E190" s="24">
        <f>SUMIFS($D$2:D190,$A$2:A190,A190)</f>
        <v>0.12191277028365358</v>
      </c>
      <c r="F190" t="str">
        <f t="shared" si="5"/>
        <v>A</v>
      </c>
    </row>
    <row r="191" spans="1:6" x14ac:dyDescent="0.25">
      <c r="A191" s="21" t="s">
        <v>731</v>
      </c>
      <c r="B191" t="s">
        <v>1316</v>
      </c>
      <c r="C191">
        <v>3823.6151599999998</v>
      </c>
      <c r="D191">
        <f t="shared" si="4"/>
        <v>2.2346021412115473E-3</v>
      </c>
      <c r="E191" s="24">
        <f>SUMIFS($D$2:D191,$A$2:A191,A191)</f>
        <v>0.12414737242486512</v>
      </c>
      <c r="F191" t="str">
        <f t="shared" si="5"/>
        <v>A</v>
      </c>
    </row>
    <row r="192" spans="1:6" x14ac:dyDescent="0.25">
      <c r="A192" s="21" t="s">
        <v>731</v>
      </c>
      <c r="B192" t="s">
        <v>1273</v>
      </c>
      <c r="C192">
        <v>19581.87</v>
      </c>
      <c r="D192">
        <f t="shared" si="4"/>
        <v>1.1444061915197073E-2</v>
      </c>
      <c r="E192" s="24">
        <f>SUMIFS($D$2:D192,$A$2:A192,A192)</f>
        <v>0.13559143434006218</v>
      </c>
      <c r="F192" t="str">
        <f t="shared" si="5"/>
        <v>A</v>
      </c>
    </row>
    <row r="193" spans="1:6" x14ac:dyDescent="0.25">
      <c r="A193" s="21" t="s">
        <v>731</v>
      </c>
      <c r="B193" t="s">
        <v>1083</v>
      </c>
      <c r="C193">
        <v>12236.874600000001</v>
      </c>
      <c r="D193">
        <f t="shared" si="4"/>
        <v>7.151490157523384E-3</v>
      </c>
      <c r="E193" s="24">
        <f>SUMIFS($D$2:D193,$A$2:A193,A193)</f>
        <v>0.14274292449758558</v>
      </c>
      <c r="F193" t="str">
        <f t="shared" si="5"/>
        <v>A</v>
      </c>
    </row>
    <row r="194" spans="1:6" x14ac:dyDescent="0.25">
      <c r="A194" s="21" t="s">
        <v>731</v>
      </c>
      <c r="B194" t="s">
        <v>853</v>
      </c>
      <c r="C194">
        <v>592.92849000000001</v>
      </c>
      <c r="D194">
        <f t="shared" si="4"/>
        <v>3.4652003873196529E-4</v>
      </c>
      <c r="E194" s="24">
        <f>SUMIFS($D$2:D194,$A$2:A194,A194)</f>
        <v>0.14308944453631756</v>
      </c>
      <c r="F194" t="str">
        <f t="shared" si="5"/>
        <v>A</v>
      </c>
    </row>
    <row r="195" spans="1:6" x14ac:dyDescent="0.25">
      <c r="A195" s="21" t="s">
        <v>731</v>
      </c>
      <c r="B195" t="s">
        <v>1013</v>
      </c>
      <c r="C195">
        <v>8907.6924999999992</v>
      </c>
      <c r="D195">
        <f t="shared" ref="D195:D258" si="6">C195/SUMIFS($C:$C,$A:$A,A195)</f>
        <v>5.2058452278325104E-3</v>
      </c>
      <c r="E195" s="24">
        <f>SUMIFS($D$2:D195,$A$2:A195,A195)</f>
        <v>0.14829528976415007</v>
      </c>
      <c r="F195" t="str">
        <f t="shared" ref="F195:F258" si="7">IF(E195&lt;=0.8,"A",IF(E195&lt;=0.95,"B","C"))</f>
        <v>A</v>
      </c>
    </row>
    <row r="196" spans="1:6" x14ac:dyDescent="0.25">
      <c r="A196" s="21" t="s">
        <v>731</v>
      </c>
      <c r="B196" t="s">
        <v>980</v>
      </c>
      <c r="C196">
        <v>9774.3888000000006</v>
      </c>
      <c r="D196">
        <f t="shared" si="6"/>
        <v>5.7123610058900827E-3</v>
      </c>
      <c r="E196" s="24">
        <f>SUMIFS($D$2:D196,$A$2:A196,A196)</f>
        <v>0.15400765077004017</v>
      </c>
      <c r="F196" t="str">
        <f t="shared" si="7"/>
        <v>A</v>
      </c>
    </row>
    <row r="197" spans="1:6" x14ac:dyDescent="0.25">
      <c r="A197" s="21" t="s">
        <v>731</v>
      </c>
      <c r="B197" t="s">
        <v>1118</v>
      </c>
      <c r="C197">
        <v>22064.910300000003</v>
      </c>
      <c r="D197">
        <f t="shared" si="6"/>
        <v>1.2895203554434263E-2</v>
      </c>
      <c r="E197" s="24">
        <f>SUMIFS($D$2:D197,$A$2:A197,A197)</f>
        <v>0.16690285432447444</v>
      </c>
      <c r="F197" t="str">
        <f t="shared" si="7"/>
        <v>A</v>
      </c>
    </row>
    <row r="198" spans="1:6" x14ac:dyDescent="0.25">
      <c r="A198" s="21" t="s">
        <v>731</v>
      </c>
      <c r="B198" t="s">
        <v>973</v>
      </c>
      <c r="C198">
        <v>3823.5108</v>
      </c>
      <c r="D198">
        <f t="shared" si="6"/>
        <v>2.2345411510047149E-3</v>
      </c>
      <c r="E198" s="24">
        <f>SUMIFS($D$2:D198,$A$2:A198,A198)</f>
        <v>0.16913739547547915</v>
      </c>
      <c r="F198" t="str">
        <f t="shared" si="7"/>
        <v>A</v>
      </c>
    </row>
    <row r="199" spans="1:6" x14ac:dyDescent="0.25">
      <c r="A199" s="21" t="s">
        <v>731</v>
      </c>
      <c r="B199" t="s">
        <v>1104</v>
      </c>
      <c r="C199">
        <v>4133.25108</v>
      </c>
      <c r="D199">
        <f t="shared" si="6"/>
        <v>2.4155599679997453E-3</v>
      </c>
      <c r="E199" s="24">
        <f>SUMIFS($D$2:D199,$A$2:A199,A199)</f>
        <v>0.1715529554434789</v>
      </c>
      <c r="F199" t="str">
        <f t="shared" si="7"/>
        <v>A</v>
      </c>
    </row>
    <row r="200" spans="1:6" x14ac:dyDescent="0.25">
      <c r="A200" s="21" t="s">
        <v>731</v>
      </c>
      <c r="B200" t="s">
        <v>1363</v>
      </c>
      <c r="C200">
        <v>266.17821999999995</v>
      </c>
      <c r="D200">
        <f t="shared" si="6"/>
        <v>1.5556022127391036E-4</v>
      </c>
      <c r="E200" s="24">
        <f>SUMIFS($D$2:D200,$A$2:A200,A200)</f>
        <v>0.17170851566475281</v>
      </c>
      <c r="F200" t="str">
        <f t="shared" si="7"/>
        <v>A</v>
      </c>
    </row>
    <row r="201" spans="1:6" x14ac:dyDescent="0.25">
      <c r="A201" s="21" t="s">
        <v>731</v>
      </c>
      <c r="B201" t="s">
        <v>1215</v>
      </c>
      <c r="C201">
        <v>36161.097000000002</v>
      </c>
      <c r="D201">
        <f t="shared" si="6"/>
        <v>2.113331530591548E-2</v>
      </c>
      <c r="E201" s="24">
        <f>SUMIFS($D$2:D201,$A$2:A201,A201)</f>
        <v>0.19284183097066829</v>
      </c>
      <c r="F201" t="str">
        <f t="shared" si="7"/>
        <v>A</v>
      </c>
    </row>
    <row r="202" spans="1:6" x14ac:dyDescent="0.25">
      <c r="A202" s="21" t="s">
        <v>731</v>
      </c>
      <c r="B202" t="s">
        <v>880</v>
      </c>
      <c r="C202">
        <v>3562.9028999999996</v>
      </c>
      <c r="D202">
        <f t="shared" si="6"/>
        <v>2.0822363433847329E-3</v>
      </c>
      <c r="E202" s="24">
        <f>SUMIFS($D$2:D202,$A$2:A202,A202)</f>
        <v>0.19492406731405301</v>
      </c>
      <c r="F202" t="str">
        <f t="shared" si="7"/>
        <v>A</v>
      </c>
    </row>
    <row r="203" spans="1:6" x14ac:dyDescent="0.25">
      <c r="A203" s="21" t="s">
        <v>731</v>
      </c>
      <c r="B203" t="s">
        <v>753</v>
      </c>
      <c r="C203">
        <v>39263.702919999996</v>
      </c>
      <c r="D203">
        <f t="shared" si="6"/>
        <v>2.2946544290018474E-2</v>
      </c>
      <c r="E203" s="24">
        <f>SUMIFS($D$2:D203,$A$2:A203,A203)</f>
        <v>0.21787061160407148</v>
      </c>
      <c r="F203" t="str">
        <f t="shared" si="7"/>
        <v>A</v>
      </c>
    </row>
    <row r="204" spans="1:6" x14ac:dyDescent="0.25">
      <c r="A204" s="21" t="s">
        <v>731</v>
      </c>
      <c r="B204" t="s">
        <v>798</v>
      </c>
      <c r="C204">
        <v>26304.275999999998</v>
      </c>
      <c r="D204">
        <f t="shared" si="6"/>
        <v>1.5372779166567463E-2</v>
      </c>
      <c r="E204" s="24">
        <f>SUMIFS($D$2:D204,$A$2:A204,A204)</f>
        <v>0.23324339077063894</v>
      </c>
      <c r="F204" t="str">
        <f t="shared" si="7"/>
        <v>A</v>
      </c>
    </row>
    <row r="205" spans="1:6" x14ac:dyDescent="0.25">
      <c r="A205" s="21" t="s">
        <v>731</v>
      </c>
      <c r="B205" t="s">
        <v>998</v>
      </c>
      <c r="C205">
        <v>40139.874619999995</v>
      </c>
      <c r="D205">
        <f t="shared" si="6"/>
        <v>2.3458597693658857E-2</v>
      </c>
      <c r="E205" s="24">
        <f>SUMIFS($D$2:D205,$A$2:A205,A205)</f>
        <v>0.25670198846429781</v>
      </c>
      <c r="F205" t="str">
        <f t="shared" si="7"/>
        <v>A</v>
      </c>
    </row>
    <row r="206" spans="1:6" x14ac:dyDescent="0.25">
      <c r="A206" s="21" t="s">
        <v>731</v>
      </c>
      <c r="B206" t="s">
        <v>1241</v>
      </c>
      <c r="C206">
        <v>3921.1744000000008</v>
      </c>
      <c r="D206">
        <f t="shared" si="6"/>
        <v>2.2916178390463087E-3</v>
      </c>
      <c r="E206" s="24">
        <f>SUMIFS($D$2:D206,$A$2:A206,A206)</f>
        <v>0.25899360630334411</v>
      </c>
      <c r="F206" t="str">
        <f t="shared" si="7"/>
        <v>A</v>
      </c>
    </row>
    <row r="207" spans="1:6" x14ac:dyDescent="0.25">
      <c r="A207" s="21" t="s">
        <v>731</v>
      </c>
      <c r="B207" t="s">
        <v>1305</v>
      </c>
      <c r="C207">
        <v>19139.594240000002</v>
      </c>
      <c r="D207">
        <f t="shared" si="6"/>
        <v>1.1185586540729221E-2</v>
      </c>
      <c r="E207" s="24">
        <f>SUMIFS($D$2:D207,$A$2:A207,A207)</f>
        <v>0.27017919284407332</v>
      </c>
      <c r="F207" t="str">
        <f t="shared" si="7"/>
        <v>A</v>
      </c>
    </row>
    <row r="208" spans="1:6" x14ac:dyDescent="0.25">
      <c r="A208" s="21" t="s">
        <v>731</v>
      </c>
      <c r="B208" t="s">
        <v>1079</v>
      </c>
      <c r="C208">
        <v>13637.287999999999</v>
      </c>
      <c r="D208">
        <f t="shared" si="6"/>
        <v>7.9699215768143719E-3</v>
      </c>
      <c r="E208" s="24">
        <f>SUMIFS($D$2:D208,$A$2:A208,A208)</f>
        <v>0.27814911442088769</v>
      </c>
      <c r="F208" t="str">
        <f t="shared" si="7"/>
        <v>A</v>
      </c>
    </row>
    <row r="209" spans="1:6" x14ac:dyDescent="0.25">
      <c r="A209" s="21" t="s">
        <v>731</v>
      </c>
      <c r="B209" t="s">
        <v>833</v>
      </c>
      <c r="C209">
        <v>25502.910479999999</v>
      </c>
      <c r="D209">
        <f t="shared" si="6"/>
        <v>1.4904444087865372E-2</v>
      </c>
      <c r="E209" s="24">
        <f>SUMIFS($D$2:D209,$A$2:A209,A209)</f>
        <v>0.29305355850875309</v>
      </c>
      <c r="F209" t="str">
        <f t="shared" si="7"/>
        <v>A</v>
      </c>
    </row>
    <row r="210" spans="1:6" x14ac:dyDescent="0.25">
      <c r="A210" s="21" t="s">
        <v>731</v>
      </c>
      <c r="B210" t="s">
        <v>787</v>
      </c>
      <c r="C210">
        <v>2518.8755800000004</v>
      </c>
      <c r="D210">
        <f t="shared" si="6"/>
        <v>1.4720845401485121E-3</v>
      </c>
      <c r="E210" s="24">
        <f>SUMIFS($D$2:D210,$A$2:A210,A210)</f>
        <v>0.29452564304890161</v>
      </c>
      <c r="F210" t="str">
        <f t="shared" si="7"/>
        <v>A</v>
      </c>
    </row>
    <row r="211" spans="1:6" x14ac:dyDescent="0.25">
      <c r="A211" s="21" t="s">
        <v>731</v>
      </c>
      <c r="B211" t="s">
        <v>1096</v>
      </c>
      <c r="C211">
        <v>82514.711519999997</v>
      </c>
      <c r="D211">
        <f t="shared" si="6"/>
        <v>4.8223354947689118E-2</v>
      </c>
      <c r="E211" s="24">
        <f>SUMIFS($D$2:D211,$A$2:A211,A211)</f>
        <v>0.34274899799659075</v>
      </c>
      <c r="F211" t="str">
        <f t="shared" si="7"/>
        <v>A</v>
      </c>
    </row>
    <row r="212" spans="1:6" x14ac:dyDescent="0.25">
      <c r="A212" s="21" t="s">
        <v>731</v>
      </c>
      <c r="B212" t="s">
        <v>1248</v>
      </c>
      <c r="C212">
        <v>10859.64</v>
      </c>
      <c r="D212">
        <f t="shared" si="6"/>
        <v>6.3466049226529814E-3</v>
      </c>
      <c r="E212" s="24">
        <f>SUMIFS($D$2:D212,$A$2:A212,A212)</f>
        <v>0.34909560291924374</v>
      </c>
      <c r="F212" t="str">
        <f t="shared" si="7"/>
        <v>A</v>
      </c>
    </row>
    <row r="213" spans="1:6" x14ac:dyDescent="0.25">
      <c r="A213" s="21" t="s">
        <v>731</v>
      </c>
      <c r="B213" t="s">
        <v>1315</v>
      </c>
      <c r="C213">
        <v>40563.321749999996</v>
      </c>
      <c r="D213">
        <f t="shared" si="6"/>
        <v>2.3706069215711272E-2</v>
      </c>
      <c r="E213" s="24">
        <f>SUMIFS($D$2:D213,$A$2:A213,A213)</f>
        <v>0.37280167213495502</v>
      </c>
      <c r="F213" t="str">
        <f t="shared" si="7"/>
        <v>A</v>
      </c>
    </row>
    <row r="214" spans="1:6" x14ac:dyDescent="0.25">
      <c r="A214" s="21" t="s">
        <v>731</v>
      </c>
      <c r="B214" t="s">
        <v>805</v>
      </c>
      <c r="C214">
        <v>6393.0952799999995</v>
      </c>
      <c r="D214">
        <f t="shared" si="6"/>
        <v>3.7362610523956172E-3</v>
      </c>
      <c r="E214" s="24">
        <f>SUMIFS($D$2:D214,$A$2:A214,A214)</f>
        <v>0.37653793318735063</v>
      </c>
      <c r="F214" t="str">
        <f t="shared" si="7"/>
        <v>A</v>
      </c>
    </row>
    <row r="215" spans="1:6" x14ac:dyDescent="0.25">
      <c r="A215" s="21" t="s">
        <v>731</v>
      </c>
      <c r="B215" t="s">
        <v>1043</v>
      </c>
      <c r="C215">
        <v>9847.2358600000007</v>
      </c>
      <c r="D215">
        <f t="shared" si="6"/>
        <v>5.7549343793717811E-3</v>
      </c>
      <c r="E215" s="24">
        <f>SUMIFS($D$2:D215,$A$2:A215,A215)</f>
        <v>0.38229286756672243</v>
      </c>
      <c r="F215" t="str">
        <f t="shared" si="7"/>
        <v>A</v>
      </c>
    </row>
    <row r="216" spans="1:6" x14ac:dyDescent="0.25">
      <c r="A216" s="21" t="s">
        <v>731</v>
      </c>
      <c r="B216" t="s">
        <v>1038</v>
      </c>
      <c r="C216">
        <v>5932.7856000000002</v>
      </c>
      <c r="D216">
        <f t="shared" si="6"/>
        <v>3.467246270963377E-3</v>
      </c>
      <c r="E216" s="24">
        <f>SUMIFS($D$2:D216,$A$2:A216,A216)</f>
        <v>0.38576011383768583</v>
      </c>
      <c r="F216" t="str">
        <f t="shared" si="7"/>
        <v>A</v>
      </c>
    </row>
    <row r="217" spans="1:6" x14ac:dyDescent="0.25">
      <c r="A217" s="21" t="s">
        <v>731</v>
      </c>
      <c r="B217" t="s">
        <v>1276</v>
      </c>
      <c r="C217">
        <v>14114.068500000001</v>
      </c>
      <c r="D217">
        <f t="shared" si="6"/>
        <v>8.2485622562775002E-3</v>
      </c>
      <c r="E217" s="24">
        <f>SUMIFS($D$2:D217,$A$2:A217,A217)</f>
        <v>0.39400867609396334</v>
      </c>
      <c r="F217" t="str">
        <f t="shared" si="7"/>
        <v>A</v>
      </c>
    </row>
    <row r="218" spans="1:6" x14ac:dyDescent="0.25">
      <c r="A218" s="21" t="s">
        <v>731</v>
      </c>
      <c r="B218" t="s">
        <v>976</v>
      </c>
      <c r="C218">
        <v>34082.864639999993</v>
      </c>
      <c r="D218">
        <f t="shared" si="6"/>
        <v>1.9918752049086268E-2</v>
      </c>
      <c r="E218" s="24">
        <f>SUMIFS($D$2:D218,$A$2:A218,A218)</f>
        <v>0.41392742814304961</v>
      </c>
      <c r="F218" t="str">
        <f t="shared" si="7"/>
        <v>A</v>
      </c>
    </row>
    <row r="219" spans="1:6" x14ac:dyDescent="0.25">
      <c r="A219" s="21" t="s">
        <v>731</v>
      </c>
      <c r="B219" t="s">
        <v>1191</v>
      </c>
      <c r="C219">
        <v>7643.2649999999994</v>
      </c>
      <c r="D219">
        <f t="shared" si="6"/>
        <v>4.4668868649551221E-3</v>
      </c>
      <c r="E219" s="24">
        <f>SUMIFS($D$2:D219,$A$2:A219,A219)</f>
        <v>0.41839431500800472</v>
      </c>
      <c r="F219" t="str">
        <f t="shared" si="7"/>
        <v>A</v>
      </c>
    </row>
    <row r="220" spans="1:6" x14ac:dyDescent="0.25">
      <c r="A220" s="21" t="s">
        <v>731</v>
      </c>
      <c r="B220" t="s">
        <v>1337</v>
      </c>
      <c r="C220">
        <v>7071.6331400000008</v>
      </c>
      <c r="D220">
        <f t="shared" si="6"/>
        <v>4.1328130304061619E-3</v>
      </c>
      <c r="E220" s="24">
        <f>SUMIFS($D$2:D220,$A$2:A220,A220)</f>
        <v>0.42252712803841086</v>
      </c>
      <c r="F220" t="str">
        <f t="shared" si="7"/>
        <v>A</v>
      </c>
    </row>
    <row r="221" spans="1:6" x14ac:dyDescent="0.25">
      <c r="A221" s="21" t="s">
        <v>731</v>
      </c>
      <c r="B221" t="s">
        <v>757</v>
      </c>
      <c r="C221">
        <v>20225.2248</v>
      </c>
      <c r="D221">
        <f t="shared" si="6"/>
        <v>1.1820052163556359E-2</v>
      </c>
      <c r="E221" s="24">
        <f>SUMIFS($D$2:D221,$A$2:A221,A221)</f>
        <v>0.43434718020196722</v>
      </c>
      <c r="F221" t="str">
        <f t="shared" si="7"/>
        <v>A</v>
      </c>
    </row>
    <row r="222" spans="1:6" x14ac:dyDescent="0.25">
      <c r="A222" s="21" t="s">
        <v>731</v>
      </c>
      <c r="B222" t="s">
        <v>989</v>
      </c>
      <c r="C222">
        <v>24161.205600000001</v>
      </c>
      <c r="D222">
        <f t="shared" si="6"/>
        <v>1.4120323178133972E-2</v>
      </c>
      <c r="E222" s="24">
        <f>SUMIFS($D$2:D222,$A$2:A222,A222)</f>
        <v>0.44846750338010122</v>
      </c>
      <c r="F222" t="str">
        <f t="shared" si="7"/>
        <v>A</v>
      </c>
    </row>
    <row r="223" spans="1:6" x14ac:dyDescent="0.25">
      <c r="A223" s="21" t="s">
        <v>731</v>
      </c>
      <c r="B223" t="s">
        <v>1242</v>
      </c>
      <c r="C223">
        <v>8297.4286000000011</v>
      </c>
      <c r="D223">
        <f t="shared" si="6"/>
        <v>4.8491940062581861E-3</v>
      </c>
      <c r="E223" s="24">
        <f>SUMIFS($D$2:D223,$A$2:A223,A223)</f>
        <v>0.45331669738635938</v>
      </c>
      <c r="F223" t="str">
        <f t="shared" si="7"/>
        <v>A</v>
      </c>
    </row>
    <row r="224" spans="1:6" x14ac:dyDescent="0.25">
      <c r="A224" s="21" t="s">
        <v>731</v>
      </c>
      <c r="B224" t="s">
        <v>838</v>
      </c>
      <c r="C224">
        <v>12335.654849999999</v>
      </c>
      <c r="D224">
        <f t="shared" si="6"/>
        <v>7.2092194396092433E-3</v>
      </c>
      <c r="E224" s="24">
        <f>SUMIFS($D$2:D224,$A$2:A224,A224)</f>
        <v>0.46052591682596861</v>
      </c>
      <c r="F224" t="str">
        <f t="shared" si="7"/>
        <v>A</v>
      </c>
    </row>
    <row r="225" spans="1:6" x14ac:dyDescent="0.25">
      <c r="A225" s="21" t="s">
        <v>731</v>
      </c>
      <c r="B225" t="s">
        <v>924</v>
      </c>
      <c r="C225">
        <v>19542.975350000001</v>
      </c>
      <c r="D225">
        <f t="shared" si="6"/>
        <v>1.1421331053294206E-2</v>
      </c>
      <c r="E225" s="24">
        <f>SUMIFS($D$2:D225,$A$2:A225,A225)</f>
        <v>0.47194724787926279</v>
      </c>
      <c r="F225" t="str">
        <f t="shared" si="7"/>
        <v>A</v>
      </c>
    </row>
    <row r="226" spans="1:6" x14ac:dyDescent="0.25">
      <c r="A226" s="21" t="s">
        <v>731</v>
      </c>
      <c r="B226" t="s">
        <v>1297</v>
      </c>
      <c r="C226">
        <v>4229.4321199999995</v>
      </c>
      <c r="D226">
        <f t="shared" si="6"/>
        <v>2.4717702163993128E-3</v>
      </c>
      <c r="E226" s="24">
        <f>SUMIFS($D$2:D226,$A$2:A226,A226)</f>
        <v>0.47441901809566212</v>
      </c>
      <c r="F226" t="str">
        <f t="shared" si="7"/>
        <v>A</v>
      </c>
    </row>
    <row r="227" spans="1:6" x14ac:dyDescent="0.25">
      <c r="A227" s="21" t="s">
        <v>731</v>
      </c>
      <c r="B227" t="s">
        <v>1121</v>
      </c>
      <c r="C227">
        <v>65066.934229999999</v>
      </c>
      <c r="D227">
        <f t="shared" si="6"/>
        <v>3.8026502267667787E-2</v>
      </c>
      <c r="E227" s="24">
        <f>SUMIFS($D$2:D227,$A$2:A227,A227)</f>
        <v>0.51244552036332991</v>
      </c>
      <c r="F227" t="str">
        <f t="shared" si="7"/>
        <v>A</v>
      </c>
    </row>
    <row r="228" spans="1:6" x14ac:dyDescent="0.25">
      <c r="A228" s="21" t="s">
        <v>731</v>
      </c>
      <c r="B228" t="s">
        <v>985</v>
      </c>
      <c r="C228">
        <v>17453.3436</v>
      </c>
      <c r="D228">
        <f t="shared" si="6"/>
        <v>1.0200105750145853E-2</v>
      </c>
      <c r="E228" s="24">
        <f>SUMIFS($D$2:D228,$A$2:A228,A228)</f>
        <v>0.52264562611347576</v>
      </c>
      <c r="F228" t="str">
        <f t="shared" si="7"/>
        <v>A</v>
      </c>
    </row>
    <row r="229" spans="1:6" x14ac:dyDescent="0.25">
      <c r="A229" s="21" t="s">
        <v>731</v>
      </c>
      <c r="B229" t="s">
        <v>885</v>
      </c>
      <c r="C229">
        <v>21572.590500000002</v>
      </c>
      <c r="D229">
        <f t="shared" si="6"/>
        <v>1.260748137706931E-2</v>
      </c>
      <c r="E229" s="24">
        <f>SUMIFS($D$2:D229,$A$2:A229,A229)</f>
        <v>0.53525310749054511</v>
      </c>
      <c r="F229" t="str">
        <f t="shared" si="7"/>
        <v>A</v>
      </c>
    </row>
    <row r="230" spans="1:6" x14ac:dyDescent="0.25">
      <c r="A230" s="21" t="s">
        <v>731</v>
      </c>
      <c r="B230" t="s">
        <v>1254</v>
      </c>
      <c r="C230">
        <v>64192.976999999999</v>
      </c>
      <c r="D230">
        <f t="shared" si="6"/>
        <v>3.7515743047462864E-2</v>
      </c>
      <c r="E230" s="24">
        <f>SUMIFS($D$2:D230,$A$2:A230,A230)</f>
        <v>0.57276885053800797</v>
      </c>
      <c r="F230" t="str">
        <f t="shared" si="7"/>
        <v>A</v>
      </c>
    </row>
    <row r="231" spans="1:6" x14ac:dyDescent="0.25">
      <c r="A231" s="21" t="s">
        <v>731</v>
      </c>
      <c r="B231" t="s">
        <v>1327</v>
      </c>
      <c r="C231">
        <v>14910.609600000002</v>
      </c>
      <c r="D231">
        <f t="shared" si="6"/>
        <v>8.7140778411730797E-3</v>
      </c>
      <c r="E231" s="24">
        <f>SUMIFS($D$2:D231,$A$2:A231,A231)</f>
        <v>0.58148292837918103</v>
      </c>
      <c r="F231" t="str">
        <f t="shared" si="7"/>
        <v>A</v>
      </c>
    </row>
    <row r="232" spans="1:6" x14ac:dyDescent="0.25">
      <c r="A232" s="21" t="s">
        <v>731</v>
      </c>
      <c r="B232" t="s">
        <v>1102</v>
      </c>
      <c r="C232">
        <v>13784.586000000001</v>
      </c>
      <c r="D232">
        <f t="shared" si="6"/>
        <v>8.0560056654118729E-3</v>
      </c>
      <c r="E232" s="24">
        <f>SUMIFS($D$2:D232,$A$2:A232,A232)</f>
        <v>0.5895389340445929</v>
      </c>
      <c r="F232" t="str">
        <f t="shared" si="7"/>
        <v>A</v>
      </c>
    </row>
    <row r="233" spans="1:6" x14ac:dyDescent="0.25">
      <c r="A233" s="21" t="s">
        <v>731</v>
      </c>
      <c r="B233" t="s">
        <v>790</v>
      </c>
      <c r="C233">
        <v>29659.68995</v>
      </c>
      <c r="D233">
        <f t="shared" si="6"/>
        <v>1.7333754548127855E-2</v>
      </c>
      <c r="E233" s="24">
        <f>SUMIFS($D$2:D233,$A$2:A233,A233)</f>
        <v>0.6068726885927207</v>
      </c>
      <c r="F233" t="str">
        <f t="shared" si="7"/>
        <v>A</v>
      </c>
    </row>
    <row r="234" spans="1:6" x14ac:dyDescent="0.25">
      <c r="A234" s="21" t="s">
        <v>731</v>
      </c>
      <c r="B234" t="s">
        <v>1143</v>
      </c>
      <c r="C234">
        <v>5323.9903199999999</v>
      </c>
      <c r="D234">
        <f t="shared" si="6"/>
        <v>3.1114533421981597E-3</v>
      </c>
      <c r="E234" s="24">
        <f>SUMIFS($D$2:D234,$A$2:A234,A234)</f>
        <v>0.6099841419349189</v>
      </c>
      <c r="F234" t="str">
        <f t="shared" si="7"/>
        <v>A</v>
      </c>
    </row>
    <row r="235" spans="1:6" x14ac:dyDescent="0.25">
      <c r="A235" s="21" t="s">
        <v>731</v>
      </c>
      <c r="B235" t="s">
        <v>1009</v>
      </c>
      <c r="C235">
        <v>8567.3924999999999</v>
      </c>
      <c r="D235">
        <f t="shared" si="6"/>
        <v>5.0069666595577971E-3</v>
      </c>
      <c r="E235" s="24">
        <f>SUMIFS($D$2:D235,$A$2:A235,A235)</f>
        <v>0.6149911085944767</v>
      </c>
      <c r="F235" t="str">
        <f t="shared" si="7"/>
        <v>A</v>
      </c>
    </row>
    <row r="236" spans="1:6" x14ac:dyDescent="0.25">
      <c r="A236" s="21" t="s">
        <v>731</v>
      </c>
      <c r="B236" t="s">
        <v>907</v>
      </c>
      <c r="C236">
        <v>31556.187599999997</v>
      </c>
      <c r="D236">
        <f t="shared" si="6"/>
        <v>1.8442108169545304E-2</v>
      </c>
      <c r="E236" s="24">
        <f>SUMIFS($D$2:D236,$A$2:A236,A236)</f>
        <v>0.63343321676402198</v>
      </c>
      <c r="F236" t="str">
        <f t="shared" si="7"/>
        <v>A</v>
      </c>
    </row>
    <row r="237" spans="1:6" x14ac:dyDescent="0.25">
      <c r="A237" s="21" t="s">
        <v>731</v>
      </c>
      <c r="B237" t="s">
        <v>836</v>
      </c>
      <c r="C237">
        <v>13669.81</v>
      </c>
      <c r="D237">
        <f t="shared" si="6"/>
        <v>7.9889281263219539E-3</v>
      </c>
      <c r="E237" s="24">
        <f>SUMIFS($D$2:D237,$A$2:A237,A237)</f>
        <v>0.64142214489034388</v>
      </c>
      <c r="F237" t="str">
        <f t="shared" si="7"/>
        <v>A</v>
      </c>
    </row>
    <row r="238" spans="1:6" x14ac:dyDescent="0.25">
      <c r="A238" s="21" t="s">
        <v>731</v>
      </c>
      <c r="B238" t="s">
        <v>1122</v>
      </c>
      <c r="C238">
        <v>434.45248000000004</v>
      </c>
      <c r="D238">
        <f t="shared" si="6"/>
        <v>2.5390328300264062E-4</v>
      </c>
      <c r="E238" s="24">
        <f>SUMIFS($D$2:D238,$A$2:A238,A238)</f>
        <v>0.64167604817334656</v>
      </c>
      <c r="F238" t="str">
        <f t="shared" si="7"/>
        <v>A</v>
      </c>
    </row>
    <row r="239" spans="1:6" x14ac:dyDescent="0.25">
      <c r="A239" s="21" t="s">
        <v>731</v>
      </c>
      <c r="B239" t="s">
        <v>1268</v>
      </c>
      <c r="C239">
        <v>15155.326800000001</v>
      </c>
      <c r="D239">
        <f t="shared" si="6"/>
        <v>8.8570957852465333E-3</v>
      </c>
      <c r="E239" s="24">
        <f>SUMIFS($D$2:D239,$A$2:A239,A239)</f>
        <v>0.65053314395859307</v>
      </c>
      <c r="F239" t="str">
        <f t="shared" si="7"/>
        <v>A</v>
      </c>
    </row>
    <row r="240" spans="1:6" x14ac:dyDescent="0.25">
      <c r="A240" s="21" t="s">
        <v>731</v>
      </c>
      <c r="B240" t="s">
        <v>1299</v>
      </c>
      <c r="C240">
        <v>44173.627960000005</v>
      </c>
      <c r="D240">
        <f t="shared" si="6"/>
        <v>2.5816009063134453E-2</v>
      </c>
      <c r="E240" s="24">
        <f>SUMIFS($D$2:D240,$A$2:A240,A240)</f>
        <v>0.67634915302172749</v>
      </c>
      <c r="F240" t="str">
        <f t="shared" si="7"/>
        <v>A</v>
      </c>
    </row>
    <row r="241" spans="1:6" x14ac:dyDescent="0.25">
      <c r="A241" s="21" t="s">
        <v>731</v>
      </c>
      <c r="B241" t="s">
        <v>1159</v>
      </c>
      <c r="C241">
        <v>30435.614999999998</v>
      </c>
      <c r="D241">
        <f t="shared" si="6"/>
        <v>1.7787221674288551E-2</v>
      </c>
      <c r="E241" s="24">
        <f>SUMIFS($D$2:D241,$A$2:A241,A241)</f>
        <v>0.69413637469601608</v>
      </c>
      <c r="F241" t="str">
        <f t="shared" si="7"/>
        <v>A</v>
      </c>
    </row>
    <row r="242" spans="1:6" x14ac:dyDescent="0.25">
      <c r="A242" s="21" t="s">
        <v>731</v>
      </c>
      <c r="B242" t="s">
        <v>786</v>
      </c>
      <c r="C242">
        <v>5785.8</v>
      </c>
      <c r="D242">
        <f t="shared" si="6"/>
        <v>3.3813447555798926E-3</v>
      </c>
      <c r="E242" s="24">
        <f>SUMIFS($D$2:D242,$A$2:A242,A242)</f>
        <v>0.69751771945159602</v>
      </c>
      <c r="F242" t="str">
        <f t="shared" si="7"/>
        <v>A</v>
      </c>
    </row>
    <row r="243" spans="1:6" x14ac:dyDescent="0.25">
      <c r="A243" s="21" t="s">
        <v>731</v>
      </c>
      <c r="B243" t="s">
        <v>926</v>
      </c>
      <c r="C243">
        <v>24374.594880000001</v>
      </c>
      <c r="D243">
        <f t="shared" si="6"/>
        <v>1.4245032418485343E-2</v>
      </c>
      <c r="E243" s="24">
        <f>SUMIFS($D$2:D243,$A$2:A243,A243)</f>
        <v>0.71176275187008131</v>
      </c>
      <c r="F243" t="str">
        <f t="shared" si="7"/>
        <v>A</v>
      </c>
    </row>
    <row r="244" spans="1:6" x14ac:dyDescent="0.25">
      <c r="A244" s="21" t="s">
        <v>731</v>
      </c>
      <c r="B244" t="s">
        <v>1141</v>
      </c>
      <c r="C244">
        <v>4679.7141600000004</v>
      </c>
      <c r="D244">
        <f t="shared" si="6"/>
        <v>2.7349246314302194E-3</v>
      </c>
      <c r="E244" s="24">
        <f>SUMIFS($D$2:D244,$A$2:A244,A244)</f>
        <v>0.71449767650151152</v>
      </c>
      <c r="F244" t="str">
        <f t="shared" si="7"/>
        <v>A</v>
      </c>
    </row>
    <row r="245" spans="1:6" x14ac:dyDescent="0.25">
      <c r="A245" s="21" t="s">
        <v>731</v>
      </c>
      <c r="B245" t="s">
        <v>851</v>
      </c>
      <c r="C245">
        <v>65119.329599999997</v>
      </c>
      <c r="D245">
        <f t="shared" si="6"/>
        <v>3.8057123237899414E-2</v>
      </c>
      <c r="E245" s="24">
        <f>SUMIFS($D$2:D245,$A$2:A245,A245)</f>
        <v>0.75255479973941097</v>
      </c>
      <c r="F245" t="str">
        <f t="shared" si="7"/>
        <v>A</v>
      </c>
    </row>
    <row r="246" spans="1:6" x14ac:dyDescent="0.25">
      <c r="A246" s="21" t="s">
        <v>731</v>
      </c>
      <c r="B246" t="s">
        <v>1130</v>
      </c>
      <c r="C246">
        <v>18641.222160000001</v>
      </c>
      <c r="D246">
        <f t="shared" si="6"/>
        <v>1.0894327282020753E-2</v>
      </c>
      <c r="E246" s="24">
        <f>SUMIFS($D$2:D246,$A$2:A246,A246)</f>
        <v>0.76344912702143175</v>
      </c>
      <c r="F246" t="str">
        <f t="shared" si="7"/>
        <v>A</v>
      </c>
    </row>
    <row r="247" spans="1:6" x14ac:dyDescent="0.25">
      <c r="A247" s="21" t="s">
        <v>731</v>
      </c>
      <c r="B247" t="s">
        <v>1158</v>
      </c>
      <c r="C247">
        <v>15366.983199999999</v>
      </c>
      <c r="D247">
        <f t="shared" si="6"/>
        <v>8.9807922936161484E-3</v>
      </c>
      <c r="E247" s="24">
        <f>SUMIFS($D$2:D247,$A$2:A247,A247)</f>
        <v>0.7724299193150479</v>
      </c>
      <c r="F247" t="str">
        <f t="shared" si="7"/>
        <v>A</v>
      </c>
    </row>
    <row r="248" spans="1:6" x14ac:dyDescent="0.25">
      <c r="A248" s="21" t="s">
        <v>731</v>
      </c>
      <c r="B248" t="s">
        <v>806</v>
      </c>
      <c r="C248">
        <v>20171.63305</v>
      </c>
      <c r="D248">
        <f t="shared" si="6"/>
        <v>1.178873200337024E-2</v>
      </c>
      <c r="E248" s="24">
        <f>SUMIFS($D$2:D248,$A$2:A248,A248)</f>
        <v>0.78421865131841817</v>
      </c>
      <c r="F248" t="str">
        <f t="shared" si="7"/>
        <v>A</v>
      </c>
    </row>
    <row r="249" spans="1:6" x14ac:dyDescent="0.25">
      <c r="A249" s="21" t="s">
        <v>731</v>
      </c>
      <c r="B249" t="s">
        <v>739</v>
      </c>
      <c r="C249">
        <v>4141.7599999999993</v>
      </c>
      <c r="D249">
        <f t="shared" si="6"/>
        <v>2.4205327620848583E-3</v>
      </c>
      <c r="E249" s="24">
        <f>SUMIFS($D$2:D249,$A$2:A249,A249)</f>
        <v>0.78663918408050304</v>
      </c>
      <c r="F249" t="str">
        <f t="shared" si="7"/>
        <v>A</v>
      </c>
    </row>
    <row r="250" spans="1:6" x14ac:dyDescent="0.25">
      <c r="A250" s="21" t="s">
        <v>731</v>
      </c>
      <c r="B250" t="s">
        <v>1332</v>
      </c>
      <c r="C250">
        <v>33938.142760000002</v>
      </c>
      <c r="D250">
        <f t="shared" si="6"/>
        <v>1.983417349988726E-2</v>
      </c>
      <c r="E250" s="24">
        <f>SUMIFS($D$2:D250,$A$2:A250,A250)</f>
        <v>0.80647335758039029</v>
      </c>
      <c r="F250" t="str">
        <f t="shared" si="7"/>
        <v>B</v>
      </c>
    </row>
    <row r="251" spans="1:6" x14ac:dyDescent="0.25">
      <c r="A251" s="21" t="s">
        <v>731</v>
      </c>
      <c r="B251" t="s">
        <v>1164</v>
      </c>
      <c r="C251">
        <v>58057.65</v>
      </c>
      <c r="D251">
        <f t="shared" si="6"/>
        <v>3.3930127268276287E-2</v>
      </c>
      <c r="E251" s="24">
        <f>SUMIFS($D$2:D251,$A$2:A251,A251)</f>
        <v>0.84040348484866656</v>
      </c>
      <c r="F251" t="str">
        <f t="shared" si="7"/>
        <v>B</v>
      </c>
    </row>
    <row r="252" spans="1:6" x14ac:dyDescent="0.25">
      <c r="A252" s="21" t="s">
        <v>731</v>
      </c>
      <c r="B252" t="s">
        <v>1155</v>
      </c>
      <c r="C252">
        <v>102122.94203999999</v>
      </c>
      <c r="D252">
        <f t="shared" si="6"/>
        <v>5.9682822512244341E-2</v>
      </c>
      <c r="E252" s="24">
        <f>SUMIFS($D$2:D252,$A$2:A252,A252)</f>
        <v>0.90008630736091089</v>
      </c>
      <c r="F252" t="str">
        <f t="shared" si="7"/>
        <v>B</v>
      </c>
    </row>
    <row r="253" spans="1:6" x14ac:dyDescent="0.25">
      <c r="A253" s="21" t="s">
        <v>731</v>
      </c>
      <c r="B253" t="s">
        <v>1017</v>
      </c>
      <c r="C253">
        <v>11696.156879999999</v>
      </c>
      <c r="D253">
        <f t="shared" si="6"/>
        <v>6.8354832048511307E-3</v>
      </c>
      <c r="E253" s="24">
        <f>SUMIFS($D$2:D253,$A$2:A253,A253)</f>
        <v>0.90692179056576205</v>
      </c>
      <c r="F253" t="str">
        <f t="shared" si="7"/>
        <v>B</v>
      </c>
    </row>
    <row r="254" spans="1:6" x14ac:dyDescent="0.25">
      <c r="A254" s="21" t="s">
        <v>731</v>
      </c>
      <c r="B254" t="s">
        <v>1063</v>
      </c>
      <c r="C254">
        <v>27756.432000000001</v>
      </c>
      <c r="D254">
        <f t="shared" si="6"/>
        <v>1.6221450063398302E-2</v>
      </c>
      <c r="E254" s="24">
        <f>SUMIFS($D$2:D254,$A$2:A254,A254)</f>
        <v>0.92314324062916031</v>
      </c>
      <c r="F254" t="str">
        <f t="shared" si="7"/>
        <v>B</v>
      </c>
    </row>
    <row r="255" spans="1:6" x14ac:dyDescent="0.25">
      <c r="A255" s="21" t="s">
        <v>731</v>
      </c>
      <c r="B255" t="s">
        <v>1120</v>
      </c>
      <c r="C255">
        <v>19773.362699999998</v>
      </c>
      <c r="D255">
        <f t="shared" si="6"/>
        <v>1.1555974327806709E-2</v>
      </c>
      <c r="E255" s="24">
        <f>SUMIFS($D$2:D255,$A$2:A255,A255)</f>
        <v>0.93469921495696706</v>
      </c>
      <c r="F255" t="str">
        <f t="shared" si="7"/>
        <v>B</v>
      </c>
    </row>
    <row r="256" spans="1:6" x14ac:dyDescent="0.25">
      <c r="A256" s="21" t="s">
        <v>731</v>
      </c>
      <c r="B256" t="s">
        <v>845</v>
      </c>
      <c r="C256">
        <v>30151.675319999998</v>
      </c>
      <c r="D256">
        <f t="shared" si="6"/>
        <v>1.7621281277477561E-2</v>
      </c>
      <c r="E256" s="24">
        <f>SUMIFS($D$2:D256,$A$2:A256,A256)</f>
        <v>0.95232049623444459</v>
      </c>
      <c r="F256" t="str">
        <f t="shared" si="7"/>
        <v>C</v>
      </c>
    </row>
    <row r="257" spans="1:6" x14ac:dyDescent="0.25">
      <c r="A257" s="21" t="s">
        <v>731</v>
      </c>
      <c r="B257" t="s">
        <v>958</v>
      </c>
      <c r="C257">
        <v>15490.527</v>
      </c>
      <c r="D257">
        <f t="shared" si="6"/>
        <v>9.0529939217772349E-3</v>
      </c>
      <c r="E257" s="24">
        <f>SUMIFS($D$2:D257,$A$2:A257,A257)</f>
        <v>0.96137349015622187</v>
      </c>
      <c r="F257" t="str">
        <f t="shared" si="7"/>
        <v>C</v>
      </c>
    </row>
    <row r="258" spans="1:6" x14ac:dyDescent="0.25">
      <c r="A258" s="21" t="s">
        <v>731</v>
      </c>
      <c r="B258" t="s">
        <v>866</v>
      </c>
      <c r="C258">
        <v>8336.8896000000004</v>
      </c>
      <c r="D258">
        <f t="shared" si="6"/>
        <v>4.8722558551641173E-3</v>
      </c>
      <c r="E258" s="24">
        <f>SUMIFS($D$2:D258,$A$2:A258,A258)</f>
        <v>0.96624574601138602</v>
      </c>
      <c r="F258" t="str">
        <f t="shared" si="7"/>
        <v>C</v>
      </c>
    </row>
    <row r="259" spans="1:6" x14ac:dyDescent="0.25">
      <c r="A259" s="21" t="s">
        <v>731</v>
      </c>
      <c r="B259" t="s">
        <v>754</v>
      </c>
      <c r="C259">
        <v>23782.310720000001</v>
      </c>
      <c r="D259">
        <f t="shared" ref="D259:D322" si="8">C259/SUMIFS($C:$C,$A:$A,A259)</f>
        <v>1.3898888939929389E-2</v>
      </c>
      <c r="E259" s="24">
        <f>SUMIFS($D$2:D259,$A$2:A259,A259)</f>
        <v>0.98014463495131543</v>
      </c>
      <c r="F259" t="str">
        <f t="shared" ref="F259:F322" si="9">IF(E259&lt;=0.8,"A",IF(E259&lt;=0.95,"B","C"))</f>
        <v>C</v>
      </c>
    </row>
    <row r="260" spans="1:6" x14ac:dyDescent="0.25">
      <c r="A260" s="21" t="s">
        <v>731</v>
      </c>
      <c r="B260" t="s">
        <v>1136</v>
      </c>
      <c r="C260">
        <v>5250.4239000000007</v>
      </c>
      <c r="D260">
        <f t="shared" si="8"/>
        <v>3.068459559410337E-3</v>
      </c>
      <c r="E260" s="24">
        <f>SUMIFS($D$2:D260,$A$2:A260,A260)</f>
        <v>0.9832130945107258</v>
      </c>
      <c r="F260" t="str">
        <f t="shared" si="9"/>
        <v>C</v>
      </c>
    </row>
    <row r="261" spans="1:6" x14ac:dyDescent="0.25">
      <c r="A261" s="21" t="s">
        <v>731</v>
      </c>
      <c r="B261" t="s">
        <v>1018</v>
      </c>
      <c r="C261">
        <v>15505.479600000001</v>
      </c>
      <c r="D261">
        <f t="shared" si="8"/>
        <v>9.0617325397025494E-3</v>
      </c>
      <c r="E261" s="24">
        <f>SUMIFS($D$2:D261,$A$2:A261,A261)</f>
        <v>0.99227482705042835</v>
      </c>
      <c r="F261" t="str">
        <f t="shared" si="9"/>
        <v>C</v>
      </c>
    </row>
    <row r="262" spans="1:6" x14ac:dyDescent="0.25">
      <c r="A262" s="22" t="s">
        <v>731</v>
      </c>
      <c r="B262" t="s">
        <v>767</v>
      </c>
      <c r="C262">
        <v>13218.5</v>
      </c>
      <c r="D262">
        <f t="shared" si="8"/>
        <v>7.7251729495718497E-3</v>
      </c>
      <c r="E262" s="24">
        <f>SUMIFS($D$2:D262,$A$2:A262,A262)</f>
        <v>1.0000000000000002</v>
      </c>
      <c r="F262" t="str">
        <f t="shared" si="9"/>
        <v>C</v>
      </c>
    </row>
    <row r="263" spans="1:6" x14ac:dyDescent="0.25">
      <c r="A263" s="23" t="s">
        <v>1481</v>
      </c>
      <c r="B263" s="23"/>
      <c r="C263" s="23">
        <v>1711094.3776</v>
      </c>
      <c r="D263">
        <f t="shared" si="8"/>
        <v>1</v>
      </c>
      <c r="E263" s="24">
        <f>SUMIFS($D$2:D263,$A$2:A263,A263)</f>
        <v>1</v>
      </c>
      <c r="F263" t="str">
        <f t="shared" si="9"/>
        <v>C</v>
      </c>
    </row>
    <row r="264" spans="1:6" x14ac:dyDescent="0.25">
      <c r="A264" s="21" t="s">
        <v>732</v>
      </c>
      <c r="B264" t="s">
        <v>1073</v>
      </c>
      <c r="C264">
        <v>26106.613960000002</v>
      </c>
      <c r="D264">
        <f t="shared" si="8"/>
        <v>1.6830460294803378E-2</v>
      </c>
      <c r="E264" s="24">
        <f>SUMIFS($D$2:D264,$A$2:A264,A264)</f>
        <v>1.6830460294803378E-2</v>
      </c>
      <c r="F264" t="str">
        <f t="shared" si="9"/>
        <v>A</v>
      </c>
    </row>
    <row r="265" spans="1:6" x14ac:dyDescent="0.25">
      <c r="A265" s="21" t="s">
        <v>732</v>
      </c>
      <c r="B265" t="s">
        <v>1300</v>
      </c>
      <c r="C265">
        <v>25079.480689999997</v>
      </c>
      <c r="D265">
        <f t="shared" si="8"/>
        <v>1.6168286113781908E-2</v>
      </c>
      <c r="E265" s="24">
        <f>SUMIFS($D$2:D265,$A$2:A265,A265)</f>
        <v>3.2998746408585286E-2</v>
      </c>
      <c r="F265" t="str">
        <f t="shared" si="9"/>
        <v>A</v>
      </c>
    </row>
    <row r="266" spans="1:6" x14ac:dyDescent="0.25">
      <c r="A266" s="21" t="s">
        <v>732</v>
      </c>
      <c r="B266" t="s">
        <v>1048</v>
      </c>
      <c r="C266">
        <v>5032.4433599999993</v>
      </c>
      <c r="D266">
        <f t="shared" si="8"/>
        <v>3.2443249165173189E-3</v>
      </c>
      <c r="E266" s="24">
        <f>SUMIFS($D$2:D266,$A$2:A266,A266)</f>
        <v>3.6243071325102606E-2</v>
      </c>
      <c r="F266" t="str">
        <f t="shared" si="9"/>
        <v>A</v>
      </c>
    </row>
    <row r="267" spans="1:6" x14ac:dyDescent="0.25">
      <c r="A267" s="21" t="s">
        <v>732</v>
      </c>
      <c r="B267" t="s">
        <v>1005</v>
      </c>
      <c r="C267">
        <v>7120.6486400000003</v>
      </c>
      <c r="D267">
        <f t="shared" si="8"/>
        <v>4.5905529683929053E-3</v>
      </c>
      <c r="E267" s="24">
        <f>SUMIFS($D$2:D267,$A$2:A267,A267)</f>
        <v>4.0833624293495512E-2</v>
      </c>
      <c r="F267" t="str">
        <f t="shared" si="9"/>
        <v>A</v>
      </c>
    </row>
    <row r="268" spans="1:6" x14ac:dyDescent="0.25">
      <c r="A268" s="21" t="s">
        <v>732</v>
      </c>
      <c r="B268" t="s">
        <v>1325</v>
      </c>
      <c r="C268">
        <v>5725.6496000000006</v>
      </c>
      <c r="D268">
        <f t="shared" si="8"/>
        <v>3.6912224006684946E-3</v>
      </c>
      <c r="E268" s="24">
        <f>SUMIFS($D$2:D268,$A$2:A268,A268)</f>
        <v>4.4524846694164004E-2</v>
      </c>
      <c r="F268" t="str">
        <f t="shared" si="9"/>
        <v>A</v>
      </c>
    </row>
    <row r="269" spans="1:6" x14ac:dyDescent="0.25">
      <c r="A269" s="21" t="s">
        <v>732</v>
      </c>
      <c r="B269" t="s">
        <v>950</v>
      </c>
      <c r="C269">
        <v>7738.9596900000006</v>
      </c>
      <c r="D269">
        <f t="shared" si="8"/>
        <v>4.9891668825836821E-3</v>
      </c>
      <c r="E269" s="24">
        <f>SUMIFS($D$2:D269,$A$2:A269,A269)</f>
        <v>4.9514013576747687E-2</v>
      </c>
      <c r="F269" t="str">
        <f t="shared" si="9"/>
        <v>A</v>
      </c>
    </row>
    <row r="270" spans="1:6" x14ac:dyDescent="0.25">
      <c r="A270" s="21" t="s">
        <v>732</v>
      </c>
      <c r="B270" t="s">
        <v>920</v>
      </c>
      <c r="C270">
        <v>4831.9464600000001</v>
      </c>
      <c r="D270">
        <f t="shared" si="8"/>
        <v>3.1150682032625317E-3</v>
      </c>
      <c r="E270" s="24">
        <f>SUMIFS($D$2:D270,$A$2:A270,A270)</f>
        <v>5.2629081780010217E-2</v>
      </c>
      <c r="F270" t="str">
        <f t="shared" si="9"/>
        <v>A</v>
      </c>
    </row>
    <row r="271" spans="1:6" x14ac:dyDescent="0.25">
      <c r="A271" s="21" t="s">
        <v>732</v>
      </c>
      <c r="B271" t="s">
        <v>939</v>
      </c>
      <c r="C271">
        <v>26131.70736</v>
      </c>
      <c r="D271">
        <f t="shared" si="8"/>
        <v>1.6846637554443739E-2</v>
      </c>
      <c r="E271" s="24">
        <f>SUMIFS($D$2:D271,$A$2:A271,A271)</f>
        <v>6.9475719334453956E-2</v>
      </c>
      <c r="F271" t="str">
        <f t="shared" si="9"/>
        <v>A</v>
      </c>
    </row>
    <row r="272" spans="1:6" x14ac:dyDescent="0.25">
      <c r="A272" s="21" t="s">
        <v>732</v>
      </c>
      <c r="B272" t="s">
        <v>830</v>
      </c>
      <c r="C272">
        <v>147.00756000000001</v>
      </c>
      <c r="D272">
        <f t="shared" si="8"/>
        <v>9.4773106363270603E-5</v>
      </c>
      <c r="E272" s="24">
        <f>SUMIFS($D$2:D272,$A$2:A272,A272)</f>
        <v>6.9570492440817228E-2</v>
      </c>
      <c r="F272" t="str">
        <f t="shared" si="9"/>
        <v>A</v>
      </c>
    </row>
    <row r="273" spans="1:6" x14ac:dyDescent="0.25">
      <c r="A273" s="21" t="s">
        <v>732</v>
      </c>
      <c r="B273" t="s">
        <v>1138</v>
      </c>
      <c r="C273">
        <v>13437.300239999999</v>
      </c>
      <c r="D273">
        <f t="shared" si="8"/>
        <v>8.6627836342615394E-3</v>
      </c>
      <c r="E273" s="24">
        <f>SUMIFS($D$2:D273,$A$2:A273,A273)</f>
        <v>7.8233276075078767E-2</v>
      </c>
      <c r="F273" t="str">
        <f t="shared" si="9"/>
        <v>A</v>
      </c>
    </row>
    <row r="274" spans="1:6" x14ac:dyDescent="0.25">
      <c r="A274" s="21" t="s">
        <v>732</v>
      </c>
      <c r="B274" t="s">
        <v>901</v>
      </c>
      <c r="C274">
        <v>12413.98458</v>
      </c>
      <c r="D274">
        <f t="shared" si="8"/>
        <v>8.0030705971335155E-3</v>
      </c>
      <c r="E274" s="24">
        <f>SUMIFS($D$2:D274,$A$2:A274,A274)</f>
        <v>8.6236346672212277E-2</v>
      </c>
      <c r="F274" t="str">
        <f t="shared" si="9"/>
        <v>A</v>
      </c>
    </row>
    <row r="275" spans="1:6" x14ac:dyDescent="0.25">
      <c r="A275" s="21" t="s">
        <v>732</v>
      </c>
      <c r="B275" t="s">
        <v>874</v>
      </c>
      <c r="C275">
        <v>87404.929919999995</v>
      </c>
      <c r="D275">
        <f t="shared" si="8"/>
        <v>5.634837228767263E-2</v>
      </c>
      <c r="E275" s="24">
        <f>SUMIFS($D$2:D275,$A$2:A275,A275)</f>
        <v>0.14258471895988489</v>
      </c>
      <c r="F275" t="str">
        <f t="shared" si="9"/>
        <v>A</v>
      </c>
    </row>
    <row r="276" spans="1:6" x14ac:dyDescent="0.25">
      <c r="A276" s="21" t="s">
        <v>732</v>
      </c>
      <c r="B276" t="s">
        <v>802</v>
      </c>
      <c r="C276">
        <v>8671.7354400000004</v>
      </c>
      <c r="D276">
        <f t="shared" si="8"/>
        <v>5.5905104826531587E-3</v>
      </c>
      <c r="E276" s="24">
        <f>SUMIFS($D$2:D276,$A$2:A276,A276)</f>
        <v>0.14817522944253805</v>
      </c>
      <c r="F276" t="str">
        <f t="shared" si="9"/>
        <v>A</v>
      </c>
    </row>
    <row r="277" spans="1:6" x14ac:dyDescent="0.25">
      <c r="A277" s="21" t="s">
        <v>732</v>
      </c>
      <c r="B277" t="s">
        <v>1206</v>
      </c>
      <c r="C277">
        <v>8330.2513199999994</v>
      </c>
      <c r="D277">
        <f t="shared" si="8"/>
        <v>5.370361866989257E-3</v>
      </c>
      <c r="E277" s="24">
        <f>SUMIFS($D$2:D277,$A$2:A277,A277)</f>
        <v>0.1535455913095273</v>
      </c>
      <c r="F277" t="str">
        <f t="shared" si="9"/>
        <v>A</v>
      </c>
    </row>
    <row r="278" spans="1:6" x14ac:dyDescent="0.25">
      <c r="A278" s="21" t="s">
        <v>732</v>
      </c>
      <c r="B278" t="s">
        <v>1243</v>
      </c>
      <c r="C278">
        <v>9232.2830599999998</v>
      </c>
      <c r="D278">
        <f t="shared" si="8"/>
        <v>5.9518853616861694E-3</v>
      </c>
      <c r="E278" s="24">
        <f>SUMIFS($D$2:D278,$A$2:A278,A278)</f>
        <v>0.15949747667121347</v>
      </c>
      <c r="F278" t="str">
        <f t="shared" si="9"/>
        <v>A</v>
      </c>
    </row>
    <row r="279" spans="1:6" x14ac:dyDescent="0.25">
      <c r="A279" s="21" t="s">
        <v>732</v>
      </c>
      <c r="B279" t="s">
        <v>951</v>
      </c>
      <c r="C279">
        <v>2231.6467200000002</v>
      </c>
      <c r="D279">
        <f t="shared" si="8"/>
        <v>1.4387021453849309E-3</v>
      </c>
      <c r="E279" s="24">
        <f>SUMIFS($D$2:D279,$A$2:A279,A279)</f>
        <v>0.16093617881659841</v>
      </c>
      <c r="F279" t="str">
        <f t="shared" si="9"/>
        <v>A</v>
      </c>
    </row>
    <row r="280" spans="1:6" x14ac:dyDescent="0.25">
      <c r="A280" s="21" t="s">
        <v>732</v>
      </c>
      <c r="B280" t="s">
        <v>849</v>
      </c>
      <c r="C280">
        <v>24523.006720000001</v>
      </c>
      <c r="D280">
        <f t="shared" si="8"/>
        <v>1.580953744298429E-2</v>
      </c>
      <c r="E280" s="24">
        <f>SUMIFS($D$2:D280,$A$2:A280,A280)</f>
        <v>0.17674571625958271</v>
      </c>
      <c r="F280" t="str">
        <f t="shared" si="9"/>
        <v>A</v>
      </c>
    </row>
    <row r="281" spans="1:6" x14ac:dyDescent="0.25">
      <c r="A281" s="21" t="s">
        <v>732</v>
      </c>
      <c r="B281" t="s">
        <v>981</v>
      </c>
      <c r="C281">
        <v>607.30668000000003</v>
      </c>
      <c r="D281">
        <f t="shared" si="8"/>
        <v>3.9151959653479547E-4</v>
      </c>
      <c r="E281" s="24">
        <f>SUMIFS($D$2:D281,$A$2:A281,A281)</f>
        <v>0.17713723585611751</v>
      </c>
      <c r="F281" t="str">
        <f t="shared" si="9"/>
        <v>A</v>
      </c>
    </row>
    <row r="282" spans="1:6" x14ac:dyDescent="0.25">
      <c r="A282" s="21" t="s">
        <v>732</v>
      </c>
      <c r="B282" t="s">
        <v>1331</v>
      </c>
      <c r="C282">
        <v>5962.1422499999999</v>
      </c>
      <c r="D282">
        <f t="shared" si="8"/>
        <v>3.8436849207768597E-3</v>
      </c>
      <c r="E282" s="24">
        <f>SUMIFS($D$2:D282,$A$2:A282,A282)</f>
        <v>0.18098092077689437</v>
      </c>
      <c r="F282" t="str">
        <f t="shared" si="9"/>
        <v>A</v>
      </c>
    </row>
    <row r="283" spans="1:6" x14ac:dyDescent="0.25">
      <c r="A283" s="21" t="s">
        <v>732</v>
      </c>
      <c r="B283" t="s">
        <v>823</v>
      </c>
      <c r="C283">
        <v>624.43503999999996</v>
      </c>
      <c r="D283">
        <f t="shared" si="8"/>
        <v>4.0256193941912323E-4</v>
      </c>
      <c r="E283" s="24">
        <f>SUMIFS($D$2:D283,$A$2:A283,A283)</f>
        <v>0.18138348271631349</v>
      </c>
      <c r="F283" t="str">
        <f t="shared" si="9"/>
        <v>A</v>
      </c>
    </row>
    <row r="284" spans="1:6" x14ac:dyDescent="0.25">
      <c r="A284" s="21" t="s">
        <v>732</v>
      </c>
      <c r="B284" t="s">
        <v>1062</v>
      </c>
      <c r="C284">
        <v>6229.7423999999992</v>
      </c>
      <c r="D284">
        <f t="shared" si="8"/>
        <v>4.0162018816649742E-3</v>
      </c>
      <c r="E284" s="24">
        <f>SUMIFS($D$2:D284,$A$2:A284,A284)</f>
        <v>0.18539968459797845</v>
      </c>
      <c r="F284" t="str">
        <f t="shared" si="9"/>
        <v>A</v>
      </c>
    </row>
    <row r="285" spans="1:6" x14ac:dyDescent="0.25">
      <c r="A285" s="21" t="s">
        <v>732</v>
      </c>
      <c r="B285" t="s">
        <v>983</v>
      </c>
      <c r="C285">
        <v>11813.604160000001</v>
      </c>
      <c r="D285">
        <f t="shared" si="8"/>
        <v>7.6160162347382408E-3</v>
      </c>
      <c r="E285" s="24">
        <f>SUMIFS($D$2:D285,$A$2:A285,A285)</f>
        <v>0.19301570083271669</v>
      </c>
      <c r="F285" t="str">
        <f t="shared" si="9"/>
        <v>A</v>
      </c>
    </row>
    <row r="286" spans="1:6" x14ac:dyDescent="0.25">
      <c r="A286" s="21" t="s">
        <v>732</v>
      </c>
      <c r="B286" t="s">
        <v>869</v>
      </c>
      <c r="C286">
        <v>27370.540859999997</v>
      </c>
      <c r="D286">
        <f t="shared" si="8"/>
        <v>1.7645291032277684E-2</v>
      </c>
      <c r="E286" s="24">
        <f>SUMIFS($D$2:D286,$A$2:A286,A286)</f>
        <v>0.21066099186499437</v>
      </c>
      <c r="F286" t="str">
        <f t="shared" si="9"/>
        <v>A</v>
      </c>
    </row>
    <row r="287" spans="1:6" x14ac:dyDescent="0.25">
      <c r="A287" s="21" t="s">
        <v>732</v>
      </c>
      <c r="B287" t="s">
        <v>1007</v>
      </c>
      <c r="C287">
        <v>29536.716</v>
      </c>
      <c r="D287">
        <f t="shared" si="8"/>
        <v>1.9041784838070345E-2</v>
      </c>
      <c r="E287" s="24">
        <f>SUMIFS($D$2:D287,$A$2:A287,A287)</f>
        <v>0.22970277670306471</v>
      </c>
      <c r="F287" t="str">
        <f t="shared" si="9"/>
        <v>A</v>
      </c>
    </row>
    <row r="288" spans="1:6" x14ac:dyDescent="0.25">
      <c r="A288" s="21" t="s">
        <v>732</v>
      </c>
      <c r="B288" t="s">
        <v>1161</v>
      </c>
      <c r="C288">
        <v>13450.74</v>
      </c>
      <c r="D288">
        <f t="shared" si="8"/>
        <v>8.6714480036584399E-3</v>
      </c>
      <c r="E288" s="24">
        <f>SUMIFS($D$2:D288,$A$2:A288,A288)</f>
        <v>0.23837422470672315</v>
      </c>
      <c r="F288" t="str">
        <f t="shared" si="9"/>
        <v>A</v>
      </c>
    </row>
    <row r="289" spans="1:6" x14ac:dyDescent="0.25">
      <c r="A289" s="21" t="s">
        <v>732</v>
      </c>
      <c r="B289" t="s">
        <v>817</v>
      </c>
      <c r="C289">
        <v>524.81174999999996</v>
      </c>
      <c r="D289">
        <f t="shared" si="8"/>
        <v>3.383366120997054E-4</v>
      </c>
      <c r="E289" s="24">
        <f>SUMIFS($D$2:D289,$A$2:A289,A289)</f>
        <v>0.23871256131882285</v>
      </c>
      <c r="F289" t="str">
        <f t="shared" si="9"/>
        <v>A</v>
      </c>
    </row>
    <row r="290" spans="1:6" x14ac:dyDescent="0.25">
      <c r="A290" s="21" t="s">
        <v>732</v>
      </c>
      <c r="B290" t="s">
        <v>1132</v>
      </c>
      <c r="C290">
        <v>12972.00222</v>
      </c>
      <c r="D290">
        <f t="shared" si="8"/>
        <v>8.3628144439690192E-3</v>
      </c>
      <c r="E290" s="24">
        <f>SUMIFS($D$2:D290,$A$2:A290,A290)</f>
        <v>0.24707537576279187</v>
      </c>
      <c r="F290" t="str">
        <f t="shared" si="9"/>
        <v>A</v>
      </c>
    </row>
    <row r="291" spans="1:6" x14ac:dyDescent="0.25">
      <c r="A291" s="21" t="s">
        <v>732</v>
      </c>
      <c r="B291" t="s">
        <v>855</v>
      </c>
      <c r="C291">
        <v>22983.34563</v>
      </c>
      <c r="D291">
        <f t="shared" si="8"/>
        <v>1.481694587663247E-2</v>
      </c>
      <c r="E291" s="24">
        <f>SUMIFS($D$2:D291,$A$2:A291,A291)</f>
        <v>0.26189232163942433</v>
      </c>
      <c r="F291" t="str">
        <f t="shared" si="9"/>
        <v>A</v>
      </c>
    </row>
    <row r="292" spans="1:6" x14ac:dyDescent="0.25">
      <c r="A292" s="21" t="s">
        <v>732</v>
      </c>
      <c r="B292" t="s">
        <v>1359</v>
      </c>
      <c r="C292">
        <v>5096.4790800000001</v>
      </c>
      <c r="D292">
        <f t="shared" si="8"/>
        <v>3.2856075832224103E-3</v>
      </c>
      <c r="E292" s="24">
        <f>SUMIFS($D$2:D292,$A$2:A292,A292)</f>
        <v>0.26517792922264671</v>
      </c>
      <c r="F292" t="str">
        <f t="shared" si="9"/>
        <v>A</v>
      </c>
    </row>
    <row r="293" spans="1:6" x14ac:dyDescent="0.25">
      <c r="A293" s="21" t="s">
        <v>732</v>
      </c>
      <c r="B293" t="s">
        <v>1152</v>
      </c>
      <c r="C293">
        <v>9509.2865999999995</v>
      </c>
      <c r="D293">
        <f t="shared" si="8"/>
        <v>6.1304645174753173E-3</v>
      </c>
      <c r="E293" s="24">
        <f>SUMIFS($D$2:D293,$A$2:A293,A293)</f>
        <v>0.27130839374012206</v>
      </c>
      <c r="F293" t="str">
        <f t="shared" si="9"/>
        <v>A</v>
      </c>
    </row>
    <row r="294" spans="1:6" x14ac:dyDescent="0.25">
      <c r="A294" s="21" t="s">
        <v>732</v>
      </c>
      <c r="B294" t="s">
        <v>1349</v>
      </c>
      <c r="C294">
        <v>846.34703999999988</v>
      </c>
      <c r="D294">
        <f t="shared" si="8"/>
        <v>5.4562457904994285E-4</v>
      </c>
      <c r="E294" s="24">
        <f>SUMIFS($D$2:D294,$A$2:A294,A294)</f>
        <v>0.271854018319172</v>
      </c>
      <c r="F294" t="str">
        <f t="shared" si="9"/>
        <v>A</v>
      </c>
    </row>
    <row r="295" spans="1:6" x14ac:dyDescent="0.25">
      <c r="A295" s="21" t="s">
        <v>732</v>
      </c>
      <c r="B295" t="s">
        <v>923</v>
      </c>
      <c r="C295">
        <v>8590.7094000000016</v>
      </c>
      <c r="D295">
        <f t="shared" si="8"/>
        <v>5.5382744649468954E-3</v>
      </c>
      <c r="E295" s="24">
        <f>SUMIFS($D$2:D295,$A$2:A295,A295)</f>
        <v>0.27739229278411887</v>
      </c>
      <c r="F295" t="str">
        <f t="shared" si="9"/>
        <v>A</v>
      </c>
    </row>
    <row r="296" spans="1:6" x14ac:dyDescent="0.25">
      <c r="A296" s="21" t="s">
        <v>732</v>
      </c>
      <c r="B296" t="s">
        <v>1085</v>
      </c>
      <c r="C296">
        <v>16487.22781</v>
      </c>
      <c r="D296">
        <f t="shared" si="8"/>
        <v>1.0629016595286684E-2</v>
      </c>
      <c r="E296" s="24">
        <f>SUMIFS($D$2:D296,$A$2:A296,A296)</f>
        <v>0.28802130937940557</v>
      </c>
      <c r="F296" t="str">
        <f t="shared" si="9"/>
        <v>A</v>
      </c>
    </row>
    <row r="297" spans="1:6" x14ac:dyDescent="0.25">
      <c r="A297" s="21" t="s">
        <v>732</v>
      </c>
      <c r="B297" t="s">
        <v>1283</v>
      </c>
      <c r="C297">
        <v>1846.8040799999999</v>
      </c>
      <c r="D297">
        <f t="shared" si="8"/>
        <v>1.1906010786517515E-3</v>
      </c>
      <c r="E297" s="24">
        <f>SUMIFS($D$2:D297,$A$2:A297,A297)</f>
        <v>0.28921191045805733</v>
      </c>
      <c r="F297" t="str">
        <f t="shared" si="9"/>
        <v>A</v>
      </c>
    </row>
    <row r="298" spans="1:6" x14ac:dyDescent="0.25">
      <c r="A298" s="21" t="s">
        <v>732</v>
      </c>
      <c r="B298" t="s">
        <v>1031</v>
      </c>
      <c r="C298">
        <v>3190.8713200000002</v>
      </c>
      <c r="D298">
        <f t="shared" si="8"/>
        <v>2.0570968391140539E-3</v>
      </c>
      <c r="E298" s="24">
        <f>SUMIFS($D$2:D298,$A$2:A298,A298)</f>
        <v>0.29126900729717137</v>
      </c>
      <c r="F298" t="str">
        <f t="shared" si="9"/>
        <v>A</v>
      </c>
    </row>
    <row r="299" spans="1:6" x14ac:dyDescent="0.25">
      <c r="A299" s="21" t="s">
        <v>732</v>
      </c>
      <c r="B299" t="s">
        <v>785</v>
      </c>
      <c r="C299">
        <v>599.53200000000004</v>
      </c>
      <c r="D299">
        <f t="shared" si="8"/>
        <v>3.8650740141652818E-4</v>
      </c>
      <c r="E299" s="24">
        <f>SUMIFS($D$2:D299,$A$2:A299,A299)</f>
        <v>0.29165551469858791</v>
      </c>
      <c r="F299" t="str">
        <f t="shared" si="9"/>
        <v>A</v>
      </c>
    </row>
    <row r="300" spans="1:6" x14ac:dyDescent="0.25">
      <c r="A300" s="21" t="s">
        <v>732</v>
      </c>
      <c r="B300" t="s">
        <v>986</v>
      </c>
      <c r="C300">
        <v>17689.623</v>
      </c>
      <c r="D300">
        <f t="shared" si="8"/>
        <v>1.1404178955865657E-2</v>
      </c>
      <c r="E300" s="24">
        <f>SUMIFS($D$2:D300,$A$2:A300,A300)</f>
        <v>0.30305969365445357</v>
      </c>
      <c r="F300" t="str">
        <f t="shared" si="9"/>
        <v>A</v>
      </c>
    </row>
    <row r="301" spans="1:6" x14ac:dyDescent="0.25">
      <c r="A301" s="21" t="s">
        <v>732</v>
      </c>
      <c r="B301" t="s">
        <v>1106</v>
      </c>
      <c r="C301">
        <v>32280.32474</v>
      </c>
      <c r="D301">
        <f t="shared" si="8"/>
        <v>2.0810539607792517E-2</v>
      </c>
      <c r="E301" s="24">
        <f>SUMIFS($D$2:D301,$A$2:A301,A301)</f>
        <v>0.32387023326224607</v>
      </c>
      <c r="F301" t="str">
        <f t="shared" si="9"/>
        <v>A</v>
      </c>
    </row>
    <row r="302" spans="1:6" x14ac:dyDescent="0.25">
      <c r="A302" s="21" t="s">
        <v>732</v>
      </c>
      <c r="B302" t="s">
        <v>1166</v>
      </c>
      <c r="C302">
        <v>12967.958640000001</v>
      </c>
      <c r="D302">
        <f t="shared" si="8"/>
        <v>8.3602076213169854E-3</v>
      </c>
      <c r="E302" s="24">
        <f>SUMIFS($D$2:D302,$A$2:A302,A302)</f>
        <v>0.33223044088356307</v>
      </c>
      <c r="F302" t="str">
        <f t="shared" si="9"/>
        <v>A</v>
      </c>
    </row>
    <row r="303" spans="1:6" x14ac:dyDescent="0.25">
      <c r="A303" s="21" t="s">
        <v>732</v>
      </c>
      <c r="B303" t="s">
        <v>1233</v>
      </c>
      <c r="C303">
        <v>20332.775539999999</v>
      </c>
      <c r="D303">
        <f t="shared" si="8"/>
        <v>1.3108171436305225E-2</v>
      </c>
      <c r="E303" s="24">
        <f>SUMIFS($D$2:D303,$A$2:A303,A303)</f>
        <v>0.34533861231986829</v>
      </c>
      <c r="F303" t="str">
        <f t="shared" si="9"/>
        <v>A</v>
      </c>
    </row>
    <row r="304" spans="1:6" x14ac:dyDescent="0.25">
      <c r="A304" s="21" t="s">
        <v>732</v>
      </c>
      <c r="B304" t="s">
        <v>789</v>
      </c>
      <c r="C304">
        <v>31680.795320000001</v>
      </c>
      <c r="D304">
        <f t="shared" si="8"/>
        <v>2.0424033869655175E-2</v>
      </c>
      <c r="E304" s="24">
        <f>SUMIFS($D$2:D304,$A$2:A304,A304)</f>
        <v>0.36576264618952348</v>
      </c>
      <c r="F304" t="str">
        <f t="shared" si="9"/>
        <v>A</v>
      </c>
    </row>
    <row r="305" spans="1:6" x14ac:dyDescent="0.25">
      <c r="A305" s="21" t="s">
        <v>732</v>
      </c>
      <c r="B305" t="s">
        <v>938</v>
      </c>
      <c r="C305">
        <v>25553.782800000001</v>
      </c>
      <c r="D305">
        <f t="shared" si="8"/>
        <v>1.647406007751108E-2</v>
      </c>
      <c r="E305" s="24">
        <f>SUMIFS($D$2:D305,$A$2:A305,A305)</f>
        <v>0.38223670626703454</v>
      </c>
      <c r="F305" t="str">
        <f t="shared" si="9"/>
        <v>A</v>
      </c>
    </row>
    <row r="306" spans="1:6" x14ac:dyDescent="0.25">
      <c r="A306" s="21" t="s">
        <v>732</v>
      </c>
      <c r="B306" t="s">
        <v>1190</v>
      </c>
      <c r="C306">
        <v>7854.6931199999999</v>
      </c>
      <c r="D306">
        <f t="shared" si="8"/>
        <v>5.0637781248298371E-3</v>
      </c>
      <c r="E306" s="24">
        <f>SUMIFS($D$2:D306,$A$2:A306,A306)</f>
        <v>0.38730048439186437</v>
      </c>
      <c r="F306" t="str">
        <f t="shared" si="9"/>
        <v>A</v>
      </c>
    </row>
    <row r="307" spans="1:6" x14ac:dyDescent="0.25">
      <c r="A307" s="21" t="s">
        <v>732</v>
      </c>
      <c r="B307" t="s">
        <v>864</v>
      </c>
      <c r="C307">
        <v>7703.8640800000003</v>
      </c>
      <c r="D307">
        <f t="shared" si="8"/>
        <v>4.966541379654351E-3</v>
      </c>
      <c r="E307" s="24">
        <f>SUMIFS($D$2:D307,$A$2:A307,A307)</f>
        <v>0.39226702577151873</v>
      </c>
      <c r="F307" t="str">
        <f t="shared" si="9"/>
        <v>A</v>
      </c>
    </row>
    <row r="308" spans="1:6" x14ac:dyDescent="0.25">
      <c r="A308" s="21" t="s">
        <v>732</v>
      </c>
      <c r="B308" t="s">
        <v>797</v>
      </c>
      <c r="C308">
        <v>72665.817450000002</v>
      </c>
      <c r="D308">
        <f t="shared" si="8"/>
        <v>4.6846333931145137E-2</v>
      </c>
      <c r="E308" s="24">
        <f>SUMIFS($D$2:D308,$A$2:A308,A308)</f>
        <v>0.43911335970266385</v>
      </c>
      <c r="F308" t="str">
        <f t="shared" si="9"/>
        <v>A</v>
      </c>
    </row>
    <row r="309" spans="1:6" x14ac:dyDescent="0.25">
      <c r="A309" s="21" t="s">
        <v>732</v>
      </c>
      <c r="B309" t="s">
        <v>967</v>
      </c>
      <c r="C309">
        <v>5280.8577599999999</v>
      </c>
      <c r="D309">
        <f t="shared" si="8"/>
        <v>3.4044731725210789E-3</v>
      </c>
      <c r="E309" s="24">
        <f>SUMIFS($D$2:D309,$A$2:A309,A309)</f>
        <v>0.44251783287518492</v>
      </c>
      <c r="F309" t="str">
        <f t="shared" si="9"/>
        <v>A</v>
      </c>
    </row>
    <row r="310" spans="1:6" x14ac:dyDescent="0.25">
      <c r="A310" s="21" t="s">
        <v>732</v>
      </c>
      <c r="B310" t="s">
        <v>912</v>
      </c>
      <c r="C310">
        <v>7098.5495999999994</v>
      </c>
      <c r="D310">
        <f t="shared" si="8"/>
        <v>4.5763061183095068E-3</v>
      </c>
      <c r="E310" s="24">
        <f>SUMIFS($D$2:D310,$A$2:A310,A310)</f>
        <v>0.44709413899349443</v>
      </c>
      <c r="F310" t="str">
        <f t="shared" si="9"/>
        <v>A</v>
      </c>
    </row>
    <row r="311" spans="1:6" x14ac:dyDescent="0.25">
      <c r="A311" s="21" t="s">
        <v>732</v>
      </c>
      <c r="B311" t="s">
        <v>1039</v>
      </c>
      <c r="C311">
        <v>1641.7107199999998</v>
      </c>
      <c r="D311">
        <f t="shared" si="8"/>
        <v>1.0583811110413746E-3</v>
      </c>
      <c r="E311" s="24">
        <f>SUMIFS($D$2:D311,$A$2:A311,A311)</f>
        <v>0.44815252010453582</v>
      </c>
      <c r="F311" t="str">
        <f t="shared" si="9"/>
        <v>A</v>
      </c>
    </row>
    <row r="312" spans="1:6" x14ac:dyDescent="0.25">
      <c r="A312" s="21" t="s">
        <v>732</v>
      </c>
      <c r="B312" t="s">
        <v>1181</v>
      </c>
      <c r="C312">
        <v>45547.183360000003</v>
      </c>
      <c r="D312">
        <f t="shared" si="8"/>
        <v>2.9363442622438389E-2</v>
      </c>
      <c r="E312" s="24">
        <f>SUMIFS($D$2:D312,$A$2:A312,A312)</f>
        <v>0.47751596272697422</v>
      </c>
      <c r="F312" t="str">
        <f t="shared" si="9"/>
        <v>A</v>
      </c>
    </row>
    <row r="313" spans="1:6" x14ac:dyDescent="0.25">
      <c r="A313" s="21" t="s">
        <v>732</v>
      </c>
      <c r="B313" t="s">
        <v>1014</v>
      </c>
      <c r="C313">
        <v>17441.021520000002</v>
      </c>
      <c r="D313">
        <f t="shared" si="8"/>
        <v>1.1243910092780612E-2</v>
      </c>
      <c r="E313" s="24">
        <f>SUMIFS($D$2:D313,$A$2:A313,A313)</f>
        <v>0.48875987281975486</v>
      </c>
      <c r="F313" t="str">
        <f t="shared" si="9"/>
        <v>A</v>
      </c>
    </row>
    <row r="314" spans="1:6" x14ac:dyDescent="0.25">
      <c r="A314" s="21" t="s">
        <v>732</v>
      </c>
      <c r="B314" t="s">
        <v>1032</v>
      </c>
      <c r="C314">
        <v>66.920760000000001</v>
      </c>
      <c r="D314">
        <f t="shared" si="8"/>
        <v>4.3142599641752466E-5</v>
      </c>
      <c r="E314" s="24">
        <f>SUMIFS($D$2:D314,$A$2:A314,A314)</f>
        <v>0.48880301541939664</v>
      </c>
      <c r="F314" t="str">
        <f t="shared" si="9"/>
        <v>A</v>
      </c>
    </row>
    <row r="315" spans="1:6" x14ac:dyDescent="0.25">
      <c r="A315" s="21" t="s">
        <v>732</v>
      </c>
      <c r="B315" t="s">
        <v>917</v>
      </c>
      <c r="C315">
        <v>8698.8768300000011</v>
      </c>
      <c r="D315">
        <f t="shared" si="8"/>
        <v>5.6080080442841183E-3</v>
      </c>
      <c r="E315" s="24">
        <f>SUMIFS($D$2:D315,$A$2:A315,A315)</f>
        <v>0.49441102346368077</v>
      </c>
      <c r="F315" t="str">
        <f t="shared" si="9"/>
        <v>A</v>
      </c>
    </row>
    <row r="316" spans="1:6" x14ac:dyDescent="0.25">
      <c r="A316" s="21" t="s">
        <v>732</v>
      </c>
      <c r="B316" t="s">
        <v>1097</v>
      </c>
      <c r="C316">
        <v>7327.9533600000004</v>
      </c>
      <c r="D316">
        <f t="shared" si="8"/>
        <v>4.7241985596684017E-3</v>
      </c>
      <c r="E316" s="24">
        <f>SUMIFS($D$2:D316,$A$2:A316,A316)</f>
        <v>0.49913522202334915</v>
      </c>
      <c r="F316" t="str">
        <f t="shared" si="9"/>
        <v>A</v>
      </c>
    </row>
    <row r="317" spans="1:6" x14ac:dyDescent="0.25">
      <c r="A317" s="21" t="s">
        <v>732</v>
      </c>
      <c r="B317" t="s">
        <v>1123</v>
      </c>
      <c r="C317">
        <v>16142.527829999999</v>
      </c>
      <c r="D317">
        <f t="shared" si="8"/>
        <v>1.0406794773035112E-2</v>
      </c>
      <c r="E317" s="24">
        <f>SUMIFS($D$2:D317,$A$2:A317,A317)</f>
        <v>0.50954201679638422</v>
      </c>
      <c r="F317" t="str">
        <f t="shared" si="9"/>
        <v>A</v>
      </c>
    </row>
    <row r="318" spans="1:6" x14ac:dyDescent="0.25">
      <c r="A318" s="21" t="s">
        <v>732</v>
      </c>
      <c r="B318" t="s">
        <v>1295</v>
      </c>
      <c r="C318">
        <v>8520.2954399999999</v>
      </c>
      <c r="D318">
        <f t="shared" si="8"/>
        <v>5.4928798626520253E-3</v>
      </c>
      <c r="E318" s="24">
        <f>SUMIFS($D$2:D318,$A$2:A318,A318)</f>
        <v>0.51503489665903623</v>
      </c>
      <c r="F318" t="str">
        <f t="shared" si="9"/>
        <v>A</v>
      </c>
    </row>
    <row r="319" spans="1:6" x14ac:dyDescent="0.25">
      <c r="A319" s="21" t="s">
        <v>732</v>
      </c>
      <c r="B319" t="s">
        <v>1306</v>
      </c>
      <c r="C319">
        <v>14466.95104</v>
      </c>
      <c r="D319">
        <f t="shared" si="8"/>
        <v>9.3265808211914283E-3</v>
      </c>
      <c r="E319" s="24">
        <f>SUMIFS($D$2:D319,$A$2:A319,A319)</f>
        <v>0.52436147748022766</v>
      </c>
      <c r="F319" t="str">
        <f t="shared" si="9"/>
        <v>A</v>
      </c>
    </row>
    <row r="320" spans="1:6" x14ac:dyDescent="0.25">
      <c r="A320" s="21" t="s">
        <v>732</v>
      </c>
      <c r="B320" t="s">
        <v>1256</v>
      </c>
      <c r="C320">
        <v>16121.273400000002</v>
      </c>
      <c r="D320">
        <f t="shared" si="8"/>
        <v>1.0393092427692596E-2</v>
      </c>
      <c r="E320" s="24">
        <f>SUMIFS($D$2:D320,$A$2:A320,A320)</f>
        <v>0.53475456990792025</v>
      </c>
      <c r="F320" t="str">
        <f t="shared" si="9"/>
        <v>A</v>
      </c>
    </row>
    <row r="321" spans="1:6" x14ac:dyDescent="0.25">
      <c r="A321" s="21" t="s">
        <v>732</v>
      </c>
      <c r="B321" t="s">
        <v>1281</v>
      </c>
      <c r="C321">
        <v>10937.519999999999</v>
      </c>
      <c r="D321">
        <f t="shared" si="8"/>
        <v>7.0512206740279155E-3</v>
      </c>
      <c r="E321" s="24">
        <f>SUMIFS($D$2:D321,$A$2:A321,A321)</f>
        <v>0.54180579058194822</v>
      </c>
      <c r="F321" t="str">
        <f t="shared" si="9"/>
        <v>A</v>
      </c>
    </row>
    <row r="322" spans="1:6" x14ac:dyDescent="0.25">
      <c r="A322" s="21" t="s">
        <v>732</v>
      </c>
      <c r="B322" t="s">
        <v>1044</v>
      </c>
      <c r="C322">
        <v>30799.273800000003</v>
      </c>
      <c r="D322">
        <f t="shared" si="8"/>
        <v>1.9855732941618059E-2</v>
      </c>
      <c r="E322" s="24">
        <f>SUMIFS($D$2:D322,$A$2:A322,A322)</f>
        <v>0.56166152352356624</v>
      </c>
      <c r="F322" t="str">
        <f t="shared" si="9"/>
        <v>A</v>
      </c>
    </row>
    <row r="323" spans="1:6" x14ac:dyDescent="0.25">
      <c r="A323" s="21" t="s">
        <v>732</v>
      </c>
      <c r="B323" t="s">
        <v>929</v>
      </c>
      <c r="C323">
        <v>31191.64716</v>
      </c>
      <c r="D323">
        <f t="shared" ref="D323:D386" si="10">C323/SUMIFS($C:$C,$A:$A,A323)</f>
        <v>2.0108688926884354E-2</v>
      </c>
      <c r="E323" s="24">
        <f>SUMIFS($D$2:D323,$A$2:A323,A323)</f>
        <v>0.58177021245045057</v>
      </c>
      <c r="F323" t="str">
        <f t="shared" ref="F323:F386" si="11">IF(E323&lt;=0.8,"A",IF(E323&lt;=0.95,"B","C"))</f>
        <v>A</v>
      </c>
    </row>
    <row r="324" spans="1:6" x14ac:dyDescent="0.25">
      <c r="A324" s="21" t="s">
        <v>732</v>
      </c>
      <c r="B324" t="s">
        <v>899</v>
      </c>
      <c r="C324">
        <v>85637.740319999997</v>
      </c>
      <c r="D324">
        <f t="shared" si="10"/>
        <v>5.5209097219609017E-2</v>
      </c>
      <c r="E324" s="24">
        <f>SUMIFS($D$2:D324,$A$2:A324,A324)</f>
        <v>0.63697930967005956</v>
      </c>
      <c r="F324" t="str">
        <f t="shared" si="11"/>
        <v>A</v>
      </c>
    </row>
    <row r="325" spans="1:6" x14ac:dyDescent="0.25">
      <c r="A325" s="21" t="s">
        <v>732</v>
      </c>
      <c r="B325" t="s">
        <v>801</v>
      </c>
      <c r="C325">
        <v>14287.896349999999</v>
      </c>
      <c r="D325">
        <f t="shared" si="10"/>
        <v>9.2111475116377385E-3</v>
      </c>
      <c r="E325" s="24">
        <f>SUMIFS($D$2:D325,$A$2:A325,A325)</f>
        <v>0.64619045718169732</v>
      </c>
      <c r="F325" t="str">
        <f t="shared" si="11"/>
        <v>A</v>
      </c>
    </row>
    <row r="326" spans="1:6" x14ac:dyDescent="0.25">
      <c r="A326" s="21" t="s">
        <v>732</v>
      </c>
      <c r="B326" t="s">
        <v>1187</v>
      </c>
      <c r="C326">
        <v>23132.398349999996</v>
      </c>
      <c r="D326">
        <f t="shared" si="10"/>
        <v>1.4913037460536687E-2</v>
      </c>
      <c r="E326" s="24">
        <f>SUMIFS($D$2:D326,$A$2:A326,A326)</f>
        <v>0.66110349464223406</v>
      </c>
      <c r="F326" t="str">
        <f t="shared" si="11"/>
        <v>A</v>
      </c>
    </row>
    <row r="327" spans="1:6" x14ac:dyDescent="0.25">
      <c r="A327" s="21" t="s">
        <v>732</v>
      </c>
      <c r="B327" t="s">
        <v>742</v>
      </c>
      <c r="C327">
        <v>14714.12934</v>
      </c>
      <c r="D327">
        <f t="shared" si="10"/>
        <v>9.4859321859552016E-3</v>
      </c>
      <c r="E327" s="24">
        <f>SUMIFS($D$2:D327,$A$2:A327,A327)</f>
        <v>0.67058942682818923</v>
      </c>
      <c r="F327" t="str">
        <f t="shared" si="11"/>
        <v>A</v>
      </c>
    </row>
    <row r="328" spans="1:6" x14ac:dyDescent="0.25">
      <c r="A328" s="21" t="s">
        <v>732</v>
      </c>
      <c r="B328" t="s">
        <v>909</v>
      </c>
      <c r="C328">
        <v>92715.25</v>
      </c>
      <c r="D328">
        <f t="shared" si="10"/>
        <v>5.9771839283280559E-2</v>
      </c>
      <c r="E328" s="24">
        <f>SUMIFS($D$2:D328,$A$2:A328,A328)</f>
        <v>0.73036126611146979</v>
      </c>
      <c r="F328" t="str">
        <f t="shared" si="11"/>
        <v>A</v>
      </c>
    </row>
    <row r="329" spans="1:6" x14ac:dyDescent="0.25">
      <c r="A329" s="21" t="s">
        <v>732</v>
      </c>
      <c r="B329" t="s">
        <v>1290</v>
      </c>
      <c r="C329">
        <v>10519.776450000001</v>
      </c>
      <c r="D329">
        <f t="shared" si="10"/>
        <v>6.7819089876308353E-3</v>
      </c>
      <c r="E329" s="24">
        <f>SUMIFS($D$2:D329,$A$2:A329,A329)</f>
        <v>0.73714317509910066</v>
      </c>
      <c r="F329" t="str">
        <f t="shared" si="11"/>
        <v>A</v>
      </c>
    </row>
    <row r="330" spans="1:6" x14ac:dyDescent="0.25">
      <c r="A330" s="21" t="s">
        <v>732</v>
      </c>
      <c r="B330" t="s">
        <v>1180</v>
      </c>
      <c r="C330">
        <v>5565.3272500000003</v>
      </c>
      <c r="D330">
        <f t="shared" si="10"/>
        <v>3.5878654907996448E-3</v>
      </c>
      <c r="E330" s="24">
        <f>SUMIFS($D$2:D330,$A$2:A330,A330)</f>
        <v>0.74073104058990025</v>
      </c>
      <c r="F330" t="str">
        <f t="shared" si="11"/>
        <v>A</v>
      </c>
    </row>
    <row r="331" spans="1:6" x14ac:dyDescent="0.25">
      <c r="A331" s="21" t="s">
        <v>732</v>
      </c>
      <c r="B331" t="s">
        <v>1314</v>
      </c>
      <c r="C331">
        <v>1801.4076000000002</v>
      </c>
      <c r="D331">
        <f t="shared" si="10"/>
        <v>1.1613347917508734E-3</v>
      </c>
      <c r="E331" s="24">
        <f>SUMIFS($D$2:D331,$A$2:A331,A331)</f>
        <v>0.74189237538165109</v>
      </c>
      <c r="F331" t="str">
        <f t="shared" si="11"/>
        <v>A</v>
      </c>
    </row>
    <row r="332" spans="1:6" x14ac:dyDescent="0.25">
      <c r="A332" s="21" t="s">
        <v>732</v>
      </c>
      <c r="B332" t="s">
        <v>925</v>
      </c>
      <c r="C332">
        <v>8763.2849999999999</v>
      </c>
      <c r="D332">
        <f t="shared" si="10"/>
        <v>5.6495308227458079E-3</v>
      </c>
      <c r="E332" s="24">
        <f>SUMIFS($D$2:D332,$A$2:A332,A332)</f>
        <v>0.74754190620439687</v>
      </c>
      <c r="F332" t="str">
        <f t="shared" si="11"/>
        <v>A</v>
      </c>
    </row>
    <row r="333" spans="1:6" x14ac:dyDescent="0.25">
      <c r="A333" s="21" t="s">
        <v>732</v>
      </c>
      <c r="B333" t="s">
        <v>902</v>
      </c>
      <c r="C333">
        <v>6824.2884000000004</v>
      </c>
      <c r="D333">
        <f t="shared" si="10"/>
        <v>4.3994948993564256E-3</v>
      </c>
      <c r="E333" s="24">
        <f>SUMIFS($D$2:D333,$A$2:A333,A333)</f>
        <v>0.75194140110375329</v>
      </c>
      <c r="F333" t="str">
        <f t="shared" si="11"/>
        <v>A</v>
      </c>
    </row>
    <row r="334" spans="1:6" x14ac:dyDescent="0.25">
      <c r="A334" s="21" t="s">
        <v>732</v>
      </c>
      <c r="B334" t="s">
        <v>1117</v>
      </c>
      <c r="C334">
        <v>15257.51748</v>
      </c>
      <c r="D334">
        <f t="shared" si="10"/>
        <v>9.8362446596045837E-3</v>
      </c>
      <c r="E334" s="24">
        <f>SUMIFS($D$2:D334,$A$2:A334,A334)</f>
        <v>0.76177764576335782</v>
      </c>
      <c r="F334" t="str">
        <f t="shared" si="11"/>
        <v>A</v>
      </c>
    </row>
    <row r="335" spans="1:6" x14ac:dyDescent="0.25">
      <c r="A335" s="21" t="s">
        <v>732</v>
      </c>
      <c r="B335" t="s">
        <v>992</v>
      </c>
      <c r="C335">
        <v>4375.3620000000001</v>
      </c>
      <c r="D335">
        <f t="shared" si="10"/>
        <v>2.8207164869875558E-3</v>
      </c>
      <c r="E335" s="24">
        <f>SUMIFS($D$2:D335,$A$2:A335,A335)</f>
        <v>0.76459836225034539</v>
      </c>
      <c r="F335" t="str">
        <f t="shared" si="11"/>
        <v>A</v>
      </c>
    </row>
    <row r="336" spans="1:6" x14ac:dyDescent="0.25">
      <c r="A336" s="21" t="s">
        <v>732</v>
      </c>
      <c r="B336" t="s">
        <v>945</v>
      </c>
      <c r="C336">
        <v>1774.8072</v>
      </c>
      <c r="D336">
        <f t="shared" si="10"/>
        <v>1.144185996556221E-3</v>
      </c>
      <c r="E336" s="24">
        <f>SUMIFS($D$2:D336,$A$2:A336,A336)</f>
        <v>0.76574254824690158</v>
      </c>
      <c r="F336" t="str">
        <f t="shared" si="11"/>
        <v>A</v>
      </c>
    </row>
    <row r="337" spans="1:6" x14ac:dyDescent="0.25">
      <c r="A337" s="21" t="s">
        <v>732</v>
      </c>
      <c r="B337" t="s">
        <v>922</v>
      </c>
      <c r="C337">
        <v>28072.190160000002</v>
      </c>
      <c r="D337">
        <f t="shared" si="10"/>
        <v>1.8097631604004842E-2</v>
      </c>
      <c r="E337" s="24">
        <f>SUMIFS($D$2:D337,$A$2:A337,A337)</f>
        <v>0.78384017985090637</v>
      </c>
      <c r="F337" t="str">
        <f t="shared" si="11"/>
        <v>A</v>
      </c>
    </row>
    <row r="338" spans="1:6" x14ac:dyDescent="0.25">
      <c r="A338" s="21" t="s">
        <v>732</v>
      </c>
      <c r="B338" t="s">
        <v>813</v>
      </c>
      <c r="C338">
        <v>4877.1379800000004</v>
      </c>
      <c r="D338">
        <f t="shared" si="10"/>
        <v>3.1442023561705718E-3</v>
      </c>
      <c r="E338" s="24">
        <f>SUMIFS($D$2:D338,$A$2:A338,A338)</f>
        <v>0.78698438220707689</v>
      </c>
      <c r="F338" t="str">
        <f t="shared" si="11"/>
        <v>A</v>
      </c>
    </row>
    <row r="339" spans="1:6" x14ac:dyDescent="0.25">
      <c r="A339" s="21" t="s">
        <v>732</v>
      </c>
      <c r="B339" t="s">
        <v>1344</v>
      </c>
      <c r="C339">
        <v>9256.14</v>
      </c>
      <c r="D339">
        <f t="shared" si="10"/>
        <v>5.9672654980010781E-3</v>
      </c>
      <c r="E339" s="24">
        <f>SUMIFS($D$2:D339,$A$2:A339,A339)</f>
        <v>0.79295164770507798</v>
      </c>
      <c r="F339" t="str">
        <f t="shared" si="11"/>
        <v>A</v>
      </c>
    </row>
    <row r="340" spans="1:6" x14ac:dyDescent="0.25">
      <c r="A340" s="21" t="s">
        <v>732</v>
      </c>
      <c r="B340" t="s">
        <v>1278</v>
      </c>
      <c r="C340">
        <v>4826.5396199999996</v>
      </c>
      <c r="D340">
        <f t="shared" si="10"/>
        <v>3.1115825116259299E-3</v>
      </c>
      <c r="E340" s="24">
        <f>SUMIFS($D$2:D340,$A$2:A340,A340)</f>
        <v>0.79606323021670389</v>
      </c>
      <c r="F340" t="str">
        <f t="shared" si="11"/>
        <v>A</v>
      </c>
    </row>
    <row r="341" spans="1:6" x14ac:dyDescent="0.25">
      <c r="A341" s="21" t="s">
        <v>732</v>
      </c>
      <c r="B341" t="s">
        <v>740</v>
      </c>
      <c r="C341">
        <v>2886.4496399999998</v>
      </c>
      <c r="D341">
        <f t="shared" si="10"/>
        <v>1.8608417059907945E-3</v>
      </c>
      <c r="E341" s="24">
        <f>SUMIFS($D$2:D341,$A$2:A341,A341)</f>
        <v>0.79792407192269466</v>
      </c>
      <c r="F341" t="str">
        <f t="shared" si="11"/>
        <v>A</v>
      </c>
    </row>
    <row r="342" spans="1:6" x14ac:dyDescent="0.25">
      <c r="A342" s="21" t="s">
        <v>732</v>
      </c>
      <c r="B342" t="s">
        <v>1006</v>
      </c>
      <c r="C342">
        <v>34632.106319999999</v>
      </c>
      <c r="D342">
        <f t="shared" si="10"/>
        <v>2.2326690517477165E-2</v>
      </c>
      <c r="E342" s="24">
        <f>SUMIFS($D$2:D342,$A$2:A342,A342)</f>
        <v>0.82025076244017181</v>
      </c>
      <c r="F342" t="str">
        <f t="shared" si="11"/>
        <v>B</v>
      </c>
    </row>
    <row r="343" spans="1:6" x14ac:dyDescent="0.25">
      <c r="A343" s="21" t="s">
        <v>732</v>
      </c>
      <c r="B343" t="s">
        <v>1274</v>
      </c>
      <c r="C343">
        <v>30652.403519999996</v>
      </c>
      <c r="D343">
        <f t="shared" si="10"/>
        <v>1.9761048337179732E-2</v>
      </c>
      <c r="E343" s="24">
        <f>SUMIFS($D$2:D343,$A$2:A343,A343)</f>
        <v>0.84001181077735154</v>
      </c>
      <c r="F343" t="str">
        <f t="shared" si="11"/>
        <v>B</v>
      </c>
    </row>
    <row r="344" spans="1:6" x14ac:dyDescent="0.25">
      <c r="A344" s="21" t="s">
        <v>732</v>
      </c>
      <c r="B344" t="s">
        <v>1165</v>
      </c>
      <c r="C344">
        <v>2627.6239999999998</v>
      </c>
      <c r="D344">
        <f t="shared" si="10"/>
        <v>1.6939815124792392E-3</v>
      </c>
      <c r="E344" s="24">
        <f>SUMIFS($D$2:D344,$A$2:A344,A344)</f>
        <v>0.84170579228983078</v>
      </c>
      <c r="F344" t="str">
        <f t="shared" si="11"/>
        <v>B</v>
      </c>
    </row>
    <row r="345" spans="1:6" x14ac:dyDescent="0.25">
      <c r="A345" s="21" t="s">
        <v>732</v>
      </c>
      <c r="B345" t="s">
        <v>918</v>
      </c>
      <c r="C345">
        <v>26408.63841</v>
      </c>
      <c r="D345">
        <f t="shared" si="10"/>
        <v>1.7025169977245274E-2</v>
      </c>
      <c r="E345" s="24">
        <f>SUMIFS($D$2:D345,$A$2:A345,A345)</f>
        <v>0.85873096226707601</v>
      </c>
      <c r="F345" t="str">
        <f t="shared" si="11"/>
        <v>B</v>
      </c>
    </row>
    <row r="346" spans="1:6" x14ac:dyDescent="0.25">
      <c r="A346" s="21" t="s">
        <v>732</v>
      </c>
      <c r="B346" t="s">
        <v>1228</v>
      </c>
      <c r="C346">
        <v>4682.9519799999998</v>
      </c>
      <c r="D346">
        <f t="shared" si="10"/>
        <v>3.0190141656294997E-3</v>
      </c>
      <c r="E346" s="24">
        <f>SUMIFS($D$2:D346,$A$2:A346,A346)</f>
        <v>0.86174997643270557</v>
      </c>
      <c r="F346" t="str">
        <f t="shared" si="11"/>
        <v>B</v>
      </c>
    </row>
    <row r="347" spans="1:6" x14ac:dyDescent="0.25">
      <c r="A347" s="21" t="s">
        <v>732</v>
      </c>
      <c r="B347" t="s">
        <v>988</v>
      </c>
      <c r="C347">
        <v>6468.2751599999992</v>
      </c>
      <c r="D347">
        <f t="shared" si="10"/>
        <v>4.1699796236709255E-3</v>
      </c>
      <c r="E347" s="24">
        <f>SUMIFS($D$2:D347,$A$2:A347,A347)</f>
        <v>0.86591995605637651</v>
      </c>
      <c r="F347" t="str">
        <f t="shared" si="11"/>
        <v>B</v>
      </c>
    </row>
    <row r="348" spans="1:6" x14ac:dyDescent="0.25">
      <c r="A348" s="21" t="s">
        <v>732</v>
      </c>
      <c r="B348" t="s">
        <v>822</v>
      </c>
      <c r="C348">
        <v>11842.8464</v>
      </c>
      <c r="D348">
        <f t="shared" si="10"/>
        <v>7.6348681762426112E-3</v>
      </c>
      <c r="E348" s="24">
        <f>SUMIFS($D$2:D348,$A$2:A348,A348)</f>
        <v>0.8735548242326191</v>
      </c>
      <c r="F348" t="str">
        <f t="shared" si="11"/>
        <v>B</v>
      </c>
    </row>
    <row r="349" spans="1:6" x14ac:dyDescent="0.25">
      <c r="A349" s="21" t="s">
        <v>732</v>
      </c>
      <c r="B349" t="s">
        <v>852</v>
      </c>
      <c r="C349">
        <v>5769.2758000000003</v>
      </c>
      <c r="D349">
        <f t="shared" si="10"/>
        <v>3.7193474201765069E-3</v>
      </c>
      <c r="E349" s="24">
        <f>SUMIFS($D$2:D349,$A$2:A349,A349)</f>
        <v>0.87727417165279564</v>
      </c>
      <c r="F349" t="str">
        <f t="shared" si="11"/>
        <v>B</v>
      </c>
    </row>
    <row r="350" spans="1:6" x14ac:dyDescent="0.25">
      <c r="A350" s="21" t="s">
        <v>732</v>
      </c>
      <c r="B350" t="s">
        <v>1265</v>
      </c>
      <c r="C350">
        <v>534.57695999999999</v>
      </c>
      <c r="D350">
        <f t="shared" si="10"/>
        <v>3.4463206578922773E-4</v>
      </c>
      <c r="E350" s="24">
        <f>SUMIFS($D$2:D350,$A$2:A350,A350)</f>
        <v>0.87761880371858492</v>
      </c>
      <c r="F350" t="str">
        <f t="shared" si="11"/>
        <v>B</v>
      </c>
    </row>
    <row r="351" spans="1:6" x14ac:dyDescent="0.25">
      <c r="A351" s="21" t="s">
        <v>732</v>
      </c>
      <c r="B351" t="s">
        <v>897</v>
      </c>
      <c r="C351">
        <v>12194.714</v>
      </c>
      <c r="D351">
        <f t="shared" si="10"/>
        <v>7.8617108330460341E-3</v>
      </c>
      <c r="E351" s="24">
        <f>SUMIFS($D$2:D351,$A$2:A351,A351)</f>
        <v>0.8854805145516309</v>
      </c>
      <c r="F351" t="str">
        <f t="shared" si="11"/>
        <v>B</v>
      </c>
    </row>
    <row r="352" spans="1:6" x14ac:dyDescent="0.25">
      <c r="A352" s="21" t="s">
        <v>732</v>
      </c>
      <c r="B352" t="s">
        <v>1232</v>
      </c>
      <c r="C352">
        <v>16574.544740000001</v>
      </c>
      <c r="D352">
        <f t="shared" si="10"/>
        <v>1.0685308235622762E-2</v>
      </c>
      <c r="E352" s="24">
        <f>SUMIFS($D$2:D352,$A$2:A352,A352)</f>
        <v>0.89616582278725365</v>
      </c>
      <c r="F352" t="str">
        <f t="shared" si="11"/>
        <v>B</v>
      </c>
    </row>
    <row r="353" spans="1:6" x14ac:dyDescent="0.25">
      <c r="A353" s="21" t="s">
        <v>732</v>
      </c>
      <c r="B353" t="s">
        <v>1052</v>
      </c>
      <c r="C353">
        <v>2915.4540999999999</v>
      </c>
      <c r="D353">
        <f t="shared" si="10"/>
        <v>1.879540355043872E-3</v>
      </c>
      <c r="E353" s="24">
        <f>SUMIFS($D$2:D353,$A$2:A353,A353)</f>
        <v>0.89804536314229755</v>
      </c>
      <c r="F353" t="str">
        <f t="shared" si="11"/>
        <v>B</v>
      </c>
    </row>
    <row r="354" spans="1:6" x14ac:dyDescent="0.25">
      <c r="A354" s="21" t="s">
        <v>732</v>
      </c>
      <c r="B354" t="s">
        <v>1129</v>
      </c>
      <c r="C354">
        <v>56176.777799999996</v>
      </c>
      <c r="D354">
        <f t="shared" si="10"/>
        <v>3.6216149275487719E-2</v>
      </c>
      <c r="E354" s="24">
        <f>SUMIFS($D$2:D354,$A$2:A354,A354)</f>
        <v>0.93426151241778532</v>
      </c>
      <c r="F354" t="str">
        <f t="shared" si="11"/>
        <v>B</v>
      </c>
    </row>
    <row r="355" spans="1:6" x14ac:dyDescent="0.25">
      <c r="A355" s="21" t="s">
        <v>732</v>
      </c>
      <c r="B355" t="s">
        <v>1000</v>
      </c>
      <c r="C355">
        <v>38818.760160000005</v>
      </c>
      <c r="D355">
        <f t="shared" si="10"/>
        <v>2.5025750277971905E-2</v>
      </c>
      <c r="E355" s="24">
        <f>SUMIFS($D$2:D355,$A$2:A355,A355)</f>
        <v>0.95928726269575726</v>
      </c>
      <c r="F355" t="str">
        <f t="shared" si="11"/>
        <v>C</v>
      </c>
    </row>
    <row r="356" spans="1:6" x14ac:dyDescent="0.25">
      <c r="A356" s="21" t="s">
        <v>732</v>
      </c>
      <c r="B356" t="s">
        <v>894</v>
      </c>
      <c r="C356">
        <v>22044.871499999997</v>
      </c>
      <c r="D356">
        <f t="shared" si="10"/>
        <v>1.4211928634378614E-2</v>
      </c>
      <c r="E356" s="24">
        <f>SUMIFS($D$2:D356,$A$2:A356,A356)</f>
        <v>0.97349919133013585</v>
      </c>
      <c r="F356" t="str">
        <f t="shared" si="11"/>
        <v>C</v>
      </c>
    </row>
    <row r="357" spans="1:6" x14ac:dyDescent="0.25">
      <c r="A357" s="22" t="s">
        <v>732</v>
      </c>
      <c r="B357" t="s">
        <v>774</v>
      </c>
      <c r="C357">
        <v>41106.800970000004</v>
      </c>
      <c r="D357">
        <f t="shared" si="10"/>
        <v>2.6500808669864359E-2</v>
      </c>
      <c r="E357" s="24">
        <f>SUMIFS($D$2:D357,$A$2:A357,A357)</f>
        <v>1.0000000000000002</v>
      </c>
      <c r="F357" t="str">
        <f t="shared" si="11"/>
        <v>C</v>
      </c>
    </row>
    <row r="358" spans="1:6" x14ac:dyDescent="0.25">
      <c r="A358" s="23" t="s">
        <v>1482</v>
      </c>
      <c r="B358" s="23"/>
      <c r="C358" s="23">
        <v>1551152.7018699993</v>
      </c>
      <c r="D358">
        <f t="shared" si="10"/>
        <v>1</v>
      </c>
      <c r="E358" s="24">
        <f>SUMIFS($D$2:D358,$A$2:A358,A358)</f>
        <v>1</v>
      </c>
      <c r="F358" t="str">
        <f t="shared" si="11"/>
        <v>C</v>
      </c>
    </row>
    <row r="359" spans="1:6" x14ac:dyDescent="0.25">
      <c r="A359" s="21" t="s">
        <v>729</v>
      </c>
      <c r="B359" t="s">
        <v>1230</v>
      </c>
      <c r="C359">
        <v>25249.613219999999</v>
      </c>
      <c r="D359">
        <f t="shared" si="10"/>
        <v>1.4230276225205623E-2</v>
      </c>
      <c r="E359" s="24">
        <f>SUMIFS($D$2:D359,$A$2:A359,A359)</f>
        <v>1.4230276225205623E-2</v>
      </c>
      <c r="F359" t="str">
        <f t="shared" si="11"/>
        <v>A</v>
      </c>
    </row>
    <row r="360" spans="1:6" x14ac:dyDescent="0.25">
      <c r="A360" s="21" t="s">
        <v>729</v>
      </c>
      <c r="B360" t="s">
        <v>1045</v>
      </c>
      <c r="C360">
        <v>879.05840000000001</v>
      </c>
      <c r="D360">
        <f t="shared" si="10"/>
        <v>4.9542318692544695E-4</v>
      </c>
      <c r="E360" s="24">
        <f>SUMIFS($D$2:D360,$A$2:A360,A360)</f>
        <v>1.4725699412131071E-2</v>
      </c>
      <c r="F360" t="str">
        <f t="shared" si="11"/>
        <v>A</v>
      </c>
    </row>
    <row r="361" spans="1:6" x14ac:dyDescent="0.25">
      <c r="A361" s="21" t="s">
        <v>729</v>
      </c>
      <c r="B361" t="s">
        <v>1229</v>
      </c>
      <c r="C361">
        <v>30692.47896</v>
      </c>
      <c r="D361">
        <f t="shared" si="10"/>
        <v>1.72977878841786E-2</v>
      </c>
      <c r="E361" s="24">
        <f>SUMIFS($D$2:D361,$A$2:A361,A361)</f>
        <v>3.2023487296309674E-2</v>
      </c>
      <c r="F361" t="str">
        <f t="shared" si="11"/>
        <v>A</v>
      </c>
    </row>
    <row r="362" spans="1:6" x14ac:dyDescent="0.25">
      <c r="A362" s="21" t="s">
        <v>729</v>
      </c>
      <c r="B362" t="s">
        <v>1324</v>
      </c>
      <c r="C362">
        <v>51768.181920000003</v>
      </c>
      <c r="D362">
        <f t="shared" si="10"/>
        <v>2.9175715365603358E-2</v>
      </c>
      <c r="E362" s="24">
        <f>SUMIFS($D$2:D362,$A$2:A362,A362)</f>
        <v>6.1199202661913032E-2</v>
      </c>
      <c r="F362" t="str">
        <f t="shared" si="11"/>
        <v>A</v>
      </c>
    </row>
    <row r="363" spans="1:6" x14ac:dyDescent="0.25">
      <c r="A363" s="21" t="s">
        <v>729</v>
      </c>
      <c r="B363" t="s">
        <v>1114</v>
      </c>
      <c r="C363">
        <v>12881.097599999999</v>
      </c>
      <c r="D363">
        <f t="shared" si="10"/>
        <v>7.2595795957239306E-3</v>
      </c>
      <c r="E363" s="24">
        <f>SUMIFS($D$2:D363,$A$2:A363,A363)</f>
        <v>6.8458782257636963E-2</v>
      </c>
      <c r="F363" t="str">
        <f t="shared" si="11"/>
        <v>A</v>
      </c>
    </row>
    <row r="364" spans="1:6" x14ac:dyDescent="0.25">
      <c r="A364" s="21" t="s">
        <v>729</v>
      </c>
      <c r="B364" t="s">
        <v>775</v>
      </c>
      <c r="C364">
        <v>10558.74</v>
      </c>
      <c r="D364">
        <f t="shared" si="10"/>
        <v>5.9507361748857559E-3</v>
      </c>
      <c r="E364" s="24">
        <f>SUMIFS($D$2:D364,$A$2:A364,A364)</f>
        <v>7.440951843252272E-2</v>
      </c>
      <c r="F364" t="str">
        <f t="shared" si="11"/>
        <v>A</v>
      </c>
    </row>
    <row r="365" spans="1:6" x14ac:dyDescent="0.25">
      <c r="A365" s="21" t="s">
        <v>729</v>
      </c>
      <c r="B365" t="s">
        <v>957</v>
      </c>
      <c r="C365">
        <v>66988.771199999988</v>
      </c>
      <c r="D365">
        <f t="shared" si="10"/>
        <v>3.7753794874292299E-2</v>
      </c>
      <c r="E365" s="24">
        <f>SUMIFS($D$2:D365,$A$2:A365,A365)</f>
        <v>0.11216331330681502</v>
      </c>
      <c r="F365" t="str">
        <f t="shared" si="11"/>
        <v>A</v>
      </c>
    </row>
    <row r="366" spans="1:6" x14ac:dyDescent="0.25">
      <c r="A366" s="21" t="s">
        <v>729</v>
      </c>
      <c r="B366" t="s">
        <v>960</v>
      </c>
      <c r="C366">
        <v>30479.418970000002</v>
      </c>
      <c r="D366">
        <f t="shared" si="10"/>
        <v>1.7177710697893703E-2</v>
      </c>
      <c r="E366" s="24">
        <f>SUMIFS($D$2:D366,$A$2:A366,A366)</f>
        <v>0.12934102400470873</v>
      </c>
      <c r="F366" t="str">
        <f t="shared" si="11"/>
        <v>A</v>
      </c>
    </row>
    <row r="367" spans="1:6" x14ac:dyDescent="0.25">
      <c r="A367" s="21" t="s">
        <v>729</v>
      </c>
      <c r="B367" t="s">
        <v>1036</v>
      </c>
      <c r="C367">
        <v>39686.4182</v>
      </c>
      <c r="D367">
        <f t="shared" si="10"/>
        <v>2.236662749858264E-2</v>
      </c>
      <c r="E367" s="24">
        <f>SUMIFS($D$2:D367,$A$2:A367,A367)</f>
        <v>0.15170765150329138</v>
      </c>
      <c r="F367" t="str">
        <f t="shared" si="11"/>
        <v>A</v>
      </c>
    </row>
    <row r="368" spans="1:6" x14ac:dyDescent="0.25">
      <c r="A368" s="21" t="s">
        <v>729</v>
      </c>
      <c r="B368" t="s">
        <v>832</v>
      </c>
      <c r="C368">
        <v>5328.4890400000004</v>
      </c>
      <c r="D368">
        <f t="shared" si="10"/>
        <v>3.0030507889966299E-3</v>
      </c>
      <c r="E368" s="24">
        <f>SUMIFS($D$2:D368,$A$2:A368,A368)</f>
        <v>0.154710702292288</v>
      </c>
      <c r="F368" t="str">
        <f t="shared" si="11"/>
        <v>A</v>
      </c>
    </row>
    <row r="369" spans="1:6" x14ac:dyDescent="0.25">
      <c r="A369" s="21" t="s">
        <v>729</v>
      </c>
      <c r="B369" t="s">
        <v>1075</v>
      </c>
      <c r="C369">
        <v>1115.1975999999997</v>
      </c>
      <c r="D369">
        <f t="shared" si="10"/>
        <v>6.2850744506122642E-4</v>
      </c>
      <c r="E369" s="24">
        <f>SUMIFS($D$2:D369,$A$2:A369,A369)</f>
        <v>0.15533920973734924</v>
      </c>
      <c r="F369" t="str">
        <f t="shared" si="11"/>
        <v>A</v>
      </c>
    </row>
    <row r="370" spans="1:6" x14ac:dyDescent="0.25">
      <c r="A370" s="21" t="s">
        <v>729</v>
      </c>
      <c r="B370" t="s">
        <v>807</v>
      </c>
      <c r="C370">
        <v>9373.460219999999</v>
      </c>
      <c r="D370">
        <f t="shared" si="10"/>
        <v>5.2827315394646133E-3</v>
      </c>
      <c r="E370" s="24">
        <f>SUMIFS($D$2:D370,$A$2:A370,A370)</f>
        <v>0.16062194127681387</v>
      </c>
      <c r="F370" t="str">
        <f t="shared" si="11"/>
        <v>A</v>
      </c>
    </row>
    <row r="371" spans="1:6" x14ac:dyDescent="0.25">
      <c r="A371" s="21" t="s">
        <v>729</v>
      </c>
      <c r="B371" t="s">
        <v>1213</v>
      </c>
      <c r="C371">
        <v>40488.792960000006</v>
      </c>
      <c r="D371">
        <f t="shared" si="10"/>
        <v>2.2818833018383992E-2</v>
      </c>
      <c r="E371" s="24">
        <f>SUMIFS($D$2:D371,$A$2:A371,A371)</f>
        <v>0.18344077429519787</v>
      </c>
      <c r="F371" t="str">
        <f t="shared" si="11"/>
        <v>A</v>
      </c>
    </row>
    <row r="372" spans="1:6" x14ac:dyDescent="0.25">
      <c r="A372" s="21" t="s">
        <v>729</v>
      </c>
      <c r="B372" t="s">
        <v>824</v>
      </c>
      <c r="C372">
        <v>8324.8326000000015</v>
      </c>
      <c r="D372">
        <f t="shared" si="10"/>
        <v>4.6917418652877383E-3</v>
      </c>
      <c r="E372" s="24">
        <f>SUMIFS($D$2:D372,$A$2:A372,A372)</f>
        <v>0.1881325161604856</v>
      </c>
      <c r="F372" t="str">
        <f t="shared" si="11"/>
        <v>A</v>
      </c>
    </row>
    <row r="373" spans="1:6" x14ac:dyDescent="0.25">
      <c r="A373" s="21" t="s">
        <v>729</v>
      </c>
      <c r="B373" t="s">
        <v>779</v>
      </c>
      <c r="C373">
        <v>32506.559399999998</v>
      </c>
      <c r="D373">
        <f t="shared" si="10"/>
        <v>1.8320174466143934E-2</v>
      </c>
      <c r="E373" s="24">
        <f>SUMIFS($D$2:D373,$A$2:A373,A373)</f>
        <v>0.20645269062662952</v>
      </c>
      <c r="F373" t="str">
        <f t="shared" si="11"/>
        <v>A</v>
      </c>
    </row>
    <row r="374" spans="1:6" x14ac:dyDescent="0.25">
      <c r="A374" s="21" t="s">
        <v>729</v>
      </c>
      <c r="B374" t="s">
        <v>781</v>
      </c>
      <c r="C374">
        <v>109244</v>
      </c>
      <c r="D374">
        <f t="shared" si="10"/>
        <v>6.1568162743776203E-2</v>
      </c>
      <c r="E374" s="24">
        <f>SUMIFS($D$2:D374,$A$2:A374,A374)</f>
        <v>0.26802085337040571</v>
      </c>
      <c r="F374" t="str">
        <f t="shared" si="11"/>
        <v>A</v>
      </c>
    </row>
    <row r="375" spans="1:6" x14ac:dyDescent="0.25">
      <c r="A375" s="21" t="s">
        <v>729</v>
      </c>
      <c r="B375" t="s">
        <v>878</v>
      </c>
      <c r="C375">
        <v>25672.127039999999</v>
      </c>
      <c r="D375">
        <f t="shared" si="10"/>
        <v>1.446839822395388E-2</v>
      </c>
      <c r="E375" s="24">
        <f>SUMIFS($D$2:D375,$A$2:A375,A375)</f>
        <v>0.28248925159435961</v>
      </c>
      <c r="F375" t="str">
        <f t="shared" si="11"/>
        <v>A</v>
      </c>
    </row>
    <row r="376" spans="1:6" x14ac:dyDescent="0.25">
      <c r="A376" s="21" t="s">
        <v>729</v>
      </c>
      <c r="B376" t="s">
        <v>991</v>
      </c>
      <c r="C376">
        <v>2394.1605599999998</v>
      </c>
      <c r="D376">
        <f t="shared" si="10"/>
        <v>1.3493104151514992E-3</v>
      </c>
      <c r="E376" s="24">
        <f>SUMIFS($D$2:D376,$A$2:A376,A376)</f>
        <v>0.28383856200951113</v>
      </c>
      <c r="F376" t="str">
        <f t="shared" si="11"/>
        <v>A</v>
      </c>
    </row>
    <row r="377" spans="1:6" x14ac:dyDescent="0.25">
      <c r="A377" s="21" t="s">
        <v>729</v>
      </c>
      <c r="B377" t="s">
        <v>1357</v>
      </c>
      <c r="C377">
        <v>32704.386400000003</v>
      </c>
      <c r="D377">
        <f t="shared" si="10"/>
        <v>1.8431666584073646E-2</v>
      </c>
      <c r="E377" s="24">
        <f>SUMIFS($D$2:D377,$A$2:A377,A377)</f>
        <v>0.30227022859358477</v>
      </c>
      <c r="F377" t="str">
        <f t="shared" si="11"/>
        <v>A</v>
      </c>
    </row>
    <row r="378" spans="1:6" x14ac:dyDescent="0.25">
      <c r="A378" s="21" t="s">
        <v>729</v>
      </c>
      <c r="B378" t="s">
        <v>1172</v>
      </c>
      <c r="C378">
        <v>2795.6384399999997</v>
      </c>
      <c r="D378">
        <f t="shared" si="10"/>
        <v>1.5755768961835581E-3</v>
      </c>
      <c r="E378" s="24">
        <f>SUMIFS($D$2:D378,$A$2:A378,A378)</f>
        <v>0.30384580548976831</v>
      </c>
      <c r="F378" t="str">
        <f t="shared" si="11"/>
        <v>A</v>
      </c>
    </row>
    <row r="379" spans="1:6" x14ac:dyDescent="0.25">
      <c r="A379" s="21" t="s">
        <v>729</v>
      </c>
      <c r="B379" t="s">
        <v>1296</v>
      </c>
      <c r="C379">
        <v>10166.535600000001</v>
      </c>
      <c r="D379">
        <f t="shared" si="10"/>
        <v>5.7296960781479493E-3</v>
      </c>
      <c r="E379" s="24">
        <f>SUMIFS($D$2:D379,$A$2:A379,A379)</f>
        <v>0.30957550156791624</v>
      </c>
      <c r="F379" t="str">
        <f t="shared" si="11"/>
        <v>A</v>
      </c>
    </row>
    <row r="380" spans="1:6" x14ac:dyDescent="0.25">
      <c r="A380" s="21" t="s">
        <v>729</v>
      </c>
      <c r="B380" t="s">
        <v>982</v>
      </c>
      <c r="C380">
        <v>3592.04</v>
      </c>
      <c r="D380">
        <f t="shared" si="10"/>
        <v>2.0244160164599786E-3</v>
      </c>
      <c r="E380" s="24">
        <f>SUMIFS($D$2:D380,$A$2:A380,A380)</f>
        <v>0.31159991758437622</v>
      </c>
      <c r="F380" t="str">
        <f t="shared" si="11"/>
        <v>A</v>
      </c>
    </row>
    <row r="381" spans="1:6" x14ac:dyDescent="0.25">
      <c r="A381" s="21" t="s">
        <v>729</v>
      </c>
      <c r="B381" t="s">
        <v>1217</v>
      </c>
      <c r="C381">
        <v>21908.731650000002</v>
      </c>
      <c r="D381">
        <f t="shared" si="10"/>
        <v>1.2347409063535944E-2</v>
      </c>
      <c r="E381" s="24">
        <f>SUMIFS($D$2:D381,$A$2:A381,A381)</f>
        <v>0.32394732664791215</v>
      </c>
      <c r="F381" t="str">
        <f t="shared" si="11"/>
        <v>A</v>
      </c>
    </row>
    <row r="382" spans="1:6" x14ac:dyDescent="0.25">
      <c r="A382" s="21" t="s">
        <v>729</v>
      </c>
      <c r="B382" t="s">
        <v>1311</v>
      </c>
      <c r="C382">
        <v>4280.6786400000001</v>
      </c>
      <c r="D382">
        <f t="shared" si="10"/>
        <v>2.4125216868782413E-3</v>
      </c>
      <c r="E382" s="24">
        <f>SUMIFS($D$2:D382,$A$2:A382,A382)</f>
        <v>0.32635984833479037</v>
      </c>
      <c r="F382" t="str">
        <f t="shared" si="11"/>
        <v>A</v>
      </c>
    </row>
    <row r="383" spans="1:6" x14ac:dyDescent="0.25">
      <c r="A383" s="21" t="s">
        <v>729</v>
      </c>
      <c r="B383" t="s">
        <v>848</v>
      </c>
      <c r="C383">
        <v>1499.22</v>
      </c>
      <c r="D383">
        <f t="shared" si="10"/>
        <v>8.4493629809164958E-4</v>
      </c>
      <c r="E383" s="24">
        <f>SUMIFS($D$2:D383,$A$2:A383,A383)</f>
        <v>0.327204784632882</v>
      </c>
      <c r="F383" t="str">
        <f t="shared" si="11"/>
        <v>A</v>
      </c>
    </row>
    <row r="384" spans="1:6" x14ac:dyDescent="0.25">
      <c r="A384" s="21" t="s">
        <v>729</v>
      </c>
      <c r="B384" t="s">
        <v>755</v>
      </c>
      <c r="C384">
        <v>19903.585040000002</v>
      </c>
      <c r="D384">
        <f t="shared" si="10"/>
        <v>1.1217340658775856E-2</v>
      </c>
      <c r="E384" s="24">
        <f>SUMIFS($D$2:D384,$A$2:A384,A384)</f>
        <v>0.33842212529165783</v>
      </c>
      <c r="F384" t="str">
        <f t="shared" si="11"/>
        <v>A</v>
      </c>
    </row>
    <row r="385" spans="1:6" x14ac:dyDescent="0.25">
      <c r="A385" s="21" t="s">
        <v>729</v>
      </c>
      <c r="B385" t="s">
        <v>1133</v>
      </c>
      <c r="C385">
        <v>17731.623</v>
      </c>
      <c r="D385">
        <f t="shared" si="10"/>
        <v>9.9932577585522802E-3</v>
      </c>
      <c r="E385" s="24">
        <f>SUMIFS($D$2:D385,$A$2:A385,A385)</f>
        <v>0.34841538305021008</v>
      </c>
      <c r="F385" t="str">
        <f t="shared" si="11"/>
        <v>A</v>
      </c>
    </row>
    <row r="386" spans="1:6" x14ac:dyDescent="0.25">
      <c r="A386" s="21" t="s">
        <v>729</v>
      </c>
      <c r="B386" t="s">
        <v>932</v>
      </c>
      <c r="C386">
        <v>8349.2224200000001</v>
      </c>
      <c r="D386">
        <f t="shared" si="10"/>
        <v>4.7054875758718558E-3</v>
      </c>
      <c r="E386" s="24">
        <f>SUMIFS($D$2:D386,$A$2:A386,A386)</f>
        <v>0.35312087062608194</v>
      </c>
      <c r="F386" t="str">
        <f t="shared" si="11"/>
        <v>A</v>
      </c>
    </row>
    <row r="387" spans="1:6" x14ac:dyDescent="0.25">
      <c r="A387" s="21" t="s">
        <v>729</v>
      </c>
      <c r="B387" t="s">
        <v>1110</v>
      </c>
      <c r="C387">
        <v>43553.493060000001</v>
      </c>
      <c r="D387">
        <f t="shared" ref="D387:D450" si="12">C387/SUMIFS($C:$C,$A:$A,A387)</f>
        <v>2.4546048742063706E-2</v>
      </c>
      <c r="E387" s="24">
        <f>SUMIFS($D$2:D387,$A$2:A387,A387)</f>
        <v>0.37766691936814567</v>
      </c>
      <c r="F387" t="str">
        <f t="shared" ref="F387:F450" si="13">IF(E387&lt;=0.8,"A",IF(E387&lt;=0.95,"B","C"))</f>
        <v>A</v>
      </c>
    </row>
    <row r="388" spans="1:6" x14ac:dyDescent="0.25">
      <c r="A388" s="21" t="s">
        <v>729</v>
      </c>
      <c r="B388" t="s">
        <v>1309</v>
      </c>
      <c r="C388">
        <v>13882.6016</v>
      </c>
      <c r="D388">
        <f t="shared" si="12"/>
        <v>7.824011154990736E-3</v>
      </c>
      <c r="E388" s="24">
        <f>SUMIFS($D$2:D388,$A$2:A388,A388)</f>
        <v>0.38549093052313643</v>
      </c>
      <c r="F388" t="str">
        <f t="shared" si="13"/>
        <v>A</v>
      </c>
    </row>
    <row r="389" spans="1:6" x14ac:dyDescent="0.25">
      <c r="A389" s="21" t="s">
        <v>729</v>
      </c>
      <c r="B389" t="s">
        <v>1240</v>
      </c>
      <c r="C389">
        <v>15323.926799999999</v>
      </c>
      <c r="D389">
        <f t="shared" si="12"/>
        <v>8.6363188742275433E-3</v>
      </c>
      <c r="E389" s="24">
        <f>SUMIFS($D$2:D389,$A$2:A389,A389)</f>
        <v>0.39412724939736399</v>
      </c>
      <c r="F389" t="str">
        <f t="shared" si="13"/>
        <v>A</v>
      </c>
    </row>
    <row r="390" spans="1:6" x14ac:dyDescent="0.25">
      <c r="A390" s="21" t="s">
        <v>729</v>
      </c>
      <c r="B390" t="s">
        <v>1041</v>
      </c>
      <c r="C390">
        <v>3644.3212800000006</v>
      </c>
      <c r="D390">
        <f t="shared" si="12"/>
        <v>2.0538809056574901E-3</v>
      </c>
      <c r="E390" s="24">
        <f>SUMIFS($D$2:D390,$A$2:A390,A390)</f>
        <v>0.39618113030302149</v>
      </c>
      <c r="F390" t="str">
        <f t="shared" si="13"/>
        <v>A</v>
      </c>
    </row>
    <row r="391" spans="1:6" x14ac:dyDescent="0.25">
      <c r="A391" s="21" t="s">
        <v>729</v>
      </c>
      <c r="B391" t="s">
        <v>1308</v>
      </c>
      <c r="C391">
        <v>12091.190399999999</v>
      </c>
      <c r="D391">
        <f t="shared" si="12"/>
        <v>6.8144005923728946E-3</v>
      </c>
      <c r="E391" s="24">
        <f>SUMIFS($D$2:D391,$A$2:A391,A391)</f>
        <v>0.40299553089539436</v>
      </c>
      <c r="F391" t="str">
        <f t="shared" si="13"/>
        <v>A</v>
      </c>
    </row>
    <row r="392" spans="1:6" x14ac:dyDescent="0.25">
      <c r="A392" s="21" t="s">
        <v>729</v>
      </c>
      <c r="B392" t="s">
        <v>1116</v>
      </c>
      <c r="C392">
        <v>47693.373</v>
      </c>
      <c r="D392">
        <f t="shared" si="12"/>
        <v>2.6879218544392569E-2</v>
      </c>
      <c r="E392" s="24">
        <f>SUMIFS($D$2:D392,$A$2:A392,A392)</f>
        <v>0.42987474943978693</v>
      </c>
      <c r="F392" t="str">
        <f t="shared" si="13"/>
        <v>A</v>
      </c>
    </row>
    <row r="393" spans="1:6" x14ac:dyDescent="0.25">
      <c r="A393" s="21" t="s">
        <v>729</v>
      </c>
      <c r="B393" t="s">
        <v>1091</v>
      </c>
      <c r="C393">
        <v>49336.511399999996</v>
      </c>
      <c r="D393">
        <f t="shared" si="12"/>
        <v>2.7805264939817012E-2</v>
      </c>
      <c r="E393" s="24">
        <f>SUMIFS($D$2:D393,$A$2:A393,A393)</f>
        <v>0.45768001437960393</v>
      </c>
      <c r="F393" t="str">
        <f t="shared" si="13"/>
        <v>A</v>
      </c>
    </row>
    <row r="394" spans="1:6" x14ac:dyDescent="0.25">
      <c r="A394" s="21" t="s">
        <v>729</v>
      </c>
      <c r="B394" t="s">
        <v>1051</v>
      </c>
      <c r="C394">
        <v>16306.59375</v>
      </c>
      <c r="D394">
        <f t="shared" si="12"/>
        <v>9.1901341748438711E-3</v>
      </c>
      <c r="E394" s="24">
        <f>SUMIFS($D$2:D394,$A$2:A394,A394)</f>
        <v>0.46687014855444781</v>
      </c>
      <c r="F394" t="str">
        <f t="shared" si="13"/>
        <v>A</v>
      </c>
    </row>
    <row r="395" spans="1:6" x14ac:dyDescent="0.25">
      <c r="A395" s="21" t="s">
        <v>729</v>
      </c>
      <c r="B395" t="s">
        <v>863</v>
      </c>
      <c r="C395">
        <v>16071.44868</v>
      </c>
      <c r="D395">
        <f t="shared" si="12"/>
        <v>9.0576101923994651E-3</v>
      </c>
      <c r="E395" s="24">
        <f>SUMIFS($D$2:D395,$A$2:A395,A395)</f>
        <v>0.47592775874684728</v>
      </c>
      <c r="F395" t="str">
        <f t="shared" si="13"/>
        <v>A</v>
      </c>
    </row>
    <row r="396" spans="1:6" x14ac:dyDescent="0.25">
      <c r="A396" s="21" t="s">
        <v>729</v>
      </c>
      <c r="B396" t="s">
        <v>1251</v>
      </c>
      <c r="C396">
        <v>9807.7842799999999</v>
      </c>
      <c r="D396">
        <f t="shared" si="12"/>
        <v>5.5275095996749467E-3</v>
      </c>
      <c r="E396" s="24">
        <f>SUMIFS($D$2:D396,$A$2:A396,A396)</f>
        <v>0.48145526834652225</v>
      </c>
      <c r="F396" t="str">
        <f t="shared" si="13"/>
        <v>A</v>
      </c>
    </row>
    <row r="397" spans="1:6" x14ac:dyDescent="0.25">
      <c r="A397" s="21" t="s">
        <v>729</v>
      </c>
      <c r="B397" t="s">
        <v>846</v>
      </c>
      <c r="C397">
        <v>34.689059999999998</v>
      </c>
      <c r="D397">
        <f t="shared" si="12"/>
        <v>1.9550196729418706E-5</v>
      </c>
      <c r="E397" s="24">
        <f>SUMIFS($D$2:D397,$A$2:A397,A397)</f>
        <v>0.48147481854325169</v>
      </c>
      <c r="F397" t="str">
        <f t="shared" si="13"/>
        <v>A</v>
      </c>
    </row>
    <row r="398" spans="1:6" x14ac:dyDescent="0.25">
      <c r="A398" s="21" t="s">
        <v>729</v>
      </c>
      <c r="B398" t="s">
        <v>1282</v>
      </c>
      <c r="C398">
        <v>29673.454499999993</v>
      </c>
      <c r="D398">
        <f t="shared" si="12"/>
        <v>1.6723482075226448E-2</v>
      </c>
      <c r="E398" s="24">
        <f>SUMIFS($D$2:D398,$A$2:A398,A398)</f>
        <v>0.49819830061847814</v>
      </c>
      <c r="F398" t="str">
        <f t="shared" si="13"/>
        <v>A</v>
      </c>
    </row>
    <row r="399" spans="1:6" x14ac:dyDescent="0.25">
      <c r="A399" s="21" t="s">
        <v>729</v>
      </c>
      <c r="B399" t="s">
        <v>1055</v>
      </c>
      <c r="C399">
        <v>7493.1076000000012</v>
      </c>
      <c r="D399">
        <f t="shared" si="12"/>
        <v>4.2229950219089965E-3</v>
      </c>
      <c r="E399" s="24">
        <f>SUMIFS($D$2:D399,$A$2:A399,A399)</f>
        <v>0.50242129564038718</v>
      </c>
      <c r="F399" t="str">
        <f t="shared" si="13"/>
        <v>A</v>
      </c>
    </row>
    <row r="400" spans="1:6" x14ac:dyDescent="0.25">
      <c r="A400" s="21" t="s">
        <v>729</v>
      </c>
      <c r="B400" t="s">
        <v>1354</v>
      </c>
      <c r="C400">
        <v>30229.994880000002</v>
      </c>
      <c r="D400">
        <f t="shared" si="12"/>
        <v>1.7037139289254894E-2</v>
      </c>
      <c r="E400" s="24">
        <f>SUMIFS($D$2:D400,$A$2:A400,A400)</f>
        <v>0.51945843492964205</v>
      </c>
      <c r="F400" t="str">
        <f t="shared" si="13"/>
        <v>A</v>
      </c>
    </row>
    <row r="401" spans="1:6" x14ac:dyDescent="0.25">
      <c r="A401" s="21" t="s">
        <v>729</v>
      </c>
      <c r="B401" t="s">
        <v>1356</v>
      </c>
      <c r="C401">
        <v>50090.397499999999</v>
      </c>
      <c r="D401">
        <f t="shared" si="12"/>
        <v>2.8230143030101799E-2</v>
      </c>
      <c r="E401" s="24">
        <f>SUMIFS($D$2:D401,$A$2:A401,A401)</f>
        <v>0.54768857795974391</v>
      </c>
      <c r="F401" t="str">
        <f t="shared" si="13"/>
        <v>A</v>
      </c>
    </row>
    <row r="402" spans="1:6" x14ac:dyDescent="0.25">
      <c r="A402" s="21" t="s">
        <v>729</v>
      </c>
      <c r="B402" t="s">
        <v>814</v>
      </c>
      <c r="C402">
        <v>60292.805299999993</v>
      </c>
      <c r="D402">
        <f t="shared" si="12"/>
        <v>3.3980056103668964E-2</v>
      </c>
      <c r="E402" s="24">
        <f>SUMIFS($D$2:D402,$A$2:A402,A402)</f>
        <v>0.58166863406341285</v>
      </c>
      <c r="F402" t="str">
        <f t="shared" si="13"/>
        <v>A</v>
      </c>
    </row>
    <row r="403" spans="1:6" x14ac:dyDescent="0.25">
      <c r="A403" s="21" t="s">
        <v>729</v>
      </c>
      <c r="B403" t="s">
        <v>1056</v>
      </c>
      <c r="C403">
        <v>39546.774539999999</v>
      </c>
      <c r="D403">
        <f t="shared" si="12"/>
        <v>2.2287926576014659E-2</v>
      </c>
      <c r="E403" s="24">
        <f>SUMIFS($D$2:D403,$A$2:A403,A403)</f>
        <v>0.60395656063942749</v>
      </c>
      <c r="F403" t="str">
        <f t="shared" si="13"/>
        <v>A</v>
      </c>
    </row>
    <row r="404" spans="1:6" x14ac:dyDescent="0.25">
      <c r="A404" s="21" t="s">
        <v>729</v>
      </c>
      <c r="B404" t="s">
        <v>1277</v>
      </c>
      <c r="C404">
        <v>10792.637119999999</v>
      </c>
      <c r="D404">
        <f t="shared" si="12"/>
        <v>6.082556832765919E-3</v>
      </c>
      <c r="E404" s="24">
        <f>SUMIFS($D$2:D404,$A$2:A404,A404)</f>
        <v>0.61003911747219342</v>
      </c>
      <c r="F404" t="str">
        <f t="shared" si="13"/>
        <v>A</v>
      </c>
    </row>
    <row r="405" spans="1:6" x14ac:dyDescent="0.25">
      <c r="A405" s="21" t="s">
        <v>729</v>
      </c>
      <c r="B405" t="s">
        <v>782</v>
      </c>
      <c r="C405">
        <v>35621.302319999995</v>
      </c>
      <c r="D405">
        <f t="shared" si="12"/>
        <v>2.007559351893937E-2</v>
      </c>
      <c r="E405" s="24">
        <f>SUMIFS($D$2:D405,$A$2:A405,A405)</f>
        <v>0.63011471099113281</v>
      </c>
      <c r="F405" t="str">
        <f t="shared" si="13"/>
        <v>A</v>
      </c>
    </row>
    <row r="406" spans="1:6" x14ac:dyDescent="0.25">
      <c r="A406" s="21" t="s">
        <v>729</v>
      </c>
      <c r="B406" t="s">
        <v>1196</v>
      </c>
      <c r="C406">
        <v>1886.9915999999998</v>
      </c>
      <c r="D406">
        <f t="shared" si="12"/>
        <v>1.0634781399888199E-3</v>
      </c>
      <c r="E406" s="24">
        <f>SUMIFS($D$2:D406,$A$2:A406,A406)</f>
        <v>0.63117818913112167</v>
      </c>
      <c r="F406" t="str">
        <f t="shared" si="13"/>
        <v>A</v>
      </c>
    </row>
    <row r="407" spans="1:6" x14ac:dyDescent="0.25">
      <c r="A407" s="21" t="s">
        <v>729</v>
      </c>
      <c r="B407" t="s">
        <v>1346</v>
      </c>
      <c r="C407">
        <v>18500.693520000001</v>
      </c>
      <c r="D407">
        <f t="shared" si="12"/>
        <v>1.0426693543920819E-2</v>
      </c>
      <c r="E407" s="24">
        <f>SUMIFS($D$2:D407,$A$2:A407,A407)</f>
        <v>0.64160488267504245</v>
      </c>
      <c r="F407" t="str">
        <f t="shared" si="13"/>
        <v>A</v>
      </c>
    </row>
    <row r="408" spans="1:6" x14ac:dyDescent="0.25">
      <c r="A408" s="21" t="s">
        <v>729</v>
      </c>
      <c r="B408" t="s">
        <v>1113</v>
      </c>
      <c r="C408">
        <v>33200.038079999998</v>
      </c>
      <c r="D408">
        <f t="shared" si="12"/>
        <v>1.8711007905322097E-2</v>
      </c>
      <c r="E408" s="24">
        <f>SUMIFS($D$2:D408,$A$2:A408,A408)</f>
        <v>0.66031589058036455</v>
      </c>
      <c r="F408" t="str">
        <f t="shared" si="13"/>
        <v>A</v>
      </c>
    </row>
    <row r="409" spans="1:6" x14ac:dyDescent="0.25">
      <c r="A409" s="21" t="s">
        <v>729</v>
      </c>
      <c r="B409" t="s">
        <v>1010</v>
      </c>
      <c r="C409">
        <v>79548.755999999994</v>
      </c>
      <c r="D409">
        <f t="shared" si="12"/>
        <v>4.483240045652799E-2</v>
      </c>
      <c r="E409" s="24">
        <f>SUMIFS($D$2:D409,$A$2:A409,A409)</f>
        <v>0.70514829103689258</v>
      </c>
      <c r="F409" t="str">
        <f t="shared" si="13"/>
        <v>A</v>
      </c>
    </row>
    <row r="410" spans="1:6" x14ac:dyDescent="0.25">
      <c r="A410" s="21" t="s">
        <v>729</v>
      </c>
      <c r="B410" t="s">
        <v>928</v>
      </c>
      <c r="C410">
        <v>3928.3797600000003</v>
      </c>
      <c r="D410">
        <f t="shared" si="12"/>
        <v>2.2139716998923194E-3</v>
      </c>
      <c r="E410" s="24">
        <f>SUMIFS($D$2:D410,$A$2:A410,A410)</f>
        <v>0.70736226273678493</v>
      </c>
      <c r="F410" t="str">
        <f t="shared" si="13"/>
        <v>A</v>
      </c>
    </row>
    <row r="411" spans="1:6" x14ac:dyDescent="0.25">
      <c r="A411" s="21" t="s">
        <v>729</v>
      </c>
      <c r="B411" t="s">
        <v>1345</v>
      </c>
      <c r="C411">
        <v>82141.339799999987</v>
      </c>
      <c r="D411">
        <f t="shared" si="12"/>
        <v>4.6293539020891041E-2</v>
      </c>
      <c r="E411" s="24">
        <f>SUMIFS($D$2:D411,$A$2:A411,A411)</f>
        <v>0.75365580175767599</v>
      </c>
      <c r="F411" t="str">
        <f t="shared" si="13"/>
        <v>A</v>
      </c>
    </row>
    <row r="412" spans="1:6" x14ac:dyDescent="0.25">
      <c r="A412" s="21" t="s">
        <v>729</v>
      </c>
      <c r="B412" t="s">
        <v>1200</v>
      </c>
      <c r="C412">
        <v>14261.92439</v>
      </c>
      <c r="D412">
        <f t="shared" si="12"/>
        <v>8.0377913833524148E-3</v>
      </c>
      <c r="E412" s="24">
        <f>SUMIFS($D$2:D412,$A$2:A412,A412)</f>
        <v>0.76169359314102836</v>
      </c>
      <c r="F412" t="str">
        <f t="shared" si="13"/>
        <v>A</v>
      </c>
    </row>
    <row r="413" spans="1:6" x14ac:dyDescent="0.25">
      <c r="A413" s="21" t="s">
        <v>729</v>
      </c>
      <c r="B413" t="s">
        <v>937</v>
      </c>
      <c r="C413">
        <v>47962.717579999997</v>
      </c>
      <c r="D413">
        <f t="shared" si="12"/>
        <v>2.7031016821053931E-2</v>
      </c>
      <c r="E413" s="24">
        <f>SUMIFS($D$2:D413,$A$2:A413,A413)</f>
        <v>0.78872460996208227</v>
      </c>
      <c r="F413" t="str">
        <f t="shared" si="13"/>
        <v>A</v>
      </c>
    </row>
    <row r="414" spans="1:6" x14ac:dyDescent="0.25">
      <c r="A414" s="21" t="s">
        <v>729</v>
      </c>
      <c r="B414" t="s">
        <v>1334</v>
      </c>
      <c r="C414">
        <v>1062.5902000000001</v>
      </c>
      <c r="D414">
        <f t="shared" si="12"/>
        <v>5.9885875987277762E-4</v>
      </c>
      <c r="E414" s="24">
        <f>SUMIFS($D$2:D414,$A$2:A414,A414)</f>
        <v>0.78932346872195502</v>
      </c>
      <c r="F414" t="str">
        <f t="shared" si="13"/>
        <v>A</v>
      </c>
    </row>
    <row r="415" spans="1:6" x14ac:dyDescent="0.25">
      <c r="A415" s="21" t="s">
        <v>729</v>
      </c>
      <c r="B415" t="s">
        <v>1237</v>
      </c>
      <c r="C415">
        <v>10189.8891</v>
      </c>
      <c r="D415">
        <f t="shared" si="12"/>
        <v>5.7428577354347267E-3</v>
      </c>
      <c r="E415" s="24">
        <f>SUMIFS($D$2:D415,$A$2:A415,A415)</f>
        <v>0.79506632645738973</v>
      </c>
      <c r="F415" t="str">
        <f t="shared" si="13"/>
        <v>A</v>
      </c>
    </row>
    <row r="416" spans="1:6" x14ac:dyDescent="0.25">
      <c r="A416" s="21" t="s">
        <v>729</v>
      </c>
      <c r="B416" t="s">
        <v>854</v>
      </c>
      <c r="C416">
        <v>39516.804389999998</v>
      </c>
      <c r="D416">
        <f t="shared" si="12"/>
        <v>2.2271035881123814E-2</v>
      </c>
      <c r="E416" s="24">
        <f>SUMIFS($D$2:D416,$A$2:A416,A416)</f>
        <v>0.81733736233851351</v>
      </c>
      <c r="F416" t="str">
        <f t="shared" si="13"/>
        <v>B</v>
      </c>
    </row>
    <row r="417" spans="1:6" x14ac:dyDescent="0.25">
      <c r="A417" s="21" t="s">
        <v>729</v>
      </c>
      <c r="B417" t="s">
        <v>842</v>
      </c>
      <c r="C417">
        <v>1660.3999999999999</v>
      </c>
      <c r="D417">
        <f t="shared" si="12"/>
        <v>9.3577475577391893E-4</v>
      </c>
      <c r="E417" s="24">
        <f>SUMIFS($D$2:D417,$A$2:A417,A417)</f>
        <v>0.81827313709428739</v>
      </c>
      <c r="F417" t="str">
        <f t="shared" si="13"/>
        <v>B</v>
      </c>
    </row>
    <row r="418" spans="1:6" x14ac:dyDescent="0.25">
      <c r="A418" s="21" t="s">
        <v>729</v>
      </c>
      <c r="B418" t="s">
        <v>1269</v>
      </c>
      <c r="C418">
        <v>7823.4472399999995</v>
      </c>
      <c r="D418">
        <f t="shared" si="12"/>
        <v>4.4091691341370393E-3</v>
      </c>
      <c r="E418" s="24">
        <f>SUMIFS($D$2:D418,$A$2:A418,A418)</f>
        <v>0.82268230622842442</v>
      </c>
      <c r="F418" t="str">
        <f t="shared" si="13"/>
        <v>B</v>
      </c>
    </row>
    <row r="419" spans="1:6" x14ac:dyDescent="0.25">
      <c r="A419" s="21" t="s">
        <v>729</v>
      </c>
      <c r="B419" t="s">
        <v>1147</v>
      </c>
      <c r="C419">
        <v>31513.423040000001</v>
      </c>
      <c r="D419">
        <f t="shared" si="12"/>
        <v>1.7760458774305102E-2</v>
      </c>
      <c r="E419" s="24">
        <f>SUMIFS($D$2:D419,$A$2:A419,A419)</f>
        <v>0.84044276500272952</v>
      </c>
      <c r="F419" t="str">
        <f t="shared" si="13"/>
        <v>B</v>
      </c>
    </row>
    <row r="420" spans="1:6" x14ac:dyDescent="0.25">
      <c r="A420" s="21" t="s">
        <v>729</v>
      </c>
      <c r="B420" t="s">
        <v>818</v>
      </c>
      <c r="C420">
        <v>21062.61248</v>
      </c>
      <c r="D420">
        <f t="shared" si="12"/>
        <v>1.1870549897273368E-2</v>
      </c>
      <c r="E420" s="24">
        <f>SUMIFS($D$2:D420,$A$2:A420,A420)</f>
        <v>0.85231331490000284</v>
      </c>
      <c r="F420" t="str">
        <f t="shared" si="13"/>
        <v>B</v>
      </c>
    </row>
    <row r="421" spans="1:6" x14ac:dyDescent="0.25">
      <c r="A421" s="21" t="s">
        <v>729</v>
      </c>
      <c r="B421" t="s">
        <v>1284</v>
      </c>
      <c r="C421">
        <v>18830.12472</v>
      </c>
      <c r="D421">
        <f t="shared" si="12"/>
        <v>1.0612355673964367E-2</v>
      </c>
      <c r="E421" s="24">
        <f>SUMIFS($D$2:D421,$A$2:A421,A421)</f>
        <v>0.86292567057396719</v>
      </c>
      <c r="F421" t="str">
        <f t="shared" si="13"/>
        <v>B</v>
      </c>
    </row>
    <row r="422" spans="1:6" x14ac:dyDescent="0.25">
      <c r="A422" s="21" t="s">
        <v>729</v>
      </c>
      <c r="B422" t="s">
        <v>949</v>
      </c>
      <c r="C422">
        <v>15253.069799999999</v>
      </c>
      <c r="D422">
        <f t="shared" si="12"/>
        <v>8.5963850077677307E-3</v>
      </c>
      <c r="E422" s="24">
        <f>SUMIFS($D$2:D422,$A$2:A422,A422)</f>
        <v>0.8715220555817349</v>
      </c>
      <c r="F422" t="str">
        <f t="shared" si="13"/>
        <v>B</v>
      </c>
    </row>
    <row r="423" spans="1:6" x14ac:dyDescent="0.25">
      <c r="A423" s="21" t="s">
        <v>729</v>
      </c>
      <c r="B423" t="s">
        <v>1112</v>
      </c>
      <c r="C423">
        <v>6576.298960000001</v>
      </c>
      <c r="D423">
        <f t="shared" si="12"/>
        <v>3.7062964064022395E-3</v>
      </c>
      <c r="E423" s="24">
        <f>SUMIFS($D$2:D423,$A$2:A423,A423)</f>
        <v>0.87522835198813709</v>
      </c>
      <c r="F423" t="str">
        <f t="shared" si="13"/>
        <v>B</v>
      </c>
    </row>
    <row r="424" spans="1:6" x14ac:dyDescent="0.25">
      <c r="A424" s="21" t="s">
        <v>729</v>
      </c>
      <c r="B424" t="s">
        <v>889</v>
      </c>
      <c r="C424">
        <v>8909.6646800000017</v>
      </c>
      <c r="D424">
        <f t="shared" si="12"/>
        <v>5.0213438267613314E-3</v>
      </c>
      <c r="E424" s="24">
        <f>SUMIFS($D$2:D424,$A$2:A424,A424)</f>
        <v>0.88024969581489843</v>
      </c>
      <c r="F424" t="str">
        <f t="shared" si="13"/>
        <v>B</v>
      </c>
    </row>
    <row r="425" spans="1:6" x14ac:dyDescent="0.25">
      <c r="A425" s="21" t="s">
        <v>729</v>
      </c>
      <c r="B425" t="s">
        <v>766</v>
      </c>
      <c r="C425">
        <v>9647.3852800000004</v>
      </c>
      <c r="D425">
        <f t="shared" si="12"/>
        <v>5.4371113010412558E-3</v>
      </c>
      <c r="E425" s="24">
        <f>SUMIFS($D$2:D425,$A$2:A425,A425)</f>
        <v>0.88568680711593972</v>
      </c>
      <c r="F425" t="str">
        <f t="shared" si="13"/>
        <v>B</v>
      </c>
    </row>
    <row r="426" spans="1:6" x14ac:dyDescent="0.25">
      <c r="A426" s="21" t="s">
        <v>729</v>
      </c>
      <c r="B426" t="s">
        <v>1167</v>
      </c>
      <c r="C426">
        <v>1950.0031200000001</v>
      </c>
      <c r="D426">
        <f t="shared" si="12"/>
        <v>1.098990420005047E-3</v>
      </c>
      <c r="E426" s="24">
        <f>SUMIFS($D$2:D426,$A$2:A426,A426)</f>
        <v>0.88678579753594478</v>
      </c>
      <c r="F426" t="str">
        <f t="shared" si="13"/>
        <v>B</v>
      </c>
    </row>
    <row r="427" spans="1:6" x14ac:dyDescent="0.25">
      <c r="A427" s="21" t="s">
        <v>729</v>
      </c>
      <c r="B427" t="s">
        <v>1236</v>
      </c>
      <c r="C427">
        <v>8637.1874499999994</v>
      </c>
      <c r="D427">
        <f t="shared" si="12"/>
        <v>4.8677800389046663E-3</v>
      </c>
      <c r="E427" s="24">
        <f>SUMIFS($D$2:D427,$A$2:A427,A427)</f>
        <v>0.89165357757484942</v>
      </c>
      <c r="F427" t="str">
        <f t="shared" si="13"/>
        <v>B</v>
      </c>
    </row>
    <row r="428" spans="1:6" x14ac:dyDescent="0.25">
      <c r="A428" s="21" t="s">
        <v>729</v>
      </c>
      <c r="B428" t="s">
        <v>1015</v>
      </c>
      <c r="C428">
        <v>13035.970220000001</v>
      </c>
      <c r="D428">
        <f t="shared" si="12"/>
        <v>7.3468633154038683E-3</v>
      </c>
      <c r="E428" s="24">
        <f>SUMIFS($D$2:D428,$A$2:A428,A428)</f>
        <v>0.89900044089025333</v>
      </c>
      <c r="F428" t="str">
        <f t="shared" si="13"/>
        <v>B</v>
      </c>
    </row>
    <row r="429" spans="1:6" x14ac:dyDescent="0.25">
      <c r="A429" s="21" t="s">
        <v>729</v>
      </c>
      <c r="B429" t="s">
        <v>857</v>
      </c>
      <c r="C429">
        <v>10817.3416</v>
      </c>
      <c r="D429">
        <f t="shared" si="12"/>
        <v>6.0964798806691489E-3</v>
      </c>
      <c r="E429" s="24">
        <f>SUMIFS($D$2:D429,$A$2:A429,A429)</f>
        <v>0.90509692077092252</v>
      </c>
      <c r="F429" t="str">
        <f t="shared" si="13"/>
        <v>B</v>
      </c>
    </row>
    <row r="430" spans="1:6" x14ac:dyDescent="0.25">
      <c r="A430" s="21" t="s">
        <v>729</v>
      </c>
      <c r="B430" t="s">
        <v>1353</v>
      </c>
      <c r="C430">
        <v>2355.2113199999999</v>
      </c>
      <c r="D430">
        <f t="shared" si="12"/>
        <v>1.3273592494392732E-3</v>
      </c>
      <c r="E430" s="24">
        <f>SUMIFS($D$2:D430,$A$2:A430,A430)</f>
        <v>0.90642428002036179</v>
      </c>
      <c r="F430" t="str">
        <f t="shared" si="13"/>
        <v>B</v>
      </c>
    </row>
    <row r="431" spans="1:6" x14ac:dyDescent="0.25">
      <c r="A431" s="21" t="s">
        <v>729</v>
      </c>
      <c r="B431" t="s">
        <v>890</v>
      </c>
      <c r="C431">
        <v>7203.8047000000006</v>
      </c>
      <c r="D431">
        <f t="shared" si="12"/>
        <v>4.0599485568450439E-3</v>
      </c>
      <c r="E431" s="24">
        <f>SUMIFS($D$2:D431,$A$2:A431,A431)</f>
        <v>0.91048422857720679</v>
      </c>
      <c r="F431" t="str">
        <f t="shared" si="13"/>
        <v>B</v>
      </c>
    </row>
    <row r="432" spans="1:6" x14ac:dyDescent="0.25">
      <c r="A432" s="21" t="s">
        <v>729</v>
      </c>
      <c r="B432" t="s">
        <v>1272</v>
      </c>
      <c r="C432">
        <v>3340.6370000000002</v>
      </c>
      <c r="D432">
        <f t="shared" si="12"/>
        <v>1.8827293259481557E-3</v>
      </c>
      <c r="E432" s="24">
        <f>SUMIFS($D$2:D432,$A$2:A432,A432)</f>
        <v>0.91236695790315492</v>
      </c>
      <c r="F432" t="str">
        <f t="shared" si="13"/>
        <v>B</v>
      </c>
    </row>
    <row r="433" spans="1:6" x14ac:dyDescent="0.25">
      <c r="A433" s="21" t="s">
        <v>729</v>
      </c>
      <c r="B433" t="s">
        <v>1348</v>
      </c>
      <c r="C433">
        <v>10786.32144</v>
      </c>
      <c r="D433">
        <f t="shared" si="12"/>
        <v>6.0789974170169757E-3</v>
      </c>
      <c r="E433" s="24">
        <f>SUMIFS($D$2:D433,$A$2:A433,A433)</f>
        <v>0.91844595532017193</v>
      </c>
      <c r="F433" t="str">
        <f t="shared" si="13"/>
        <v>B</v>
      </c>
    </row>
    <row r="434" spans="1:6" x14ac:dyDescent="0.25">
      <c r="A434" s="21" t="s">
        <v>729</v>
      </c>
      <c r="B434" t="s">
        <v>1087</v>
      </c>
      <c r="C434">
        <v>34816.968000000001</v>
      </c>
      <c r="D434">
        <f t="shared" si="12"/>
        <v>1.9622283622614041E-2</v>
      </c>
      <c r="E434" s="24">
        <f>SUMIFS($D$2:D434,$A$2:A434,A434)</f>
        <v>0.93806823894278601</v>
      </c>
      <c r="F434" t="str">
        <f t="shared" si="13"/>
        <v>B</v>
      </c>
    </row>
    <row r="435" spans="1:6" x14ac:dyDescent="0.25">
      <c r="A435" s="21" t="s">
        <v>729</v>
      </c>
      <c r="B435" t="s">
        <v>1065</v>
      </c>
      <c r="C435">
        <v>8764.4065599999994</v>
      </c>
      <c r="D435">
        <f t="shared" si="12"/>
        <v>4.9394786847671247E-3</v>
      </c>
      <c r="E435" s="24">
        <f>SUMIFS($D$2:D435,$A$2:A435,A435)</f>
        <v>0.94300771762755309</v>
      </c>
      <c r="F435" t="str">
        <f t="shared" si="13"/>
        <v>B</v>
      </c>
    </row>
    <row r="436" spans="1:6" x14ac:dyDescent="0.25">
      <c r="A436" s="21" t="s">
        <v>729</v>
      </c>
      <c r="B436" t="s">
        <v>996</v>
      </c>
      <c r="C436">
        <v>8186.057600000001</v>
      </c>
      <c r="D436">
        <f t="shared" si="12"/>
        <v>4.6135305055355546E-3</v>
      </c>
      <c r="E436" s="24">
        <f>SUMIFS($D$2:D436,$A$2:A436,A436)</f>
        <v>0.94762124813308868</v>
      </c>
      <c r="F436" t="str">
        <f t="shared" si="13"/>
        <v>B</v>
      </c>
    </row>
    <row r="437" spans="1:6" x14ac:dyDescent="0.25">
      <c r="A437" s="21" t="s">
        <v>729</v>
      </c>
      <c r="B437" t="s">
        <v>1301</v>
      </c>
      <c r="C437">
        <v>34307.159999999996</v>
      </c>
      <c r="D437">
        <f t="shared" si="12"/>
        <v>1.9334964026919272E-2</v>
      </c>
      <c r="E437" s="24">
        <f>SUMIFS($D$2:D437,$A$2:A437,A437)</f>
        <v>0.96695621216000793</v>
      </c>
      <c r="F437" t="str">
        <f t="shared" si="13"/>
        <v>C</v>
      </c>
    </row>
    <row r="438" spans="1:6" x14ac:dyDescent="0.25">
      <c r="A438" s="21" t="s">
        <v>729</v>
      </c>
      <c r="B438" t="s">
        <v>1263</v>
      </c>
      <c r="C438">
        <v>9262.0686600000008</v>
      </c>
      <c r="D438">
        <f t="shared" si="12"/>
        <v>5.2199530464181942E-3</v>
      </c>
      <c r="E438" s="24">
        <f>SUMIFS($D$2:D438,$A$2:A438,A438)</f>
        <v>0.97217616520642613</v>
      </c>
      <c r="F438" t="str">
        <f t="shared" si="13"/>
        <v>C</v>
      </c>
    </row>
    <row r="439" spans="1:6" x14ac:dyDescent="0.25">
      <c r="A439" s="21" t="s">
        <v>729</v>
      </c>
      <c r="B439" t="s">
        <v>1078</v>
      </c>
      <c r="C439">
        <v>3175.1547799999998</v>
      </c>
      <c r="D439">
        <f t="shared" si="12"/>
        <v>1.7894662062147022E-3</v>
      </c>
      <c r="E439" s="24">
        <f>SUMIFS($D$2:D439,$A$2:A439,A439)</f>
        <v>0.97396563141264081</v>
      </c>
      <c r="F439" t="str">
        <f t="shared" si="13"/>
        <v>C</v>
      </c>
    </row>
    <row r="440" spans="1:6" x14ac:dyDescent="0.25">
      <c r="A440" s="21" t="s">
        <v>729</v>
      </c>
      <c r="B440" t="s">
        <v>736</v>
      </c>
      <c r="C440">
        <v>319.72248000000002</v>
      </c>
      <c r="D440">
        <f t="shared" si="12"/>
        <v>1.8019045148002393E-4</v>
      </c>
      <c r="E440" s="24">
        <f>SUMIFS($D$2:D440,$A$2:A440,A440)</f>
        <v>0.9741458218641208</v>
      </c>
      <c r="F440" t="str">
        <f t="shared" si="13"/>
        <v>C</v>
      </c>
    </row>
    <row r="441" spans="1:6" x14ac:dyDescent="0.25">
      <c r="A441" s="21" t="s">
        <v>729</v>
      </c>
      <c r="B441" t="s">
        <v>763</v>
      </c>
      <c r="C441">
        <v>20084.133720000002</v>
      </c>
      <c r="D441">
        <f t="shared" si="12"/>
        <v>1.1319094993232795E-2</v>
      </c>
      <c r="E441" s="24">
        <f>SUMIFS($D$2:D441,$A$2:A441,A441)</f>
        <v>0.9854649168573536</v>
      </c>
      <c r="F441" t="str">
        <f t="shared" si="13"/>
        <v>C</v>
      </c>
    </row>
    <row r="442" spans="1:6" x14ac:dyDescent="0.25">
      <c r="A442" s="21" t="s">
        <v>729</v>
      </c>
      <c r="B442" t="s">
        <v>1169</v>
      </c>
      <c r="C442">
        <v>5546.4642200000008</v>
      </c>
      <c r="D442">
        <f t="shared" si="12"/>
        <v>3.1258980973736935E-3</v>
      </c>
      <c r="E442" s="24">
        <f>SUMIFS($D$2:D442,$A$2:A442,A442)</f>
        <v>0.98859081495472734</v>
      </c>
      <c r="F442" t="str">
        <f t="shared" si="13"/>
        <v>C</v>
      </c>
    </row>
    <row r="443" spans="1:6" x14ac:dyDescent="0.25">
      <c r="A443" s="21" t="s">
        <v>729</v>
      </c>
      <c r="B443" t="s">
        <v>1021</v>
      </c>
      <c r="C443">
        <v>20028.787380000002</v>
      </c>
      <c r="D443">
        <f t="shared" si="12"/>
        <v>1.1287902685477748E-2</v>
      </c>
      <c r="E443" s="24">
        <f>SUMIFS($D$2:D443,$A$2:A443,A443)</f>
        <v>0.99987871764020508</v>
      </c>
      <c r="F443" t="str">
        <f t="shared" si="13"/>
        <v>C</v>
      </c>
    </row>
    <row r="444" spans="1:6" x14ac:dyDescent="0.25">
      <c r="A444" s="22" t="s">
        <v>729</v>
      </c>
      <c r="B444" t="s">
        <v>788</v>
      </c>
      <c r="C444">
        <v>215.19839999999996</v>
      </c>
      <c r="D444">
        <f t="shared" si="12"/>
        <v>1.2128235979459052E-4</v>
      </c>
      <c r="E444" s="24">
        <f>SUMIFS($D$2:D444,$A$2:A444,A444)</f>
        <v>0.99999999999999967</v>
      </c>
      <c r="F444" t="str">
        <f t="shared" si="13"/>
        <v>C</v>
      </c>
    </row>
    <row r="445" spans="1:6" x14ac:dyDescent="0.25">
      <c r="A445" s="23" t="s">
        <v>1483</v>
      </c>
      <c r="B445" s="23"/>
      <c r="C445" s="23">
        <v>1774358.6154200004</v>
      </c>
      <c r="D445">
        <f t="shared" si="12"/>
        <v>1</v>
      </c>
      <c r="E445" s="24">
        <f>SUMIFS($D$2:D445,$A$2:A445,A445)</f>
        <v>1</v>
      </c>
      <c r="F445" t="str">
        <f t="shared" si="13"/>
        <v>C</v>
      </c>
    </row>
    <row r="446" spans="1:6" x14ac:dyDescent="0.25">
      <c r="A446" s="21" t="s">
        <v>730</v>
      </c>
      <c r="B446" t="s">
        <v>1154</v>
      </c>
      <c r="C446">
        <v>9984.7160999999978</v>
      </c>
      <c r="D446">
        <f t="shared" si="12"/>
        <v>7.1378468778181435E-3</v>
      </c>
      <c r="E446" s="24">
        <f>SUMIFS($D$2:D446,$A$2:A446,A446)</f>
        <v>7.1378468778181435E-3</v>
      </c>
      <c r="F446" t="str">
        <f t="shared" si="13"/>
        <v>A</v>
      </c>
    </row>
    <row r="447" spans="1:6" x14ac:dyDescent="0.25">
      <c r="A447" s="21" t="s">
        <v>730</v>
      </c>
      <c r="B447" t="s">
        <v>751</v>
      </c>
      <c r="C447">
        <v>35367.211040000002</v>
      </c>
      <c r="D447">
        <f t="shared" si="12"/>
        <v>2.5283216304868142E-2</v>
      </c>
      <c r="E447" s="24">
        <f>SUMIFS($D$2:D447,$A$2:A447,A447)</f>
        <v>3.2421063182686283E-2</v>
      </c>
      <c r="F447" t="str">
        <f t="shared" si="13"/>
        <v>A</v>
      </c>
    </row>
    <row r="448" spans="1:6" x14ac:dyDescent="0.25">
      <c r="A448" s="21" t="s">
        <v>730</v>
      </c>
      <c r="B448" t="s">
        <v>1016</v>
      </c>
      <c r="C448">
        <v>667.74</v>
      </c>
      <c r="D448">
        <f t="shared" si="12"/>
        <v>4.7735216769901836E-4</v>
      </c>
      <c r="E448" s="24">
        <f>SUMIFS($D$2:D448,$A$2:A448,A448)</f>
        <v>3.2898415350385304E-2</v>
      </c>
      <c r="F448" t="str">
        <f t="shared" si="13"/>
        <v>A</v>
      </c>
    </row>
    <row r="449" spans="1:6" x14ac:dyDescent="0.25">
      <c r="A449" s="21" t="s">
        <v>730</v>
      </c>
      <c r="B449" t="s">
        <v>1081</v>
      </c>
      <c r="C449">
        <v>2206.8000000000002</v>
      </c>
      <c r="D449">
        <f t="shared" si="12"/>
        <v>1.5775912236472187E-3</v>
      </c>
      <c r="E449" s="24">
        <f>SUMIFS($D$2:D449,$A$2:A449,A449)</f>
        <v>3.4476006574032526E-2</v>
      </c>
      <c r="F449" t="str">
        <f t="shared" si="13"/>
        <v>A</v>
      </c>
    </row>
    <row r="450" spans="1:6" x14ac:dyDescent="0.25">
      <c r="A450" s="21" t="s">
        <v>730</v>
      </c>
      <c r="B450" t="s">
        <v>947</v>
      </c>
      <c r="C450">
        <v>24223.05</v>
      </c>
      <c r="D450">
        <f t="shared" si="12"/>
        <v>1.7316508559891135E-2</v>
      </c>
      <c r="E450" s="24">
        <f>SUMIFS($D$2:D450,$A$2:A450,A450)</f>
        <v>5.1792515133923661E-2</v>
      </c>
      <c r="F450" t="str">
        <f t="shared" si="13"/>
        <v>A</v>
      </c>
    </row>
    <row r="451" spans="1:6" x14ac:dyDescent="0.25">
      <c r="A451" s="21" t="s">
        <v>730</v>
      </c>
      <c r="B451" t="s">
        <v>1077</v>
      </c>
      <c r="C451">
        <v>8938.8996600000009</v>
      </c>
      <c r="D451">
        <f t="shared" ref="D451:D514" si="14">C451/SUMIFS($C:$C,$A:$A,A451)</f>
        <v>6.390216445839726E-3</v>
      </c>
      <c r="E451" s="24">
        <f>SUMIFS($D$2:D451,$A$2:A451,A451)</f>
        <v>5.8182731579763385E-2</v>
      </c>
      <c r="F451" t="str">
        <f t="shared" ref="F451:F514" si="15">IF(E451&lt;=0.8,"A",IF(E451&lt;=0.95,"B","C"))</f>
        <v>A</v>
      </c>
    </row>
    <row r="452" spans="1:6" x14ac:dyDescent="0.25">
      <c r="A452" s="21" t="s">
        <v>730</v>
      </c>
      <c r="B452" t="s">
        <v>762</v>
      </c>
      <c r="C452">
        <v>3913.2000000000003</v>
      </c>
      <c r="D452">
        <f t="shared" si="14"/>
        <v>2.7974578468263076E-3</v>
      </c>
      <c r="E452" s="24">
        <f>SUMIFS($D$2:D452,$A$2:A452,A452)</f>
        <v>6.0980189426589691E-2</v>
      </c>
      <c r="F452" t="str">
        <f t="shared" si="15"/>
        <v>A</v>
      </c>
    </row>
    <row r="453" spans="1:6" x14ac:dyDescent="0.25">
      <c r="A453" s="21" t="s">
        <v>730</v>
      </c>
      <c r="B453" t="s">
        <v>1294</v>
      </c>
      <c r="C453">
        <v>33071.3145</v>
      </c>
      <c r="D453">
        <f t="shared" si="14"/>
        <v>2.3641931987346838E-2</v>
      </c>
      <c r="E453" s="24">
        <f>SUMIFS($D$2:D453,$A$2:A453,A453)</f>
        <v>8.4622121413936532E-2</v>
      </c>
      <c r="F453" t="str">
        <f t="shared" si="15"/>
        <v>A</v>
      </c>
    </row>
    <row r="454" spans="1:6" x14ac:dyDescent="0.25">
      <c r="A454" s="21" t="s">
        <v>730</v>
      </c>
      <c r="B454" t="s">
        <v>1246</v>
      </c>
      <c r="C454">
        <v>5189.8836000000001</v>
      </c>
      <c r="D454">
        <f t="shared" si="14"/>
        <v>3.7101299705957188E-3</v>
      </c>
      <c r="E454" s="24">
        <f>SUMIFS($D$2:D454,$A$2:A454,A454)</f>
        <v>8.8332251384532254E-2</v>
      </c>
      <c r="F454" t="str">
        <f t="shared" si="15"/>
        <v>A</v>
      </c>
    </row>
    <row r="455" spans="1:6" x14ac:dyDescent="0.25">
      <c r="A455" s="21" t="s">
        <v>730</v>
      </c>
      <c r="B455" t="s">
        <v>936</v>
      </c>
      <c r="C455">
        <v>25299.040000000001</v>
      </c>
      <c r="D455">
        <f t="shared" si="14"/>
        <v>1.8085709384946497E-2</v>
      </c>
      <c r="E455" s="24">
        <f>SUMIFS($D$2:D455,$A$2:A455,A455)</f>
        <v>0.10641796076947875</v>
      </c>
      <c r="F455" t="str">
        <f t="shared" si="15"/>
        <v>A</v>
      </c>
    </row>
    <row r="456" spans="1:6" x14ac:dyDescent="0.25">
      <c r="A456" s="21" t="s">
        <v>730</v>
      </c>
      <c r="B456" t="s">
        <v>1105</v>
      </c>
      <c r="C456">
        <v>16873.45</v>
      </c>
      <c r="D456">
        <f t="shared" si="14"/>
        <v>1.2062446362447962E-2</v>
      </c>
      <c r="E456" s="24">
        <f>SUMIFS($D$2:D456,$A$2:A456,A456)</f>
        <v>0.11848040713192672</v>
      </c>
      <c r="F456" t="str">
        <f t="shared" si="15"/>
        <v>A</v>
      </c>
    </row>
    <row r="457" spans="1:6" x14ac:dyDescent="0.25">
      <c r="A457" s="21" t="s">
        <v>730</v>
      </c>
      <c r="B457" t="s">
        <v>1061</v>
      </c>
      <c r="C457">
        <v>3799.8031499999997</v>
      </c>
      <c r="D457">
        <f t="shared" si="14"/>
        <v>2.716393012972202E-3</v>
      </c>
      <c r="E457" s="24">
        <f>SUMIFS($D$2:D457,$A$2:A457,A457)</f>
        <v>0.12119680014489892</v>
      </c>
      <c r="F457" t="str">
        <f t="shared" si="15"/>
        <v>A</v>
      </c>
    </row>
    <row r="458" spans="1:6" x14ac:dyDescent="0.25">
      <c r="A458" s="21" t="s">
        <v>730</v>
      </c>
      <c r="B458" t="s">
        <v>841</v>
      </c>
      <c r="C458">
        <v>23687.524440000001</v>
      </c>
      <c r="D458">
        <f t="shared" si="14"/>
        <v>1.6933673493960938E-2</v>
      </c>
      <c r="E458" s="24">
        <f>SUMIFS($D$2:D458,$A$2:A458,A458)</f>
        <v>0.13813047363885986</v>
      </c>
      <c r="F458" t="str">
        <f t="shared" si="15"/>
        <v>A</v>
      </c>
    </row>
    <row r="459" spans="1:6" x14ac:dyDescent="0.25">
      <c r="A459" s="21" t="s">
        <v>730</v>
      </c>
      <c r="B459" t="s">
        <v>1182</v>
      </c>
      <c r="C459">
        <v>12289.2</v>
      </c>
      <c r="D459">
        <f t="shared" si="14"/>
        <v>8.7852701040626244E-3</v>
      </c>
      <c r="E459" s="24">
        <f>SUMIFS($D$2:D459,$A$2:A459,A459)</f>
        <v>0.14691574374292249</v>
      </c>
      <c r="F459" t="str">
        <f t="shared" si="15"/>
        <v>A</v>
      </c>
    </row>
    <row r="460" spans="1:6" x14ac:dyDescent="0.25">
      <c r="A460" s="21" t="s">
        <v>730</v>
      </c>
      <c r="B460" t="s">
        <v>972</v>
      </c>
      <c r="C460">
        <v>6684.1875</v>
      </c>
      <c r="D460">
        <f t="shared" si="14"/>
        <v>4.7783739066578042E-3</v>
      </c>
      <c r="E460" s="24">
        <f>SUMIFS($D$2:D460,$A$2:A460,A460)</f>
        <v>0.1516941176495803</v>
      </c>
      <c r="F460" t="str">
        <f t="shared" si="15"/>
        <v>A</v>
      </c>
    </row>
    <row r="461" spans="1:6" x14ac:dyDescent="0.25">
      <c r="A461" s="21" t="s">
        <v>730</v>
      </c>
      <c r="B461" t="s">
        <v>1216</v>
      </c>
      <c r="C461">
        <v>5127.0390600000001</v>
      </c>
      <c r="D461">
        <f t="shared" si="14"/>
        <v>3.6652038355775261E-3</v>
      </c>
      <c r="E461" s="24">
        <f>SUMIFS($D$2:D461,$A$2:A461,A461)</f>
        <v>0.15535932148515783</v>
      </c>
      <c r="F461" t="str">
        <f t="shared" si="15"/>
        <v>A</v>
      </c>
    </row>
    <row r="462" spans="1:6" x14ac:dyDescent="0.25">
      <c r="A462" s="21" t="s">
        <v>730</v>
      </c>
      <c r="B462" t="s">
        <v>965</v>
      </c>
      <c r="C462">
        <v>5814.6927299999998</v>
      </c>
      <c r="D462">
        <f t="shared" si="14"/>
        <v>4.1567918339012527E-3</v>
      </c>
      <c r="E462" s="24">
        <f>SUMIFS($D$2:D462,$A$2:A462,A462)</f>
        <v>0.15951611331905907</v>
      </c>
      <c r="F462" t="str">
        <f t="shared" si="15"/>
        <v>A</v>
      </c>
    </row>
    <row r="463" spans="1:6" x14ac:dyDescent="0.25">
      <c r="A463" s="21" t="s">
        <v>730</v>
      </c>
      <c r="B463" t="s">
        <v>1156</v>
      </c>
      <c r="C463">
        <v>29627.320319999999</v>
      </c>
      <c r="D463">
        <f t="shared" si="14"/>
        <v>2.1179898729842713E-2</v>
      </c>
      <c r="E463" s="24">
        <f>SUMIFS($D$2:D463,$A$2:A463,A463)</f>
        <v>0.18069601204890179</v>
      </c>
      <c r="F463" t="str">
        <f t="shared" si="15"/>
        <v>A</v>
      </c>
    </row>
    <row r="464" spans="1:6" x14ac:dyDescent="0.25">
      <c r="A464" s="21" t="s">
        <v>730</v>
      </c>
      <c r="B464" t="s">
        <v>867</v>
      </c>
      <c r="C464">
        <v>3494.4040799999998</v>
      </c>
      <c r="D464">
        <f t="shared" si="14"/>
        <v>2.4980701506638718E-3</v>
      </c>
      <c r="E464" s="24">
        <f>SUMIFS($D$2:D464,$A$2:A464,A464)</f>
        <v>0.18319408219956565</v>
      </c>
      <c r="F464" t="str">
        <f t="shared" si="15"/>
        <v>A</v>
      </c>
    </row>
    <row r="465" spans="1:6" x14ac:dyDescent="0.25">
      <c r="A465" s="21" t="s">
        <v>730</v>
      </c>
      <c r="B465" t="s">
        <v>1264</v>
      </c>
      <c r="C465">
        <v>618.19979999999987</v>
      </c>
      <c r="D465">
        <f t="shared" si="14"/>
        <v>4.4193700332629399E-4</v>
      </c>
      <c r="E465" s="24">
        <f>SUMIFS($D$2:D465,$A$2:A465,A465)</f>
        <v>0.18363601920289194</v>
      </c>
      <c r="F465" t="str">
        <f t="shared" si="15"/>
        <v>A</v>
      </c>
    </row>
    <row r="466" spans="1:6" x14ac:dyDescent="0.25">
      <c r="A466" s="21" t="s">
        <v>730</v>
      </c>
      <c r="B466" t="s">
        <v>1002</v>
      </c>
      <c r="C466">
        <v>6946.8</v>
      </c>
      <c r="D466">
        <f t="shared" si="14"/>
        <v>4.96610962136691E-3</v>
      </c>
      <c r="E466" s="24">
        <f>SUMIFS($D$2:D466,$A$2:A466,A466)</f>
        <v>0.18860212882425884</v>
      </c>
      <c r="F466" t="str">
        <f t="shared" si="15"/>
        <v>A</v>
      </c>
    </row>
    <row r="467" spans="1:6" x14ac:dyDescent="0.25">
      <c r="A467" s="21" t="s">
        <v>730</v>
      </c>
      <c r="B467" t="s">
        <v>1160</v>
      </c>
      <c r="C467">
        <v>19637.76528</v>
      </c>
      <c r="D467">
        <f t="shared" si="14"/>
        <v>1.4038592603666876E-2</v>
      </c>
      <c r="E467" s="24">
        <f>SUMIFS($D$2:D467,$A$2:A467,A467)</f>
        <v>0.20264072142792572</v>
      </c>
      <c r="F467" t="str">
        <f t="shared" si="15"/>
        <v>A</v>
      </c>
    </row>
    <row r="468" spans="1:6" x14ac:dyDescent="0.25">
      <c r="A468" s="21" t="s">
        <v>730</v>
      </c>
      <c r="B468" t="s">
        <v>934</v>
      </c>
      <c r="C468">
        <v>14963.769179999999</v>
      </c>
      <c r="D468">
        <f t="shared" si="14"/>
        <v>1.0697258895709051E-2</v>
      </c>
      <c r="E468" s="24">
        <f>SUMIFS($D$2:D468,$A$2:A468,A468)</f>
        <v>0.21333798032363477</v>
      </c>
      <c r="F468" t="str">
        <f t="shared" si="15"/>
        <v>A</v>
      </c>
    </row>
    <row r="469" spans="1:6" x14ac:dyDescent="0.25">
      <c r="A469" s="21" t="s">
        <v>730</v>
      </c>
      <c r="B469" t="s">
        <v>1126</v>
      </c>
      <c r="C469">
        <v>11285.764020000001</v>
      </c>
      <c r="D469">
        <f t="shared" si="14"/>
        <v>8.0679365008634908E-3</v>
      </c>
      <c r="E469" s="24">
        <f>SUMIFS($D$2:D469,$A$2:A469,A469)</f>
        <v>0.22140591682449826</v>
      </c>
      <c r="F469" t="str">
        <f t="shared" si="15"/>
        <v>A</v>
      </c>
    </row>
    <row r="470" spans="1:6" x14ac:dyDescent="0.25">
      <c r="A470" s="21" t="s">
        <v>730</v>
      </c>
      <c r="B470" t="s">
        <v>825</v>
      </c>
      <c r="C470">
        <v>19510.808000000001</v>
      </c>
      <c r="D470">
        <f t="shared" si="14"/>
        <v>1.3947833726239778E-2</v>
      </c>
      <c r="E470" s="24">
        <f>SUMIFS($D$2:D470,$A$2:A470,A470)</f>
        <v>0.23535375055073804</v>
      </c>
      <c r="F470" t="str">
        <f t="shared" si="15"/>
        <v>A</v>
      </c>
    </row>
    <row r="471" spans="1:6" x14ac:dyDescent="0.25">
      <c r="A471" s="21" t="s">
        <v>730</v>
      </c>
      <c r="B471" t="s">
        <v>975</v>
      </c>
      <c r="C471">
        <v>9684.8756000000012</v>
      </c>
      <c r="D471">
        <f t="shared" si="14"/>
        <v>6.923497711018258E-3</v>
      </c>
      <c r="E471" s="24">
        <f>SUMIFS($D$2:D471,$A$2:A471,A471)</f>
        <v>0.24227724826175628</v>
      </c>
      <c r="F471" t="str">
        <f t="shared" si="15"/>
        <v>A</v>
      </c>
    </row>
    <row r="472" spans="1:6" x14ac:dyDescent="0.25">
      <c r="A472" s="21" t="s">
        <v>730</v>
      </c>
      <c r="B472" t="s">
        <v>1020</v>
      </c>
      <c r="C472">
        <v>76.138720000000006</v>
      </c>
      <c r="D472">
        <f t="shared" si="14"/>
        <v>5.4429842510301321E-5</v>
      </c>
      <c r="E472" s="24">
        <f>SUMIFS($D$2:D472,$A$2:A472,A472)</f>
        <v>0.24233167810426659</v>
      </c>
      <c r="F472" t="str">
        <f t="shared" si="15"/>
        <v>A</v>
      </c>
    </row>
    <row r="473" spans="1:6" x14ac:dyDescent="0.25">
      <c r="A473" s="21" t="s">
        <v>730</v>
      </c>
      <c r="B473" t="s">
        <v>997</v>
      </c>
      <c r="C473">
        <v>560.36831999999993</v>
      </c>
      <c r="D473">
        <f t="shared" si="14"/>
        <v>4.0059459110111293E-4</v>
      </c>
      <c r="E473" s="24">
        <f>SUMIFS($D$2:D473,$A$2:A473,A473)</f>
        <v>0.24273227269536771</v>
      </c>
      <c r="F473" t="str">
        <f t="shared" si="15"/>
        <v>A</v>
      </c>
    </row>
    <row r="474" spans="1:6" x14ac:dyDescent="0.25">
      <c r="A474" s="21" t="s">
        <v>730</v>
      </c>
      <c r="B474" t="s">
        <v>1068</v>
      </c>
      <c r="C474">
        <v>4856.35725</v>
      </c>
      <c r="D474">
        <f t="shared" si="14"/>
        <v>3.4716995543300441E-3</v>
      </c>
      <c r="E474" s="24">
        <f>SUMIFS($D$2:D474,$A$2:A474,A474)</f>
        <v>0.24620397224969776</v>
      </c>
      <c r="F474" t="str">
        <f t="shared" si="15"/>
        <v>A</v>
      </c>
    </row>
    <row r="475" spans="1:6" x14ac:dyDescent="0.25">
      <c r="A475" s="21" t="s">
        <v>730</v>
      </c>
      <c r="B475" t="s">
        <v>1146</v>
      </c>
      <c r="C475">
        <v>16134.22069</v>
      </c>
      <c r="D475">
        <f t="shared" si="14"/>
        <v>1.1533988109901836E-2</v>
      </c>
      <c r="E475" s="24">
        <f>SUMIFS($D$2:D475,$A$2:A475,A475)</f>
        <v>0.25773796035959962</v>
      </c>
      <c r="F475" t="str">
        <f t="shared" si="15"/>
        <v>A</v>
      </c>
    </row>
    <row r="476" spans="1:6" x14ac:dyDescent="0.25">
      <c r="A476" s="21" t="s">
        <v>730</v>
      </c>
      <c r="B476" t="s">
        <v>1174</v>
      </c>
      <c r="C476">
        <v>12668.50728</v>
      </c>
      <c r="D476">
        <f t="shared" si="14"/>
        <v>9.0564282679168467E-3</v>
      </c>
      <c r="E476" s="24">
        <f>SUMIFS($D$2:D476,$A$2:A476,A476)</f>
        <v>0.26679438862751648</v>
      </c>
      <c r="F476" t="str">
        <f t="shared" si="15"/>
        <v>A</v>
      </c>
    </row>
    <row r="477" spans="1:6" x14ac:dyDescent="0.25">
      <c r="A477" s="21" t="s">
        <v>730</v>
      </c>
      <c r="B477" t="s">
        <v>862</v>
      </c>
      <c r="C477">
        <v>2642.1686999999997</v>
      </c>
      <c r="D477">
        <f t="shared" si="14"/>
        <v>1.8888264240145823E-3</v>
      </c>
      <c r="E477" s="24">
        <f>SUMIFS($D$2:D477,$A$2:A477,A477)</f>
        <v>0.26868321505153103</v>
      </c>
      <c r="F477" t="str">
        <f t="shared" si="15"/>
        <v>A</v>
      </c>
    </row>
    <row r="478" spans="1:6" x14ac:dyDescent="0.25">
      <c r="A478" s="21" t="s">
        <v>730</v>
      </c>
      <c r="B478" t="s">
        <v>1304</v>
      </c>
      <c r="C478">
        <v>841.00536</v>
      </c>
      <c r="D478">
        <f t="shared" si="14"/>
        <v>6.0121564028288454E-4</v>
      </c>
      <c r="E478" s="24">
        <f>SUMIFS($D$2:D478,$A$2:A478,A478)</f>
        <v>0.2692844306918139</v>
      </c>
      <c r="F478" t="str">
        <f t="shared" si="15"/>
        <v>A</v>
      </c>
    </row>
    <row r="479" spans="1:6" x14ac:dyDescent="0.25">
      <c r="A479" s="21" t="s">
        <v>730</v>
      </c>
      <c r="B479" t="s">
        <v>737</v>
      </c>
      <c r="C479">
        <v>5225.2710400000005</v>
      </c>
      <c r="D479">
        <f t="shared" si="14"/>
        <v>3.7354276481248753E-3</v>
      </c>
      <c r="E479" s="24">
        <f>SUMIFS($D$2:D479,$A$2:A479,A479)</f>
        <v>0.2730198583399388</v>
      </c>
      <c r="F479" t="str">
        <f t="shared" si="15"/>
        <v>A</v>
      </c>
    </row>
    <row r="480" spans="1:6" x14ac:dyDescent="0.25">
      <c r="A480" s="21" t="s">
        <v>730</v>
      </c>
      <c r="B480" t="s">
        <v>1317</v>
      </c>
      <c r="C480">
        <v>22676.312610000001</v>
      </c>
      <c r="D480">
        <f t="shared" si="14"/>
        <v>1.6210781112115623E-2</v>
      </c>
      <c r="E480" s="24">
        <f>SUMIFS($D$2:D480,$A$2:A480,A480)</f>
        <v>0.28923063945205441</v>
      </c>
      <c r="F480" t="str">
        <f t="shared" si="15"/>
        <v>A</v>
      </c>
    </row>
    <row r="481" spans="1:6" x14ac:dyDescent="0.25">
      <c r="A481" s="21" t="s">
        <v>730</v>
      </c>
      <c r="B481" t="s">
        <v>883</v>
      </c>
      <c r="C481">
        <v>42495.805439999996</v>
      </c>
      <c r="D481">
        <f t="shared" si="14"/>
        <v>3.0379286615898005E-2</v>
      </c>
      <c r="E481" s="24">
        <f>SUMIFS($D$2:D481,$A$2:A481,A481)</f>
        <v>0.31960992606795241</v>
      </c>
      <c r="F481" t="str">
        <f t="shared" si="15"/>
        <v>A</v>
      </c>
    </row>
    <row r="482" spans="1:6" x14ac:dyDescent="0.25">
      <c r="A482" s="21" t="s">
        <v>730</v>
      </c>
      <c r="B482" t="s">
        <v>799</v>
      </c>
      <c r="C482">
        <v>12153.267360000002</v>
      </c>
      <c r="D482">
        <f t="shared" si="14"/>
        <v>8.6880949455203031E-3</v>
      </c>
      <c r="E482" s="24">
        <f>SUMIFS($D$2:D482,$A$2:A482,A482)</f>
        <v>0.32829802101347272</v>
      </c>
      <c r="F482" t="str">
        <f t="shared" si="15"/>
        <v>A</v>
      </c>
    </row>
    <row r="483" spans="1:6" x14ac:dyDescent="0.25">
      <c r="A483" s="21" t="s">
        <v>730</v>
      </c>
      <c r="B483" t="s">
        <v>1360</v>
      </c>
      <c r="C483">
        <v>33017.42</v>
      </c>
      <c r="D483">
        <f t="shared" si="14"/>
        <v>2.3603404032750654E-2</v>
      </c>
      <c r="E483" s="24">
        <f>SUMIFS($D$2:D483,$A$2:A483,A483)</f>
        <v>0.35190142504622335</v>
      </c>
      <c r="F483" t="str">
        <f t="shared" si="15"/>
        <v>A</v>
      </c>
    </row>
    <row r="484" spans="1:6" x14ac:dyDescent="0.25">
      <c r="A484" s="21" t="s">
        <v>730</v>
      </c>
      <c r="B484" t="s">
        <v>979</v>
      </c>
      <c r="C484">
        <v>2909.8689199999999</v>
      </c>
      <c r="D484">
        <f t="shared" si="14"/>
        <v>2.08019923425585E-3</v>
      </c>
      <c r="E484" s="24">
        <f>SUMIFS($D$2:D484,$A$2:A484,A484)</f>
        <v>0.35398162428047919</v>
      </c>
      <c r="F484" t="str">
        <f t="shared" si="15"/>
        <v>A</v>
      </c>
    </row>
    <row r="485" spans="1:6" x14ac:dyDescent="0.25">
      <c r="A485" s="21" t="s">
        <v>730</v>
      </c>
      <c r="B485" t="s">
        <v>765</v>
      </c>
      <c r="C485">
        <v>26150.364320000001</v>
      </c>
      <c r="D485">
        <f t="shared" si="14"/>
        <v>1.869430181548367E-2</v>
      </c>
      <c r="E485" s="24">
        <f>SUMIFS($D$2:D485,$A$2:A485,A485)</f>
        <v>0.37267592609596284</v>
      </c>
      <c r="F485" t="str">
        <f t="shared" si="15"/>
        <v>A</v>
      </c>
    </row>
    <row r="486" spans="1:6" x14ac:dyDescent="0.25">
      <c r="A486" s="21" t="s">
        <v>730</v>
      </c>
      <c r="B486" t="s">
        <v>1109</v>
      </c>
      <c r="C486">
        <v>38422.022320000004</v>
      </c>
      <c r="D486">
        <f t="shared" si="14"/>
        <v>2.7467031541965538E-2</v>
      </c>
      <c r="E486" s="24">
        <f>SUMIFS($D$2:D486,$A$2:A486,A486)</f>
        <v>0.4001429576379284</v>
      </c>
      <c r="F486" t="str">
        <f t="shared" si="15"/>
        <v>A</v>
      </c>
    </row>
    <row r="487" spans="1:6" x14ac:dyDescent="0.25">
      <c r="A487" s="21" t="s">
        <v>730</v>
      </c>
      <c r="B487" t="s">
        <v>931</v>
      </c>
      <c r="C487">
        <v>11326.846439999999</v>
      </c>
      <c r="D487">
        <f t="shared" si="14"/>
        <v>8.0973053903134577E-3</v>
      </c>
      <c r="E487" s="24">
        <f>SUMIFS($D$2:D487,$A$2:A487,A487)</f>
        <v>0.40824026302824185</v>
      </c>
      <c r="F487" t="str">
        <f t="shared" si="15"/>
        <v>A</v>
      </c>
    </row>
    <row r="488" spans="1:6" x14ac:dyDescent="0.25">
      <c r="A488" s="21" t="s">
        <v>730</v>
      </c>
      <c r="B488" t="s">
        <v>1037</v>
      </c>
      <c r="C488">
        <v>8093.4784</v>
      </c>
      <c r="D488">
        <f t="shared" si="14"/>
        <v>5.7858439788917582E-3</v>
      </c>
      <c r="E488" s="24">
        <f>SUMIFS($D$2:D488,$A$2:A488,A488)</f>
        <v>0.4140261070071336</v>
      </c>
      <c r="F488" t="str">
        <f t="shared" si="15"/>
        <v>A</v>
      </c>
    </row>
    <row r="489" spans="1:6" x14ac:dyDescent="0.25">
      <c r="A489" s="21" t="s">
        <v>730</v>
      </c>
      <c r="B489" t="s">
        <v>1318</v>
      </c>
      <c r="C489">
        <v>370.86</v>
      </c>
      <c r="D489">
        <f t="shared" si="14"/>
        <v>2.6511939514310652E-4</v>
      </c>
      <c r="E489" s="24">
        <f>SUMIFS($D$2:D489,$A$2:A489,A489)</f>
        <v>0.41429122640227672</v>
      </c>
      <c r="F489" t="str">
        <f t="shared" si="15"/>
        <v>A</v>
      </c>
    </row>
    <row r="490" spans="1:6" x14ac:dyDescent="0.25">
      <c r="A490" s="21" t="s">
        <v>730</v>
      </c>
      <c r="B490" t="s">
        <v>1095</v>
      </c>
      <c r="C490">
        <v>4804.4682400000002</v>
      </c>
      <c r="D490">
        <f t="shared" si="14"/>
        <v>3.4346052790084278E-3</v>
      </c>
      <c r="E490" s="24">
        <f>SUMIFS($D$2:D490,$A$2:A490,A490)</f>
        <v>0.41772583168128513</v>
      </c>
      <c r="F490" t="str">
        <f t="shared" si="15"/>
        <v>A</v>
      </c>
    </row>
    <row r="491" spans="1:6" x14ac:dyDescent="0.25">
      <c r="A491" s="21" t="s">
        <v>730</v>
      </c>
      <c r="B491" t="s">
        <v>896</v>
      </c>
      <c r="C491">
        <v>8154.5511600000009</v>
      </c>
      <c r="D491">
        <f t="shared" si="14"/>
        <v>5.8295035086089568E-3</v>
      </c>
      <c r="E491" s="24">
        <f>SUMIFS($D$2:D491,$A$2:A491,A491)</f>
        <v>0.42355533518989408</v>
      </c>
      <c r="F491" t="str">
        <f t="shared" si="15"/>
        <v>A</v>
      </c>
    </row>
    <row r="492" spans="1:6" x14ac:dyDescent="0.25">
      <c r="A492" s="21" t="s">
        <v>730</v>
      </c>
      <c r="B492" t="s">
        <v>1186</v>
      </c>
      <c r="C492">
        <v>11984.891250000001</v>
      </c>
      <c r="D492">
        <f t="shared" si="14"/>
        <v>8.5677266867710457E-3</v>
      </c>
      <c r="E492" s="24">
        <f>SUMIFS($D$2:D492,$A$2:A492,A492)</f>
        <v>0.4321230618766651</v>
      </c>
      <c r="F492" t="str">
        <f t="shared" si="15"/>
        <v>A</v>
      </c>
    </row>
    <row r="493" spans="1:6" x14ac:dyDescent="0.25">
      <c r="A493" s="21" t="s">
        <v>730</v>
      </c>
      <c r="B493" t="s">
        <v>1162</v>
      </c>
      <c r="C493">
        <v>41138.261999999995</v>
      </c>
      <c r="D493">
        <f t="shared" si="14"/>
        <v>2.940880962810398E-2</v>
      </c>
      <c r="E493" s="24">
        <f>SUMIFS($D$2:D493,$A$2:A493,A493)</f>
        <v>0.4615318715047691</v>
      </c>
      <c r="F493" t="str">
        <f t="shared" si="15"/>
        <v>A</v>
      </c>
    </row>
    <row r="494" spans="1:6" x14ac:dyDescent="0.25">
      <c r="A494" s="21" t="s">
        <v>730</v>
      </c>
      <c r="B494" t="s">
        <v>1140</v>
      </c>
      <c r="C494">
        <v>21541.017959999997</v>
      </c>
      <c r="D494">
        <f t="shared" si="14"/>
        <v>1.5399184739044365E-2</v>
      </c>
      <c r="E494" s="24">
        <f>SUMIFS($D$2:D494,$A$2:A494,A494)</f>
        <v>0.47693105624381349</v>
      </c>
      <c r="F494" t="str">
        <f t="shared" si="15"/>
        <v>A</v>
      </c>
    </row>
    <row r="495" spans="1:6" x14ac:dyDescent="0.25">
      <c r="A495" s="21" t="s">
        <v>730</v>
      </c>
      <c r="B495" t="s">
        <v>1219</v>
      </c>
      <c r="C495">
        <v>5159.7893599999998</v>
      </c>
      <c r="D495">
        <f t="shared" si="14"/>
        <v>3.688616281586142E-3</v>
      </c>
      <c r="E495" s="24">
        <f>SUMIFS($D$2:D495,$A$2:A495,A495)</f>
        <v>0.48061967252539961</v>
      </c>
      <c r="F495" t="str">
        <f t="shared" si="15"/>
        <v>A</v>
      </c>
    </row>
    <row r="496" spans="1:6" x14ac:dyDescent="0.25">
      <c r="A496" s="21" t="s">
        <v>730</v>
      </c>
      <c r="B496" t="s">
        <v>1287</v>
      </c>
      <c r="C496">
        <v>33551.927499999998</v>
      </c>
      <c r="D496">
        <f t="shared" si="14"/>
        <v>2.3985511310697732E-2</v>
      </c>
      <c r="E496" s="24">
        <f>SUMIFS($D$2:D496,$A$2:A496,A496)</f>
        <v>0.50460518383609732</v>
      </c>
      <c r="F496" t="str">
        <f t="shared" si="15"/>
        <v>A</v>
      </c>
    </row>
    <row r="497" spans="1:6" x14ac:dyDescent="0.25">
      <c r="A497" s="21" t="s">
        <v>730</v>
      </c>
      <c r="B497" t="s">
        <v>1050</v>
      </c>
      <c r="C497">
        <v>9062.34692</v>
      </c>
      <c r="D497">
        <f t="shared" si="14"/>
        <v>6.478466089649448E-3</v>
      </c>
      <c r="E497" s="24">
        <f>SUMIFS($D$2:D497,$A$2:A497,A497)</f>
        <v>0.51108364992574673</v>
      </c>
      <c r="F497" t="str">
        <f t="shared" si="15"/>
        <v>A</v>
      </c>
    </row>
    <row r="498" spans="1:6" x14ac:dyDescent="0.25">
      <c r="A498" s="21" t="s">
        <v>730</v>
      </c>
      <c r="B498" t="s">
        <v>1064</v>
      </c>
      <c r="C498">
        <v>2537.2908000000002</v>
      </c>
      <c r="D498">
        <f t="shared" si="14"/>
        <v>1.8138515941276193E-3</v>
      </c>
      <c r="E498" s="24">
        <f>SUMIFS($D$2:D498,$A$2:A498,A498)</f>
        <v>0.51289750151987434</v>
      </c>
      <c r="F498" t="str">
        <f t="shared" si="15"/>
        <v>A</v>
      </c>
    </row>
    <row r="499" spans="1:6" x14ac:dyDescent="0.25">
      <c r="A499" s="21" t="s">
        <v>730</v>
      </c>
      <c r="B499" t="s">
        <v>1222</v>
      </c>
      <c r="C499">
        <v>9614.4403999999995</v>
      </c>
      <c r="D499">
        <f t="shared" si="14"/>
        <v>6.8731451854809012E-3</v>
      </c>
      <c r="E499" s="24">
        <f>SUMIFS($D$2:D499,$A$2:A499,A499)</f>
        <v>0.51977064670535522</v>
      </c>
      <c r="F499" t="str">
        <f t="shared" si="15"/>
        <v>A</v>
      </c>
    </row>
    <row r="500" spans="1:6" x14ac:dyDescent="0.25">
      <c r="A500" s="21" t="s">
        <v>730</v>
      </c>
      <c r="B500" t="s">
        <v>1189</v>
      </c>
      <c r="C500">
        <v>20797.98</v>
      </c>
      <c r="D500">
        <f t="shared" si="14"/>
        <v>1.4868003769073037E-2</v>
      </c>
      <c r="E500" s="24">
        <f>SUMIFS($D$2:D500,$A$2:A500,A500)</f>
        <v>0.53463865047442827</v>
      </c>
      <c r="F500" t="str">
        <f t="shared" si="15"/>
        <v>A</v>
      </c>
    </row>
    <row r="501" spans="1:6" x14ac:dyDescent="0.25">
      <c r="A501" s="21" t="s">
        <v>730</v>
      </c>
      <c r="B501" t="s">
        <v>1019</v>
      </c>
      <c r="C501">
        <v>3978.6474000000003</v>
      </c>
      <c r="D501">
        <f t="shared" si="14"/>
        <v>2.8442447073712277E-3</v>
      </c>
      <c r="E501" s="24">
        <f>SUMIFS($D$2:D501,$A$2:A501,A501)</f>
        <v>0.53748289518179948</v>
      </c>
      <c r="F501" t="str">
        <f t="shared" si="15"/>
        <v>A</v>
      </c>
    </row>
    <row r="502" spans="1:6" x14ac:dyDescent="0.25">
      <c r="A502" s="21" t="s">
        <v>730</v>
      </c>
      <c r="B502" t="s">
        <v>1012</v>
      </c>
      <c r="C502">
        <v>34840.344000000005</v>
      </c>
      <c r="D502">
        <f t="shared" si="14"/>
        <v>2.4906571018329726E-2</v>
      </c>
      <c r="E502" s="24">
        <f>SUMIFS($D$2:D502,$A$2:A502,A502)</f>
        <v>0.5623894662001292</v>
      </c>
      <c r="F502" t="str">
        <f t="shared" si="15"/>
        <v>A</v>
      </c>
    </row>
    <row r="503" spans="1:6" x14ac:dyDescent="0.25">
      <c r="A503" s="21" t="s">
        <v>730</v>
      </c>
      <c r="B503" t="s">
        <v>761</v>
      </c>
      <c r="C503">
        <v>3980.7075</v>
      </c>
      <c r="D503">
        <f t="shared" si="14"/>
        <v>2.8457174260950969E-3</v>
      </c>
      <c r="E503" s="24">
        <f>SUMIFS($D$2:D503,$A$2:A503,A503)</f>
        <v>0.56523518362622427</v>
      </c>
      <c r="F503" t="str">
        <f t="shared" si="15"/>
        <v>A</v>
      </c>
    </row>
    <row r="504" spans="1:6" x14ac:dyDescent="0.25">
      <c r="A504" s="21" t="s">
        <v>730</v>
      </c>
      <c r="B504" t="s">
        <v>1100</v>
      </c>
      <c r="C504">
        <v>19547.329920000004</v>
      </c>
      <c r="D504">
        <f t="shared" si="14"/>
        <v>1.3973942417767216E-2</v>
      </c>
      <c r="E504" s="24">
        <f>SUMIFS($D$2:D504,$A$2:A504,A504)</f>
        <v>0.57920912604399144</v>
      </c>
      <c r="F504" t="str">
        <f t="shared" si="15"/>
        <v>A</v>
      </c>
    </row>
    <row r="505" spans="1:6" x14ac:dyDescent="0.25">
      <c r="A505" s="21" t="s">
        <v>730</v>
      </c>
      <c r="B505" t="s">
        <v>828</v>
      </c>
      <c r="C505">
        <v>5487.6023999999998</v>
      </c>
      <c r="D505">
        <f t="shared" si="14"/>
        <v>3.9229623822301125E-3</v>
      </c>
      <c r="E505" s="24">
        <f>SUMIFS($D$2:D505,$A$2:A505,A505)</f>
        <v>0.58313208842622155</v>
      </c>
      <c r="F505" t="str">
        <f t="shared" si="15"/>
        <v>A</v>
      </c>
    </row>
    <row r="506" spans="1:6" x14ac:dyDescent="0.25">
      <c r="A506" s="21" t="s">
        <v>730</v>
      </c>
      <c r="B506" t="s">
        <v>745</v>
      </c>
      <c r="C506">
        <v>10370.549999999999</v>
      </c>
      <c r="D506">
        <f t="shared" si="14"/>
        <v>7.4136707741501995E-3</v>
      </c>
      <c r="E506" s="24">
        <f>SUMIFS($D$2:D506,$A$2:A506,A506)</f>
        <v>0.59054575920037178</v>
      </c>
      <c r="F506" t="str">
        <f t="shared" si="15"/>
        <v>A</v>
      </c>
    </row>
    <row r="507" spans="1:6" x14ac:dyDescent="0.25">
      <c r="A507" s="21" t="s">
        <v>730</v>
      </c>
      <c r="B507" t="s">
        <v>978</v>
      </c>
      <c r="C507">
        <v>12248.675999999999</v>
      </c>
      <c r="D507">
        <f t="shared" si="14"/>
        <v>8.7563004163940163E-3</v>
      </c>
      <c r="E507" s="24">
        <f>SUMIFS($D$2:D507,$A$2:A507,A507)</f>
        <v>0.59930205961676575</v>
      </c>
      <c r="F507" t="str">
        <f t="shared" si="15"/>
        <v>A</v>
      </c>
    </row>
    <row r="508" spans="1:6" x14ac:dyDescent="0.25">
      <c r="A508" s="21" t="s">
        <v>730</v>
      </c>
      <c r="B508" t="s">
        <v>959</v>
      </c>
      <c r="C508">
        <v>21573.6495</v>
      </c>
      <c r="D508">
        <f t="shared" si="14"/>
        <v>1.5422512286224942E-2</v>
      </c>
      <c r="E508" s="24">
        <f>SUMIFS($D$2:D508,$A$2:A508,A508)</f>
        <v>0.61472457190299068</v>
      </c>
      <c r="F508" t="str">
        <f t="shared" si="15"/>
        <v>A</v>
      </c>
    </row>
    <row r="509" spans="1:6" x14ac:dyDescent="0.25">
      <c r="A509" s="21" t="s">
        <v>730</v>
      </c>
      <c r="B509" t="s">
        <v>1339</v>
      </c>
      <c r="C509">
        <v>29175.036029999999</v>
      </c>
      <c r="D509">
        <f t="shared" si="14"/>
        <v>2.0856570958183517E-2</v>
      </c>
      <c r="E509" s="24">
        <f>SUMIFS($D$2:D509,$A$2:A509,A509)</f>
        <v>0.63558114286117418</v>
      </c>
      <c r="F509" t="str">
        <f t="shared" si="15"/>
        <v>A</v>
      </c>
    </row>
    <row r="510" spans="1:6" x14ac:dyDescent="0.25">
      <c r="A510" s="21" t="s">
        <v>730</v>
      </c>
      <c r="B510" t="s">
        <v>915</v>
      </c>
      <c r="C510">
        <v>41352.246200000009</v>
      </c>
      <c r="D510">
        <f t="shared" si="14"/>
        <v>2.9561782075049416E-2</v>
      </c>
      <c r="E510" s="24">
        <f>SUMIFS($D$2:D510,$A$2:A510,A510)</f>
        <v>0.66514292493622362</v>
      </c>
      <c r="F510" t="str">
        <f t="shared" si="15"/>
        <v>A</v>
      </c>
    </row>
    <row r="511" spans="1:6" x14ac:dyDescent="0.25">
      <c r="A511" s="21" t="s">
        <v>730</v>
      </c>
      <c r="B511" t="s">
        <v>1312</v>
      </c>
      <c r="C511">
        <v>7173.3342799999991</v>
      </c>
      <c r="D511">
        <f t="shared" si="14"/>
        <v>5.1280538356061889E-3</v>
      </c>
      <c r="E511" s="24">
        <f>SUMIFS($D$2:D511,$A$2:A511,A511)</f>
        <v>0.67027097877182984</v>
      </c>
      <c r="F511" t="str">
        <f t="shared" si="15"/>
        <v>A</v>
      </c>
    </row>
    <row r="512" spans="1:6" x14ac:dyDescent="0.25">
      <c r="A512" s="21" t="s">
        <v>730</v>
      </c>
      <c r="B512" t="s">
        <v>1070</v>
      </c>
      <c r="C512">
        <v>28247.74656</v>
      </c>
      <c r="D512">
        <f t="shared" si="14"/>
        <v>2.0193672766388848E-2</v>
      </c>
      <c r="E512" s="24">
        <f>SUMIFS($D$2:D512,$A$2:A512,A512)</f>
        <v>0.69046465153821868</v>
      </c>
      <c r="F512" t="str">
        <f t="shared" si="15"/>
        <v>A</v>
      </c>
    </row>
    <row r="513" spans="1:6" x14ac:dyDescent="0.25">
      <c r="A513" s="21" t="s">
        <v>730</v>
      </c>
      <c r="B513" t="s">
        <v>1226</v>
      </c>
      <c r="C513">
        <v>110.14919999999999</v>
      </c>
      <c r="D513">
        <f t="shared" si="14"/>
        <v>7.8743162593693217E-5</v>
      </c>
      <c r="E513" s="24">
        <f>SUMIFS($D$2:D513,$A$2:A513,A513)</f>
        <v>0.69054339470081239</v>
      </c>
      <c r="F513" t="str">
        <f t="shared" si="15"/>
        <v>A</v>
      </c>
    </row>
    <row r="514" spans="1:6" x14ac:dyDescent="0.25">
      <c r="A514" s="21" t="s">
        <v>730</v>
      </c>
      <c r="B514" t="s">
        <v>856</v>
      </c>
      <c r="C514">
        <v>16061.972879999999</v>
      </c>
      <c r="D514">
        <f t="shared" si="14"/>
        <v>1.1482339790623363E-2</v>
      </c>
      <c r="E514" s="24">
        <f>SUMIFS($D$2:D514,$A$2:A514,A514)</f>
        <v>0.70202573449143579</v>
      </c>
      <c r="F514" t="str">
        <f t="shared" si="15"/>
        <v>A</v>
      </c>
    </row>
    <row r="515" spans="1:6" x14ac:dyDescent="0.25">
      <c r="A515" s="21" t="s">
        <v>730</v>
      </c>
      <c r="B515" t="s">
        <v>1108</v>
      </c>
      <c r="C515">
        <v>31005.24768</v>
      </c>
      <c r="D515">
        <f t="shared" ref="D515:D578" si="16">C515/SUMIFS($C:$C,$A:$A,A515)</f>
        <v>2.2164947719311347E-2</v>
      </c>
      <c r="E515" s="24">
        <f>SUMIFS($D$2:D515,$A$2:A515,A515)</f>
        <v>0.72419068221074712</v>
      </c>
      <c r="F515" t="str">
        <f t="shared" ref="F515:F578" si="17">IF(E515&lt;=0.8,"A",IF(E515&lt;=0.95,"B","C"))</f>
        <v>A</v>
      </c>
    </row>
    <row r="516" spans="1:6" x14ac:dyDescent="0.25">
      <c r="A516" s="21" t="s">
        <v>730</v>
      </c>
      <c r="B516" t="s">
        <v>871</v>
      </c>
      <c r="C516">
        <v>4336.2427499999994</v>
      </c>
      <c r="D516">
        <f t="shared" si="16"/>
        <v>3.0998815053488666E-3</v>
      </c>
      <c r="E516" s="24">
        <f>SUMIFS($D$2:D516,$A$2:A516,A516)</f>
        <v>0.72729056371609602</v>
      </c>
      <c r="F516" t="str">
        <f t="shared" si="17"/>
        <v>A</v>
      </c>
    </row>
    <row r="517" spans="1:6" x14ac:dyDescent="0.25">
      <c r="A517" s="21" t="s">
        <v>730</v>
      </c>
      <c r="B517" t="s">
        <v>875</v>
      </c>
      <c r="C517">
        <v>8211.6342000000004</v>
      </c>
      <c r="D517">
        <f t="shared" si="16"/>
        <v>5.870310878068402E-3</v>
      </c>
      <c r="E517" s="24">
        <f>SUMIFS($D$2:D517,$A$2:A517,A517)</f>
        <v>0.73316087459416446</v>
      </c>
      <c r="F517" t="str">
        <f t="shared" si="17"/>
        <v>A</v>
      </c>
    </row>
    <row r="518" spans="1:6" x14ac:dyDescent="0.25">
      <c r="A518" s="21" t="s">
        <v>730</v>
      </c>
      <c r="B518" t="s">
        <v>1266</v>
      </c>
      <c r="C518">
        <v>11924.0978</v>
      </c>
      <c r="D518">
        <f t="shared" si="16"/>
        <v>8.5242668294322581E-3</v>
      </c>
      <c r="E518" s="24">
        <f>SUMIFS($D$2:D518,$A$2:A518,A518)</f>
        <v>0.74168514142359676</v>
      </c>
      <c r="F518" t="str">
        <f t="shared" si="17"/>
        <v>A</v>
      </c>
    </row>
    <row r="519" spans="1:6" x14ac:dyDescent="0.25">
      <c r="A519" s="21" t="s">
        <v>730</v>
      </c>
      <c r="B519" t="s">
        <v>796</v>
      </c>
      <c r="C519">
        <v>10947.904</v>
      </c>
      <c r="D519">
        <f t="shared" si="16"/>
        <v>7.8264080422930388E-3</v>
      </c>
      <c r="E519" s="24">
        <f>SUMIFS($D$2:D519,$A$2:A519,A519)</f>
        <v>0.74951154946588983</v>
      </c>
      <c r="F519" t="str">
        <f t="shared" si="17"/>
        <v>A</v>
      </c>
    </row>
    <row r="520" spans="1:6" x14ac:dyDescent="0.25">
      <c r="A520" s="21" t="s">
        <v>730</v>
      </c>
      <c r="B520" t="s">
        <v>834</v>
      </c>
      <c r="C520">
        <v>52780.07</v>
      </c>
      <c r="D520">
        <f t="shared" si="16"/>
        <v>3.7731273887749613E-2</v>
      </c>
      <c r="E520" s="24">
        <f>SUMIFS($D$2:D520,$A$2:A520,A520)</f>
        <v>0.78724282335363949</v>
      </c>
      <c r="F520" t="str">
        <f t="shared" si="17"/>
        <v>A</v>
      </c>
    </row>
    <row r="521" spans="1:6" x14ac:dyDescent="0.25">
      <c r="A521" s="21" t="s">
        <v>730</v>
      </c>
      <c r="B521" t="s">
        <v>1153</v>
      </c>
      <c r="C521">
        <v>14527.748400000002</v>
      </c>
      <c r="D521">
        <f t="shared" si="16"/>
        <v>1.0385557538152495E-2</v>
      </c>
      <c r="E521" s="24">
        <f>SUMIFS($D$2:D521,$A$2:A521,A521)</f>
        <v>0.797628380891792</v>
      </c>
      <c r="F521" t="str">
        <f t="shared" si="17"/>
        <v>A</v>
      </c>
    </row>
    <row r="522" spans="1:6" x14ac:dyDescent="0.25">
      <c r="A522" s="21" t="s">
        <v>730</v>
      </c>
      <c r="B522" t="s">
        <v>1145</v>
      </c>
      <c r="C522">
        <v>2059.0056</v>
      </c>
      <c r="D522">
        <f t="shared" si="16"/>
        <v>1.4719363621535596E-3</v>
      </c>
      <c r="E522" s="24">
        <f>SUMIFS($D$2:D522,$A$2:A522,A522)</f>
        <v>0.79910031725394559</v>
      </c>
      <c r="F522" t="str">
        <f t="shared" si="17"/>
        <v>A</v>
      </c>
    </row>
    <row r="523" spans="1:6" x14ac:dyDescent="0.25">
      <c r="A523" s="21" t="s">
        <v>730</v>
      </c>
      <c r="B523" t="s">
        <v>1239</v>
      </c>
      <c r="C523">
        <v>34800.431400000001</v>
      </c>
      <c r="D523">
        <f t="shared" si="16"/>
        <v>2.4878038406641784E-2</v>
      </c>
      <c r="E523" s="24">
        <f>SUMIFS($D$2:D523,$A$2:A523,A523)</f>
        <v>0.82397835566058741</v>
      </c>
      <c r="F523" t="str">
        <f t="shared" si="17"/>
        <v>B</v>
      </c>
    </row>
    <row r="524" spans="1:6" x14ac:dyDescent="0.25">
      <c r="A524" s="21" t="s">
        <v>730</v>
      </c>
      <c r="B524" t="s">
        <v>970</v>
      </c>
      <c r="C524">
        <v>37038.581760000001</v>
      </c>
      <c r="D524">
        <f t="shared" si="16"/>
        <v>2.6478041290971518E-2</v>
      </c>
      <c r="E524" s="24">
        <f>SUMIFS($D$2:D524,$A$2:A524,A524)</f>
        <v>0.85045639695155895</v>
      </c>
      <c r="F524" t="str">
        <f t="shared" si="17"/>
        <v>B</v>
      </c>
    </row>
    <row r="525" spans="1:6" x14ac:dyDescent="0.25">
      <c r="A525" s="21" t="s">
        <v>730</v>
      </c>
      <c r="B525" t="s">
        <v>1168</v>
      </c>
      <c r="C525">
        <v>27249</v>
      </c>
      <c r="D525">
        <f t="shared" si="16"/>
        <v>1.9479691523093645E-2</v>
      </c>
      <c r="E525" s="24">
        <f>SUMIFS($D$2:D525,$A$2:A525,A525)</f>
        <v>0.86993608847465254</v>
      </c>
      <c r="F525" t="str">
        <f t="shared" si="17"/>
        <v>B</v>
      </c>
    </row>
    <row r="526" spans="1:6" x14ac:dyDescent="0.25">
      <c r="A526" s="21" t="s">
        <v>730</v>
      </c>
      <c r="B526" t="s">
        <v>840</v>
      </c>
      <c r="C526">
        <v>518.65436999999997</v>
      </c>
      <c r="D526">
        <f t="shared" si="16"/>
        <v>3.7077423519044642E-4</v>
      </c>
      <c r="E526" s="24">
        <f>SUMIFS($D$2:D526,$A$2:A526,A526)</f>
        <v>0.87030686270984303</v>
      </c>
      <c r="F526" t="str">
        <f t="shared" si="17"/>
        <v>B</v>
      </c>
    </row>
    <row r="527" spans="1:6" x14ac:dyDescent="0.25">
      <c r="A527" s="21" t="s">
        <v>730</v>
      </c>
      <c r="B527" t="s">
        <v>1234</v>
      </c>
      <c r="C527">
        <v>7428.1108999999988</v>
      </c>
      <c r="D527">
        <f t="shared" si="16"/>
        <v>5.310187857584847E-3</v>
      </c>
      <c r="E527" s="24">
        <f>SUMIFS($D$2:D527,$A$2:A527,A527)</f>
        <v>0.87561705056742789</v>
      </c>
      <c r="F527" t="str">
        <f t="shared" si="17"/>
        <v>B</v>
      </c>
    </row>
    <row r="528" spans="1:6" x14ac:dyDescent="0.25">
      <c r="A528" s="21" t="s">
        <v>730</v>
      </c>
      <c r="B528" t="s">
        <v>1362</v>
      </c>
      <c r="C528">
        <v>12769.38768</v>
      </c>
      <c r="D528">
        <f t="shared" si="16"/>
        <v>9.1285453758006684E-3</v>
      </c>
      <c r="E528" s="24">
        <f>SUMIFS($D$2:D528,$A$2:A528,A528)</f>
        <v>0.88474559594322855</v>
      </c>
      <c r="F528" t="str">
        <f t="shared" si="17"/>
        <v>B</v>
      </c>
    </row>
    <row r="529" spans="1:6" x14ac:dyDescent="0.25">
      <c r="A529" s="21" t="s">
        <v>730</v>
      </c>
      <c r="B529" t="s">
        <v>893</v>
      </c>
      <c r="C529">
        <v>29263.754519999995</v>
      </c>
      <c r="D529">
        <f t="shared" si="16"/>
        <v>2.0919993792694679E-2</v>
      </c>
      <c r="E529" s="24">
        <f>SUMIFS($D$2:D529,$A$2:A529,A529)</f>
        <v>0.90566558973592326</v>
      </c>
      <c r="F529" t="str">
        <f t="shared" si="17"/>
        <v>B</v>
      </c>
    </row>
    <row r="530" spans="1:6" x14ac:dyDescent="0.25">
      <c r="A530" s="21" t="s">
        <v>730</v>
      </c>
      <c r="B530" t="s">
        <v>1054</v>
      </c>
      <c r="C530">
        <v>22380.204000000002</v>
      </c>
      <c r="D530">
        <f t="shared" si="16"/>
        <v>1.599909978875946E-2</v>
      </c>
      <c r="E530" s="24">
        <f>SUMIFS($D$2:D530,$A$2:A530,A530)</f>
        <v>0.92166468952468272</v>
      </c>
      <c r="F530" t="str">
        <f t="shared" si="17"/>
        <v>B</v>
      </c>
    </row>
    <row r="531" spans="1:6" x14ac:dyDescent="0.25">
      <c r="A531" s="21" t="s">
        <v>730</v>
      </c>
      <c r="B531" t="s">
        <v>1207</v>
      </c>
      <c r="C531">
        <v>19233.355499999998</v>
      </c>
      <c r="D531">
        <f t="shared" si="16"/>
        <v>1.3749489232412071E-2</v>
      </c>
      <c r="E531" s="24">
        <f>SUMIFS($D$2:D531,$A$2:A531,A531)</f>
        <v>0.93541417875709476</v>
      </c>
      <c r="F531" t="str">
        <f t="shared" si="17"/>
        <v>B</v>
      </c>
    </row>
    <row r="532" spans="1:6" x14ac:dyDescent="0.25">
      <c r="A532" s="21" t="s">
        <v>730</v>
      </c>
      <c r="B532" t="s">
        <v>1320</v>
      </c>
      <c r="C532">
        <v>68665.574250000005</v>
      </c>
      <c r="D532">
        <f t="shared" si="16"/>
        <v>4.9087460260783235E-2</v>
      </c>
      <c r="E532" s="24">
        <f>SUMIFS($D$2:D532,$A$2:A532,A532)</f>
        <v>0.98450163901787802</v>
      </c>
      <c r="F532" t="str">
        <f t="shared" si="17"/>
        <v>C</v>
      </c>
    </row>
    <row r="533" spans="1:6" x14ac:dyDescent="0.25">
      <c r="A533" s="22" t="s">
        <v>730</v>
      </c>
      <c r="B533" t="s">
        <v>930</v>
      </c>
      <c r="C533">
        <v>21679.749799999998</v>
      </c>
      <c r="D533">
        <f t="shared" si="16"/>
        <v>1.549836098212232E-2</v>
      </c>
      <c r="E533" s="24">
        <f>SUMIFS($D$2:D533,$A$2:A533,A533)</f>
        <v>1.0000000000000004</v>
      </c>
      <c r="F533" t="str">
        <f t="shared" si="17"/>
        <v>C</v>
      </c>
    </row>
    <row r="534" spans="1:6" x14ac:dyDescent="0.25">
      <c r="A534" s="23" t="s">
        <v>1484</v>
      </c>
      <c r="B534" s="23"/>
      <c r="C534" s="23">
        <v>1398841.4532999997</v>
      </c>
      <c r="D534">
        <f t="shared" si="16"/>
        <v>1</v>
      </c>
      <c r="E534" s="24">
        <f>SUMIFS($D$2:D534,$A$2:A534,A534)</f>
        <v>1</v>
      </c>
      <c r="F534" t="str">
        <f t="shared" si="17"/>
        <v>C</v>
      </c>
    </row>
    <row r="535" spans="1:6" x14ac:dyDescent="0.25">
      <c r="A535" s="21" t="s">
        <v>728</v>
      </c>
      <c r="B535" t="s">
        <v>1235</v>
      </c>
      <c r="C535">
        <v>10869.182940000001</v>
      </c>
      <c r="D535">
        <f t="shared" si="16"/>
        <v>6.725552308610429E-3</v>
      </c>
      <c r="E535" s="24">
        <f>SUMIFS($D$2:D535,$A$2:A535,A535)</f>
        <v>6.725552308610429E-3</v>
      </c>
      <c r="F535" t="str">
        <f t="shared" si="17"/>
        <v>A</v>
      </c>
    </row>
    <row r="536" spans="1:6" x14ac:dyDescent="0.25">
      <c r="A536" s="21" t="s">
        <v>728</v>
      </c>
      <c r="B536" t="s">
        <v>1069</v>
      </c>
      <c r="C536">
        <v>16219.34496</v>
      </c>
      <c r="D536">
        <f t="shared" si="16"/>
        <v>1.0036085834790164E-2</v>
      </c>
      <c r="E536" s="24">
        <f>SUMIFS($D$2:D536,$A$2:A536,A536)</f>
        <v>1.6761638143400592E-2</v>
      </c>
      <c r="F536" t="str">
        <f t="shared" si="17"/>
        <v>A</v>
      </c>
    </row>
    <row r="537" spans="1:6" x14ac:dyDescent="0.25">
      <c r="A537" s="21" t="s">
        <v>728</v>
      </c>
      <c r="B537" t="s">
        <v>966</v>
      </c>
      <c r="C537">
        <v>2879.9836</v>
      </c>
      <c r="D537">
        <f t="shared" si="16"/>
        <v>1.7820548661903535E-3</v>
      </c>
      <c r="E537" s="24">
        <f>SUMIFS($D$2:D537,$A$2:A537,A537)</f>
        <v>1.8543693009590946E-2</v>
      </c>
      <c r="F537" t="str">
        <f t="shared" si="17"/>
        <v>A</v>
      </c>
    </row>
    <row r="538" spans="1:6" x14ac:dyDescent="0.25">
      <c r="A538" s="21" t="s">
        <v>728</v>
      </c>
      <c r="B538" t="s">
        <v>1124</v>
      </c>
      <c r="C538">
        <v>2525.0635000000002</v>
      </c>
      <c r="D538">
        <f t="shared" si="16"/>
        <v>1.5624400422331035E-3</v>
      </c>
      <c r="E538" s="24">
        <f>SUMIFS($D$2:D538,$A$2:A538,A538)</f>
        <v>2.010613305182405E-2</v>
      </c>
      <c r="F538" t="str">
        <f t="shared" si="17"/>
        <v>A</v>
      </c>
    </row>
    <row r="539" spans="1:6" x14ac:dyDescent="0.25">
      <c r="A539" s="21" t="s">
        <v>728</v>
      </c>
      <c r="B539" t="s">
        <v>1208</v>
      </c>
      <c r="C539">
        <v>27194.152039999997</v>
      </c>
      <c r="D539">
        <f t="shared" si="16"/>
        <v>1.6826995464419424E-2</v>
      </c>
      <c r="E539" s="24">
        <f>SUMIFS($D$2:D539,$A$2:A539,A539)</f>
        <v>3.6933128516243474E-2</v>
      </c>
      <c r="F539" t="str">
        <f t="shared" si="17"/>
        <v>A</v>
      </c>
    </row>
    <row r="540" spans="1:6" x14ac:dyDescent="0.25">
      <c r="A540" s="21" t="s">
        <v>728</v>
      </c>
      <c r="B540" t="s">
        <v>999</v>
      </c>
      <c r="C540">
        <v>12597.52224</v>
      </c>
      <c r="D540">
        <f t="shared" si="16"/>
        <v>7.7950012665812408E-3</v>
      </c>
      <c r="E540" s="24">
        <f>SUMIFS($D$2:D540,$A$2:A540,A540)</f>
        <v>4.4728129782824713E-2</v>
      </c>
      <c r="F540" t="str">
        <f t="shared" si="17"/>
        <v>A</v>
      </c>
    </row>
    <row r="541" spans="1:6" x14ac:dyDescent="0.25">
      <c r="A541" s="21" t="s">
        <v>728</v>
      </c>
      <c r="B541" t="s">
        <v>1220</v>
      </c>
      <c r="C541">
        <v>28856.475000000002</v>
      </c>
      <c r="D541">
        <f t="shared" si="16"/>
        <v>1.785559532174082E-2</v>
      </c>
      <c r="E541" s="24">
        <f>SUMIFS($D$2:D541,$A$2:A541,A541)</f>
        <v>6.258372510456553E-2</v>
      </c>
      <c r="F541" t="str">
        <f t="shared" si="17"/>
        <v>A</v>
      </c>
    </row>
    <row r="542" spans="1:6" x14ac:dyDescent="0.25">
      <c r="A542" s="21" t="s">
        <v>728</v>
      </c>
      <c r="B542" t="s">
        <v>783</v>
      </c>
      <c r="C542">
        <v>34444.462359999998</v>
      </c>
      <c r="D542">
        <f t="shared" si="16"/>
        <v>2.1313288645792447E-2</v>
      </c>
      <c r="E542" s="24">
        <f>SUMIFS($D$2:D542,$A$2:A542,A542)</f>
        <v>8.3897013750357977E-2</v>
      </c>
      <c r="F542" t="str">
        <f t="shared" si="17"/>
        <v>A</v>
      </c>
    </row>
    <row r="543" spans="1:6" x14ac:dyDescent="0.25">
      <c r="A543" s="21" t="s">
        <v>728</v>
      </c>
      <c r="B543" t="s">
        <v>1260</v>
      </c>
      <c r="C543">
        <v>11406.96</v>
      </c>
      <c r="D543">
        <f t="shared" si="16"/>
        <v>7.0583140044404111E-3</v>
      </c>
      <c r="E543" s="24">
        <f>SUMIFS($D$2:D543,$A$2:A543,A543)</f>
        <v>9.0955327754798393E-2</v>
      </c>
      <c r="F543" t="str">
        <f t="shared" si="17"/>
        <v>A</v>
      </c>
    </row>
    <row r="544" spans="1:6" x14ac:dyDescent="0.25">
      <c r="A544" s="21" t="s">
        <v>728</v>
      </c>
      <c r="B544" t="s">
        <v>1271</v>
      </c>
      <c r="C544">
        <v>66260.314239999992</v>
      </c>
      <c r="D544">
        <f t="shared" si="16"/>
        <v>4.1000065217973447E-2</v>
      </c>
      <c r="E544" s="24">
        <f>SUMIFS($D$2:D544,$A$2:A544,A544)</f>
        <v>0.13195539297277184</v>
      </c>
      <c r="F544" t="str">
        <f t="shared" si="17"/>
        <v>A</v>
      </c>
    </row>
    <row r="545" spans="1:6" x14ac:dyDescent="0.25">
      <c r="A545" s="21" t="s">
        <v>728</v>
      </c>
      <c r="B545" t="s">
        <v>1144</v>
      </c>
      <c r="C545">
        <v>6899.8804600000003</v>
      </c>
      <c r="D545">
        <f t="shared" si="16"/>
        <v>4.2694567947799194E-3</v>
      </c>
      <c r="E545" s="24">
        <f>SUMIFS($D$2:D545,$A$2:A545,A545)</f>
        <v>0.13622484976755175</v>
      </c>
      <c r="F545" t="str">
        <f t="shared" si="17"/>
        <v>A</v>
      </c>
    </row>
    <row r="546" spans="1:6" x14ac:dyDescent="0.25">
      <c r="A546" s="21" t="s">
        <v>728</v>
      </c>
      <c r="B546" t="s">
        <v>1249</v>
      </c>
      <c r="C546">
        <v>22201.762229999997</v>
      </c>
      <c r="D546">
        <f t="shared" si="16"/>
        <v>1.3737841569643899E-2</v>
      </c>
      <c r="E546" s="24">
        <f>SUMIFS($D$2:D546,$A$2:A546,A546)</f>
        <v>0.14996269133719564</v>
      </c>
      <c r="F546" t="str">
        <f t="shared" si="17"/>
        <v>A</v>
      </c>
    </row>
    <row r="547" spans="1:6" x14ac:dyDescent="0.25">
      <c r="A547" s="21" t="s">
        <v>728</v>
      </c>
      <c r="B547" t="s">
        <v>1259</v>
      </c>
      <c r="C547">
        <v>2146.5580500000001</v>
      </c>
      <c r="D547">
        <f t="shared" si="16"/>
        <v>1.3282312505399601E-3</v>
      </c>
      <c r="E547" s="24">
        <f>SUMIFS($D$2:D547,$A$2:A547,A547)</f>
        <v>0.1512909225877356</v>
      </c>
      <c r="F547" t="str">
        <f t="shared" si="17"/>
        <v>A</v>
      </c>
    </row>
    <row r="548" spans="1:6" x14ac:dyDescent="0.25">
      <c r="A548" s="21" t="s">
        <v>728</v>
      </c>
      <c r="B548" t="s">
        <v>1173</v>
      </c>
      <c r="C548">
        <v>20672.289000000001</v>
      </c>
      <c r="D548">
        <f t="shared" si="16"/>
        <v>1.27914454817532E-2</v>
      </c>
      <c r="E548" s="24">
        <f>SUMIFS($D$2:D548,$A$2:A548,A548)</f>
        <v>0.16408236806948881</v>
      </c>
      <c r="F548" t="str">
        <f t="shared" si="17"/>
        <v>A</v>
      </c>
    </row>
    <row r="549" spans="1:6" x14ac:dyDescent="0.25">
      <c r="A549" s="21" t="s">
        <v>728</v>
      </c>
      <c r="B549" t="s">
        <v>962</v>
      </c>
      <c r="C549">
        <v>16609.090809999998</v>
      </c>
      <c r="D549">
        <f t="shared" si="16"/>
        <v>1.0277249877727768E-2</v>
      </c>
      <c r="E549" s="24">
        <f>SUMIFS($D$2:D549,$A$2:A549,A549)</f>
        <v>0.17435961794721658</v>
      </c>
      <c r="F549" t="str">
        <f t="shared" si="17"/>
        <v>A</v>
      </c>
    </row>
    <row r="550" spans="1:6" x14ac:dyDescent="0.25">
      <c r="A550" s="21" t="s">
        <v>728</v>
      </c>
      <c r="B550" t="s">
        <v>1047</v>
      </c>
      <c r="C550">
        <v>40325.31</v>
      </c>
      <c r="D550">
        <f t="shared" si="16"/>
        <v>2.4952195879217685E-2</v>
      </c>
      <c r="E550" s="24">
        <f>SUMIFS($D$2:D550,$A$2:A550,A550)</f>
        <v>0.19931181382643426</v>
      </c>
      <c r="F550" t="str">
        <f t="shared" si="17"/>
        <v>A</v>
      </c>
    </row>
    <row r="551" spans="1:6" x14ac:dyDescent="0.25">
      <c r="A551" s="21" t="s">
        <v>728</v>
      </c>
      <c r="B551" t="s">
        <v>1183</v>
      </c>
      <c r="C551">
        <v>12462.65055</v>
      </c>
      <c r="D551">
        <f t="shared" si="16"/>
        <v>7.7115463637561638E-3</v>
      </c>
      <c r="E551" s="24">
        <f>SUMIFS($D$2:D551,$A$2:A551,A551)</f>
        <v>0.20702336019019041</v>
      </c>
      <c r="F551" t="str">
        <f t="shared" si="17"/>
        <v>A</v>
      </c>
    </row>
    <row r="552" spans="1:6" x14ac:dyDescent="0.25">
      <c r="A552" s="21" t="s">
        <v>728</v>
      </c>
      <c r="B552" t="s">
        <v>1289</v>
      </c>
      <c r="C552">
        <v>50545.319219999998</v>
      </c>
      <c r="D552">
        <f t="shared" si="16"/>
        <v>3.1276057293918545E-2</v>
      </c>
      <c r="E552" s="24">
        <f>SUMIFS($D$2:D552,$A$2:A552,A552)</f>
        <v>0.23829941748410896</v>
      </c>
      <c r="F552" t="str">
        <f t="shared" si="17"/>
        <v>A</v>
      </c>
    </row>
    <row r="553" spans="1:6" x14ac:dyDescent="0.25">
      <c r="A553" s="21" t="s">
        <v>728</v>
      </c>
      <c r="B553" t="s">
        <v>1163</v>
      </c>
      <c r="C553">
        <v>12955.824749999998</v>
      </c>
      <c r="D553">
        <f t="shared" si="16"/>
        <v>8.0167090330816176E-3</v>
      </c>
      <c r="E553" s="24">
        <f>SUMIFS($D$2:D553,$A$2:A553,A553)</f>
        <v>0.24631612651719059</v>
      </c>
      <c r="F553" t="str">
        <f t="shared" si="17"/>
        <v>A</v>
      </c>
    </row>
    <row r="554" spans="1:6" x14ac:dyDescent="0.25">
      <c r="A554" s="21" t="s">
        <v>728</v>
      </c>
      <c r="B554" t="s">
        <v>780</v>
      </c>
      <c r="C554">
        <v>7135.57</v>
      </c>
      <c r="D554">
        <f t="shared" si="16"/>
        <v>4.4152950181875691E-3</v>
      </c>
      <c r="E554" s="24">
        <f>SUMIFS($D$2:D554,$A$2:A554,A554)</f>
        <v>0.25073142153537814</v>
      </c>
      <c r="F554" t="str">
        <f t="shared" si="17"/>
        <v>A</v>
      </c>
    </row>
    <row r="555" spans="1:6" x14ac:dyDescent="0.25">
      <c r="A555" s="21" t="s">
        <v>728</v>
      </c>
      <c r="B555" t="s">
        <v>1258</v>
      </c>
      <c r="C555">
        <v>8326.6852500000005</v>
      </c>
      <c r="D555">
        <f t="shared" si="16"/>
        <v>5.1523244677497259E-3</v>
      </c>
      <c r="E555" s="24">
        <f>SUMIFS($D$2:D555,$A$2:A555,A555)</f>
        <v>0.25588374600312785</v>
      </c>
      <c r="F555" t="str">
        <f t="shared" si="17"/>
        <v>A</v>
      </c>
    </row>
    <row r="556" spans="1:6" x14ac:dyDescent="0.25">
      <c r="A556" s="21" t="s">
        <v>728</v>
      </c>
      <c r="B556" t="s">
        <v>953</v>
      </c>
      <c r="C556">
        <v>28211.92124</v>
      </c>
      <c r="D556">
        <f t="shared" si="16"/>
        <v>1.7456763132373737E-2</v>
      </c>
      <c r="E556" s="24">
        <f>SUMIFS($D$2:D556,$A$2:A556,A556)</f>
        <v>0.27334050913550156</v>
      </c>
      <c r="F556" t="str">
        <f t="shared" si="17"/>
        <v>A</v>
      </c>
    </row>
    <row r="557" spans="1:6" x14ac:dyDescent="0.25">
      <c r="A557" s="21" t="s">
        <v>728</v>
      </c>
      <c r="B557" t="s">
        <v>987</v>
      </c>
      <c r="C557">
        <v>25483.91488</v>
      </c>
      <c r="D557">
        <f t="shared" si="16"/>
        <v>1.5768747614217232E-2</v>
      </c>
      <c r="E557" s="24">
        <f>SUMIFS($D$2:D557,$A$2:A557,A557)</f>
        <v>0.28910925674971877</v>
      </c>
      <c r="F557" t="str">
        <f t="shared" si="17"/>
        <v>A</v>
      </c>
    </row>
    <row r="558" spans="1:6" x14ac:dyDescent="0.25">
      <c r="A558" s="21" t="s">
        <v>728</v>
      </c>
      <c r="B558" t="s">
        <v>1042</v>
      </c>
      <c r="C558">
        <v>5334.9141999999993</v>
      </c>
      <c r="D558">
        <f t="shared" si="16"/>
        <v>3.3010985933454675E-3</v>
      </c>
      <c r="E558" s="24">
        <f>SUMIFS($D$2:D558,$A$2:A558,A558)</f>
        <v>0.29241035534306425</v>
      </c>
      <c r="F558" t="str">
        <f t="shared" si="17"/>
        <v>A</v>
      </c>
    </row>
    <row r="559" spans="1:6" x14ac:dyDescent="0.25">
      <c r="A559" s="21" t="s">
        <v>728</v>
      </c>
      <c r="B559" t="s">
        <v>946</v>
      </c>
      <c r="C559">
        <v>6984.8246399999998</v>
      </c>
      <c r="D559">
        <f t="shared" si="16"/>
        <v>4.3220179237125804E-3</v>
      </c>
      <c r="E559" s="24">
        <f>SUMIFS($D$2:D559,$A$2:A559,A559)</f>
        <v>0.29673237326677682</v>
      </c>
      <c r="F559" t="str">
        <f t="shared" si="17"/>
        <v>A</v>
      </c>
    </row>
    <row r="560" spans="1:6" x14ac:dyDescent="0.25">
      <c r="A560" s="21" t="s">
        <v>728</v>
      </c>
      <c r="B560" t="s">
        <v>776</v>
      </c>
      <c r="C560">
        <v>30596.565999999999</v>
      </c>
      <c r="D560">
        <f t="shared" si="16"/>
        <v>1.8932315909373342E-2</v>
      </c>
      <c r="E560" s="24">
        <f>SUMIFS($D$2:D560,$A$2:A560,A560)</f>
        <v>0.31566468917615015</v>
      </c>
      <c r="F560" t="str">
        <f t="shared" si="17"/>
        <v>A</v>
      </c>
    </row>
    <row r="561" spans="1:6" x14ac:dyDescent="0.25">
      <c r="A561" s="21" t="s">
        <v>728</v>
      </c>
      <c r="B561" t="s">
        <v>1202</v>
      </c>
      <c r="C561">
        <v>16252.219979999998</v>
      </c>
      <c r="D561">
        <f t="shared" si="16"/>
        <v>1.0056427995546601E-2</v>
      </c>
      <c r="E561" s="24">
        <f>SUMIFS($D$2:D561,$A$2:A561,A561)</f>
        <v>0.32572111717169677</v>
      </c>
      <c r="F561" t="str">
        <f t="shared" si="17"/>
        <v>A</v>
      </c>
    </row>
    <row r="562" spans="1:6" x14ac:dyDescent="0.25">
      <c r="A562" s="21" t="s">
        <v>728</v>
      </c>
      <c r="B562" t="s">
        <v>1098</v>
      </c>
      <c r="C562">
        <v>12717.311040000001</v>
      </c>
      <c r="D562">
        <f t="shared" si="16"/>
        <v>7.8691232907327335E-3</v>
      </c>
      <c r="E562" s="24">
        <f>SUMIFS($D$2:D562,$A$2:A562,A562)</f>
        <v>0.33359024046242952</v>
      </c>
      <c r="F562" t="str">
        <f t="shared" si="17"/>
        <v>A</v>
      </c>
    </row>
    <row r="563" spans="1:6" x14ac:dyDescent="0.25">
      <c r="A563" s="21" t="s">
        <v>728</v>
      </c>
      <c r="B563" t="s">
        <v>1103</v>
      </c>
      <c r="C563">
        <v>4569.5735999999997</v>
      </c>
      <c r="D563">
        <f t="shared" si="16"/>
        <v>2.8275268200468125E-3</v>
      </c>
      <c r="E563" s="24">
        <f>SUMIFS($D$2:D563,$A$2:A563,A563)</f>
        <v>0.33641776728247635</v>
      </c>
      <c r="F563" t="str">
        <f t="shared" si="17"/>
        <v>A</v>
      </c>
    </row>
    <row r="564" spans="1:6" x14ac:dyDescent="0.25">
      <c r="A564" s="21" t="s">
        <v>728</v>
      </c>
      <c r="B564" t="s">
        <v>908</v>
      </c>
      <c r="C564">
        <v>1952.6356799999999</v>
      </c>
      <c r="D564">
        <f t="shared" si="16"/>
        <v>1.2082374064355469E-3</v>
      </c>
      <c r="E564" s="24">
        <f>SUMIFS($D$2:D564,$A$2:A564,A564)</f>
        <v>0.33762600468891191</v>
      </c>
      <c r="F564" t="str">
        <f t="shared" si="17"/>
        <v>A</v>
      </c>
    </row>
    <row r="565" spans="1:6" x14ac:dyDescent="0.25">
      <c r="A565" s="21" t="s">
        <v>728</v>
      </c>
      <c r="B565" t="s">
        <v>1214</v>
      </c>
      <c r="C565">
        <v>4738.5261</v>
      </c>
      <c r="D565">
        <f t="shared" si="16"/>
        <v>2.9320699934107255E-3</v>
      </c>
      <c r="E565" s="24">
        <f>SUMIFS($D$2:D565,$A$2:A565,A565)</f>
        <v>0.34055807468232263</v>
      </c>
      <c r="F565" t="str">
        <f t="shared" si="17"/>
        <v>A</v>
      </c>
    </row>
    <row r="566" spans="1:6" x14ac:dyDescent="0.25">
      <c r="A566" s="21" t="s">
        <v>728</v>
      </c>
      <c r="B566" t="s">
        <v>898</v>
      </c>
      <c r="C566">
        <v>11851.806399999999</v>
      </c>
      <c r="D566">
        <f t="shared" si="16"/>
        <v>7.3335727565483266E-3</v>
      </c>
      <c r="E566" s="24">
        <f>SUMIFS($D$2:D566,$A$2:A566,A566)</f>
        <v>0.34789164743887097</v>
      </c>
      <c r="F566" t="str">
        <f t="shared" si="17"/>
        <v>A</v>
      </c>
    </row>
    <row r="567" spans="1:6" x14ac:dyDescent="0.25">
      <c r="A567" s="21" t="s">
        <v>728</v>
      </c>
      <c r="B567" t="s">
        <v>760</v>
      </c>
      <c r="C567">
        <v>1756.6999999999998</v>
      </c>
      <c r="D567">
        <f t="shared" si="16"/>
        <v>1.0869977813195164E-3</v>
      </c>
      <c r="E567" s="24">
        <f>SUMIFS($D$2:D567,$A$2:A567,A567)</f>
        <v>0.34897864522019051</v>
      </c>
      <c r="F567" t="str">
        <f t="shared" si="17"/>
        <v>A</v>
      </c>
    </row>
    <row r="568" spans="1:6" x14ac:dyDescent="0.25">
      <c r="A568" s="21" t="s">
        <v>728</v>
      </c>
      <c r="B568" t="s">
        <v>882</v>
      </c>
      <c r="C568">
        <v>14877.464000000002</v>
      </c>
      <c r="D568">
        <f t="shared" si="16"/>
        <v>9.2057666987311326E-3</v>
      </c>
      <c r="E568" s="24">
        <f>SUMIFS($D$2:D568,$A$2:A568,A568)</f>
        <v>0.35818441191892164</v>
      </c>
      <c r="F568" t="str">
        <f t="shared" si="17"/>
        <v>A</v>
      </c>
    </row>
    <row r="569" spans="1:6" x14ac:dyDescent="0.25">
      <c r="A569" s="21" t="s">
        <v>728</v>
      </c>
      <c r="B569" t="s">
        <v>877</v>
      </c>
      <c r="C569">
        <v>9969.4201499999999</v>
      </c>
      <c r="D569">
        <f t="shared" si="16"/>
        <v>6.1688037707588557E-3</v>
      </c>
      <c r="E569" s="24">
        <f>SUMIFS($D$2:D569,$A$2:A569,A569)</f>
        <v>0.36435321568968049</v>
      </c>
      <c r="F569" t="str">
        <f t="shared" si="17"/>
        <v>A</v>
      </c>
    </row>
    <row r="570" spans="1:6" x14ac:dyDescent="0.25">
      <c r="A570" s="21" t="s">
        <v>728</v>
      </c>
      <c r="B570" t="s">
        <v>769</v>
      </c>
      <c r="C570">
        <v>6631.6443100000006</v>
      </c>
      <c r="D570">
        <f t="shared" si="16"/>
        <v>4.1034796217169671E-3</v>
      </c>
      <c r="E570" s="24">
        <f>SUMIFS($D$2:D570,$A$2:A570,A570)</f>
        <v>0.36845669531139746</v>
      </c>
      <c r="F570" t="str">
        <f t="shared" si="17"/>
        <v>A</v>
      </c>
    </row>
    <row r="571" spans="1:6" x14ac:dyDescent="0.25">
      <c r="A571" s="21" t="s">
        <v>728</v>
      </c>
      <c r="B571" t="s">
        <v>1262</v>
      </c>
      <c r="C571">
        <v>33421.1</v>
      </c>
      <c r="D571">
        <f t="shared" si="16"/>
        <v>2.0680060083826318E-2</v>
      </c>
      <c r="E571" s="24">
        <f>SUMIFS($D$2:D571,$A$2:A571,A571)</f>
        <v>0.3891367553952238</v>
      </c>
      <c r="F571" t="str">
        <f t="shared" si="17"/>
        <v>A</v>
      </c>
    </row>
    <row r="572" spans="1:6" x14ac:dyDescent="0.25">
      <c r="A572" s="21" t="s">
        <v>728</v>
      </c>
      <c r="B572" t="s">
        <v>1329</v>
      </c>
      <c r="C572">
        <v>3116.21</v>
      </c>
      <c r="D572">
        <f t="shared" si="16"/>
        <v>1.9282252838422557E-3</v>
      </c>
      <c r="E572" s="24">
        <f>SUMIFS($D$2:D572,$A$2:A572,A572)</f>
        <v>0.39106498067906603</v>
      </c>
      <c r="F572" t="str">
        <f t="shared" si="17"/>
        <v>A</v>
      </c>
    </row>
    <row r="573" spans="1:6" x14ac:dyDescent="0.25">
      <c r="A573" s="21" t="s">
        <v>728</v>
      </c>
      <c r="B573" t="s">
        <v>868</v>
      </c>
      <c r="C573">
        <v>12031.491680000001</v>
      </c>
      <c r="D573">
        <f t="shared" si="16"/>
        <v>7.4447570798225216E-3</v>
      </c>
      <c r="E573" s="24">
        <f>SUMIFS($D$2:D573,$A$2:A573,A573)</f>
        <v>0.39850973775888854</v>
      </c>
      <c r="F573" t="str">
        <f t="shared" si="17"/>
        <v>A</v>
      </c>
    </row>
    <row r="574" spans="1:6" x14ac:dyDescent="0.25">
      <c r="A574" s="21" t="s">
        <v>728</v>
      </c>
      <c r="B574" t="s">
        <v>1176</v>
      </c>
      <c r="C574">
        <v>5960.04288</v>
      </c>
      <c r="D574">
        <f t="shared" si="16"/>
        <v>3.6879110759544492E-3</v>
      </c>
      <c r="E574" s="24">
        <f>SUMIFS($D$2:D574,$A$2:A574,A574)</f>
        <v>0.40219764883484299</v>
      </c>
      <c r="F574" t="str">
        <f t="shared" si="17"/>
        <v>A</v>
      </c>
    </row>
    <row r="575" spans="1:6" x14ac:dyDescent="0.25">
      <c r="A575" s="21" t="s">
        <v>728</v>
      </c>
      <c r="B575" t="s">
        <v>1076</v>
      </c>
      <c r="C575">
        <v>20053.439999999999</v>
      </c>
      <c r="D575">
        <f t="shared" si="16"/>
        <v>1.2408518692903764E-2</v>
      </c>
      <c r="E575" s="24">
        <f>SUMIFS($D$2:D575,$A$2:A575,A575)</f>
        <v>0.41460616752774676</v>
      </c>
      <c r="F575" t="str">
        <f t="shared" si="17"/>
        <v>A</v>
      </c>
    </row>
    <row r="576" spans="1:6" x14ac:dyDescent="0.25">
      <c r="A576" s="21" t="s">
        <v>728</v>
      </c>
      <c r="B576" t="s">
        <v>1343</v>
      </c>
      <c r="C576">
        <v>18003.847679999999</v>
      </c>
      <c r="D576">
        <f t="shared" si="16"/>
        <v>1.1140287176737361E-2</v>
      </c>
      <c r="E576" s="24">
        <f>SUMIFS($D$2:D576,$A$2:A576,A576)</f>
        <v>0.42574645470448413</v>
      </c>
      <c r="F576" t="str">
        <f t="shared" si="17"/>
        <v>A</v>
      </c>
    </row>
    <row r="577" spans="1:6" x14ac:dyDescent="0.25">
      <c r="A577" s="21" t="s">
        <v>728</v>
      </c>
      <c r="B577" t="s">
        <v>872</v>
      </c>
      <c r="C577">
        <v>35567.737920000007</v>
      </c>
      <c r="D577">
        <f t="shared" si="16"/>
        <v>2.2008340755731794E-2</v>
      </c>
      <c r="E577" s="24">
        <f>SUMIFS($D$2:D577,$A$2:A577,A577)</f>
        <v>0.4477547954602159</v>
      </c>
      <c r="F577" t="str">
        <f t="shared" si="17"/>
        <v>A</v>
      </c>
    </row>
    <row r="578" spans="1:6" x14ac:dyDescent="0.25">
      <c r="A578" s="21" t="s">
        <v>728</v>
      </c>
      <c r="B578" t="s">
        <v>927</v>
      </c>
      <c r="C578">
        <v>4402.1164799999997</v>
      </c>
      <c r="D578">
        <f t="shared" si="16"/>
        <v>2.7239089468150961E-3</v>
      </c>
      <c r="E578" s="24">
        <f>SUMIFS($D$2:D578,$A$2:A578,A578)</f>
        <v>0.45047870440703103</v>
      </c>
      <c r="F578" t="str">
        <f t="shared" si="17"/>
        <v>A</v>
      </c>
    </row>
    <row r="579" spans="1:6" x14ac:dyDescent="0.25">
      <c r="A579" s="21" t="s">
        <v>728</v>
      </c>
      <c r="B579" t="s">
        <v>974</v>
      </c>
      <c r="C579">
        <v>4436.6291200000005</v>
      </c>
      <c r="D579">
        <f t="shared" ref="D579:D638" si="18">C579/SUMIFS($C:$C,$A:$A,A579)</f>
        <v>2.7452644219147036E-3</v>
      </c>
      <c r="E579" s="24">
        <f>SUMIFS($D$2:D579,$A$2:A579,A579)</f>
        <v>0.45322396882894572</v>
      </c>
      <c r="F579" t="str">
        <f t="shared" ref="F579:F638" si="19">IF(E579&lt;=0.8,"A",IF(E579&lt;=0.95,"B","C"))</f>
        <v>A</v>
      </c>
    </row>
    <row r="580" spans="1:6" x14ac:dyDescent="0.25">
      <c r="A580" s="21" t="s">
        <v>728</v>
      </c>
      <c r="B580" t="s">
        <v>1336</v>
      </c>
      <c r="C580">
        <v>5457.4317000000001</v>
      </c>
      <c r="D580">
        <f t="shared" si="18"/>
        <v>3.3769090622205256E-3</v>
      </c>
      <c r="E580" s="24">
        <f>SUMIFS($D$2:D580,$A$2:A580,A580)</f>
        <v>0.45660087789116627</v>
      </c>
      <c r="F580" t="str">
        <f t="shared" si="19"/>
        <v>A</v>
      </c>
    </row>
    <row r="581" spans="1:6" x14ac:dyDescent="0.25">
      <c r="A581" s="21" t="s">
        <v>728</v>
      </c>
      <c r="B581" t="s">
        <v>910</v>
      </c>
      <c r="C581">
        <v>15656.47056</v>
      </c>
      <c r="D581">
        <f t="shared" si="18"/>
        <v>9.6877945932796316E-3</v>
      </c>
      <c r="E581" s="24">
        <f>SUMIFS($D$2:D581,$A$2:A581,A581)</f>
        <v>0.46628867248444589</v>
      </c>
      <c r="F581" t="str">
        <f t="shared" si="19"/>
        <v>A</v>
      </c>
    </row>
    <row r="582" spans="1:6" x14ac:dyDescent="0.25">
      <c r="A582" s="21" t="s">
        <v>728</v>
      </c>
      <c r="B582" t="s">
        <v>1347</v>
      </c>
      <c r="C582">
        <v>10464.138360000001</v>
      </c>
      <c r="D582">
        <f t="shared" si="18"/>
        <v>6.4749218311267974E-3</v>
      </c>
      <c r="E582" s="24">
        <f>SUMIFS($D$2:D582,$A$2:A582,A582)</f>
        <v>0.47276359431557269</v>
      </c>
      <c r="F582" t="str">
        <f t="shared" si="19"/>
        <v>A</v>
      </c>
    </row>
    <row r="583" spans="1:6" x14ac:dyDescent="0.25">
      <c r="A583" s="21" t="s">
        <v>728</v>
      </c>
      <c r="B583" t="s">
        <v>1071</v>
      </c>
      <c r="C583">
        <v>38535.955099999999</v>
      </c>
      <c r="D583">
        <f t="shared" si="18"/>
        <v>2.3844992141360793E-2</v>
      </c>
      <c r="E583" s="24">
        <f>SUMIFS($D$2:D583,$A$2:A583,A583)</f>
        <v>0.49660858645693351</v>
      </c>
      <c r="F583" t="str">
        <f t="shared" si="19"/>
        <v>A</v>
      </c>
    </row>
    <row r="584" spans="1:6" x14ac:dyDescent="0.25">
      <c r="A584" s="21" t="s">
        <v>728</v>
      </c>
      <c r="B584" t="s">
        <v>977</v>
      </c>
      <c r="C584">
        <v>748.22303999999997</v>
      </c>
      <c r="D584">
        <f t="shared" si="18"/>
        <v>4.6297989663126536E-4</v>
      </c>
      <c r="E584" s="24">
        <f>SUMIFS($D$2:D584,$A$2:A584,A584)</f>
        <v>0.49707156635356475</v>
      </c>
      <c r="F584" t="str">
        <f t="shared" si="19"/>
        <v>A</v>
      </c>
    </row>
    <row r="585" spans="1:6" x14ac:dyDescent="0.25">
      <c r="A585" s="21" t="s">
        <v>728</v>
      </c>
      <c r="B585" t="s">
        <v>1340</v>
      </c>
      <c r="C585">
        <v>2736.27018</v>
      </c>
      <c r="D585">
        <f t="shared" si="18"/>
        <v>1.6931289433316753E-3</v>
      </c>
      <c r="E585" s="24">
        <f>SUMIFS($D$2:D585,$A$2:A585,A585)</f>
        <v>0.49876469529689643</v>
      </c>
      <c r="F585" t="str">
        <f t="shared" si="19"/>
        <v>A</v>
      </c>
    </row>
    <row r="586" spans="1:6" x14ac:dyDescent="0.25">
      <c r="A586" s="21" t="s">
        <v>728</v>
      </c>
      <c r="B586" t="s">
        <v>1134</v>
      </c>
      <c r="C586">
        <v>17427.164800000002</v>
      </c>
      <c r="D586">
        <f t="shared" si="18"/>
        <v>1.0783451626509693E-2</v>
      </c>
      <c r="E586" s="24">
        <f>SUMIFS($D$2:D586,$A$2:A586,A586)</f>
        <v>0.50954814692340611</v>
      </c>
      <c r="F586" t="str">
        <f t="shared" si="19"/>
        <v>A</v>
      </c>
    </row>
    <row r="587" spans="1:6" x14ac:dyDescent="0.25">
      <c r="A587" s="21" t="s">
        <v>728</v>
      </c>
      <c r="B587" t="s">
        <v>952</v>
      </c>
      <c r="C587">
        <v>6535.6324800000002</v>
      </c>
      <c r="D587">
        <f t="shared" si="18"/>
        <v>4.04407013450206E-3</v>
      </c>
      <c r="E587" s="24">
        <f>SUMIFS($D$2:D587,$A$2:A587,A587)</f>
        <v>0.51359221705790814</v>
      </c>
      <c r="F587" t="str">
        <f t="shared" si="19"/>
        <v>A</v>
      </c>
    </row>
    <row r="588" spans="1:6" x14ac:dyDescent="0.25">
      <c r="A588" s="21" t="s">
        <v>728</v>
      </c>
      <c r="B588" t="s">
        <v>1350</v>
      </c>
      <c r="C588">
        <v>25174.028880000002</v>
      </c>
      <c r="D588">
        <f t="shared" si="18"/>
        <v>1.5576998656249464E-2</v>
      </c>
      <c r="E588" s="24">
        <f>SUMIFS($D$2:D588,$A$2:A588,A588)</f>
        <v>0.52916921571415765</v>
      </c>
      <c r="F588" t="str">
        <f t="shared" si="19"/>
        <v>A</v>
      </c>
    </row>
    <row r="589" spans="1:6" x14ac:dyDescent="0.25">
      <c r="A589" s="21" t="s">
        <v>728</v>
      </c>
      <c r="B589" t="s">
        <v>1221</v>
      </c>
      <c r="C589">
        <v>4025.8565599999993</v>
      </c>
      <c r="D589">
        <f t="shared" si="18"/>
        <v>2.4910896275007798E-3</v>
      </c>
      <c r="E589" s="24">
        <f>SUMIFS($D$2:D589,$A$2:A589,A589)</f>
        <v>0.53166030534165842</v>
      </c>
      <c r="F589" t="str">
        <f t="shared" si="19"/>
        <v>A</v>
      </c>
    </row>
    <row r="590" spans="1:6" x14ac:dyDescent="0.25">
      <c r="A590" s="21" t="s">
        <v>728</v>
      </c>
      <c r="B590" t="s">
        <v>1151</v>
      </c>
      <c r="C590">
        <v>741.43835999999999</v>
      </c>
      <c r="D590">
        <f t="shared" si="18"/>
        <v>4.5878172272168324E-4</v>
      </c>
      <c r="E590" s="24">
        <f>SUMIFS($D$2:D590,$A$2:A590,A590)</f>
        <v>0.53211908706438016</v>
      </c>
      <c r="F590" t="str">
        <f t="shared" si="19"/>
        <v>A</v>
      </c>
    </row>
    <row r="591" spans="1:6" x14ac:dyDescent="0.25">
      <c r="A591" s="21" t="s">
        <v>728</v>
      </c>
      <c r="B591" t="s">
        <v>1115</v>
      </c>
      <c r="C591">
        <v>37562.28</v>
      </c>
      <c r="D591">
        <f t="shared" si="18"/>
        <v>2.3242508693176095E-2</v>
      </c>
      <c r="E591" s="24">
        <f>SUMIFS($D$2:D591,$A$2:A591,A591)</f>
        <v>0.55536159575755628</v>
      </c>
      <c r="F591" t="str">
        <f t="shared" si="19"/>
        <v>A</v>
      </c>
    </row>
    <row r="592" spans="1:6" x14ac:dyDescent="0.25">
      <c r="A592" s="21" t="s">
        <v>728</v>
      </c>
      <c r="B592" t="s">
        <v>942</v>
      </c>
      <c r="C592">
        <v>15825.399369999997</v>
      </c>
      <c r="D592">
        <f t="shared" si="18"/>
        <v>9.7923231079212556E-3</v>
      </c>
      <c r="E592" s="24">
        <f>SUMIFS($D$2:D592,$A$2:A592,A592)</f>
        <v>0.5651539188654775</v>
      </c>
      <c r="F592" t="str">
        <f t="shared" si="19"/>
        <v>A</v>
      </c>
    </row>
    <row r="593" spans="1:6" x14ac:dyDescent="0.25">
      <c r="A593" s="21" t="s">
        <v>728</v>
      </c>
      <c r="B593" t="s">
        <v>1335</v>
      </c>
      <c r="C593">
        <v>39810.328000000001</v>
      </c>
      <c r="D593">
        <f t="shared" si="18"/>
        <v>2.4633539141345834E-2</v>
      </c>
      <c r="E593" s="24">
        <f>SUMIFS($D$2:D593,$A$2:A593,A593)</f>
        <v>0.58978745800682331</v>
      </c>
      <c r="F593" t="str">
        <f t="shared" si="19"/>
        <v>A</v>
      </c>
    </row>
    <row r="594" spans="1:6" x14ac:dyDescent="0.25">
      <c r="A594" s="21" t="s">
        <v>728</v>
      </c>
      <c r="B594" t="s">
        <v>884</v>
      </c>
      <c r="C594">
        <v>7901.5041599999995</v>
      </c>
      <c r="D594">
        <f t="shared" si="18"/>
        <v>4.889234070135441E-3</v>
      </c>
      <c r="E594" s="24">
        <f>SUMIFS($D$2:D594,$A$2:A594,A594)</f>
        <v>0.59467669207695872</v>
      </c>
      <c r="F594" t="str">
        <f t="shared" si="19"/>
        <v>A</v>
      </c>
    </row>
    <row r="595" spans="1:6" x14ac:dyDescent="0.25">
      <c r="A595" s="21" t="s">
        <v>728</v>
      </c>
      <c r="B595" t="s">
        <v>741</v>
      </c>
      <c r="C595">
        <v>685.06776000000002</v>
      </c>
      <c r="D595">
        <f t="shared" si="18"/>
        <v>4.2390114144334891E-4</v>
      </c>
      <c r="E595" s="24">
        <f>SUMIFS($D$2:D595,$A$2:A595,A595)</f>
        <v>0.59510059321840203</v>
      </c>
      <c r="F595" t="str">
        <f t="shared" si="19"/>
        <v>A</v>
      </c>
    </row>
    <row r="596" spans="1:6" x14ac:dyDescent="0.25">
      <c r="A596" s="21" t="s">
        <v>728</v>
      </c>
      <c r="B596" t="s">
        <v>1157</v>
      </c>
      <c r="C596">
        <v>58091.634960000003</v>
      </c>
      <c r="D596">
        <f t="shared" si="18"/>
        <v>3.5945510511039599E-2</v>
      </c>
      <c r="E596" s="24">
        <f>SUMIFS($D$2:D596,$A$2:A596,A596)</f>
        <v>0.63104610372944159</v>
      </c>
      <c r="F596" t="str">
        <f t="shared" si="19"/>
        <v>A</v>
      </c>
    </row>
    <row r="597" spans="1:6" x14ac:dyDescent="0.25">
      <c r="A597" s="21" t="s">
        <v>728</v>
      </c>
      <c r="B597" t="s">
        <v>850</v>
      </c>
      <c r="C597">
        <v>765.99195000000009</v>
      </c>
      <c r="D597">
        <f t="shared" si="18"/>
        <v>4.7397481081494285E-4</v>
      </c>
      <c r="E597" s="24">
        <f>SUMIFS($D$2:D597,$A$2:A597,A597)</f>
        <v>0.63152007854025649</v>
      </c>
      <c r="F597" t="str">
        <f t="shared" si="19"/>
        <v>A</v>
      </c>
    </row>
    <row r="598" spans="1:6" x14ac:dyDescent="0.25">
      <c r="A598" s="21" t="s">
        <v>728</v>
      </c>
      <c r="B598" t="s">
        <v>826</v>
      </c>
      <c r="C598">
        <v>10161.46624</v>
      </c>
      <c r="D598">
        <f t="shared" si="18"/>
        <v>6.2876366242575104E-3</v>
      </c>
      <c r="E598" s="24">
        <f>SUMIFS($D$2:D598,$A$2:A598,A598)</f>
        <v>0.63780771516451396</v>
      </c>
      <c r="F598" t="str">
        <f t="shared" si="19"/>
        <v>A</v>
      </c>
    </row>
    <row r="599" spans="1:6" x14ac:dyDescent="0.25">
      <c r="A599" s="21" t="s">
        <v>728</v>
      </c>
      <c r="B599" t="s">
        <v>1035</v>
      </c>
      <c r="C599">
        <v>9866.3104799999983</v>
      </c>
      <c r="D599">
        <f t="shared" si="18"/>
        <v>6.1050023348149891E-3</v>
      </c>
      <c r="E599" s="24">
        <f>SUMIFS($D$2:D599,$A$2:A599,A599)</f>
        <v>0.64391271749932899</v>
      </c>
      <c r="F599" t="str">
        <f t="shared" si="19"/>
        <v>A</v>
      </c>
    </row>
    <row r="600" spans="1:6" x14ac:dyDescent="0.25">
      <c r="A600" s="21" t="s">
        <v>728</v>
      </c>
      <c r="B600" t="s">
        <v>773</v>
      </c>
      <c r="C600">
        <v>3562.1983800000003</v>
      </c>
      <c r="D600">
        <f t="shared" si="18"/>
        <v>2.2041906618546002E-3</v>
      </c>
      <c r="E600" s="24">
        <f>SUMIFS($D$2:D600,$A$2:A600,A600)</f>
        <v>0.64611690816118361</v>
      </c>
      <c r="F600" t="str">
        <f t="shared" si="19"/>
        <v>A</v>
      </c>
    </row>
    <row r="601" spans="1:6" x14ac:dyDescent="0.25">
      <c r="A601" s="21" t="s">
        <v>728</v>
      </c>
      <c r="B601" t="s">
        <v>1292</v>
      </c>
      <c r="C601">
        <v>13251.48</v>
      </c>
      <c r="D601">
        <f t="shared" si="18"/>
        <v>8.1996523932372899E-3</v>
      </c>
      <c r="E601" s="24">
        <f>SUMIFS($D$2:D601,$A$2:A601,A601)</f>
        <v>0.65431656055442089</v>
      </c>
      <c r="F601" t="str">
        <f t="shared" si="19"/>
        <v>A</v>
      </c>
    </row>
    <row r="602" spans="1:6" x14ac:dyDescent="0.25">
      <c r="A602" s="21" t="s">
        <v>728</v>
      </c>
      <c r="B602" t="s">
        <v>1093</v>
      </c>
      <c r="C602">
        <v>14813.731920000002</v>
      </c>
      <c r="D602">
        <f t="shared" si="18"/>
        <v>9.1663310355223453E-3</v>
      </c>
      <c r="E602" s="24">
        <f>SUMIFS($D$2:D602,$A$2:A602,A602)</f>
        <v>0.66348289158994322</v>
      </c>
      <c r="F602" t="str">
        <f t="shared" si="19"/>
        <v>A</v>
      </c>
    </row>
    <row r="603" spans="1:6" x14ac:dyDescent="0.25">
      <c r="A603" s="21" t="s">
        <v>728</v>
      </c>
      <c r="B603" t="s">
        <v>1003</v>
      </c>
      <c r="C603">
        <v>7678.2113999999992</v>
      </c>
      <c r="D603">
        <f t="shared" si="18"/>
        <v>4.7510666342017518E-3</v>
      </c>
      <c r="E603" s="24">
        <f>SUMIFS($D$2:D603,$A$2:A603,A603)</f>
        <v>0.668233958224145</v>
      </c>
      <c r="F603" t="str">
        <f t="shared" si="19"/>
        <v>A</v>
      </c>
    </row>
    <row r="604" spans="1:6" x14ac:dyDescent="0.25">
      <c r="A604" s="21" t="s">
        <v>728</v>
      </c>
      <c r="B604" t="s">
        <v>750</v>
      </c>
      <c r="C604">
        <v>25948.414799999995</v>
      </c>
      <c r="D604">
        <f t="shared" si="18"/>
        <v>1.6056167425490122E-2</v>
      </c>
      <c r="E604" s="24">
        <f>SUMIFS($D$2:D604,$A$2:A604,A604)</f>
        <v>0.68429012564963509</v>
      </c>
      <c r="F604" t="str">
        <f t="shared" si="19"/>
        <v>A</v>
      </c>
    </row>
    <row r="605" spans="1:6" x14ac:dyDescent="0.25">
      <c r="A605" s="21" t="s">
        <v>728</v>
      </c>
      <c r="B605" t="s">
        <v>1195</v>
      </c>
      <c r="C605">
        <v>4055.5175999999997</v>
      </c>
      <c r="D605">
        <f t="shared" si="18"/>
        <v>2.5094430655787842E-3</v>
      </c>
      <c r="E605" s="24">
        <f>SUMIFS($D$2:D605,$A$2:A605,A605)</f>
        <v>0.68679956871521386</v>
      </c>
      <c r="F605" t="str">
        <f t="shared" si="19"/>
        <v>A</v>
      </c>
    </row>
    <row r="606" spans="1:6" x14ac:dyDescent="0.25">
      <c r="A606" s="21" t="s">
        <v>728</v>
      </c>
      <c r="B606" t="s">
        <v>933</v>
      </c>
      <c r="C606">
        <v>55880.483749999999</v>
      </c>
      <c r="D606">
        <f t="shared" si="18"/>
        <v>3.457731078460255E-2</v>
      </c>
      <c r="E606" s="24">
        <f>SUMIFS($D$2:D606,$A$2:A606,A606)</f>
        <v>0.72137687949981644</v>
      </c>
      <c r="F606" t="str">
        <f t="shared" si="19"/>
        <v>A</v>
      </c>
    </row>
    <row r="607" spans="1:6" x14ac:dyDescent="0.25">
      <c r="A607" s="21" t="s">
        <v>728</v>
      </c>
      <c r="B607" t="s">
        <v>963</v>
      </c>
      <c r="C607">
        <v>7446.5209000000004</v>
      </c>
      <c r="D607">
        <f t="shared" si="18"/>
        <v>4.6077029070697387E-3</v>
      </c>
      <c r="E607" s="24">
        <f>SUMIFS($D$2:D607,$A$2:A607,A607)</f>
        <v>0.72598458240688613</v>
      </c>
      <c r="F607" t="str">
        <f t="shared" si="19"/>
        <v>A</v>
      </c>
    </row>
    <row r="608" spans="1:6" x14ac:dyDescent="0.25">
      <c r="A608" s="21" t="s">
        <v>728</v>
      </c>
      <c r="B608" t="s">
        <v>1204</v>
      </c>
      <c r="C608">
        <v>36549.429260000004</v>
      </c>
      <c r="D608">
        <f t="shared" si="18"/>
        <v>2.2615784433377709E-2</v>
      </c>
      <c r="E608" s="24">
        <f>SUMIFS($D$2:D608,$A$2:A608,A608)</f>
        <v>0.74860036684026388</v>
      </c>
      <c r="F608" t="str">
        <f t="shared" si="19"/>
        <v>A</v>
      </c>
    </row>
    <row r="609" spans="1:6" x14ac:dyDescent="0.25">
      <c r="A609" s="21" t="s">
        <v>728</v>
      </c>
      <c r="B609" t="s">
        <v>887</v>
      </c>
      <c r="C609">
        <v>29654.83008</v>
      </c>
      <c r="D609">
        <f t="shared" si="18"/>
        <v>1.8349595549819128E-2</v>
      </c>
      <c r="E609" s="24">
        <f>SUMIFS($D$2:D609,$A$2:A609,A609)</f>
        <v>0.76694996239008295</v>
      </c>
      <c r="F609" t="str">
        <f t="shared" si="19"/>
        <v>A</v>
      </c>
    </row>
    <row r="610" spans="1:6" x14ac:dyDescent="0.25">
      <c r="A610" s="21" t="s">
        <v>728</v>
      </c>
      <c r="B610" t="s">
        <v>772</v>
      </c>
      <c r="C610">
        <v>14968.239</v>
      </c>
      <c r="D610">
        <f t="shared" si="18"/>
        <v>9.2619357791656268E-3</v>
      </c>
      <c r="E610" s="24">
        <f>SUMIFS($D$2:D610,$A$2:A610,A610)</f>
        <v>0.77621189816924863</v>
      </c>
      <c r="F610" t="str">
        <f t="shared" si="19"/>
        <v>A</v>
      </c>
    </row>
    <row r="611" spans="1:6" x14ac:dyDescent="0.25">
      <c r="A611" s="21" t="s">
        <v>728</v>
      </c>
      <c r="B611" t="s">
        <v>1084</v>
      </c>
      <c r="C611">
        <v>4132.0325200000007</v>
      </c>
      <c r="D611">
        <f t="shared" si="18"/>
        <v>2.5567883996015775E-3</v>
      </c>
      <c r="E611" s="24">
        <f>SUMIFS($D$2:D611,$A$2:A611,A611)</f>
        <v>0.77876868656885023</v>
      </c>
      <c r="F611" t="str">
        <f t="shared" si="19"/>
        <v>A</v>
      </c>
    </row>
    <row r="612" spans="1:6" x14ac:dyDescent="0.25">
      <c r="A612" s="21" t="s">
        <v>728</v>
      </c>
      <c r="B612" t="s">
        <v>969</v>
      </c>
      <c r="C612">
        <v>17359.804799999998</v>
      </c>
      <c r="D612">
        <f t="shared" si="18"/>
        <v>1.0741771105903051E-2</v>
      </c>
      <c r="E612" s="24">
        <f>SUMIFS($D$2:D612,$A$2:A612,A612)</f>
        <v>0.78951045767475325</v>
      </c>
      <c r="F612" t="str">
        <f t="shared" si="19"/>
        <v>A</v>
      </c>
    </row>
    <row r="613" spans="1:6" x14ac:dyDescent="0.25">
      <c r="A613" s="21" t="s">
        <v>728</v>
      </c>
      <c r="B613" t="s">
        <v>1030</v>
      </c>
      <c r="C613">
        <v>4241.88105</v>
      </c>
      <c r="D613">
        <f t="shared" si="18"/>
        <v>2.6247596572956684E-3</v>
      </c>
      <c r="E613" s="24">
        <f>SUMIFS($D$2:D613,$A$2:A613,A613)</f>
        <v>0.79213521733204895</v>
      </c>
      <c r="F613" t="str">
        <f t="shared" si="19"/>
        <v>A</v>
      </c>
    </row>
    <row r="614" spans="1:6" x14ac:dyDescent="0.25">
      <c r="A614" s="21" t="s">
        <v>728</v>
      </c>
      <c r="B614" t="s">
        <v>1178</v>
      </c>
      <c r="C614">
        <v>1925.29872</v>
      </c>
      <c r="D614">
        <f t="shared" si="18"/>
        <v>1.1913220453220841E-3</v>
      </c>
      <c r="E614" s="24">
        <f>SUMIFS($D$2:D614,$A$2:A614,A614)</f>
        <v>0.79332653937737108</v>
      </c>
      <c r="F614" t="str">
        <f t="shared" si="19"/>
        <v>A</v>
      </c>
    </row>
    <row r="615" spans="1:6" x14ac:dyDescent="0.25">
      <c r="A615" s="21" t="s">
        <v>728</v>
      </c>
      <c r="B615" t="s">
        <v>738</v>
      </c>
      <c r="C615">
        <v>10957.9797</v>
      </c>
      <c r="D615">
        <f t="shared" si="18"/>
        <v>6.7804973083874882E-3</v>
      </c>
      <c r="E615" s="24">
        <f>SUMIFS($D$2:D615,$A$2:A615,A615)</f>
        <v>0.80010703668575855</v>
      </c>
      <c r="F615" t="str">
        <f t="shared" si="19"/>
        <v>B</v>
      </c>
    </row>
    <row r="616" spans="1:6" x14ac:dyDescent="0.25">
      <c r="A616" s="21" t="s">
        <v>728</v>
      </c>
      <c r="B616" t="s">
        <v>913</v>
      </c>
      <c r="C616">
        <v>4420.5961799999995</v>
      </c>
      <c r="D616">
        <f t="shared" si="18"/>
        <v>2.7353436783568792E-3</v>
      </c>
      <c r="E616" s="24">
        <f>SUMIFS($D$2:D616,$A$2:A616,A616)</f>
        <v>0.80284238036411548</v>
      </c>
      <c r="F616" t="str">
        <f t="shared" si="19"/>
        <v>B</v>
      </c>
    </row>
    <row r="617" spans="1:6" x14ac:dyDescent="0.25">
      <c r="A617" s="21" t="s">
        <v>728</v>
      </c>
      <c r="B617" t="s">
        <v>886</v>
      </c>
      <c r="C617">
        <v>4139.8127999999997</v>
      </c>
      <c r="D617">
        <f t="shared" si="18"/>
        <v>2.5616026234861586E-3</v>
      </c>
      <c r="E617" s="24">
        <f>SUMIFS($D$2:D617,$A$2:A617,A617)</f>
        <v>0.80540398298760163</v>
      </c>
      <c r="F617" t="str">
        <f t="shared" si="19"/>
        <v>B</v>
      </c>
    </row>
    <row r="618" spans="1:6" x14ac:dyDescent="0.25">
      <c r="A618" s="21" t="s">
        <v>728</v>
      </c>
      <c r="B618" t="s">
        <v>747</v>
      </c>
      <c r="C618">
        <v>21585.15</v>
      </c>
      <c r="D618">
        <f t="shared" si="18"/>
        <v>1.3356298832725544E-2</v>
      </c>
      <c r="E618" s="24">
        <f>SUMIFS($D$2:D618,$A$2:A618,A618)</f>
        <v>0.81876028182032723</v>
      </c>
      <c r="F618" t="str">
        <f t="shared" si="19"/>
        <v>B</v>
      </c>
    </row>
    <row r="619" spans="1:6" x14ac:dyDescent="0.25">
      <c r="A619" s="21" t="s">
        <v>728</v>
      </c>
      <c r="B619" t="s">
        <v>935</v>
      </c>
      <c r="C619">
        <v>4637.7968000000001</v>
      </c>
      <c r="D619">
        <f t="shared" si="18"/>
        <v>2.8697414651396103E-3</v>
      </c>
      <c r="E619" s="24">
        <f>SUMIFS($D$2:D619,$A$2:A619,A619)</f>
        <v>0.82163002328546686</v>
      </c>
      <c r="F619" t="str">
        <f t="shared" si="19"/>
        <v>B</v>
      </c>
    </row>
    <row r="620" spans="1:6" x14ac:dyDescent="0.25">
      <c r="A620" s="21" t="s">
        <v>728</v>
      </c>
      <c r="B620" t="s">
        <v>1107</v>
      </c>
      <c r="C620">
        <v>4117.4880599999997</v>
      </c>
      <c r="D620">
        <f t="shared" si="18"/>
        <v>2.5477886866451869E-3</v>
      </c>
      <c r="E620" s="24">
        <f>SUMIFS($D$2:D620,$A$2:A620,A620)</f>
        <v>0.82417781197211204</v>
      </c>
      <c r="F620" t="str">
        <f t="shared" si="19"/>
        <v>B</v>
      </c>
    </row>
    <row r="621" spans="1:6" x14ac:dyDescent="0.25">
      <c r="A621" s="21" t="s">
        <v>728</v>
      </c>
      <c r="B621" t="s">
        <v>1008</v>
      </c>
      <c r="C621">
        <v>11417.429099999999</v>
      </c>
      <c r="D621">
        <f t="shared" si="18"/>
        <v>7.0647919963982946E-3</v>
      </c>
      <c r="E621" s="24">
        <f>SUMIFS($D$2:D621,$A$2:A621,A621)</f>
        <v>0.83124260396851035</v>
      </c>
      <c r="F621" t="str">
        <f t="shared" si="19"/>
        <v>B</v>
      </c>
    </row>
    <row r="622" spans="1:6" x14ac:dyDescent="0.25">
      <c r="A622" s="21" t="s">
        <v>728</v>
      </c>
      <c r="B622" t="s">
        <v>1025</v>
      </c>
      <c r="C622">
        <v>1098.9470800000001</v>
      </c>
      <c r="D622">
        <f t="shared" si="18"/>
        <v>6.7999831374028648E-4</v>
      </c>
      <c r="E622" s="24">
        <f>SUMIFS($D$2:D622,$A$2:A622,A622)</f>
        <v>0.83192260228225068</v>
      </c>
      <c r="F622" t="str">
        <f t="shared" si="19"/>
        <v>B</v>
      </c>
    </row>
    <row r="623" spans="1:6" x14ac:dyDescent="0.25">
      <c r="A623" s="21" t="s">
        <v>728</v>
      </c>
      <c r="B623" t="s">
        <v>1119</v>
      </c>
      <c r="C623">
        <v>9586.8057599999993</v>
      </c>
      <c r="D623">
        <f t="shared" si="18"/>
        <v>5.932052479684158E-3</v>
      </c>
      <c r="E623" s="24">
        <f>SUMIFS($D$2:D623,$A$2:A623,A623)</f>
        <v>0.83785465476193488</v>
      </c>
      <c r="F623" t="str">
        <f t="shared" si="19"/>
        <v>B</v>
      </c>
    </row>
    <row r="624" spans="1:6" x14ac:dyDescent="0.25">
      <c r="A624" s="21" t="s">
        <v>728</v>
      </c>
      <c r="B624" t="s">
        <v>829</v>
      </c>
      <c r="C624">
        <v>43209.006119999991</v>
      </c>
      <c r="D624">
        <f t="shared" si="18"/>
        <v>2.6736547950965674E-2</v>
      </c>
      <c r="E624" s="24">
        <f>SUMIFS($D$2:D624,$A$2:A624,A624)</f>
        <v>0.86459120271290058</v>
      </c>
      <c r="F624" t="str">
        <f t="shared" si="19"/>
        <v>B</v>
      </c>
    </row>
    <row r="625" spans="1:6" x14ac:dyDescent="0.25">
      <c r="A625" s="21" t="s">
        <v>728</v>
      </c>
      <c r="B625" t="s">
        <v>1342</v>
      </c>
      <c r="C625">
        <v>10260.060159999999</v>
      </c>
      <c r="D625">
        <f t="shared" si="18"/>
        <v>6.3486438379488598E-3</v>
      </c>
      <c r="E625" s="24">
        <f>SUMIFS($D$2:D625,$A$2:A625,A625)</f>
        <v>0.87093984655084944</v>
      </c>
      <c r="F625" t="str">
        <f t="shared" si="19"/>
        <v>B</v>
      </c>
    </row>
    <row r="626" spans="1:6" x14ac:dyDescent="0.25">
      <c r="A626" s="21" t="s">
        <v>728</v>
      </c>
      <c r="B626" t="s">
        <v>735</v>
      </c>
      <c r="C626">
        <v>17960.432489999999</v>
      </c>
      <c r="D626">
        <f t="shared" si="18"/>
        <v>1.1113423047856183E-2</v>
      </c>
      <c r="E626" s="24">
        <f>SUMIFS($D$2:D626,$A$2:A626,A626)</f>
        <v>0.88205326959870567</v>
      </c>
      <c r="F626" t="str">
        <f t="shared" si="19"/>
        <v>B</v>
      </c>
    </row>
    <row r="627" spans="1:6" x14ac:dyDescent="0.25">
      <c r="A627" s="21" t="s">
        <v>728</v>
      </c>
      <c r="B627" t="s">
        <v>1139</v>
      </c>
      <c r="C627">
        <v>22457.143800000002</v>
      </c>
      <c r="D627">
        <f t="shared" si="18"/>
        <v>1.3895864681148368E-2</v>
      </c>
      <c r="E627" s="24">
        <f>SUMIFS($D$2:D627,$A$2:A627,A627)</f>
        <v>0.89594913427985401</v>
      </c>
      <c r="F627" t="str">
        <f t="shared" si="19"/>
        <v>B</v>
      </c>
    </row>
    <row r="628" spans="1:6" x14ac:dyDescent="0.25">
      <c r="A628" s="21" t="s">
        <v>728</v>
      </c>
      <c r="B628" t="s">
        <v>1203</v>
      </c>
      <c r="C628">
        <v>10428.057360000001</v>
      </c>
      <c r="D628">
        <f t="shared" si="18"/>
        <v>6.4525958978725196E-3</v>
      </c>
      <c r="E628" s="24">
        <f>SUMIFS($D$2:D628,$A$2:A628,A628)</f>
        <v>0.90240173017772651</v>
      </c>
      <c r="F628" t="str">
        <f t="shared" si="19"/>
        <v>B</v>
      </c>
    </row>
    <row r="629" spans="1:6" x14ac:dyDescent="0.25">
      <c r="A629" s="21" t="s">
        <v>728</v>
      </c>
      <c r="B629" t="s">
        <v>1090</v>
      </c>
      <c r="C629">
        <v>43907.94</v>
      </c>
      <c r="D629">
        <f t="shared" si="18"/>
        <v>2.7169029067177351E-2</v>
      </c>
      <c r="E629" s="24">
        <f>SUMIFS($D$2:D629,$A$2:A629,A629)</f>
        <v>0.92957075924490384</v>
      </c>
      <c r="F629" t="str">
        <f t="shared" si="19"/>
        <v>B</v>
      </c>
    </row>
    <row r="630" spans="1:6" x14ac:dyDescent="0.25">
      <c r="A630" s="21" t="s">
        <v>728</v>
      </c>
      <c r="B630" t="s">
        <v>1177</v>
      </c>
      <c r="C630">
        <v>21664.440000000002</v>
      </c>
      <c r="D630">
        <f t="shared" si="18"/>
        <v>1.3405361310143899E-2</v>
      </c>
      <c r="E630" s="24">
        <f>SUMIFS($D$2:D630,$A$2:A630,A630)</f>
        <v>0.94297612055504776</v>
      </c>
      <c r="F630" t="str">
        <f t="shared" si="19"/>
        <v>B</v>
      </c>
    </row>
    <row r="631" spans="1:6" x14ac:dyDescent="0.25">
      <c r="A631" s="21" t="s">
        <v>728</v>
      </c>
      <c r="B631" t="s">
        <v>1280</v>
      </c>
      <c r="C631">
        <v>31822.023930000003</v>
      </c>
      <c r="D631">
        <f t="shared" si="18"/>
        <v>1.9690595667448376E-2</v>
      </c>
      <c r="E631" s="24">
        <f>SUMIFS($D$2:D631,$A$2:A631,A631)</f>
        <v>0.96266671622249611</v>
      </c>
      <c r="F631" t="str">
        <f t="shared" si="19"/>
        <v>C</v>
      </c>
    </row>
    <row r="632" spans="1:6" x14ac:dyDescent="0.25">
      <c r="A632" s="21" t="s">
        <v>728</v>
      </c>
      <c r="B632" t="s">
        <v>815</v>
      </c>
      <c r="C632">
        <v>18258.868320000001</v>
      </c>
      <c r="D632">
        <f t="shared" si="18"/>
        <v>1.1298086954656577E-2</v>
      </c>
      <c r="E632" s="24">
        <f>SUMIFS($D$2:D632,$A$2:A632,A632)</f>
        <v>0.97396480317715273</v>
      </c>
      <c r="F632" t="str">
        <f t="shared" si="19"/>
        <v>C</v>
      </c>
    </row>
    <row r="633" spans="1:6" x14ac:dyDescent="0.25">
      <c r="A633" s="21" t="s">
        <v>728</v>
      </c>
      <c r="B633" t="s">
        <v>777</v>
      </c>
      <c r="C633">
        <v>10666.229420000001</v>
      </c>
      <c r="D633">
        <f t="shared" si="18"/>
        <v>6.5999702365713868E-3</v>
      </c>
      <c r="E633" s="24">
        <f>SUMIFS($D$2:D633,$A$2:A633,A633)</f>
        <v>0.98056477341372417</v>
      </c>
      <c r="F633" t="str">
        <f t="shared" si="19"/>
        <v>C</v>
      </c>
    </row>
    <row r="634" spans="1:6" x14ac:dyDescent="0.25">
      <c r="A634" s="21" t="s">
        <v>728</v>
      </c>
      <c r="B634" t="s">
        <v>1333</v>
      </c>
      <c r="C634">
        <v>7466.3063999999986</v>
      </c>
      <c r="D634">
        <f t="shared" si="18"/>
        <v>4.6199456318390762E-3</v>
      </c>
      <c r="E634" s="24">
        <f>SUMIFS($D$2:D634,$A$2:A634,A634)</f>
        <v>0.98518471904556326</v>
      </c>
      <c r="F634" t="str">
        <f t="shared" si="19"/>
        <v>C</v>
      </c>
    </row>
    <row r="635" spans="1:6" x14ac:dyDescent="0.25">
      <c r="A635" s="21" t="s">
        <v>728</v>
      </c>
      <c r="B635" t="s">
        <v>1330</v>
      </c>
      <c r="C635">
        <v>4409.5168800000001</v>
      </c>
      <c r="D635">
        <f t="shared" si="18"/>
        <v>2.7284881113741428E-3</v>
      </c>
      <c r="E635" s="24">
        <f>SUMIFS($D$2:D635,$A$2:A635,A635)</f>
        <v>0.98791320715693742</v>
      </c>
      <c r="F635" t="str">
        <f t="shared" si="19"/>
        <v>C</v>
      </c>
    </row>
    <row r="636" spans="1:6" x14ac:dyDescent="0.25">
      <c r="A636" s="21" t="s">
        <v>728</v>
      </c>
      <c r="B636" t="s">
        <v>1088</v>
      </c>
      <c r="C636">
        <v>1122.0896000000002</v>
      </c>
      <c r="D636">
        <f t="shared" si="18"/>
        <v>6.9431827041709115E-4</v>
      </c>
      <c r="E636" s="24">
        <f>SUMIFS($D$2:D636,$A$2:A636,A636)</f>
        <v>0.98860752542735453</v>
      </c>
      <c r="F636" t="str">
        <f t="shared" si="19"/>
        <v>C</v>
      </c>
    </row>
    <row r="637" spans="1:6" x14ac:dyDescent="0.25">
      <c r="A637" s="22" t="s">
        <v>728</v>
      </c>
      <c r="B637" t="s">
        <v>1148</v>
      </c>
      <c r="C637">
        <v>18411.4084</v>
      </c>
      <c r="D637">
        <f t="shared" si="18"/>
        <v>1.1392474572646159E-2</v>
      </c>
      <c r="E637" s="24">
        <f>SUMIFS($D$2:D637,$A$2:A637,A637)</f>
        <v>1.0000000000000007</v>
      </c>
      <c r="F637" t="str">
        <f t="shared" si="19"/>
        <v>C</v>
      </c>
    </row>
    <row r="638" spans="1:6" x14ac:dyDescent="0.25">
      <c r="A638" s="23" t="s">
        <v>1485</v>
      </c>
      <c r="B638" s="23"/>
      <c r="C638" s="23">
        <v>1616102.6546599993</v>
      </c>
      <c r="D638">
        <f t="shared" si="18"/>
        <v>1</v>
      </c>
      <c r="E638" s="24">
        <f>SUMIFS($D$2:D638,$A$2:A638,A638)</f>
        <v>1</v>
      </c>
      <c r="F638" t="str">
        <f t="shared" si="19"/>
        <v>C</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9D206-D31C-49B3-8804-61B0913337B2}">
  <dimension ref="A3:D20"/>
  <sheetViews>
    <sheetView workbookViewId="0">
      <selection activeCell="C14" sqref="C14"/>
    </sheetView>
  </sheetViews>
  <sheetFormatPr defaultRowHeight="15" x14ac:dyDescent="0.25"/>
  <cols>
    <col min="1" max="1" width="13.140625" bestFit="1" customWidth="1"/>
    <col min="2" max="2" width="16.140625" bestFit="1" customWidth="1"/>
    <col min="3" max="3" width="20.7109375" bestFit="1" customWidth="1"/>
    <col min="4" max="4" width="17.85546875" bestFit="1" customWidth="1"/>
  </cols>
  <sheetData>
    <row r="3" spans="1:4" x14ac:dyDescent="0.25">
      <c r="A3" s="15" t="s">
        <v>1432</v>
      </c>
      <c r="B3" t="s">
        <v>1489</v>
      </c>
      <c r="C3" t="s">
        <v>1474</v>
      </c>
      <c r="D3" t="s">
        <v>1490</v>
      </c>
    </row>
    <row r="4" spans="1:4" x14ac:dyDescent="0.25">
      <c r="A4" s="16" t="s">
        <v>720</v>
      </c>
      <c r="B4">
        <v>46</v>
      </c>
      <c r="C4">
        <v>877159.52092999977</v>
      </c>
      <c r="D4">
        <v>281944.47093000001</v>
      </c>
    </row>
    <row r="5" spans="1:4" x14ac:dyDescent="0.25">
      <c r="A5" s="16" t="s">
        <v>717</v>
      </c>
      <c r="B5">
        <v>48</v>
      </c>
      <c r="C5">
        <v>893735.66084999999</v>
      </c>
      <c r="D5">
        <v>315969.97084999998</v>
      </c>
    </row>
    <row r="6" spans="1:4" x14ac:dyDescent="0.25">
      <c r="A6" s="16" t="s">
        <v>712</v>
      </c>
      <c r="B6">
        <v>37</v>
      </c>
      <c r="C6">
        <v>685111.85991999996</v>
      </c>
      <c r="D6">
        <v>225695.01991999999</v>
      </c>
    </row>
    <row r="7" spans="1:4" x14ac:dyDescent="0.25">
      <c r="A7" s="16" t="s">
        <v>726</v>
      </c>
      <c r="B7">
        <v>38</v>
      </c>
      <c r="C7">
        <v>576820.19091</v>
      </c>
      <c r="D7">
        <v>151076.93091000005</v>
      </c>
    </row>
    <row r="8" spans="1:4" x14ac:dyDescent="0.25">
      <c r="A8" s="16" t="s">
        <v>718</v>
      </c>
      <c r="B8">
        <v>34</v>
      </c>
      <c r="C8">
        <v>543846.44053000002</v>
      </c>
      <c r="D8">
        <v>204981.34053000004</v>
      </c>
    </row>
    <row r="9" spans="1:4" x14ac:dyDescent="0.25">
      <c r="A9" s="16" t="s">
        <v>721</v>
      </c>
      <c r="B9">
        <v>51</v>
      </c>
      <c r="C9">
        <v>812637.17231999978</v>
      </c>
      <c r="D9">
        <v>251733.01232000004</v>
      </c>
    </row>
    <row r="10" spans="1:4" x14ac:dyDescent="0.25">
      <c r="A10" s="16" t="s">
        <v>715</v>
      </c>
      <c r="B10">
        <v>30</v>
      </c>
      <c r="C10">
        <v>510653.71305000014</v>
      </c>
      <c r="D10">
        <v>172441.87305000005</v>
      </c>
    </row>
    <row r="11" spans="1:4" x14ac:dyDescent="0.25">
      <c r="A11" s="16" t="s">
        <v>722</v>
      </c>
      <c r="B11">
        <v>45</v>
      </c>
      <c r="C11">
        <v>697568.29853000003</v>
      </c>
      <c r="D11">
        <v>137020.80852999998</v>
      </c>
    </row>
    <row r="12" spans="1:4" x14ac:dyDescent="0.25">
      <c r="A12" s="16" t="s">
        <v>714</v>
      </c>
      <c r="B12">
        <v>38</v>
      </c>
      <c r="C12">
        <v>541165.67181999993</v>
      </c>
      <c r="D12">
        <v>140021.69181999998</v>
      </c>
    </row>
    <row r="13" spans="1:4" x14ac:dyDescent="0.25">
      <c r="A13" s="16" t="s">
        <v>713</v>
      </c>
      <c r="B13">
        <v>50</v>
      </c>
      <c r="C13">
        <v>802384.6622799997</v>
      </c>
      <c r="D13">
        <v>273113.11228</v>
      </c>
    </row>
    <row r="14" spans="1:4" x14ac:dyDescent="0.25">
      <c r="A14" s="16" t="s">
        <v>723</v>
      </c>
      <c r="B14">
        <v>44</v>
      </c>
      <c r="C14">
        <v>883348.1293599999</v>
      </c>
      <c r="D14">
        <v>278762.26935999998</v>
      </c>
    </row>
    <row r="15" spans="1:4" x14ac:dyDescent="0.25">
      <c r="A15" s="16" t="s">
        <v>716</v>
      </c>
      <c r="B15">
        <v>46</v>
      </c>
      <c r="C15">
        <v>853038.52344999986</v>
      </c>
      <c r="D15">
        <v>269716.55345000006</v>
      </c>
    </row>
    <row r="16" spans="1:4" x14ac:dyDescent="0.25">
      <c r="A16" s="16" t="s">
        <v>724</v>
      </c>
      <c r="B16">
        <v>48</v>
      </c>
      <c r="C16">
        <v>966298.9875499995</v>
      </c>
      <c r="D16">
        <v>302657.05754999985</v>
      </c>
    </row>
    <row r="17" spans="1:4" x14ac:dyDescent="0.25">
      <c r="A17" s="16" t="s">
        <v>725</v>
      </c>
      <c r="B17">
        <v>32</v>
      </c>
      <c r="C17">
        <v>388325.13659000001</v>
      </c>
      <c r="D17">
        <v>110646.45659</v>
      </c>
    </row>
    <row r="18" spans="1:4" x14ac:dyDescent="0.25">
      <c r="A18" s="16" t="s">
        <v>719</v>
      </c>
      <c r="B18">
        <v>37</v>
      </c>
      <c r="C18">
        <v>647724.89694000001</v>
      </c>
      <c r="D18">
        <v>185219.43694000004</v>
      </c>
    </row>
    <row r="19" spans="1:4" x14ac:dyDescent="0.25">
      <c r="A19" s="16" t="s">
        <v>1418</v>
      </c>
      <c r="B19">
        <v>8</v>
      </c>
      <c r="C19">
        <v>249026.85146999999</v>
      </c>
      <c r="D19">
        <v>100098.00146999997</v>
      </c>
    </row>
    <row r="20" spans="1:4" x14ac:dyDescent="0.25">
      <c r="A20" s="16" t="s">
        <v>1434</v>
      </c>
      <c r="B20">
        <v>632</v>
      </c>
      <c r="C20">
        <v>10928845.716499986</v>
      </c>
      <c r="D20">
        <v>3401098.0064999987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C0CE1-F131-41C7-88F7-54547017A8AD}">
  <dimension ref="A1:I18"/>
  <sheetViews>
    <sheetView workbookViewId="0">
      <selection activeCell="J5" sqref="J5"/>
    </sheetView>
  </sheetViews>
  <sheetFormatPr defaultRowHeight="15" x14ac:dyDescent="0.25"/>
  <cols>
    <col min="1" max="1" width="10.28515625" bestFit="1" customWidth="1"/>
    <col min="2" max="2" width="15.42578125" bestFit="1" customWidth="1"/>
    <col min="3" max="3" width="19.5703125" bestFit="1" customWidth="1"/>
    <col min="4" max="4" width="16.7109375" bestFit="1" customWidth="1"/>
    <col min="5" max="5" width="14.140625" bestFit="1" customWidth="1"/>
    <col min="6" max="6" width="12.28515625" bestFit="1" customWidth="1"/>
    <col min="7" max="7" width="12" bestFit="1" customWidth="1"/>
  </cols>
  <sheetData>
    <row r="1" spans="1:9" x14ac:dyDescent="0.25">
      <c r="A1" s="19" t="s">
        <v>1432</v>
      </c>
      <c r="B1" s="19" t="s">
        <v>1489</v>
      </c>
      <c r="C1" s="19" t="s">
        <v>1474</v>
      </c>
      <c r="D1" s="19" t="s">
        <v>1490</v>
      </c>
      <c r="E1" s="26" t="s">
        <v>1491</v>
      </c>
      <c r="F1" s="26" t="s">
        <v>1492</v>
      </c>
      <c r="G1" s="26" t="s">
        <v>1493</v>
      </c>
    </row>
    <row r="2" spans="1:9" x14ac:dyDescent="0.25">
      <c r="A2" s="16" t="s">
        <v>720</v>
      </c>
      <c r="B2">
        <v>46</v>
      </c>
      <c r="C2">
        <v>877159.52092999977</v>
      </c>
      <c r="D2">
        <v>281944.47093000001</v>
      </c>
      <c r="E2">
        <f>C2/B2</f>
        <v>19068.68523760869</v>
      </c>
      <c r="F2">
        <f>B2/33</f>
        <v>1.393939393939394</v>
      </c>
      <c r="G2">
        <f>D2/B2</f>
        <v>6129.2276289130441</v>
      </c>
    </row>
    <row r="3" spans="1:9" x14ac:dyDescent="0.25">
      <c r="A3" s="16" t="s">
        <v>717</v>
      </c>
      <c r="B3">
        <v>48</v>
      </c>
      <c r="C3">
        <v>893735.66084999999</v>
      </c>
      <c r="D3">
        <v>315969.97084999998</v>
      </c>
      <c r="E3">
        <f t="shared" ref="E3:E17" si="0">C3/B3</f>
        <v>18619.492934375001</v>
      </c>
      <c r="F3">
        <f t="shared" ref="F3:F17" si="1">B3/33</f>
        <v>1.4545454545454546</v>
      </c>
      <c r="G3">
        <f t="shared" ref="G3:G17" si="2">D3/B3</f>
        <v>6582.7077260416663</v>
      </c>
      <c r="I3" t="s">
        <v>1494</v>
      </c>
    </row>
    <row r="4" spans="1:9" x14ac:dyDescent="0.25">
      <c r="A4" s="16" t="s">
        <v>712</v>
      </c>
      <c r="B4">
        <v>37</v>
      </c>
      <c r="C4">
        <v>685111.85991999996</v>
      </c>
      <c r="D4">
        <v>225695.01991999999</v>
      </c>
      <c r="E4">
        <f t="shared" si="0"/>
        <v>18516.536754594592</v>
      </c>
      <c r="F4">
        <f t="shared" si="1"/>
        <v>1.1212121212121211</v>
      </c>
      <c r="G4">
        <f t="shared" si="2"/>
        <v>6099.8654032432432</v>
      </c>
      <c r="I4" t="s">
        <v>1495</v>
      </c>
    </row>
    <row r="5" spans="1:9" x14ac:dyDescent="0.25">
      <c r="A5" s="16" t="s">
        <v>726</v>
      </c>
      <c r="B5">
        <v>38</v>
      </c>
      <c r="C5">
        <v>576820.19091</v>
      </c>
      <c r="D5">
        <v>151076.93091000005</v>
      </c>
      <c r="E5">
        <f t="shared" si="0"/>
        <v>15179.478708157894</v>
      </c>
      <c r="F5">
        <f t="shared" si="1"/>
        <v>1.1515151515151516</v>
      </c>
      <c r="G5">
        <f t="shared" si="2"/>
        <v>3975.7087081578961</v>
      </c>
    </row>
    <row r="6" spans="1:9" x14ac:dyDescent="0.25">
      <c r="A6" s="16" t="s">
        <v>718</v>
      </c>
      <c r="B6">
        <v>34</v>
      </c>
      <c r="C6">
        <v>543846.44053000002</v>
      </c>
      <c r="D6">
        <v>204981.34053000004</v>
      </c>
      <c r="E6">
        <f t="shared" si="0"/>
        <v>15995.483545000001</v>
      </c>
      <c r="F6">
        <f t="shared" si="1"/>
        <v>1.0303030303030303</v>
      </c>
      <c r="G6">
        <f t="shared" si="2"/>
        <v>6028.8629567647076</v>
      </c>
    </row>
    <row r="7" spans="1:9" x14ac:dyDescent="0.25">
      <c r="A7" s="16" t="s">
        <v>721</v>
      </c>
      <c r="B7">
        <v>51</v>
      </c>
      <c r="C7">
        <v>812637.17231999978</v>
      </c>
      <c r="D7">
        <v>251733.01232000004</v>
      </c>
      <c r="E7">
        <f t="shared" si="0"/>
        <v>15934.062202352938</v>
      </c>
      <c r="F7">
        <f t="shared" si="1"/>
        <v>1.5454545454545454</v>
      </c>
      <c r="G7">
        <f t="shared" si="2"/>
        <v>4935.9414180392168</v>
      </c>
    </row>
    <row r="8" spans="1:9" x14ac:dyDescent="0.25">
      <c r="A8" s="16" t="s">
        <v>715</v>
      </c>
      <c r="B8">
        <v>30</v>
      </c>
      <c r="C8">
        <v>510653.71305000014</v>
      </c>
      <c r="D8">
        <v>172441.87305000005</v>
      </c>
      <c r="E8">
        <f t="shared" si="0"/>
        <v>17021.790435000006</v>
      </c>
      <c r="F8">
        <f t="shared" si="1"/>
        <v>0.90909090909090906</v>
      </c>
      <c r="G8">
        <f t="shared" si="2"/>
        <v>5748.0624350000016</v>
      </c>
    </row>
    <row r="9" spans="1:9" x14ac:dyDescent="0.25">
      <c r="A9" s="16" t="s">
        <v>722</v>
      </c>
      <c r="B9">
        <v>45</v>
      </c>
      <c r="C9">
        <v>697568.29853000003</v>
      </c>
      <c r="D9">
        <v>137020.80852999998</v>
      </c>
      <c r="E9">
        <f t="shared" si="0"/>
        <v>15501.517745111112</v>
      </c>
      <c r="F9">
        <f t="shared" si="1"/>
        <v>1.3636363636363635</v>
      </c>
      <c r="G9">
        <f t="shared" si="2"/>
        <v>3044.9068562222219</v>
      </c>
    </row>
    <row r="10" spans="1:9" x14ac:dyDescent="0.25">
      <c r="A10" s="16" t="s">
        <v>714</v>
      </c>
      <c r="B10">
        <v>38</v>
      </c>
      <c r="C10">
        <v>541165.67181999993</v>
      </c>
      <c r="D10">
        <v>140021.69181999998</v>
      </c>
      <c r="E10">
        <f t="shared" si="0"/>
        <v>14241.201889999998</v>
      </c>
      <c r="F10">
        <f t="shared" si="1"/>
        <v>1.1515151515151516</v>
      </c>
      <c r="G10">
        <f t="shared" si="2"/>
        <v>3684.7813636842097</v>
      </c>
    </row>
    <row r="11" spans="1:9" x14ac:dyDescent="0.25">
      <c r="A11" s="16" t="s">
        <v>713</v>
      </c>
      <c r="B11">
        <v>50</v>
      </c>
      <c r="C11">
        <v>802384.6622799997</v>
      </c>
      <c r="D11">
        <v>273113.11228</v>
      </c>
      <c r="E11">
        <f t="shared" si="0"/>
        <v>16047.693245599994</v>
      </c>
      <c r="F11">
        <f t="shared" si="1"/>
        <v>1.5151515151515151</v>
      </c>
      <c r="G11">
        <f t="shared" si="2"/>
        <v>5462.2622455999999</v>
      </c>
    </row>
    <row r="12" spans="1:9" x14ac:dyDescent="0.25">
      <c r="A12" s="16" t="s">
        <v>723</v>
      </c>
      <c r="B12">
        <v>44</v>
      </c>
      <c r="C12">
        <v>883348.1293599999</v>
      </c>
      <c r="D12">
        <v>278762.26935999998</v>
      </c>
      <c r="E12">
        <f t="shared" si="0"/>
        <v>20076.093849090907</v>
      </c>
      <c r="F12">
        <f t="shared" si="1"/>
        <v>1.3333333333333333</v>
      </c>
      <c r="G12">
        <f t="shared" si="2"/>
        <v>6335.5061218181809</v>
      </c>
    </row>
    <row r="13" spans="1:9" x14ac:dyDescent="0.25">
      <c r="A13" s="16" t="s">
        <v>716</v>
      </c>
      <c r="B13">
        <v>46</v>
      </c>
      <c r="C13">
        <v>853038.52344999986</v>
      </c>
      <c r="D13">
        <v>269716.55345000006</v>
      </c>
      <c r="E13">
        <f t="shared" si="0"/>
        <v>18544.315727173911</v>
      </c>
      <c r="F13">
        <f t="shared" si="1"/>
        <v>1.393939393939394</v>
      </c>
      <c r="G13">
        <f t="shared" si="2"/>
        <v>5863.4033358695669</v>
      </c>
    </row>
    <row r="14" spans="1:9" x14ac:dyDescent="0.25">
      <c r="A14" s="16" t="s">
        <v>724</v>
      </c>
      <c r="B14">
        <v>48</v>
      </c>
      <c r="C14">
        <v>966298.9875499995</v>
      </c>
      <c r="D14">
        <v>302657.05754999985</v>
      </c>
      <c r="E14">
        <f t="shared" si="0"/>
        <v>20131.228907291657</v>
      </c>
      <c r="F14">
        <f t="shared" si="1"/>
        <v>1.4545454545454546</v>
      </c>
      <c r="G14">
        <f t="shared" si="2"/>
        <v>6305.3553656249969</v>
      </c>
    </row>
    <row r="15" spans="1:9" x14ac:dyDescent="0.25">
      <c r="A15" s="16" t="s">
        <v>725</v>
      </c>
      <c r="B15">
        <v>32</v>
      </c>
      <c r="C15">
        <v>388325.13659000001</v>
      </c>
      <c r="D15">
        <v>110646.45659</v>
      </c>
      <c r="E15">
        <f t="shared" si="0"/>
        <v>12135.1605184375</v>
      </c>
      <c r="F15">
        <f t="shared" si="1"/>
        <v>0.96969696969696972</v>
      </c>
      <c r="G15">
        <f t="shared" si="2"/>
        <v>3457.7017684375</v>
      </c>
    </row>
    <row r="16" spans="1:9" x14ac:dyDescent="0.25">
      <c r="A16" s="16" t="s">
        <v>719</v>
      </c>
      <c r="B16">
        <v>37</v>
      </c>
      <c r="C16">
        <v>647724.89694000001</v>
      </c>
      <c r="D16">
        <v>185219.43694000004</v>
      </c>
      <c r="E16">
        <f t="shared" si="0"/>
        <v>17506.078295675678</v>
      </c>
      <c r="F16">
        <f t="shared" si="1"/>
        <v>1.1212121212121211</v>
      </c>
      <c r="G16">
        <f t="shared" si="2"/>
        <v>5005.9307281081092</v>
      </c>
    </row>
    <row r="17" spans="1:7" x14ac:dyDescent="0.25">
      <c r="A17" s="16" t="s">
        <v>1418</v>
      </c>
      <c r="B17">
        <v>8</v>
      </c>
      <c r="C17">
        <v>249026.85146999999</v>
      </c>
      <c r="D17">
        <v>100098.00146999997</v>
      </c>
      <c r="E17">
        <f t="shared" si="0"/>
        <v>31128.356433749999</v>
      </c>
      <c r="F17">
        <f t="shared" si="1"/>
        <v>0.24242424242424243</v>
      </c>
      <c r="G17">
        <f t="shared" si="2"/>
        <v>12512.250183749997</v>
      </c>
    </row>
    <row r="18" spans="1:7" x14ac:dyDescent="0.25">
      <c r="A18" s="16"/>
    </row>
  </sheetData>
  <conditionalFormatting sqref="E1:E1048576">
    <cfRule type="top10" dxfId="10" priority="3" bottom="1" rank="3"/>
  </conditionalFormatting>
  <conditionalFormatting sqref="E1:G1048576">
    <cfRule type="top10" dxfId="9" priority="6" rank="3"/>
  </conditionalFormatting>
  <conditionalFormatting sqref="F1:F1048576">
    <cfRule type="top10" dxfId="8" priority="2" bottom="1" rank="3"/>
    <cfRule type="top10" dxfId="7" priority="5" rank="3"/>
  </conditionalFormatting>
  <conditionalFormatting sqref="G1:G1048576">
    <cfRule type="top10" dxfId="6" priority="1" bottom="1" rank="3"/>
    <cfRule type="top10" dxfId="5" priority="4" rank="3"/>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E952A-BEBB-46C1-A2BC-C701B758D4BE}">
  <dimension ref="A3:H9"/>
  <sheetViews>
    <sheetView workbookViewId="0">
      <selection activeCell="D20" sqref="D20"/>
    </sheetView>
  </sheetViews>
  <sheetFormatPr defaultRowHeight="15" x14ac:dyDescent="0.25"/>
  <cols>
    <col min="1" max="1" width="20.7109375" bestFit="1" customWidth="1"/>
    <col min="2" max="2" width="16.28515625" bestFit="1" customWidth="1"/>
    <col min="3" max="3" width="10.5703125" bestFit="1" customWidth="1"/>
    <col min="4" max="4" width="12.140625" bestFit="1" customWidth="1"/>
    <col min="5" max="6" width="7.140625" bestFit="1" customWidth="1"/>
    <col min="7" max="7" width="9.28515625" bestFit="1" customWidth="1"/>
    <col min="8" max="9" width="11.28515625" bestFit="1" customWidth="1"/>
    <col min="10" max="10" width="7" bestFit="1" customWidth="1"/>
    <col min="11" max="11" width="14.7109375" bestFit="1" customWidth="1"/>
    <col min="12" max="12" width="13.5703125" bestFit="1" customWidth="1"/>
    <col min="13" max="13" width="8.7109375" bestFit="1" customWidth="1"/>
    <col min="14" max="14" width="6" bestFit="1" customWidth="1"/>
    <col min="15" max="15" width="7" bestFit="1" customWidth="1"/>
    <col min="16" max="16" width="16.28515625" bestFit="1" customWidth="1"/>
    <col min="17" max="17" width="8.42578125" bestFit="1" customWidth="1"/>
    <col min="18" max="18" width="8.7109375" bestFit="1" customWidth="1"/>
    <col min="19" max="19" width="6" bestFit="1" customWidth="1"/>
    <col min="20" max="20" width="7" bestFit="1" customWidth="1"/>
    <col min="21" max="21" width="11.140625" bestFit="1" customWidth="1"/>
    <col min="22" max="22" width="7.7109375" bestFit="1" customWidth="1"/>
    <col min="23" max="23" width="8.7109375" bestFit="1" customWidth="1"/>
    <col min="24" max="24" width="6" bestFit="1" customWidth="1"/>
    <col min="25" max="25" width="7" bestFit="1" customWidth="1"/>
    <col min="26" max="26" width="10.28515625" bestFit="1" customWidth="1"/>
    <col min="27" max="27" width="11" bestFit="1" customWidth="1"/>
    <col min="28" max="28" width="8.7109375" bestFit="1" customWidth="1"/>
    <col min="29" max="29" width="6" bestFit="1" customWidth="1"/>
    <col min="30" max="30" width="7" bestFit="1" customWidth="1"/>
    <col min="31" max="31" width="13.7109375" bestFit="1" customWidth="1"/>
    <col min="32" max="32" width="9" bestFit="1" customWidth="1"/>
    <col min="33" max="33" width="11.7109375" bestFit="1" customWidth="1"/>
    <col min="34" max="34" width="10.7109375" bestFit="1" customWidth="1"/>
  </cols>
  <sheetData>
    <row r="3" spans="1:8" x14ac:dyDescent="0.25">
      <c r="A3" s="15" t="s">
        <v>1474</v>
      </c>
      <c r="B3" s="15" t="s">
        <v>1438</v>
      </c>
    </row>
    <row r="4" spans="1:8" x14ac:dyDescent="0.25">
      <c r="A4" s="15" t="s">
        <v>1432</v>
      </c>
      <c r="B4" t="s">
        <v>711</v>
      </c>
      <c r="C4" t="s">
        <v>710</v>
      </c>
      <c r="D4" t="s">
        <v>709</v>
      </c>
      <c r="E4" t="s">
        <v>708</v>
      </c>
      <c r="F4" t="s">
        <v>707</v>
      </c>
      <c r="G4" t="s">
        <v>1418</v>
      </c>
      <c r="H4" t="s">
        <v>1434</v>
      </c>
    </row>
    <row r="5" spans="1:8" x14ac:dyDescent="0.25">
      <c r="A5" s="16" t="s">
        <v>646</v>
      </c>
      <c r="B5" s="8">
        <v>0.17763419811514022</v>
      </c>
      <c r="C5" s="8">
        <v>0.24017766543817531</v>
      </c>
      <c r="D5" s="8">
        <v>0.20305689740383887</v>
      </c>
      <c r="E5" s="8">
        <v>0.16684645682272783</v>
      </c>
      <c r="F5" s="8">
        <v>0.19968989739934648</v>
      </c>
      <c r="G5" s="8">
        <v>1.2594884820771366E-2</v>
      </c>
      <c r="H5" s="8">
        <v>1</v>
      </c>
    </row>
    <row r="6" spans="1:8" x14ac:dyDescent="0.25">
      <c r="A6" s="16" t="s">
        <v>648</v>
      </c>
      <c r="B6" s="8">
        <v>0.27964209388840083</v>
      </c>
      <c r="C6" s="8">
        <v>0.21140873261126455</v>
      </c>
      <c r="D6" s="8">
        <v>0.13626254750800823</v>
      </c>
      <c r="E6" s="8">
        <v>0.25660676853333764</v>
      </c>
      <c r="F6" s="8">
        <v>0.11263731355325697</v>
      </c>
      <c r="G6" s="8">
        <v>3.4425439057317007E-3</v>
      </c>
      <c r="H6" s="8">
        <v>1</v>
      </c>
    </row>
    <row r="7" spans="1:8" x14ac:dyDescent="0.25">
      <c r="A7" s="16" t="s">
        <v>647</v>
      </c>
      <c r="B7" s="8">
        <v>0.22609014172883743</v>
      </c>
      <c r="C7" s="8">
        <v>0.17927990166846616</v>
      </c>
      <c r="D7" s="8">
        <v>0.19054974103273625</v>
      </c>
      <c r="E7" s="8">
        <v>0.14558000982537006</v>
      </c>
      <c r="F7" s="8">
        <v>0.24393754361410452</v>
      </c>
      <c r="G7" s="8">
        <v>1.4562662130485616E-2</v>
      </c>
      <c r="H7" s="8">
        <v>1</v>
      </c>
    </row>
    <row r="8" spans="1:8" x14ac:dyDescent="0.25">
      <c r="A8" s="16" t="s">
        <v>649</v>
      </c>
      <c r="B8" s="8">
        <v>0.30082759058230796</v>
      </c>
      <c r="C8" s="8">
        <v>0.11379437522820594</v>
      </c>
      <c r="D8" s="8">
        <v>0.20338414276125114</v>
      </c>
      <c r="E8" s="8">
        <v>0.2090000871634993</v>
      </c>
      <c r="F8" s="8">
        <v>0.16654949001834427</v>
      </c>
      <c r="G8" s="8">
        <v>6.4443142463915136E-3</v>
      </c>
      <c r="H8" s="8">
        <v>1</v>
      </c>
    </row>
    <row r="9" spans="1:8" x14ac:dyDescent="0.25">
      <c r="A9" s="16" t="s">
        <v>1434</v>
      </c>
      <c r="B9" s="8">
        <v>0.24690255093967589</v>
      </c>
      <c r="C9" s="8">
        <v>0.18487540926024382</v>
      </c>
      <c r="D9" s="8">
        <v>0.18345597718183324</v>
      </c>
      <c r="E9" s="8">
        <v>0.19420404296637048</v>
      </c>
      <c r="F9" s="8">
        <v>0.1812835552275042</v>
      </c>
      <c r="G9" s="8">
        <v>9.2784644243724054E-3</v>
      </c>
      <c r="H9" s="8">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9A860-EBE6-42FD-927F-E42F383FA590}">
  <dimension ref="A3:C86"/>
  <sheetViews>
    <sheetView workbookViewId="0">
      <selection activeCell="B8" sqref="B8"/>
    </sheetView>
  </sheetViews>
  <sheetFormatPr defaultRowHeight="15" x14ac:dyDescent="0.25"/>
  <cols>
    <col min="1" max="1" width="12.5703125" bestFit="1" customWidth="1"/>
    <col min="2" max="2" width="21.5703125" style="8" bestFit="1" customWidth="1"/>
    <col min="3" max="3" width="8.7109375" bestFit="1" customWidth="1"/>
    <col min="4" max="5" width="7" bestFit="1" customWidth="1"/>
    <col min="6" max="7" width="10.7109375" bestFit="1" customWidth="1"/>
  </cols>
  <sheetData>
    <row r="3" spans="1:3" x14ac:dyDescent="0.25">
      <c r="A3" s="15" t="s">
        <v>1432</v>
      </c>
      <c r="B3" s="8" t="s">
        <v>1499</v>
      </c>
      <c r="C3" t="s">
        <v>1500</v>
      </c>
    </row>
    <row r="4" spans="1:3" x14ac:dyDescent="0.25">
      <c r="A4" s="16" t="s">
        <v>720</v>
      </c>
      <c r="B4" s="8">
        <v>0.19565217391304349</v>
      </c>
      <c r="C4" t="str">
        <f>IF(B4&gt;30%,"OUTLIER","OK")</f>
        <v>OK</v>
      </c>
    </row>
    <row r="5" spans="1:3" x14ac:dyDescent="0.25">
      <c r="A5" s="17" t="s">
        <v>646</v>
      </c>
      <c r="B5" s="8">
        <v>0.1875</v>
      </c>
      <c r="C5" t="str">
        <f t="shared" ref="C5:C68" si="0">IF(B5&gt;30%,"OUTLIER","OK")</f>
        <v>OK</v>
      </c>
    </row>
    <row r="6" spans="1:3" x14ac:dyDescent="0.25">
      <c r="A6" s="17" t="s">
        <v>648</v>
      </c>
      <c r="B6" s="8">
        <v>0.5</v>
      </c>
      <c r="C6" t="str">
        <f t="shared" si="0"/>
        <v>OUTLIER</v>
      </c>
    </row>
    <row r="7" spans="1:3" x14ac:dyDescent="0.25">
      <c r="A7" s="17" t="s">
        <v>647</v>
      </c>
      <c r="B7" s="8">
        <v>0</v>
      </c>
      <c r="C7" t="str">
        <f t="shared" si="0"/>
        <v>OK</v>
      </c>
    </row>
    <row r="8" spans="1:3" x14ac:dyDescent="0.25">
      <c r="A8" s="17" t="s">
        <v>649</v>
      </c>
      <c r="B8" s="8">
        <v>0.1</v>
      </c>
      <c r="C8" t="str">
        <f t="shared" si="0"/>
        <v>OK</v>
      </c>
    </row>
    <row r="9" spans="1:3" x14ac:dyDescent="0.25">
      <c r="A9" s="16" t="s">
        <v>717</v>
      </c>
      <c r="B9" s="8">
        <v>0.10416666666666667</v>
      </c>
      <c r="C9" t="str">
        <f t="shared" si="0"/>
        <v>OK</v>
      </c>
    </row>
    <row r="10" spans="1:3" x14ac:dyDescent="0.25">
      <c r="A10" s="17" t="s">
        <v>646</v>
      </c>
      <c r="B10" s="8">
        <v>0</v>
      </c>
      <c r="C10" t="str">
        <f t="shared" si="0"/>
        <v>OK</v>
      </c>
    </row>
    <row r="11" spans="1:3" x14ac:dyDescent="0.25">
      <c r="A11" s="17" t="s">
        <v>648</v>
      </c>
      <c r="B11" s="8">
        <v>0.125</v>
      </c>
      <c r="C11" t="str">
        <f t="shared" si="0"/>
        <v>OK</v>
      </c>
    </row>
    <row r="12" spans="1:3" x14ac:dyDescent="0.25">
      <c r="A12" s="17" t="s">
        <v>647</v>
      </c>
      <c r="B12" s="8">
        <v>0.11764705882352941</v>
      </c>
      <c r="C12" t="str">
        <f t="shared" si="0"/>
        <v>OK</v>
      </c>
    </row>
    <row r="13" spans="1:3" x14ac:dyDescent="0.25">
      <c r="A13" s="17" t="s">
        <v>649</v>
      </c>
      <c r="B13" s="8">
        <v>0.13333333333333333</v>
      </c>
      <c r="C13" t="str">
        <f t="shared" si="0"/>
        <v>OK</v>
      </c>
    </row>
    <row r="14" spans="1:3" x14ac:dyDescent="0.25">
      <c r="A14" s="16" t="s">
        <v>712</v>
      </c>
      <c r="B14" s="8">
        <v>0.21621621621621623</v>
      </c>
      <c r="C14" t="str">
        <f t="shared" si="0"/>
        <v>OK</v>
      </c>
    </row>
    <row r="15" spans="1:3" x14ac:dyDescent="0.25">
      <c r="A15" s="17" t="s">
        <v>646</v>
      </c>
      <c r="B15" s="8">
        <v>0.25</v>
      </c>
      <c r="C15" t="str">
        <f t="shared" si="0"/>
        <v>OK</v>
      </c>
    </row>
    <row r="16" spans="1:3" x14ac:dyDescent="0.25">
      <c r="A16" s="17" t="s">
        <v>648</v>
      </c>
      <c r="B16" s="8">
        <v>0.14285714285714285</v>
      </c>
      <c r="C16" t="str">
        <f t="shared" si="0"/>
        <v>OK</v>
      </c>
    </row>
    <row r="17" spans="1:3" x14ac:dyDescent="0.25">
      <c r="A17" s="17" t="s">
        <v>647</v>
      </c>
      <c r="B17" s="8">
        <v>0.3</v>
      </c>
      <c r="C17" t="str">
        <f t="shared" si="0"/>
        <v>OK</v>
      </c>
    </row>
    <row r="18" spans="1:3" x14ac:dyDescent="0.25">
      <c r="A18" s="17" t="s">
        <v>649</v>
      </c>
      <c r="B18" s="8">
        <v>0.2</v>
      </c>
      <c r="C18" t="str">
        <f t="shared" si="0"/>
        <v>OK</v>
      </c>
    </row>
    <row r="19" spans="1:3" x14ac:dyDescent="0.25">
      <c r="A19" s="16" t="s">
        <v>726</v>
      </c>
      <c r="B19" s="8">
        <v>0.21052631578947367</v>
      </c>
      <c r="C19" t="str">
        <f t="shared" si="0"/>
        <v>OK</v>
      </c>
    </row>
    <row r="20" spans="1:3" x14ac:dyDescent="0.25">
      <c r="A20" s="17" t="s">
        <v>646</v>
      </c>
      <c r="B20" s="8">
        <v>0.2</v>
      </c>
      <c r="C20" t="str">
        <f t="shared" si="0"/>
        <v>OK</v>
      </c>
    </row>
    <row r="21" spans="1:3" x14ac:dyDescent="0.25">
      <c r="A21" s="17" t="s">
        <v>648</v>
      </c>
      <c r="B21" s="8">
        <v>0.5</v>
      </c>
      <c r="C21" t="str">
        <f t="shared" si="0"/>
        <v>OUTLIER</v>
      </c>
    </row>
    <row r="22" spans="1:3" x14ac:dyDescent="0.25">
      <c r="A22" s="17" t="s">
        <v>647</v>
      </c>
      <c r="B22" s="8">
        <v>0.1111111111111111</v>
      </c>
      <c r="C22" t="str">
        <f t="shared" si="0"/>
        <v>OK</v>
      </c>
    </row>
    <row r="23" spans="1:3" x14ac:dyDescent="0.25">
      <c r="A23" s="17" t="s">
        <v>649</v>
      </c>
      <c r="B23" s="8">
        <v>9.0909090909090912E-2</v>
      </c>
      <c r="C23" t="str">
        <f t="shared" si="0"/>
        <v>OK</v>
      </c>
    </row>
    <row r="24" spans="1:3" x14ac:dyDescent="0.25">
      <c r="A24" s="16" t="s">
        <v>718</v>
      </c>
      <c r="B24" s="8">
        <v>8.8235294117647065E-2</v>
      </c>
      <c r="C24" t="str">
        <f t="shared" si="0"/>
        <v>OK</v>
      </c>
    </row>
    <row r="25" spans="1:3" x14ac:dyDescent="0.25">
      <c r="A25" s="17" t="s">
        <v>646</v>
      </c>
      <c r="B25" s="8">
        <v>0.2</v>
      </c>
      <c r="C25" t="str">
        <f t="shared" si="0"/>
        <v>OK</v>
      </c>
    </row>
    <row r="26" spans="1:3" x14ac:dyDescent="0.25">
      <c r="A26" s="17" t="s">
        <v>648</v>
      </c>
      <c r="B26" s="8">
        <v>0</v>
      </c>
      <c r="C26" t="str">
        <f t="shared" si="0"/>
        <v>OK</v>
      </c>
    </row>
    <row r="27" spans="1:3" x14ac:dyDescent="0.25">
      <c r="A27" s="17" t="s">
        <v>647</v>
      </c>
      <c r="B27" s="8">
        <v>0</v>
      </c>
      <c r="C27" t="str">
        <f t="shared" si="0"/>
        <v>OK</v>
      </c>
    </row>
    <row r="28" spans="1:3" x14ac:dyDescent="0.25">
      <c r="A28" s="17" t="s">
        <v>649</v>
      </c>
      <c r="B28" s="8">
        <v>0.125</v>
      </c>
      <c r="C28" t="str">
        <f t="shared" si="0"/>
        <v>OK</v>
      </c>
    </row>
    <row r="29" spans="1:3" x14ac:dyDescent="0.25">
      <c r="A29" s="16" t="s">
        <v>721</v>
      </c>
      <c r="B29" s="8">
        <v>7.8431372549019607E-2</v>
      </c>
      <c r="C29" t="str">
        <f t="shared" si="0"/>
        <v>OK</v>
      </c>
    </row>
    <row r="30" spans="1:3" x14ac:dyDescent="0.25">
      <c r="A30" s="17" t="s">
        <v>646</v>
      </c>
      <c r="B30" s="8">
        <v>0</v>
      </c>
      <c r="C30" t="str">
        <f t="shared" si="0"/>
        <v>OK</v>
      </c>
    </row>
    <row r="31" spans="1:3" x14ac:dyDescent="0.25">
      <c r="A31" s="17" t="s">
        <v>648</v>
      </c>
      <c r="B31" s="8">
        <v>6.6666666666666666E-2</v>
      </c>
      <c r="C31" t="str">
        <f t="shared" si="0"/>
        <v>OK</v>
      </c>
    </row>
    <row r="32" spans="1:3" x14ac:dyDescent="0.25">
      <c r="A32" s="17" t="s">
        <v>647</v>
      </c>
      <c r="B32" s="8">
        <v>0.25</v>
      </c>
      <c r="C32" t="str">
        <f t="shared" si="0"/>
        <v>OK</v>
      </c>
    </row>
    <row r="33" spans="1:3" x14ac:dyDescent="0.25">
      <c r="A33" s="17" t="s">
        <v>649</v>
      </c>
      <c r="B33" s="8">
        <v>0</v>
      </c>
      <c r="C33" t="str">
        <f t="shared" si="0"/>
        <v>OK</v>
      </c>
    </row>
    <row r="34" spans="1:3" x14ac:dyDescent="0.25">
      <c r="A34" s="16" t="s">
        <v>715</v>
      </c>
      <c r="B34" s="8">
        <v>0.1</v>
      </c>
      <c r="C34" t="str">
        <f t="shared" si="0"/>
        <v>OK</v>
      </c>
    </row>
    <row r="35" spans="1:3" x14ac:dyDescent="0.25">
      <c r="A35" s="17" t="s">
        <v>646</v>
      </c>
      <c r="B35" s="8">
        <v>0</v>
      </c>
      <c r="C35" t="str">
        <f t="shared" si="0"/>
        <v>OK</v>
      </c>
    </row>
    <row r="36" spans="1:3" x14ac:dyDescent="0.25">
      <c r="A36" s="17" t="s">
        <v>648</v>
      </c>
      <c r="B36" s="8">
        <v>0.125</v>
      </c>
      <c r="C36" t="str">
        <f t="shared" si="0"/>
        <v>OK</v>
      </c>
    </row>
    <row r="37" spans="1:3" x14ac:dyDescent="0.25">
      <c r="A37" s="17" t="s">
        <v>647</v>
      </c>
      <c r="B37" s="8">
        <v>9.0909090909090912E-2</v>
      </c>
      <c r="C37" t="str">
        <f t="shared" si="0"/>
        <v>OK</v>
      </c>
    </row>
    <row r="38" spans="1:3" x14ac:dyDescent="0.25">
      <c r="A38" s="17" t="s">
        <v>649</v>
      </c>
      <c r="B38" s="8">
        <v>0.125</v>
      </c>
      <c r="C38" t="str">
        <f t="shared" si="0"/>
        <v>OK</v>
      </c>
    </row>
    <row r="39" spans="1:3" x14ac:dyDescent="0.25">
      <c r="A39" s="16" t="s">
        <v>722</v>
      </c>
      <c r="B39" s="8">
        <v>8.8888888888888892E-2</v>
      </c>
      <c r="C39" t="str">
        <f t="shared" si="0"/>
        <v>OK</v>
      </c>
    </row>
    <row r="40" spans="1:3" x14ac:dyDescent="0.25">
      <c r="A40" s="17" t="s">
        <v>646</v>
      </c>
      <c r="B40" s="8">
        <v>0.14285714285714285</v>
      </c>
      <c r="C40" t="str">
        <f t="shared" si="0"/>
        <v>OK</v>
      </c>
    </row>
    <row r="41" spans="1:3" x14ac:dyDescent="0.25">
      <c r="A41" s="17" t="s">
        <v>648</v>
      </c>
      <c r="B41" s="8">
        <v>0</v>
      </c>
      <c r="C41" t="str">
        <f t="shared" si="0"/>
        <v>OK</v>
      </c>
    </row>
    <row r="42" spans="1:3" x14ac:dyDescent="0.25">
      <c r="A42" s="17" t="s">
        <v>647</v>
      </c>
      <c r="B42" s="8">
        <v>0.125</v>
      </c>
      <c r="C42" t="str">
        <f t="shared" si="0"/>
        <v>OK</v>
      </c>
    </row>
    <row r="43" spans="1:3" x14ac:dyDescent="0.25">
      <c r="A43" s="17" t="s">
        <v>649</v>
      </c>
      <c r="B43" s="8">
        <v>7.6923076923076927E-2</v>
      </c>
      <c r="C43" t="str">
        <f t="shared" si="0"/>
        <v>OK</v>
      </c>
    </row>
    <row r="44" spans="1:3" x14ac:dyDescent="0.25">
      <c r="A44" s="16" t="s">
        <v>714</v>
      </c>
      <c r="B44" s="8">
        <v>0.23684210526315788</v>
      </c>
      <c r="C44" t="str">
        <f t="shared" si="0"/>
        <v>OK</v>
      </c>
    </row>
    <row r="45" spans="1:3" x14ac:dyDescent="0.25">
      <c r="A45" s="17" t="s">
        <v>646</v>
      </c>
      <c r="B45" s="8">
        <v>0.25</v>
      </c>
      <c r="C45" t="str">
        <f t="shared" si="0"/>
        <v>OK</v>
      </c>
    </row>
    <row r="46" spans="1:3" x14ac:dyDescent="0.25">
      <c r="A46" s="17" t="s">
        <v>648</v>
      </c>
      <c r="B46" s="8">
        <v>0.35714285714285715</v>
      </c>
      <c r="C46" t="str">
        <f t="shared" si="0"/>
        <v>OUTLIER</v>
      </c>
    </row>
    <row r="47" spans="1:3" x14ac:dyDescent="0.25">
      <c r="A47" s="17" t="s">
        <v>647</v>
      </c>
      <c r="B47" s="8">
        <v>0.125</v>
      </c>
      <c r="C47" t="str">
        <f t="shared" si="0"/>
        <v>OK</v>
      </c>
    </row>
    <row r="48" spans="1:3" x14ac:dyDescent="0.25">
      <c r="A48" s="17" t="s">
        <v>649</v>
      </c>
      <c r="B48" s="8">
        <v>0.125</v>
      </c>
      <c r="C48" t="str">
        <f t="shared" si="0"/>
        <v>OK</v>
      </c>
    </row>
    <row r="49" spans="1:3" x14ac:dyDescent="0.25">
      <c r="A49" s="16" t="s">
        <v>713</v>
      </c>
      <c r="B49" s="8">
        <v>0.12</v>
      </c>
      <c r="C49" t="str">
        <f t="shared" si="0"/>
        <v>OK</v>
      </c>
    </row>
    <row r="50" spans="1:3" x14ac:dyDescent="0.25">
      <c r="A50" s="17" t="s">
        <v>646</v>
      </c>
      <c r="B50" s="8">
        <v>0.25</v>
      </c>
      <c r="C50" t="str">
        <f t="shared" si="0"/>
        <v>OK</v>
      </c>
    </row>
    <row r="51" spans="1:3" x14ac:dyDescent="0.25">
      <c r="A51" s="17" t="s">
        <v>648</v>
      </c>
      <c r="B51" s="8">
        <v>0</v>
      </c>
      <c r="C51" t="str">
        <f t="shared" si="0"/>
        <v>OK</v>
      </c>
    </row>
    <row r="52" spans="1:3" x14ac:dyDescent="0.25">
      <c r="A52" s="17" t="s">
        <v>647</v>
      </c>
      <c r="B52" s="8">
        <v>0.10526315789473684</v>
      </c>
      <c r="C52" t="str">
        <f t="shared" si="0"/>
        <v>OK</v>
      </c>
    </row>
    <row r="53" spans="1:3" x14ac:dyDescent="0.25">
      <c r="A53" s="17" t="s">
        <v>649</v>
      </c>
      <c r="B53" s="8">
        <v>0.1111111111111111</v>
      </c>
      <c r="C53" t="str">
        <f t="shared" si="0"/>
        <v>OK</v>
      </c>
    </row>
    <row r="54" spans="1:3" x14ac:dyDescent="0.25">
      <c r="A54" s="16" t="s">
        <v>723</v>
      </c>
      <c r="B54" s="8">
        <v>9.0909090909090912E-2</v>
      </c>
      <c r="C54" t="str">
        <f t="shared" si="0"/>
        <v>OK</v>
      </c>
    </row>
    <row r="55" spans="1:3" x14ac:dyDescent="0.25">
      <c r="A55" s="17" t="s">
        <v>646</v>
      </c>
      <c r="B55" s="8">
        <v>0</v>
      </c>
      <c r="C55" t="str">
        <f t="shared" si="0"/>
        <v>OK</v>
      </c>
    </row>
    <row r="56" spans="1:3" x14ac:dyDescent="0.25">
      <c r="A56" s="17" t="s">
        <v>648</v>
      </c>
      <c r="B56" s="8">
        <v>0.1</v>
      </c>
      <c r="C56" t="str">
        <f t="shared" si="0"/>
        <v>OK</v>
      </c>
    </row>
    <row r="57" spans="1:3" x14ac:dyDescent="0.25">
      <c r="A57" s="17" t="s">
        <v>647</v>
      </c>
      <c r="B57" s="8">
        <v>0.14285714285714285</v>
      </c>
      <c r="C57" t="str">
        <f t="shared" si="0"/>
        <v>OK</v>
      </c>
    </row>
    <row r="58" spans="1:3" x14ac:dyDescent="0.25">
      <c r="A58" s="17" t="s">
        <v>649</v>
      </c>
      <c r="B58" s="8">
        <v>0.15384615384615385</v>
      </c>
      <c r="C58" t="str">
        <f t="shared" si="0"/>
        <v>OK</v>
      </c>
    </row>
    <row r="59" spans="1:3" x14ac:dyDescent="0.25">
      <c r="A59" s="16" t="s">
        <v>716</v>
      </c>
      <c r="B59" s="8">
        <v>0.17391304347826086</v>
      </c>
      <c r="C59" t="str">
        <f t="shared" si="0"/>
        <v>OK</v>
      </c>
    </row>
    <row r="60" spans="1:3" x14ac:dyDescent="0.25">
      <c r="A60" s="17" t="s">
        <v>646</v>
      </c>
      <c r="B60" s="8">
        <v>0.2</v>
      </c>
      <c r="C60" t="str">
        <f t="shared" si="0"/>
        <v>OK</v>
      </c>
    </row>
    <row r="61" spans="1:3" x14ac:dyDescent="0.25">
      <c r="A61" s="17" t="s">
        <v>648</v>
      </c>
      <c r="B61" s="8">
        <v>0.25</v>
      </c>
      <c r="C61" t="str">
        <f t="shared" si="0"/>
        <v>OK</v>
      </c>
    </row>
    <row r="62" spans="1:3" x14ac:dyDescent="0.25">
      <c r="A62" s="17" t="s">
        <v>647</v>
      </c>
      <c r="B62" s="8">
        <v>0.21428571428571427</v>
      </c>
      <c r="C62" t="str">
        <f t="shared" si="0"/>
        <v>OK</v>
      </c>
    </row>
    <row r="63" spans="1:3" x14ac:dyDescent="0.25">
      <c r="A63" s="17" t="s">
        <v>649</v>
      </c>
      <c r="B63" s="8">
        <v>0</v>
      </c>
      <c r="C63" t="str">
        <f t="shared" si="0"/>
        <v>OK</v>
      </c>
    </row>
    <row r="64" spans="1:3" x14ac:dyDescent="0.25">
      <c r="A64" s="16" t="s">
        <v>724</v>
      </c>
      <c r="B64" s="8">
        <v>0.16666666666666666</v>
      </c>
      <c r="C64" t="str">
        <f t="shared" si="0"/>
        <v>OK</v>
      </c>
    </row>
    <row r="65" spans="1:3" x14ac:dyDescent="0.25">
      <c r="A65" s="17" t="s">
        <v>646</v>
      </c>
      <c r="B65" s="8">
        <v>0.3125</v>
      </c>
      <c r="C65" t="str">
        <f t="shared" si="0"/>
        <v>OUTLIER</v>
      </c>
    </row>
    <row r="66" spans="1:3" x14ac:dyDescent="0.25">
      <c r="A66" s="17" t="s">
        <v>648</v>
      </c>
      <c r="B66" s="8">
        <v>0.16666666666666666</v>
      </c>
      <c r="C66" t="str">
        <f t="shared" si="0"/>
        <v>OK</v>
      </c>
    </row>
    <row r="67" spans="1:3" x14ac:dyDescent="0.25">
      <c r="A67" s="17" t="s">
        <v>647</v>
      </c>
      <c r="B67" s="8">
        <v>0</v>
      </c>
      <c r="C67" t="str">
        <f t="shared" si="0"/>
        <v>OK</v>
      </c>
    </row>
    <row r="68" spans="1:3" x14ac:dyDescent="0.25">
      <c r="A68" s="17" t="s">
        <v>649</v>
      </c>
      <c r="B68" s="8">
        <v>0.1</v>
      </c>
      <c r="C68" t="str">
        <f t="shared" si="0"/>
        <v>OK</v>
      </c>
    </row>
    <row r="69" spans="1:3" x14ac:dyDescent="0.25">
      <c r="A69" s="16" t="s">
        <v>725</v>
      </c>
      <c r="B69" s="8">
        <v>0.15625</v>
      </c>
      <c r="C69" t="str">
        <f t="shared" ref="C69:C84" si="1">IF(B69&gt;30%,"OUTLIER","OK")</f>
        <v>OK</v>
      </c>
    </row>
    <row r="70" spans="1:3" x14ac:dyDescent="0.25">
      <c r="A70" s="17" t="s">
        <v>646</v>
      </c>
      <c r="B70" s="8">
        <v>0</v>
      </c>
      <c r="C70" t="str">
        <f t="shared" si="1"/>
        <v>OK</v>
      </c>
    </row>
    <row r="71" spans="1:3" x14ac:dyDescent="0.25">
      <c r="A71" s="17" t="s">
        <v>648</v>
      </c>
      <c r="B71" s="8">
        <v>0.14285714285714285</v>
      </c>
      <c r="C71" t="str">
        <f t="shared" si="1"/>
        <v>OK</v>
      </c>
    </row>
    <row r="72" spans="1:3" x14ac:dyDescent="0.25">
      <c r="A72" s="17" t="s">
        <v>647</v>
      </c>
      <c r="B72" s="8">
        <v>0.1</v>
      </c>
      <c r="C72" t="str">
        <f t="shared" si="1"/>
        <v>OK</v>
      </c>
    </row>
    <row r="73" spans="1:3" x14ac:dyDescent="0.25">
      <c r="A73" s="17" t="s">
        <v>649</v>
      </c>
      <c r="B73" s="8">
        <v>0.27272727272727271</v>
      </c>
      <c r="C73" t="str">
        <f t="shared" si="1"/>
        <v>OK</v>
      </c>
    </row>
    <row r="74" spans="1:3" x14ac:dyDescent="0.25">
      <c r="A74" s="16" t="s">
        <v>719</v>
      </c>
      <c r="B74" s="8">
        <v>0.10810810810810811</v>
      </c>
      <c r="C74" t="str">
        <f t="shared" si="1"/>
        <v>OK</v>
      </c>
    </row>
    <row r="75" spans="1:3" x14ac:dyDescent="0.25">
      <c r="A75" s="17" t="s">
        <v>646</v>
      </c>
      <c r="B75" s="8">
        <v>0</v>
      </c>
      <c r="C75" t="str">
        <f t="shared" si="1"/>
        <v>OK</v>
      </c>
    </row>
    <row r="76" spans="1:3" x14ac:dyDescent="0.25">
      <c r="A76" s="17" t="s">
        <v>648</v>
      </c>
      <c r="B76" s="8">
        <v>0</v>
      </c>
      <c r="C76" t="str">
        <f t="shared" si="1"/>
        <v>OK</v>
      </c>
    </row>
    <row r="77" spans="1:3" x14ac:dyDescent="0.25">
      <c r="A77" s="17" t="s">
        <v>647</v>
      </c>
      <c r="B77" s="8">
        <v>0.5</v>
      </c>
      <c r="C77" t="str">
        <f t="shared" si="1"/>
        <v>OUTLIER</v>
      </c>
    </row>
    <row r="78" spans="1:3" x14ac:dyDescent="0.25">
      <c r="A78" s="17" t="s">
        <v>649</v>
      </c>
      <c r="B78" s="8">
        <v>0</v>
      </c>
      <c r="C78" t="str">
        <f t="shared" si="1"/>
        <v>OK</v>
      </c>
    </row>
    <row r="79" spans="1:3" x14ac:dyDescent="0.25">
      <c r="A79" s="16" t="s">
        <v>1418</v>
      </c>
      <c r="B79" s="8">
        <v>0.25</v>
      </c>
      <c r="C79" t="str">
        <f t="shared" si="1"/>
        <v>OK</v>
      </c>
    </row>
    <row r="80" spans="1:3" x14ac:dyDescent="0.25">
      <c r="A80" s="17" t="s">
        <v>646</v>
      </c>
      <c r="B80" s="8">
        <v>0.5</v>
      </c>
      <c r="C80" t="str">
        <f t="shared" si="1"/>
        <v>OUTLIER</v>
      </c>
    </row>
    <row r="81" spans="1:3" x14ac:dyDescent="0.25">
      <c r="A81" s="17" t="s">
        <v>648</v>
      </c>
      <c r="B81" s="8">
        <v>0.33333333333333331</v>
      </c>
      <c r="C81" t="str">
        <f t="shared" si="1"/>
        <v>OUTLIER</v>
      </c>
    </row>
    <row r="82" spans="1:3" x14ac:dyDescent="0.25">
      <c r="A82" s="17" t="s">
        <v>647</v>
      </c>
      <c r="B82" s="8">
        <v>0</v>
      </c>
      <c r="C82" t="str">
        <f t="shared" si="1"/>
        <v>OK</v>
      </c>
    </row>
    <row r="83" spans="1:3" x14ac:dyDescent="0.25">
      <c r="A83" s="17" t="s">
        <v>649</v>
      </c>
      <c r="B83" s="8">
        <v>0</v>
      </c>
      <c r="C83" t="str">
        <f t="shared" si="1"/>
        <v>OK</v>
      </c>
    </row>
    <row r="84" spans="1:3" x14ac:dyDescent="0.25">
      <c r="A84" s="16" t="s">
        <v>1434</v>
      </c>
      <c r="B84" s="8">
        <v>0.14240506329113925</v>
      </c>
      <c r="C84" t="str">
        <f t="shared" si="1"/>
        <v>OK</v>
      </c>
    </row>
    <row r="85" spans="1:3" x14ac:dyDescent="0.25">
      <c r="B85"/>
    </row>
    <row r="86" spans="1:3" x14ac:dyDescent="0.25">
      <c r="B86"/>
    </row>
  </sheetData>
  <conditionalFormatting sqref="A3:F3 A4:A21 C4:F4 D5:F21 C5:C84">
    <cfRule type="top10" dxfId="4" priority="4" rank="7"/>
  </conditionalFormatting>
  <conditionalFormatting sqref="B1:B3 B85:B1048576">
    <cfRule type="cellIs" dxfId="3" priority="1" operator="greaterThan">
      <formula>0.3</formula>
    </cfRule>
    <cfRule type="containsText" dxfId="2" priority="3" operator="containsText" text="OUTLIER">
      <formula>NOT(ISERROR(SEARCH("OUTLIER",B1)))</formula>
    </cfRule>
  </conditionalFormatting>
  <conditionalFormatting sqref="C1:C1048576">
    <cfRule type="containsText" dxfId="1" priority="2" operator="containsText" text="OUTLIER">
      <formula>NOT(ISERROR(SEARCH("OUTLIER",C1)))</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F2E7A-A00F-4E0A-9EBD-0D84C829B1B0}">
  <dimension ref="A1:F17"/>
  <sheetViews>
    <sheetView workbookViewId="0">
      <selection activeCell="M24" sqref="M24"/>
    </sheetView>
  </sheetViews>
  <sheetFormatPr defaultRowHeight="15" x14ac:dyDescent="0.25"/>
  <sheetData>
    <row r="1" spans="1:6" x14ac:dyDescent="0.25">
      <c r="A1" s="19" t="s">
        <v>1432</v>
      </c>
      <c r="B1" s="19" t="s">
        <v>646</v>
      </c>
      <c r="C1" s="19" t="s">
        <v>648</v>
      </c>
      <c r="D1" s="19" t="s">
        <v>647</v>
      </c>
      <c r="E1" s="19" t="s">
        <v>649</v>
      </c>
      <c r="F1" s="19" t="s">
        <v>1434</v>
      </c>
    </row>
    <row r="2" spans="1:6" x14ac:dyDescent="0.25">
      <c r="A2" s="16" t="s">
        <v>720</v>
      </c>
      <c r="B2" s="8">
        <v>0.1875</v>
      </c>
      <c r="C2" s="8">
        <v>0.5</v>
      </c>
      <c r="D2" s="8">
        <v>0</v>
      </c>
      <c r="E2" s="8">
        <v>0.1</v>
      </c>
      <c r="F2" s="8">
        <v>0.19565217391304349</v>
      </c>
    </row>
    <row r="3" spans="1:6" x14ac:dyDescent="0.25">
      <c r="A3" s="16" t="s">
        <v>717</v>
      </c>
      <c r="B3" s="8">
        <v>0</v>
      </c>
      <c r="C3" s="8">
        <v>0.125</v>
      </c>
      <c r="D3" s="8">
        <v>0.11764705882352941</v>
      </c>
      <c r="E3" s="8">
        <v>0.13333333333333333</v>
      </c>
      <c r="F3" s="8">
        <v>0.10416666666666667</v>
      </c>
    </row>
    <row r="4" spans="1:6" x14ac:dyDescent="0.25">
      <c r="A4" s="16" t="s">
        <v>712</v>
      </c>
      <c r="B4" s="8">
        <v>0.25</v>
      </c>
      <c r="C4" s="8">
        <v>0.14285714285714285</v>
      </c>
      <c r="D4" s="8">
        <v>0.3</v>
      </c>
      <c r="E4" s="8">
        <v>0.2</v>
      </c>
      <c r="F4" s="8">
        <v>0.21621621621621623</v>
      </c>
    </row>
    <row r="5" spans="1:6" x14ac:dyDescent="0.25">
      <c r="A5" s="16" t="s">
        <v>726</v>
      </c>
      <c r="B5" s="8">
        <v>0.2</v>
      </c>
      <c r="C5" s="8">
        <v>0.5</v>
      </c>
      <c r="D5" s="8">
        <v>0.1111111111111111</v>
      </c>
      <c r="E5" s="8">
        <v>9.0909090909090912E-2</v>
      </c>
      <c r="F5" s="8">
        <v>0.21052631578947367</v>
      </c>
    </row>
    <row r="6" spans="1:6" x14ac:dyDescent="0.25">
      <c r="A6" s="16" t="s">
        <v>718</v>
      </c>
      <c r="B6" s="8">
        <v>0.2</v>
      </c>
      <c r="C6" s="8">
        <v>0</v>
      </c>
      <c r="D6" s="8">
        <v>0</v>
      </c>
      <c r="E6" s="8">
        <v>0.125</v>
      </c>
      <c r="F6" s="8">
        <v>8.8235294117647065E-2</v>
      </c>
    </row>
    <row r="7" spans="1:6" x14ac:dyDescent="0.25">
      <c r="A7" s="16" t="s">
        <v>721</v>
      </c>
      <c r="B7" s="8">
        <v>0</v>
      </c>
      <c r="C7" s="8">
        <v>6.6666666666666666E-2</v>
      </c>
      <c r="D7" s="8">
        <v>0.25</v>
      </c>
      <c r="E7" s="8">
        <v>0</v>
      </c>
      <c r="F7" s="8">
        <v>7.8431372549019607E-2</v>
      </c>
    </row>
    <row r="8" spans="1:6" x14ac:dyDescent="0.25">
      <c r="A8" s="16" t="s">
        <v>715</v>
      </c>
      <c r="B8" s="8">
        <v>0</v>
      </c>
      <c r="C8" s="8">
        <v>0.125</v>
      </c>
      <c r="D8" s="8">
        <v>9.0909090909090912E-2</v>
      </c>
      <c r="E8" s="8">
        <v>0.125</v>
      </c>
      <c r="F8" s="8">
        <v>0.1</v>
      </c>
    </row>
    <row r="9" spans="1:6" x14ac:dyDescent="0.25">
      <c r="A9" s="16" t="s">
        <v>722</v>
      </c>
      <c r="B9" s="8">
        <v>0.14285714285714285</v>
      </c>
      <c r="C9" s="8">
        <v>0</v>
      </c>
      <c r="D9" s="8">
        <v>0.125</v>
      </c>
      <c r="E9" s="8">
        <v>7.6923076923076927E-2</v>
      </c>
      <c r="F9" s="8">
        <v>8.8888888888888892E-2</v>
      </c>
    </row>
    <row r="10" spans="1:6" x14ac:dyDescent="0.25">
      <c r="A10" s="16" t="s">
        <v>714</v>
      </c>
      <c r="B10" s="8">
        <v>0.25</v>
      </c>
      <c r="C10" s="8">
        <v>0.35714285714285715</v>
      </c>
      <c r="D10" s="8">
        <v>0.125</v>
      </c>
      <c r="E10" s="8">
        <v>0.125</v>
      </c>
      <c r="F10" s="8">
        <v>0.23684210526315788</v>
      </c>
    </row>
    <row r="11" spans="1:6" x14ac:dyDescent="0.25">
      <c r="A11" s="16" t="s">
        <v>713</v>
      </c>
      <c r="B11" s="8">
        <v>0.25</v>
      </c>
      <c r="C11" s="8">
        <v>0</v>
      </c>
      <c r="D11" s="8">
        <v>0.10526315789473684</v>
      </c>
      <c r="E11" s="8">
        <v>0.1111111111111111</v>
      </c>
      <c r="F11" s="8">
        <v>0.12</v>
      </c>
    </row>
    <row r="12" spans="1:6" x14ac:dyDescent="0.25">
      <c r="A12" s="16" t="s">
        <v>723</v>
      </c>
      <c r="B12" s="8">
        <v>0</v>
      </c>
      <c r="C12" s="8">
        <v>0.1</v>
      </c>
      <c r="D12" s="8">
        <v>0.14285714285714285</v>
      </c>
      <c r="E12" s="8">
        <v>0.15384615384615385</v>
      </c>
      <c r="F12" s="8">
        <v>9.0909090909090912E-2</v>
      </c>
    </row>
    <row r="13" spans="1:6" x14ac:dyDescent="0.25">
      <c r="A13" s="16" t="s">
        <v>716</v>
      </c>
      <c r="B13" s="8">
        <v>0.2</v>
      </c>
      <c r="C13" s="8">
        <v>0.25</v>
      </c>
      <c r="D13" s="8">
        <v>0.21428571428571427</v>
      </c>
      <c r="E13" s="8">
        <v>0</v>
      </c>
      <c r="F13" s="8">
        <v>0.17391304347826086</v>
      </c>
    </row>
    <row r="14" spans="1:6" x14ac:dyDescent="0.25">
      <c r="A14" s="16" t="s">
        <v>724</v>
      </c>
      <c r="B14" s="8">
        <v>0.3125</v>
      </c>
      <c r="C14" s="8">
        <v>0.16666666666666666</v>
      </c>
      <c r="D14" s="8">
        <v>0</v>
      </c>
      <c r="E14" s="8">
        <v>0.1</v>
      </c>
      <c r="F14" s="8">
        <v>0.16666666666666666</v>
      </c>
    </row>
    <row r="15" spans="1:6" x14ac:dyDescent="0.25">
      <c r="A15" s="16" t="s">
        <v>725</v>
      </c>
      <c r="B15" s="8">
        <v>0</v>
      </c>
      <c r="C15" s="8">
        <v>0.14285714285714285</v>
      </c>
      <c r="D15" s="8">
        <v>0.1</v>
      </c>
      <c r="E15" s="8">
        <v>0.27272727272727271</v>
      </c>
      <c r="F15" s="8">
        <v>0.15625</v>
      </c>
    </row>
    <row r="16" spans="1:6" x14ac:dyDescent="0.25">
      <c r="A16" s="16" t="s">
        <v>719</v>
      </c>
      <c r="B16" s="8">
        <v>0</v>
      </c>
      <c r="C16" s="8">
        <v>0</v>
      </c>
      <c r="D16" s="8">
        <v>0.5</v>
      </c>
      <c r="E16" s="8">
        <v>0</v>
      </c>
      <c r="F16" s="8">
        <v>0.10810810810810811</v>
      </c>
    </row>
    <row r="17" spans="1:6" x14ac:dyDescent="0.25">
      <c r="A17" s="16" t="s">
        <v>1418</v>
      </c>
      <c r="B17" s="8">
        <v>0.5</v>
      </c>
      <c r="C17" s="8">
        <v>0.33333333333333331</v>
      </c>
      <c r="D17" s="8">
        <v>0</v>
      </c>
      <c r="E17" s="8">
        <v>0</v>
      </c>
      <c r="F17" s="8">
        <v>0.25</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F31D-CFF0-4A74-B1E9-D7AAE8DF2A95}">
  <sheetPr>
    <outlinePr summaryBelow="0"/>
  </sheetPr>
  <dimension ref="B1:F13"/>
  <sheetViews>
    <sheetView showGridLines="0" workbookViewId="0"/>
  </sheetViews>
  <sheetFormatPr defaultRowHeight="15" outlineLevelRow="1" outlineLevelCol="1" x14ac:dyDescent="0.25"/>
  <cols>
    <col min="3" max="3" width="5.140625" bestFit="1" customWidth="1"/>
    <col min="4" max="6" width="13.140625" bestFit="1" customWidth="1" outlineLevel="1"/>
  </cols>
  <sheetData>
    <row r="1" spans="2:6" ht="15.75" thickBot="1" x14ac:dyDescent="0.3"/>
    <row r="2" spans="2:6" ht="15.75" x14ac:dyDescent="0.25">
      <c r="B2" s="29" t="s">
        <v>1522</v>
      </c>
      <c r="C2" s="29"/>
      <c r="D2" s="33"/>
      <c r="E2" s="33"/>
      <c r="F2" s="33"/>
    </row>
    <row r="3" spans="2:6" ht="15.75" collapsed="1" x14ac:dyDescent="0.25">
      <c r="B3" s="28"/>
      <c r="C3" s="28"/>
      <c r="D3" s="34" t="s">
        <v>1524</v>
      </c>
      <c r="E3" s="34" t="s">
        <v>1535</v>
      </c>
      <c r="F3" s="34" t="s">
        <v>1537</v>
      </c>
    </row>
    <row r="4" spans="2:6" ht="22.5" hidden="1" outlineLevel="1" x14ac:dyDescent="0.25">
      <c r="B4" s="31"/>
      <c r="C4" s="31"/>
      <c r="E4" s="38" t="s">
        <v>1536</v>
      </c>
      <c r="F4" s="38" t="s">
        <v>1536</v>
      </c>
    </row>
    <row r="5" spans="2:6" x14ac:dyDescent="0.25">
      <c r="B5" s="32" t="s">
        <v>1523</v>
      </c>
      <c r="C5" s="32"/>
      <c r="D5" s="30"/>
      <c r="E5" s="30"/>
      <c r="F5" s="30"/>
    </row>
    <row r="6" spans="2:6" outlineLevel="1" x14ac:dyDescent="0.25">
      <c r="B6" s="31"/>
      <c r="C6" s="31" t="s">
        <v>1515</v>
      </c>
      <c r="D6" s="8">
        <v>0.2</v>
      </c>
      <c r="E6" s="37">
        <v>0.2</v>
      </c>
      <c r="F6" s="37">
        <v>0.1</v>
      </c>
    </row>
    <row r="7" spans="2:6" outlineLevel="1" x14ac:dyDescent="0.25">
      <c r="B7" s="31"/>
      <c r="C7" s="31" t="s">
        <v>1516</v>
      </c>
      <c r="D7" s="8">
        <v>0.05</v>
      </c>
      <c r="E7" s="37">
        <v>0.05</v>
      </c>
      <c r="F7" s="37">
        <v>0.1</v>
      </c>
    </row>
    <row r="8" spans="2:6" outlineLevel="1" x14ac:dyDescent="0.25">
      <c r="B8" s="31"/>
      <c r="C8" s="31" t="s">
        <v>1533</v>
      </c>
      <c r="D8" s="8">
        <v>0.1</v>
      </c>
      <c r="E8" s="37">
        <v>0.1</v>
      </c>
      <c r="F8" s="37">
        <v>0.5</v>
      </c>
    </row>
    <row r="9" spans="2:6" x14ac:dyDescent="0.25">
      <c r="B9" s="32" t="s">
        <v>1538</v>
      </c>
      <c r="C9" s="32"/>
      <c r="D9" s="30"/>
      <c r="E9" s="30"/>
      <c r="F9" s="30"/>
    </row>
    <row r="10" spans="2:6" ht="15.75" outlineLevel="1" thickBot="1" x14ac:dyDescent="0.3">
      <c r="B10" s="40"/>
      <c r="C10" s="40" t="s">
        <v>1534</v>
      </c>
      <c r="D10" s="39">
        <v>2450.26188</v>
      </c>
      <c r="E10" s="39">
        <v>2450.26188</v>
      </c>
      <c r="F10" s="39">
        <v>3251.4209999999998</v>
      </c>
    </row>
    <row r="11" spans="2:6" x14ac:dyDescent="0.25">
      <c r="B11" t="s">
        <v>1525</v>
      </c>
    </row>
    <row r="12" spans="2:6" x14ac:dyDescent="0.25">
      <c r="B12" t="s">
        <v>1526</v>
      </c>
    </row>
    <row r="13" spans="2:6" x14ac:dyDescent="0.25">
      <c r="B13" t="s">
        <v>1527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4E0F6-4D60-40C0-94D5-1AB5AEE1A1BB}">
  <dimension ref="A1:K638"/>
  <sheetViews>
    <sheetView workbookViewId="0">
      <selection activeCell="J7" sqref="J7"/>
    </sheetView>
  </sheetViews>
  <sheetFormatPr defaultRowHeight="15" x14ac:dyDescent="0.25"/>
  <cols>
    <col min="1" max="1" width="16.140625" bestFit="1" customWidth="1"/>
    <col min="2" max="2" width="8" style="8" bestFit="1" customWidth="1"/>
    <col min="3" max="3" width="8.42578125" bestFit="1" customWidth="1"/>
    <col min="4" max="4" width="10.7109375" bestFit="1" customWidth="1"/>
    <col min="5" max="5" width="8" bestFit="1" customWidth="1"/>
    <col min="6" max="7" width="15.28515625" bestFit="1" customWidth="1"/>
    <col min="8" max="8" width="10.85546875" bestFit="1" customWidth="1"/>
    <col min="9" max="9" width="15.42578125" customWidth="1"/>
    <col min="10" max="10" width="19" customWidth="1"/>
    <col min="11" max="11" width="22.28515625" customWidth="1"/>
  </cols>
  <sheetData>
    <row r="1" spans="1:11" x14ac:dyDescent="0.25">
      <c r="A1" s="42" t="s">
        <v>1531</v>
      </c>
      <c r="B1" s="42"/>
    </row>
    <row r="2" spans="1:11" x14ac:dyDescent="0.25">
      <c r="A2" t="s">
        <v>1501</v>
      </c>
      <c r="B2" s="8">
        <v>0.2</v>
      </c>
    </row>
    <row r="3" spans="1:11" x14ac:dyDescent="0.25">
      <c r="A3" t="s">
        <v>1502</v>
      </c>
      <c r="B3" s="8">
        <v>0.05</v>
      </c>
    </row>
    <row r="4" spans="1:11" x14ac:dyDescent="0.25">
      <c r="A4" t="s">
        <v>1503</v>
      </c>
      <c r="B4" s="8">
        <v>0.1</v>
      </c>
    </row>
    <row r="6" spans="1:11" s="27" customFormat="1" x14ac:dyDescent="0.25">
      <c r="A6" s="27" t="s">
        <v>1504</v>
      </c>
      <c r="B6" s="27" t="s">
        <v>1505</v>
      </c>
      <c r="C6" s="27" t="s">
        <v>1506</v>
      </c>
      <c r="D6" s="27" t="s">
        <v>1507</v>
      </c>
      <c r="E6" s="27" t="s">
        <v>14</v>
      </c>
      <c r="F6" s="27" t="s">
        <v>1509</v>
      </c>
      <c r="G6" s="27" t="s">
        <v>1510</v>
      </c>
      <c r="H6" s="27" t="s">
        <v>1511</v>
      </c>
      <c r="I6" s="27" t="s">
        <v>1508</v>
      </c>
      <c r="J6" s="27" t="s">
        <v>1512</v>
      </c>
      <c r="K6" s="27" t="s">
        <v>1513</v>
      </c>
    </row>
    <row r="7" spans="1:11" x14ac:dyDescent="0.25">
      <c r="A7" t="str">
        <f>Original!A2</f>
        <v>ORD-2024-275203</v>
      </c>
      <c r="B7">
        <f>Original!R2</f>
        <v>279.24</v>
      </c>
      <c r="C7">
        <f>Original!S2</f>
        <v>608.9</v>
      </c>
      <c r="D7" s="6">
        <f>Original!T2</f>
        <v>0.112</v>
      </c>
      <c r="E7" s="6">
        <f>Original!V2</f>
        <v>9</v>
      </c>
      <c r="F7" s="6">
        <f>MIN(D7,$B$2)</f>
        <v>0.112</v>
      </c>
      <c r="G7">
        <f>B7*(1+$B$3)</f>
        <v>293.202</v>
      </c>
      <c r="H7">
        <f>E7*(1+$B$4)</f>
        <v>9.9</v>
      </c>
      <c r="I7">
        <f>C7*H7*(1-F7)</f>
        <v>5352.9616799999994</v>
      </c>
      <c r="J7">
        <f>I7-K7</f>
        <v>2450.2618799999996</v>
      </c>
      <c r="K7">
        <f>G7*H7</f>
        <v>2902.6997999999999</v>
      </c>
    </row>
    <row r="8" spans="1:11" x14ac:dyDescent="0.25">
      <c r="A8" t="str">
        <f>Original!A3</f>
        <v>ORD-2024-358795</v>
      </c>
      <c r="B8">
        <f>Original!R3</f>
        <v>1084.3900000000001</v>
      </c>
      <c r="C8">
        <f>Original!S3</f>
        <v>759.33</v>
      </c>
      <c r="D8" s="6">
        <f>Original!T3</f>
        <v>0.23699999999999999</v>
      </c>
      <c r="E8" s="6">
        <f>Original!V3</f>
        <v>31</v>
      </c>
      <c r="F8" s="6">
        <f t="shared" ref="F8:F71" si="0">MIN(D8,$B$2)</f>
        <v>0.2</v>
      </c>
      <c r="G8">
        <f t="shared" ref="G8:G71" si="1">B8*(1+$B$3)</f>
        <v>1138.6095000000003</v>
      </c>
      <c r="H8">
        <f t="shared" ref="H8:H71" si="2">E8*(1+$B$4)</f>
        <v>34.1</v>
      </c>
      <c r="I8">
        <f t="shared" ref="I8:I71" si="3">C8*H8*(1-F8)</f>
        <v>20714.522400000002</v>
      </c>
      <c r="J8">
        <f t="shared" ref="J8:J71" si="4">I8-K8</f>
        <v>-18112.061550000006</v>
      </c>
      <c r="K8">
        <f t="shared" ref="K8:K71" si="5">G8*H8</f>
        <v>38826.583950000007</v>
      </c>
    </row>
    <row r="9" spans="1:11" x14ac:dyDescent="0.25">
      <c r="A9" t="str">
        <f>Original!A4</f>
        <v>ORD-2023-373538</v>
      </c>
      <c r="B9">
        <f>Original!R4</f>
        <v>1460.76</v>
      </c>
      <c r="C9">
        <f>Original!S4</f>
        <v>30.66</v>
      </c>
      <c r="D9" s="6">
        <f>Original!T4</f>
        <v>0.13100000000000001</v>
      </c>
      <c r="E9" s="6">
        <f>Original!V4</f>
        <v>12</v>
      </c>
      <c r="F9" s="6">
        <f t="shared" si="0"/>
        <v>0.13100000000000001</v>
      </c>
      <c r="G9">
        <f t="shared" si="1"/>
        <v>1533.798</v>
      </c>
      <c r="H9">
        <f t="shared" si="2"/>
        <v>13.200000000000001</v>
      </c>
      <c r="I9">
        <f t="shared" si="3"/>
        <v>351.69472800000005</v>
      </c>
      <c r="J9">
        <f t="shared" si="4"/>
        <v>-19894.438872000002</v>
      </c>
      <c r="K9">
        <f t="shared" si="5"/>
        <v>20246.133600000001</v>
      </c>
    </row>
    <row r="10" spans="1:11" x14ac:dyDescent="0.25">
      <c r="A10" t="str">
        <f>Original!A5</f>
        <v>ORD-2025-168148</v>
      </c>
      <c r="B10">
        <f>Original!R5</f>
        <v>259.93</v>
      </c>
      <c r="C10">
        <f>Original!S5</f>
        <v>255.94</v>
      </c>
      <c r="D10" s="6">
        <f>Original!T5</f>
        <v>7.1999999999999995E-2</v>
      </c>
      <c r="E10" s="6">
        <f>Original!V5</f>
        <v>22</v>
      </c>
      <c r="F10" s="6">
        <f t="shared" si="0"/>
        <v>7.1999999999999995E-2</v>
      </c>
      <c r="G10">
        <f t="shared" si="1"/>
        <v>272.92650000000003</v>
      </c>
      <c r="H10">
        <f t="shared" si="2"/>
        <v>24.200000000000003</v>
      </c>
      <c r="I10">
        <f t="shared" si="3"/>
        <v>5747.7981440000003</v>
      </c>
      <c r="J10">
        <f t="shared" si="4"/>
        <v>-857.02315600000111</v>
      </c>
      <c r="K10">
        <f t="shared" si="5"/>
        <v>6604.8213000000014</v>
      </c>
    </row>
    <row r="11" spans="1:11" x14ac:dyDescent="0.25">
      <c r="A11" t="str">
        <f>Original!A6</f>
        <v>ORD-2023-824839</v>
      </c>
      <c r="B11">
        <f>Original!R6</f>
        <v>663.03</v>
      </c>
      <c r="C11">
        <f>Original!S6</f>
        <v>813.51</v>
      </c>
      <c r="D11" s="6">
        <f>Original!T6</f>
        <v>0.10199999999999999</v>
      </c>
      <c r="E11" s="6">
        <f>Original!V6</f>
        <v>15</v>
      </c>
      <c r="F11" s="6">
        <f t="shared" si="0"/>
        <v>0.10199999999999999</v>
      </c>
      <c r="G11">
        <f t="shared" si="1"/>
        <v>696.18150000000003</v>
      </c>
      <c r="H11">
        <f t="shared" si="2"/>
        <v>16.5</v>
      </c>
      <c r="I11">
        <f t="shared" si="3"/>
        <v>12053.777669999999</v>
      </c>
      <c r="J11">
        <f t="shared" si="4"/>
        <v>566.78291999999965</v>
      </c>
      <c r="K11">
        <f t="shared" si="5"/>
        <v>11486.99475</v>
      </c>
    </row>
    <row r="12" spans="1:11" x14ac:dyDescent="0.25">
      <c r="A12" t="str">
        <f>Original!A7</f>
        <v>ORD-2023-723587</v>
      </c>
      <c r="B12">
        <f>Original!R7</f>
        <v>315.87</v>
      </c>
      <c r="C12">
        <f>Original!S7</f>
        <v>591.67999999999995</v>
      </c>
      <c r="D12" s="6">
        <f>Original!T7</f>
        <v>0</v>
      </c>
      <c r="E12" s="6">
        <f>Original!V7</f>
        <v>7</v>
      </c>
      <c r="F12" s="6">
        <f t="shared" si="0"/>
        <v>0</v>
      </c>
      <c r="G12">
        <f t="shared" si="1"/>
        <v>331.6635</v>
      </c>
      <c r="H12">
        <f t="shared" si="2"/>
        <v>7.7000000000000011</v>
      </c>
      <c r="I12">
        <f t="shared" si="3"/>
        <v>4555.9360000000006</v>
      </c>
      <c r="J12">
        <f t="shared" si="4"/>
        <v>2002.1270500000001</v>
      </c>
      <c r="K12">
        <f t="shared" si="5"/>
        <v>2553.8089500000006</v>
      </c>
    </row>
    <row r="13" spans="1:11" x14ac:dyDescent="0.25">
      <c r="A13" t="str">
        <f>Original!A8</f>
        <v>ORD-2024-336584</v>
      </c>
      <c r="B13">
        <f>Original!R8</f>
        <v>586.07000000000005</v>
      </c>
      <c r="C13">
        <f>Original!S8</f>
        <v>845.97</v>
      </c>
      <c r="D13" s="6">
        <f>Original!T8</f>
        <v>0.14699999999999999</v>
      </c>
      <c r="E13" s="6">
        <f>Original!V8</f>
        <v>4</v>
      </c>
      <c r="F13" s="6">
        <f t="shared" si="0"/>
        <v>0.14699999999999999</v>
      </c>
      <c r="G13">
        <f t="shared" si="1"/>
        <v>615.37350000000004</v>
      </c>
      <c r="H13">
        <f t="shared" si="2"/>
        <v>4.4000000000000004</v>
      </c>
      <c r="I13">
        <f t="shared" si="3"/>
        <v>3175.0946040000003</v>
      </c>
      <c r="J13">
        <f t="shared" si="4"/>
        <v>467.45120399999996</v>
      </c>
      <c r="K13">
        <f t="shared" si="5"/>
        <v>2707.6434000000004</v>
      </c>
    </row>
    <row r="14" spans="1:11" x14ac:dyDescent="0.25">
      <c r="A14" t="str">
        <f>Original!A9</f>
        <v>ORD-2023-112666</v>
      </c>
      <c r="B14">
        <f>Original!R9</f>
        <v>28.38</v>
      </c>
      <c r="C14">
        <f>Original!S9</f>
        <v>47.22</v>
      </c>
      <c r="D14" s="6">
        <f>Original!T9</f>
        <v>0.19400000000000001</v>
      </c>
      <c r="E14" s="6">
        <f>Original!V9</f>
        <v>18</v>
      </c>
      <c r="F14" s="6">
        <f t="shared" si="0"/>
        <v>0.19400000000000001</v>
      </c>
      <c r="G14">
        <f t="shared" si="1"/>
        <v>29.798999999999999</v>
      </c>
      <c r="H14">
        <f t="shared" si="2"/>
        <v>19.8</v>
      </c>
      <c r="I14">
        <f t="shared" si="3"/>
        <v>753.57453600000008</v>
      </c>
      <c r="J14">
        <f t="shared" si="4"/>
        <v>163.55433600000003</v>
      </c>
      <c r="K14">
        <f t="shared" si="5"/>
        <v>590.02020000000005</v>
      </c>
    </row>
    <row r="15" spans="1:11" x14ac:dyDescent="0.25">
      <c r="A15" t="str">
        <f>Original!A10</f>
        <v>ORD-2024-589570</v>
      </c>
      <c r="B15">
        <f>Original!R10</f>
        <v>1295.3399999999999</v>
      </c>
      <c r="C15">
        <f>Original!S10</f>
        <v>2530.81</v>
      </c>
      <c r="D15" s="6">
        <f>Original!T10</f>
        <v>3.1E-2</v>
      </c>
      <c r="E15" s="6">
        <f>Original!V10</f>
        <v>6</v>
      </c>
      <c r="F15" s="6">
        <f t="shared" si="0"/>
        <v>3.1E-2</v>
      </c>
      <c r="G15">
        <f t="shared" si="1"/>
        <v>1360.107</v>
      </c>
      <c r="H15">
        <f t="shared" si="2"/>
        <v>6.6000000000000005</v>
      </c>
      <c r="I15">
        <f t="shared" si="3"/>
        <v>16185.542274000001</v>
      </c>
      <c r="J15">
        <f t="shared" si="4"/>
        <v>7208.8360740000007</v>
      </c>
      <c r="K15">
        <f t="shared" si="5"/>
        <v>8976.7062000000005</v>
      </c>
    </row>
    <row r="16" spans="1:11" x14ac:dyDescent="0.25">
      <c r="A16" t="str">
        <f>Original!A11</f>
        <v>ORD-2025-997421</v>
      </c>
      <c r="B16">
        <f>Original!R11</f>
        <v>1331.38</v>
      </c>
      <c r="C16">
        <f>Original!S11</f>
        <v>2309.56</v>
      </c>
      <c r="D16" s="6">
        <f>Original!T11</f>
        <v>0.14899999999999999</v>
      </c>
      <c r="E16" s="6">
        <f>Original!V11</f>
        <v>31</v>
      </c>
      <c r="F16" s="6">
        <f t="shared" si="0"/>
        <v>0.14899999999999999</v>
      </c>
      <c r="G16">
        <f t="shared" si="1"/>
        <v>1397.9490000000001</v>
      </c>
      <c r="H16">
        <f t="shared" si="2"/>
        <v>34.1</v>
      </c>
      <c r="I16">
        <f t="shared" si="3"/>
        <v>67021.352595999997</v>
      </c>
      <c r="J16">
        <f t="shared" si="4"/>
        <v>19351.291695999993</v>
      </c>
      <c r="K16">
        <f t="shared" si="5"/>
        <v>47670.060900000004</v>
      </c>
    </row>
    <row r="17" spans="1:11" x14ac:dyDescent="0.25">
      <c r="A17" t="str">
        <f>Original!A12</f>
        <v>ORD-2024-210687</v>
      </c>
      <c r="B17">
        <f>Original!R12</f>
        <v>644.16999999999996</v>
      </c>
      <c r="C17">
        <f>Original!S12</f>
        <v>700.12</v>
      </c>
      <c r="D17" s="6">
        <f>Original!T12</f>
        <v>6.0000000000000001E-3</v>
      </c>
      <c r="E17" s="6">
        <f>Original!V12</f>
        <v>23</v>
      </c>
      <c r="F17" s="6">
        <f t="shared" si="0"/>
        <v>6.0000000000000001E-3</v>
      </c>
      <c r="G17">
        <f t="shared" si="1"/>
        <v>676.37850000000003</v>
      </c>
      <c r="H17">
        <f t="shared" si="2"/>
        <v>25.3</v>
      </c>
      <c r="I17">
        <f t="shared" si="3"/>
        <v>17606.757784000001</v>
      </c>
      <c r="J17">
        <f t="shared" si="4"/>
        <v>494.38173399999869</v>
      </c>
      <c r="K17">
        <f t="shared" si="5"/>
        <v>17112.376050000003</v>
      </c>
    </row>
    <row r="18" spans="1:11" x14ac:dyDescent="0.25">
      <c r="A18" t="str">
        <f>Original!A13</f>
        <v>ORD-2025-515515</v>
      </c>
      <c r="B18">
        <f>Original!R13</f>
        <v>908.6</v>
      </c>
      <c r="C18">
        <f>Original!S13</f>
        <v>691.37</v>
      </c>
      <c r="D18" s="6">
        <f>Original!T13</f>
        <v>0.25</v>
      </c>
      <c r="E18" s="6">
        <f>Original!V13</f>
        <v>20</v>
      </c>
      <c r="F18" s="6">
        <f t="shared" si="0"/>
        <v>0.2</v>
      </c>
      <c r="G18">
        <f t="shared" si="1"/>
        <v>954.03000000000009</v>
      </c>
      <c r="H18">
        <f t="shared" si="2"/>
        <v>22</v>
      </c>
      <c r="I18">
        <f t="shared" si="3"/>
        <v>12168.112000000001</v>
      </c>
      <c r="J18">
        <f t="shared" si="4"/>
        <v>-8820.5480000000025</v>
      </c>
      <c r="K18">
        <f t="shared" si="5"/>
        <v>20988.660000000003</v>
      </c>
    </row>
    <row r="19" spans="1:11" x14ac:dyDescent="0.25">
      <c r="A19" t="str">
        <f>Original!A14</f>
        <v>ORD-2025-487261</v>
      </c>
      <c r="B19">
        <f>Original!R14</f>
        <v>331.57</v>
      </c>
      <c r="C19">
        <f>Original!S14</f>
        <v>548.4</v>
      </c>
      <c r="D19" s="6">
        <f>Original!T14</f>
        <v>9.4E-2</v>
      </c>
      <c r="E19" s="6">
        <f>Original!V14</f>
        <v>10</v>
      </c>
      <c r="F19" s="6">
        <f t="shared" si="0"/>
        <v>9.4E-2</v>
      </c>
      <c r="G19">
        <f t="shared" si="1"/>
        <v>348.14850000000001</v>
      </c>
      <c r="H19">
        <f t="shared" si="2"/>
        <v>11</v>
      </c>
      <c r="I19">
        <f t="shared" si="3"/>
        <v>5465.3544000000002</v>
      </c>
      <c r="J19">
        <f t="shared" si="4"/>
        <v>1635.7209000000003</v>
      </c>
      <c r="K19">
        <f t="shared" si="5"/>
        <v>3829.6334999999999</v>
      </c>
    </row>
    <row r="20" spans="1:11" x14ac:dyDescent="0.25">
      <c r="A20" t="str">
        <f>Original!A15</f>
        <v>ORD-2024-890180</v>
      </c>
      <c r="B20">
        <f>Original!R15</f>
        <v>643.53</v>
      </c>
      <c r="C20">
        <f>Original!S15</f>
        <v>1439.01</v>
      </c>
      <c r="D20" s="6">
        <f>Original!T15</f>
        <v>0</v>
      </c>
      <c r="E20" s="6">
        <f>Original!V15</f>
        <v>15</v>
      </c>
      <c r="F20" s="6">
        <f t="shared" si="0"/>
        <v>0</v>
      </c>
      <c r="G20">
        <f t="shared" si="1"/>
        <v>675.70650000000001</v>
      </c>
      <c r="H20">
        <f t="shared" si="2"/>
        <v>16.5</v>
      </c>
      <c r="I20">
        <f t="shared" si="3"/>
        <v>23743.665000000001</v>
      </c>
      <c r="J20">
        <f t="shared" si="4"/>
        <v>12594.507750000001</v>
      </c>
      <c r="K20">
        <f t="shared" si="5"/>
        <v>11149.15725</v>
      </c>
    </row>
    <row r="21" spans="1:11" x14ac:dyDescent="0.25">
      <c r="A21" t="str">
        <f>Original!A16</f>
        <v>ORD-2025-840976</v>
      </c>
      <c r="B21">
        <f>Original!R16</f>
        <v>780.59</v>
      </c>
      <c r="C21">
        <f>Original!S16</f>
        <v>631.57000000000005</v>
      </c>
      <c r="D21" s="6">
        <f>Original!T16</f>
        <v>0</v>
      </c>
      <c r="E21" s="6">
        <f>Original!V16</f>
        <v>12</v>
      </c>
      <c r="F21" s="6">
        <f t="shared" si="0"/>
        <v>0</v>
      </c>
      <c r="G21">
        <f t="shared" si="1"/>
        <v>819.61950000000002</v>
      </c>
      <c r="H21">
        <f t="shared" si="2"/>
        <v>13.200000000000001</v>
      </c>
      <c r="I21">
        <f t="shared" si="3"/>
        <v>8336.724000000002</v>
      </c>
      <c r="J21">
        <f t="shared" si="4"/>
        <v>-2482.2533999999996</v>
      </c>
      <c r="K21">
        <f t="shared" si="5"/>
        <v>10818.977400000002</v>
      </c>
    </row>
    <row r="22" spans="1:11" x14ac:dyDescent="0.25">
      <c r="A22" t="str">
        <f>Original!A17</f>
        <v>ORD-2023-937291</v>
      </c>
      <c r="B22">
        <f>Original!R17</f>
        <v>756.51</v>
      </c>
      <c r="C22">
        <f>Original!S17</f>
        <v>850.8</v>
      </c>
      <c r="D22" s="6">
        <f>Original!T17</f>
        <v>7.3999999999999996E-2</v>
      </c>
      <c r="E22" s="6">
        <f>Original!V17</f>
        <v>9</v>
      </c>
      <c r="F22" s="6">
        <f t="shared" si="0"/>
        <v>7.3999999999999996E-2</v>
      </c>
      <c r="G22">
        <f t="shared" si="1"/>
        <v>794.33550000000002</v>
      </c>
      <c r="H22">
        <f t="shared" si="2"/>
        <v>9.9</v>
      </c>
      <c r="I22">
        <f t="shared" si="3"/>
        <v>7799.62392</v>
      </c>
      <c r="J22">
        <f t="shared" si="4"/>
        <v>-64.297530000000734</v>
      </c>
      <c r="K22">
        <f t="shared" si="5"/>
        <v>7863.9214500000007</v>
      </c>
    </row>
    <row r="23" spans="1:11" x14ac:dyDescent="0.25">
      <c r="A23" t="str">
        <f>Original!A18</f>
        <v>ORD-2024-206081</v>
      </c>
      <c r="B23">
        <f>Original!R18</f>
        <v>891.08</v>
      </c>
      <c r="C23">
        <f>Original!S18</f>
        <v>1040.0999999999999</v>
      </c>
      <c r="D23" s="6">
        <f>Original!T18</f>
        <v>0.109</v>
      </c>
      <c r="E23" s="6">
        <f>Original!V18</f>
        <v>28</v>
      </c>
      <c r="F23" s="6">
        <f t="shared" si="0"/>
        <v>0.109</v>
      </c>
      <c r="G23">
        <f t="shared" si="1"/>
        <v>935.63400000000013</v>
      </c>
      <c r="H23">
        <f t="shared" si="2"/>
        <v>30.800000000000004</v>
      </c>
      <c r="I23">
        <f t="shared" si="3"/>
        <v>28543.256280000001</v>
      </c>
      <c r="J23">
        <f t="shared" si="4"/>
        <v>-274.2709200000063</v>
      </c>
      <c r="K23">
        <f t="shared" si="5"/>
        <v>28817.527200000008</v>
      </c>
    </row>
    <row r="24" spans="1:11" x14ac:dyDescent="0.25">
      <c r="A24" t="str">
        <f>Original!A19</f>
        <v>ORD-2025-233883</v>
      </c>
      <c r="B24">
        <f>Original!R19</f>
        <v>1225.57</v>
      </c>
      <c r="C24">
        <f>Original!S19</f>
        <v>2705.57</v>
      </c>
      <c r="D24" s="6">
        <f>Original!T19</f>
        <v>0.183</v>
      </c>
      <c r="E24" s="6">
        <f>Original!V19</f>
        <v>16</v>
      </c>
      <c r="F24" s="6">
        <f t="shared" si="0"/>
        <v>0.183</v>
      </c>
      <c r="G24">
        <f t="shared" si="1"/>
        <v>1286.8485000000001</v>
      </c>
      <c r="H24">
        <f t="shared" si="2"/>
        <v>17.600000000000001</v>
      </c>
      <c r="I24">
        <f t="shared" si="3"/>
        <v>38903.932144000006</v>
      </c>
      <c r="J24">
        <f t="shared" si="4"/>
        <v>16255.398544000003</v>
      </c>
      <c r="K24">
        <f t="shared" si="5"/>
        <v>22648.533600000002</v>
      </c>
    </row>
    <row r="25" spans="1:11" x14ac:dyDescent="0.25">
      <c r="A25" t="str">
        <f>Original!A20</f>
        <v>ORD-2025-843974</v>
      </c>
      <c r="B25">
        <f>Original!R20</f>
        <v>1068.17</v>
      </c>
      <c r="C25">
        <f>Original!S20</f>
        <v>2375.37</v>
      </c>
      <c r="D25" s="6">
        <f>Original!T20</f>
        <v>0.109</v>
      </c>
      <c r="E25" s="6">
        <f>Original!V20</f>
        <v>18</v>
      </c>
      <c r="F25" s="6">
        <f t="shared" si="0"/>
        <v>0.109</v>
      </c>
      <c r="G25">
        <f t="shared" si="1"/>
        <v>1121.5785000000001</v>
      </c>
      <c r="H25">
        <f t="shared" si="2"/>
        <v>19.8</v>
      </c>
      <c r="I25">
        <f t="shared" si="3"/>
        <v>41905.802466000001</v>
      </c>
      <c r="J25">
        <f t="shared" si="4"/>
        <v>19698.548166</v>
      </c>
      <c r="K25">
        <f t="shared" si="5"/>
        <v>22207.254300000001</v>
      </c>
    </row>
    <row r="26" spans="1:11" x14ac:dyDescent="0.25">
      <c r="A26" t="str">
        <f>Original!A21</f>
        <v>ORD-2025-745263</v>
      </c>
      <c r="B26">
        <f>Original!R21</f>
        <v>1015.16</v>
      </c>
      <c r="C26">
        <f>Original!S21</f>
        <v>2148.14</v>
      </c>
      <c r="D26" s="6">
        <f>Original!T21</f>
        <v>3.7999999999999999E-2</v>
      </c>
      <c r="E26" s="6">
        <f>Original!V21</f>
        <v>19</v>
      </c>
      <c r="F26" s="6">
        <f t="shared" si="0"/>
        <v>3.7999999999999999E-2</v>
      </c>
      <c r="G26">
        <f t="shared" si="1"/>
        <v>1065.9180000000001</v>
      </c>
      <c r="H26">
        <f t="shared" si="2"/>
        <v>20.900000000000002</v>
      </c>
      <c r="I26">
        <f t="shared" si="3"/>
        <v>43190.073212000003</v>
      </c>
      <c r="J26">
        <f t="shared" si="4"/>
        <v>20912.387011999999</v>
      </c>
      <c r="K26">
        <f t="shared" si="5"/>
        <v>22277.686200000004</v>
      </c>
    </row>
    <row r="27" spans="1:11" x14ac:dyDescent="0.25">
      <c r="A27" t="str">
        <f>Original!A22</f>
        <v>ORD-2024-798002</v>
      </c>
      <c r="B27">
        <f>Original!R22</f>
        <v>1494.4</v>
      </c>
      <c r="C27">
        <f>Original!S22</f>
        <v>3661.07</v>
      </c>
      <c r="D27" s="6">
        <f>Original!T22</f>
        <v>7.1999999999999995E-2</v>
      </c>
      <c r="E27" s="6">
        <f>Original!V22</f>
        <v>7</v>
      </c>
      <c r="F27" s="6">
        <f t="shared" si="0"/>
        <v>7.1999999999999995E-2</v>
      </c>
      <c r="G27">
        <f t="shared" si="1"/>
        <v>1569.1200000000001</v>
      </c>
      <c r="H27">
        <f t="shared" si="2"/>
        <v>7.7000000000000011</v>
      </c>
      <c r="I27">
        <f t="shared" si="3"/>
        <v>26160.541792000007</v>
      </c>
      <c r="J27">
        <f t="shared" si="4"/>
        <v>14078.317792000005</v>
      </c>
      <c r="K27">
        <f t="shared" si="5"/>
        <v>12082.224000000002</v>
      </c>
    </row>
    <row r="28" spans="1:11" x14ac:dyDescent="0.25">
      <c r="A28" t="str">
        <f>Original!A23</f>
        <v>ORD-2023-867836</v>
      </c>
      <c r="B28">
        <f>Original!R23</f>
        <v>1331.19</v>
      </c>
      <c r="C28">
        <f>Original!S23</f>
        <v>2903.09</v>
      </c>
      <c r="D28" s="6">
        <f>Original!T23</f>
        <v>0.14299999999999999</v>
      </c>
      <c r="E28" s="6">
        <f>Original!V23</f>
        <v>8</v>
      </c>
      <c r="F28" s="6">
        <f t="shared" si="0"/>
        <v>0.14299999999999999</v>
      </c>
      <c r="G28">
        <f t="shared" si="1"/>
        <v>1397.7495000000001</v>
      </c>
      <c r="H28">
        <f t="shared" si="2"/>
        <v>8.8000000000000007</v>
      </c>
      <c r="I28">
        <f t="shared" si="3"/>
        <v>21893.943544000002</v>
      </c>
      <c r="J28">
        <f t="shared" si="4"/>
        <v>9593.7479439999988</v>
      </c>
      <c r="K28">
        <f t="shared" si="5"/>
        <v>12300.195600000003</v>
      </c>
    </row>
    <row r="29" spans="1:11" x14ac:dyDescent="0.25">
      <c r="A29" t="str">
        <f>Original!A24</f>
        <v>ORD-2025-580047</v>
      </c>
      <c r="B29">
        <f>Original!R24</f>
        <v>730.99</v>
      </c>
      <c r="C29">
        <f>Original!S24</f>
        <v>1242.8399999999999</v>
      </c>
      <c r="D29" s="6">
        <f>Original!T24</f>
        <v>0.12</v>
      </c>
      <c r="E29" s="6">
        <f>Original!V24</f>
        <v>10</v>
      </c>
      <c r="F29" s="6">
        <f t="shared" si="0"/>
        <v>0.12</v>
      </c>
      <c r="G29">
        <f t="shared" si="1"/>
        <v>767.53950000000009</v>
      </c>
      <c r="H29">
        <f t="shared" si="2"/>
        <v>11</v>
      </c>
      <c r="I29">
        <f t="shared" si="3"/>
        <v>12030.691199999999</v>
      </c>
      <c r="J29">
        <f t="shared" si="4"/>
        <v>3587.7566999999981</v>
      </c>
      <c r="K29">
        <f t="shared" si="5"/>
        <v>8442.9345000000012</v>
      </c>
    </row>
    <row r="30" spans="1:11" x14ac:dyDescent="0.25">
      <c r="A30" t="str">
        <f>Original!A25</f>
        <v>ORD-2024-500109</v>
      </c>
      <c r="B30">
        <f>Original!R25</f>
        <v>1274.5899999999999</v>
      </c>
      <c r="C30">
        <f>Original!S25</f>
        <v>2553.69</v>
      </c>
      <c r="D30" s="6">
        <f>Original!T25</f>
        <v>0.01</v>
      </c>
      <c r="E30" s="6">
        <f>Original!V25</f>
        <v>8</v>
      </c>
      <c r="F30" s="6">
        <f t="shared" si="0"/>
        <v>0.01</v>
      </c>
      <c r="G30">
        <f t="shared" si="1"/>
        <v>1338.3195000000001</v>
      </c>
      <c r="H30">
        <f t="shared" si="2"/>
        <v>8.8000000000000007</v>
      </c>
      <c r="I30">
        <f t="shared" si="3"/>
        <v>22247.74728</v>
      </c>
      <c r="J30">
        <f t="shared" si="4"/>
        <v>10470.535679999997</v>
      </c>
      <c r="K30">
        <f t="shared" si="5"/>
        <v>11777.211600000002</v>
      </c>
    </row>
    <row r="31" spans="1:11" x14ac:dyDescent="0.25">
      <c r="A31" t="str">
        <f>Original!A26</f>
        <v>ORD-2023-271836</v>
      </c>
      <c r="B31">
        <f>Original!R26</f>
        <v>948.55</v>
      </c>
      <c r="C31">
        <f>Original!S26</f>
        <v>2089.16</v>
      </c>
      <c r="D31" s="6">
        <f>Original!T26</f>
        <v>7.0000000000000001E-3</v>
      </c>
      <c r="E31" s="6">
        <f>Original!V26</f>
        <v>12</v>
      </c>
      <c r="F31" s="6">
        <f t="shared" si="0"/>
        <v>7.0000000000000001E-3</v>
      </c>
      <c r="G31">
        <f t="shared" si="1"/>
        <v>995.97749999999996</v>
      </c>
      <c r="H31">
        <f t="shared" si="2"/>
        <v>13.200000000000001</v>
      </c>
      <c r="I31">
        <f t="shared" si="3"/>
        <v>27383.873616000001</v>
      </c>
      <c r="J31">
        <f t="shared" si="4"/>
        <v>14236.970616000001</v>
      </c>
      <c r="K31">
        <f t="shared" si="5"/>
        <v>13146.903</v>
      </c>
    </row>
    <row r="32" spans="1:11" x14ac:dyDescent="0.25">
      <c r="A32" t="str">
        <f>Original!A27</f>
        <v>ORD-2024-215294</v>
      </c>
      <c r="B32">
        <f>Original!R27</f>
        <v>1491.85</v>
      </c>
      <c r="C32">
        <f>Original!S27</f>
        <v>2583.02</v>
      </c>
      <c r="D32" s="6">
        <f>Original!T27</f>
        <v>0.16800000000000001</v>
      </c>
      <c r="E32" s="6">
        <f>Original!V27</f>
        <v>4</v>
      </c>
      <c r="F32" s="6">
        <f t="shared" si="0"/>
        <v>0.16800000000000001</v>
      </c>
      <c r="G32">
        <f t="shared" si="1"/>
        <v>1566.4424999999999</v>
      </c>
      <c r="H32">
        <f t="shared" si="2"/>
        <v>4.4000000000000004</v>
      </c>
      <c r="I32">
        <f t="shared" si="3"/>
        <v>9455.9196159999992</v>
      </c>
      <c r="J32">
        <f t="shared" si="4"/>
        <v>2563.5726159999995</v>
      </c>
      <c r="K32">
        <f t="shared" si="5"/>
        <v>6892.3469999999998</v>
      </c>
    </row>
    <row r="33" spans="1:11" x14ac:dyDescent="0.25">
      <c r="A33" t="str">
        <f>Original!A28</f>
        <v>ORD-2024-788105</v>
      </c>
      <c r="B33">
        <f>Original!R28</f>
        <v>117.64</v>
      </c>
      <c r="C33">
        <f>Original!S28</f>
        <v>175.67</v>
      </c>
      <c r="D33" s="6">
        <f>Original!T28</f>
        <v>0</v>
      </c>
      <c r="E33" s="6">
        <f>Original!V28</f>
        <v>10</v>
      </c>
      <c r="F33" s="6">
        <f t="shared" si="0"/>
        <v>0</v>
      </c>
      <c r="G33">
        <f t="shared" si="1"/>
        <v>123.52200000000001</v>
      </c>
      <c r="H33">
        <f t="shared" si="2"/>
        <v>11</v>
      </c>
      <c r="I33">
        <f t="shared" si="3"/>
        <v>1932.37</v>
      </c>
      <c r="J33">
        <f t="shared" si="4"/>
        <v>573.62799999999993</v>
      </c>
      <c r="K33">
        <f t="shared" si="5"/>
        <v>1358.742</v>
      </c>
    </row>
    <row r="34" spans="1:11" x14ac:dyDescent="0.25">
      <c r="A34" t="str">
        <f>Original!A29</f>
        <v>ORD-2024-855073</v>
      </c>
      <c r="B34">
        <f>Original!R29</f>
        <v>857.24</v>
      </c>
      <c r="C34">
        <f>Original!S29</f>
        <v>758.23</v>
      </c>
      <c r="D34" s="6">
        <f>Original!T29</f>
        <v>0.125</v>
      </c>
      <c r="E34" s="6">
        <f>Original!V29</f>
        <v>6</v>
      </c>
      <c r="F34" s="6">
        <f t="shared" si="0"/>
        <v>0.125</v>
      </c>
      <c r="G34">
        <f t="shared" si="1"/>
        <v>900.10200000000009</v>
      </c>
      <c r="H34">
        <f t="shared" si="2"/>
        <v>6.6000000000000005</v>
      </c>
      <c r="I34">
        <f t="shared" si="3"/>
        <v>4378.7782500000003</v>
      </c>
      <c r="J34">
        <f t="shared" si="4"/>
        <v>-1561.8949500000008</v>
      </c>
      <c r="K34">
        <f t="shared" si="5"/>
        <v>5940.6732000000011</v>
      </c>
    </row>
    <row r="35" spans="1:11" x14ac:dyDescent="0.25">
      <c r="A35" t="str">
        <f>Original!A30</f>
        <v>ORD-2023-897079</v>
      </c>
      <c r="B35">
        <f>Original!R30</f>
        <v>209.25</v>
      </c>
      <c r="C35">
        <f>Original!S30</f>
        <v>434.8</v>
      </c>
      <c r="D35" s="6">
        <f>Original!T30</f>
        <v>0</v>
      </c>
      <c r="E35" s="6">
        <f>Original!V30</f>
        <v>9</v>
      </c>
      <c r="F35" s="6">
        <f t="shared" si="0"/>
        <v>0</v>
      </c>
      <c r="G35">
        <f t="shared" si="1"/>
        <v>219.71250000000001</v>
      </c>
      <c r="H35">
        <f t="shared" si="2"/>
        <v>9.9</v>
      </c>
      <c r="I35">
        <f t="shared" si="3"/>
        <v>4304.5200000000004</v>
      </c>
      <c r="J35">
        <f t="shared" si="4"/>
        <v>2129.3662500000005</v>
      </c>
      <c r="K35">
        <f t="shared" si="5"/>
        <v>2175.1537499999999</v>
      </c>
    </row>
    <row r="36" spans="1:11" x14ac:dyDescent="0.25">
      <c r="A36" t="str">
        <f>Original!A31</f>
        <v>ORD-2025-548982</v>
      </c>
      <c r="B36">
        <f>Original!R31</f>
        <v>754.77</v>
      </c>
      <c r="C36">
        <f>Original!S31</f>
        <v>1666.18</v>
      </c>
      <c r="D36" s="6">
        <f>Original!T31</f>
        <v>0.13900000000000001</v>
      </c>
      <c r="E36" s="6">
        <f>Original!V31</f>
        <v>14</v>
      </c>
      <c r="F36" s="6">
        <f t="shared" si="0"/>
        <v>0.13900000000000001</v>
      </c>
      <c r="G36">
        <f t="shared" si="1"/>
        <v>792.50850000000003</v>
      </c>
      <c r="H36">
        <f t="shared" si="2"/>
        <v>15.400000000000002</v>
      </c>
      <c r="I36">
        <f t="shared" si="3"/>
        <v>22092.547092000004</v>
      </c>
      <c r="J36">
        <f t="shared" si="4"/>
        <v>9887.9161920000024</v>
      </c>
      <c r="K36">
        <f t="shared" si="5"/>
        <v>12204.630900000002</v>
      </c>
    </row>
    <row r="37" spans="1:11" x14ac:dyDescent="0.25">
      <c r="A37" t="str">
        <f>Original!A32</f>
        <v>ORD-2024-170313</v>
      </c>
      <c r="B37">
        <f>Original!R32</f>
        <v>495.59</v>
      </c>
      <c r="C37">
        <f>Original!S32</f>
        <v>631.78</v>
      </c>
      <c r="D37" s="6">
        <f>Original!T32</f>
        <v>8.6999999999999994E-2</v>
      </c>
      <c r="E37" s="6">
        <f>Original!V32</f>
        <v>17</v>
      </c>
      <c r="F37" s="6">
        <f t="shared" si="0"/>
        <v>8.6999999999999994E-2</v>
      </c>
      <c r="G37">
        <f t="shared" si="1"/>
        <v>520.36950000000002</v>
      </c>
      <c r="H37">
        <f t="shared" si="2"/>
        <v>18.700000000000003</v>
      </c>
      <c r="I37">
        <f t="shared" si="3"/>
        <v>10786.443118000003</v>
      </c>
      <c r="J37">
        <f t="shared" si="4"/>
        <v>1055.5334680000014</v>
      </c>
      <c r="K37">
        <f t="shared" si="5"/>
        <v>9730.9096500000014</v>
      </c>
    </row>
    <row r="38" spans="1:11" x14ac:dyDescent="0.25">
      <c r="A38" t="str">
        <f>Original!A33</f>
        <v>ORD-2023-562894</v>
      </c>
      <c r="B38">
        <f>Original!R33</f>
        <v>1242.6600000000001</v>
      </c>
      <c r="C38">
        <f>Original!S33</f>
        <v>1794.07</v>
      </c>
      <c r="D38" s="6">
        <f>Original!T33</f>
        <v>8.8999999999999996E-2</v>
      </c>
      <c r="E38" s="6">
        <f>Original!V33</f>
        <v>16</v>
      </c>
      <c r="F38" s="6">
        <f t="shared" si="0"/>
        <v>8.8999999999999996E-2</v>
      </c>
      <c r="G38">
        <f t="shared" si="1"/>
        <v>1304.7930000000001</v>
      </c>
      <c r="H38">
        <f t="shared" si="2"/>
        <v>17.600000000000001</v>
      </c>
      <c r="I38">
        <f t="shared" si="3"/>
        <v>28765.400752000001</v>
      </c>
      <c r="J38">
        <f t="shared" si="4"/>
        <v>5801.0439519999964</v>
      </c>
      <c r="K38">
        <f t="shared" si="5"/>
        <v>22964.356800000005</v>
      </c>
    </row>
    <row r="39" spans="1:11" x14ac:dyDescent="0.25">
      <c r="A39" t="str">
        <f>Original!A34</f>
        <v>ORD-2025-474710</v>
      </c>
      <c r="B39">
        <f>Original!R34</f>
        <v>1463.9</v>
      </c>
      <c r="C39">
        <f>Original!S34</f>
        <v>2633.02</v>
      </c>
      <c r="D39" s="6">
        <f>Original!T34</f>
        <v>8.4000000000000005E-2</v>
      </c>
      <c r="E39" s="6">
        <f>Original!V34</f>
        <v>4</v>
      </c>
      <c r="F39" s="6">
        <f t="shared" si="0"/>
        <v>8.4000000000000005E-2</v>
      </c>
      <c r="G39">
        <f t="shared" si="1"/>
        <v>1537.0950000000003</v>
      </c>
      <c r="H39">
        <f t="shared" si="2"/>
        <v>4.4000000000000004</v>
      </c>
      <c r="I39">
        <f t="shared" si="3"/>
        <v>10612.123808</v>
      </c>
      <c r="J39">
        <f t="shared" si="4"/>
        <v>3848.9058079999986</v>
      </c>
      <c r="K39">
        <f t="shared" si="5"/>
        <v>6763.2180000000017</v>
      </c>
    </row>
    <row r="40" spans="1:11" x14ac:dyDescent="0.25">
      <c r="A40" t="str">
        <f>Original!A35</f>
        <v>ORD-2024-629525</v>
      </c>
      <c r="B40">
        <f>Original!R35</f>
        <v>645.33000000000004</v>
      </c>
      <c r="C40">
        <f>Original!S35</f>
        <v>1321.85</v>
      </c>
      <c r="D40" s="6">
        <f>Original!T35</f>
        <v>0</v>
      </c>
      <c r="E40" s="6">
        <f>Original!V35</f>
        <v>10</v>
      </c>
      <c r="F40" s="6">
        <f t="shared" si="0"/>
        <v>0</v>
      </c>
      <c r="G40">
        <f t="shared" si="1"/>
        <v>677.59650000000011</v>
      </c>
      <c r="H40">
        <f t="shared" si="2"/>
        <v>11</v>
      </c>
      <c r="I40">
        <f t="shared" si="3"/>
        <v>14540.349999999999</v>
      </c>
      <c r="J40">
        <f t="shared" si="4"/>
        <v>7086.7884999999969</v>
      </c>
      <c r="K40">
        <f t="shared" si="5"/>
        <v>7453.5615000000016</v>
      </c>
    </row>
    <row r="41" spans="1:11" x14ac:dyDescent="0.25">
      <c r="A41" t="str">
        <f>Original!A36</f>
        <v>ORD-2024-167215</v>
      </c>
      <c r="B41">
        <f>Original!R36</f>
        <v>1432.52</v>
      </c>
      <c r="C41">
        <f>Original!S36</f>
        <v>3036.87</v>
      </c>
      <c r="D41" s="6">
        <f>Original!T36</f>
        <v>0</v>
      </c>
      <c r="E41" s="6">
        <f>Original!V36</f>
        <v>9</v>
      </c>
      <c r="F41" s="6">
        <f t="shared" si="0"/>
        <v>0</v>
      </c>
      <c r="G41">
        <f t="shared" si="1"/>
        <v>1504.146</v>
      </c>
      <c r="H41">
        <f t="shared" si="2"/>
        <v>9.9</v>
      </c>
      <c r="I41">
        <f t="shared" si="3"/>
        <v>30065.012999999999</v>
      </c>
      <c r="J41">
        <f t="shared" si="4"/>
        <v>15173.967599999998</v>
      </c>
      <c r="K41">
        <f t="shared" si="5"/>
        <v>14891.045400000001</v>
      </c>
    </row>
    <row r="42" spans="1:11" x14ac:dyDescent="0.25">
      <c r="A42" t="str">
        <f>Original!A37</f>
        <v>ORD-2023-864121</v>
      </c>
      <c r="B42">
        <f>Original!R37</f>
        <v>178.53</v>
      </c>
      <c r="C42">
        <f>Original!S37</f>
        <v>199.37</v>
      </c>
      <c r="D42" s="6">
        <f>Original!T37</f>
        <v>0.10100000000000001</v>
      </c>
      <c r="E42" s="6">
        <f>Original!V37</f>
        <v>37</v>
      </c>
      <c r="F42" s="6">
        <f t="shared" si="0"/>
        <v>0.10100000000000001</v>
      </c>
      <c r="G42">
        <f t="shared" si="1"/>
        <v>187.45650000000001</v>
      </c>
      <c r="H42">
        <f t="shared" si="2"/>
        <v>40.700000000000003</v>
      </c>
      <c r="I42">
        <f t="shared" si="3"/>
        <v>7294.8087410000007</v>
      </c>
      <c r="J42">
        <f t="shared" si="4"/>
        <v>-334.67080900000019</v>
      </c>
      <c r="K42">
        <f t="shared" si="5"/>
        <v>7629.4795500000009</v>
      </c>
    </row>
    <row r="43" spans="1:11" x14ac:dyDescent="0.25">
      <c r="A43" t="str">
        <f>Original!A38</f>
        <v>ORD-2024-692673</v>
      </c>
      <c r="B43">
        <f>Original!R38</f>
        <v>712.84</v>
      </c>
      <c r="C43">
        <f>Original!S38</f>
        <v>927.51</v>
      </c>
      <c r="D43" s="6">
        <f>Original!T38</f>
        <v>0.24299999999999999</v>
      </c>
      <c r="E43" s="6">
        <f>Original!V38</f>
        <v>27</v>
      </c>
      <c r="F43" s="6">
        <f t="shared" si="0"/>
        <v>0.2</v>
      </c>
      <c r="G43">
        <f t="shared" si="1"/>
        <v>748.48200000000008</v>
      </c>
      <c r="H43">
        <f t="shared" si="2"/>
        <v>29.700000000000003</v>
      </c>
      <c r="I43">
        <f t="shared" si="3"/>
        <v>22037.637600000002</v>
      </c>
      <c r="J43">
        <f t="shared" si="4"/>
        <v>-192.27780000000348</v>
      </c>
      <c r="K43">
        <f t="shared" si="5"/>
        <v>22229.915400000005</v>
      </c>
    </row>
    <row r="44" spans="1:11" x14ac:dyDescent="0.25">
      <c r="A44" t="str">
        <f>Original!A39</f>
        <v>ORD-2025-718992</v>
      </c>
      <c r="B44">
        <f>Original!R39</f>
        <v>757.19</v>
      </c>
      <c r="C44">
        <f>Original!S39</f>
        <v>1735.41</v>
      </c>
      <c r="D44" s="6">
        <f>Original!T39</f>
        <v>0.13600000000000001</v>
      </c>
      <c r="E44" s="6">
        <f>Original!V39</f>
        <v>8</v>
      </c>
      <c r="F44" s="6">
        <f t="shared" si="0"/>
        <v>0.13600000000000001</v>
      </c>
      <c r="G44">
        <f t="shared" si="1"/>
        <v>795.04950000000008</v>
      </c>
      <c r="H44">
        <f t="shared" si="2"/>
        <v>8.8000000000000007</v>
      </c>
      <c r="I44">
        <f t="shared" si="3"/>
        <v>13194.669312000002</v>
      </c>
      <c r="J44">
        <f t="shared" si="4"/>
        <v>6198.2337120000002</v>
      </c>
      <c r="K44">
        <f t="shared" si="5"/>
        <v>6996.4356000000016</v>
      </c>
    </row>
    <row r="45" spans="1:11" x14ac:dyDescent="0.25">
      <c r="A45" t="str">
        <f>Original!A40</f>
        <v>ORD-2024-599522</v>
      </c>
      <c r="B45">
        <f>Original!R40</f>
        <v>865.33</v>
      </c>
      <c r="C45">
        <f>Original!S40</f>
        <v>1395.64</v>
      </c>
      <c r="D45" s="6">
        <f>Original!T40</f>
        <v>0.17499999999999999</v>
      </c>
      <c r="E45" s="6">
        <f>Original!V40</f>
        <v>13</v>
      </c>
      <c r="F45" s="6">
        <f t="shared" si="0"/>
        <v>0.17499999999999999</v>
      </c>
      <c r="G45">
        <f t="shared" si="1"/>
        <v>908.59650000000011</v>
      </c>
      <c r="H45">
        <f t="shared" si="2"/>
        <v>14.3</v>
      </c>
      <c r="I45">
        <f t="shared" si="3"/>
        <v>16465.062900000001</v>
      </c>
      <c r="J45">
        <f t="shared" si="4"/>
        <v>3472.1329499999993</v>
      </c>
      <c r="K45">
        <f t="shared" si="5"/>
        <v>12992.929950000002</v>
      </c>
    </row>
    <row r="46" spans="1:11" x14ac:dyDescent="0.25">
      <c r="A46" t="str">
        <f>Original!A41</f>
        <v>ORD-2023-651638</v>
      </c>
      <c r="B46">
        <f>Original!R41</f>
        <v>313.99</v>
      </c>
      <c r="C46">
        <f>Original!S41</f>
        <v>454.42</v>
      </c>
      <c r="D46" s="6">
        <f>Original!T41</f>
        <v>0.129</v>
      </c>
      <c r="E46" s="6">
        <f>Original!V41</f>
        <v>9</v>
      </c>
      <c r="F46" s="6">
        <f t="shared" si="0"/>
        <v>0.129</v>
      </c>
      <c r="G46">
        <f t="shared" si="1"/>
        <v>329.68950000000001</v>
      </c>
      <c r="H46">
        <f t="shared" si="2"/>
        <v>9.9</v>
      </c>
      <c r="I46">
        <f t="shared" si="3"/>
        <v>3918.4182180000007</v>
      </c>
      <c r="J46">
        <f t="shared" si="4"/>
        <v>654.49216800000067</v>
      </c>
      <c r="K46">
        <f t="shared" si="5"/>
        <v>3263.92605</v>
      </c>
    </row>
    <row r="47" spans="1:11" x14ac:dyDescent="0.25">
      <c r="A47" t="str">
        <f>Original!A42</f>
        <v>ORD-2024-635626</v>
      </c>
      <c r="B47">
        <f>Original!R42</f>
        <v>1024.01</v>
      </c>
      <c r="C47">
        <f>Original!S42</f>
        <v>1580.97</v>
      </c>
      <c r="D47" s="6">
        <f>Original!T42</f>
        <v>3.6999999999999998E-2</v>
      </c>
      <c r="E47" s="6">
        <f>Original!V42</f>
        <v>27</v>
      </c>
      <c r="F47" s="6">
        <f t="shared" si="0"/>
        <v>3.6999999999999998E-2</v>
      </c>
      <c r="G47">
        <f t="shared" si="1"/>
        <v>1075.2105000000001</v>
      </c>
      <c r="H47">
        <f t="shared" si="2"/>
        <v>29.700000000000003</v>
      </c>
      <c r="I47">
        <f t="shared" si="3"/>
        <v>45217.481067000008</v>
      </c>
      <c r="J47">
        <f t="shared" si="4"/>
        <v>13283.729217</v>
      </c>
      <c r="K47">
        <f t="shared" si="5"/>
        <v>31933.751850000008</v>
      </c>
    </row>
    <row r="48" spans="1:11" x14ac:dyDescent="0.25">
      <c r="A48" t="str">
        <f>Original!A43</f>
        <v>ORD-2024-296582</v>
      </c>
      <c r="B48">
        <f>Original!R43</f>
        <v>1206.2</v>
      </c>
      <c r="C48">
        <f>Original!S43</f>
        <v>1759.79</v>
      </c>
      <c r="D48" s="6">
        <f>Original!T43</f>
        <v>0</v>
      </c>
      <c r="E48" s="6">
        <f>Original!V43</f>
        <v>6</v>
      </c>
      <c r="F48" s="6">
        <f t="shared" si="0"/>
        <v>0</v>
      </c>
      <c r="G48">
        <f t="shared" si="1"/>
        <v>1266.51</v>
      </c>
      <c r="H48">
        <f t="shared" si="2"/>
        <v>6.6000000000000005</v>
      </c>
      <c r="I48">
        <f t="shared" si="3"/>
        <v>11614.614000000001</v>
      </c>
      <c r="J48">
        <f t="shared" si="4"/>
        <v>3255.648000000001</v>
      </c>
      <c r="K48">
        <f t="shared" si="5"/>
        <v>8358.9660000000003</v>
      </c>
    </row>
    <row r="49" spans="1:11" x14ac:dyDescent="0.25">
      <c r="A49" t="str">
        <f>Original!A44</f>
        <v>ORD-2024-998320</v>
      </c>
      <c r="B49">
        <f>Original!R44</f>
        <v>1396.48</v>
      </c>
      <c r="C49">
        <f>Original!S44</f>
        <v>3204.5</v>
      </c>
      <c r="D49" s="6">
        <f>Original!T44</f>
        <v>0.318</v>
      </c>
      <c r="E49" s="6">
        <f>Original!V44</f>
        <v>14</v>
      </c>
      <c r="F49" s="6">
        <f t="shared" si="0"/>
        <v>0.2</v>
      </c>
      <c r="G49">
        <f t="shared" si="1"/>
        <v>1466.3040000000001</v>
      </c>
      <c r="H49">
        <f t="shared" si="2"/>
        <v>15.400000000000002</v>
      </c>
      <c r="I49">
        <f t="shared" si="3"/>
        <v>39479.44000000001</v>
      </c>
      <c r="J49">
        <f t="shared" si="4"/>
        <v>16898.358400000005</v>
      </c>
      <c r="K49">
        <f t="shared" si="5"/>
        <v>22581.081600000005</v>
      </c>
    </row>
    <row r="50" spans="1:11" x14ac:dyDescent="0.25">
      <c r="A50" t="str">
        <f>Original!A45</f>
        <v>ORD-2025-820255</v>
      </c>
      <c r="B50">
        <f>Original!R45</f>
        <v>483.47</v>
      </c>
      <c r="C50">
        <f>Original!S45</f>
        <v>1135.43</v>
      </c>
      <c r="D50" s="6">
        <f>Original!T45</f>
        <v>0.14599999999999999</v>
      </c>
      <c r="E50" s="6">
        <f>Original!V45</f>
        <v>11</v>
      </c>
      <c r="F50" s="6">
        <f t="shared" si="0"/>
        <v>0.14599999999999999</v>
      </c>
      <c r="G50">
        <f t="shared" si="1"/>
        <v>507.64350000000007</v>
      </c>
      <c r="H50">
        <f t="shared" si="2"/>
        <v>12.100000000000001</v>
      </c>
      <c r="I50">
        <f t="shared" si="3"/>
        <v>11732.852362000003</v>
      </c>
      <c r="J50">
        <f t="shared" si="4"/>
        <v>5590.3660120000013</v>
      </c>
      <c r="K50">
        <f t="shared" si="5"/>
        <v>6142.4863500000019</v>
      </c>
    </row>
    <row r="51" spans="1:11" x14ac:dyDescent="0.25">
      <c r="A51" t="str">
        <f>Original!A46</f>
        <v>ORD-2024-389336</v>
      </c>
      <c r="B51">
        <f>Original!R46</f>
        <v>675.43</v>
      </c>
      <c r="C51">
        <f>Original!S46</f>
        <v>996.36</v>
      </c>
      <c r="D51" s="6">
        <f>Original!T46</f>
        <v>0.182</v>
      </c>
      <c r="E51" s="6">
        <f>Original!V46</f>
        <v>22</v>
      </c>
      <c r="F51" s="6">
        <f t="shared" si="0"/>
        <v>0.182</v>
      </c>
      <c r="G51">
        <f t="shared" si="1"/>
        <v>709.20150000000001</v>
      </c>
      <c r="H51">
        <f t="shared" si="2"/>
        <v>24.200000000000003</v>
      </c>
      <c r="I51">
        <f t="shared" si="3"/>
        <v>19723.544016000003</v>
      </c>
      <c r="J51">
        <f t="shared" si="4"/>
        <v>2560.8677160000007</v>
      </c>
      <c r="K51">
        <f t="shared" si="5"/>
        <v>17162.676300000003</v>
      </c>
    </row>
    <row r="52" spans="1:11" x14ac:dyDescent="0.25">
      <c r="A52" t="str">
        <f>Original!A47</f>
        <v>ORD-2023-308124</v>
      </c>
      <c r="B52">
        <f>Original!R47</f>
        <v>826.55</v>
      </c>
      <c r="C52">
        <f>Original!S47</f>
        <v>1397.05</v>
      </c>
      <c r="D52" s="6">
        <f>Original!T47</f>
        <v>0.16900000000000001</v>
      </c>
      <c r="E52" s="6">
        <f>Original!V47</f>
        <v>28</v>
      </c>
      <c r="F52" s="6">
        <f t="shared" si="0"/>
        <v>0.16900000000000001</v>
      </c>
      <c r="G52">
        <f t="shared" si="1"/>
        <v>867.87749999999994</v>
      </c>
      <c r="H52">
        <f t="shared" si="2"/>
        <v>30.800000000000004</v>
      </c>
      <c r="I52">
        <f t="shared" si="3"/>
        <v>35757.215340000002</v>
      </c>
      <c r="J52">
        <f t="shared" si="4"/>
        <v>9026.5883400000021</v>
      </c>
      <c r="K52">
        <f t="shared" si="5"/>
        <v>26730.627</v>
      </c>
    </row>
    <row r="53" spans="1:11" x14ac:dyDescent="0.25">
      <c r="A53" t="str">
        <f>Original!A48</f>
        <v>ORD-2023-128295</v>
      </c>
      <c r="B53">
        <f>Original!R48</f>
        <v>337.75</v>
      </c>
      <c r="C53">
        <f>Original!S48</f>
        <v>548.89</v>
      </c>
      <c r="D53" s="6">
        <f>Original!T48</f>
        <v>0</v>
      </c>
      <c r="E53" s="6">
        <f>Original!V48</f>
        <v>13</v>
      </c>
      <c r="F53" s="6">
        <f t="shared" si="0"/>
        <v>0</v>
      </c>
      <c r="G53">
        <f t="shared" si="1"/>
        <v>354.63749999999999</v>
      </c>
      <c r="H53">
        <f t="shared" si="2"/>
        <v>14.3</v>
      </c>
      <c r="I53">
        <f t="shared" si="3"/>
        <v>7849.1270000000004</v>
      </c>
      <c r="J53">
        <f t="shared" si="4"/>
        <v>2777.8107500000006</v>
      </c>
      <c r="K53">
        <f t="shared" si="5"/>
        <v>5071.3162499999999</v>
      </c>
    </row>
    <row r="54" spans="1:11" x14ac:dyDescent="0.25">
      <c r="A54" t="str">
        <f>Original!A49</f>
        <v>ORD-2024-548345</v>
      </c>
      <c r="B54">
        <f>Original!R49</f>
        <v>1421.14</v>
      </c>
      <c r="C54">
        <f>Original!S49</f>
        <v>3524</v>
      </c>
      <c r="D54" s="6">
        <f>Original!T49</f>
        <v>0</v>
      </c>
      <c r="E54" s="6">
        <f>Original!V49</f>
        <v>31</v>
      </c>
      <c r="F54" s="6">
        <f t="shared" si="0"/>
        <v>0</v>
      </c>
      <c r="G54">
        <f t="shared" si="1"/>
        <v>1492.1970000000001</v>
      </c>
      <c r="H54">
        <f t="shared" si="2"/>
        <v>34.1</v>
      </c>
      <c r="I54">
        <f t="shared" si="3"/>
        <v>120168.40000000001</v>
      </c>
      <c r="J54">
        <f t="shared" si="4"/>
        <v>69284.482300000003</v>
      </c>
      <c r="K54">
        <f t="shared" si="5"/>
        <v>50883.917700000005</v>
      </c>
    </row>
    <row r="55" spans="1:11" x14ac:dyDescent="0.25">
      <c r="A55" t="str">
        <f>Original!A50</f>
        <v>ORD-2024-966651</v>
      </c>
      <c r="B55">
        <f>Original!R50</f>
        <v>859.35</v>
      </c>
      <c r="C55">
        <f>Original!S50</f>
        <v>1825.61</v>
      </c>
      <c r="D55" s="6">
        <f>Original!T50</f>
        <v>0.187</v>
      </c>
      <c r="E55" s="6">
        <f>Original!V50</f>
        <v>24</v>
      </c>
      <c r="F55" s="6">
        <f t="shared" si="0"/>
        <v>0.187</v>
      </c>
      <c r="G55">
        <f t="shared" si="1"/>
        <v>902.31750000000011</v>
      </c>
      <c r="H55">
        <f t="shared" si="2"/>
        <v>26.400000000000002</v>
      </c>
      <c r="I55">
        <f t="shared" si="3"/>
        <v>39183.432551999998</v>
      </c>
      <c r="J55">
        <f t="shared" si="4"/>
        <v>15362.250551999994</v>
      </c>
      <c r="K55">
        <f t="shared" si="5"/>
        <v>23821.182000000004</v>
      </c>
    </row>
    <row r="56" spans="1:11" x14ac:dyDescent="0.25">
      <c r="A56" t="str">
        <f>Original!A51</f>
        <v>ORD-2023-292714</v>
      </c>
      <c r="B56">
        <f>Original!R51</f>
        <v>1303.56</v>
      </c>
      <c r="C56">
        <f>Original!S51</f>
        <v>1791.37</v>
      </c>
      <c r="D56" s="6">
        <f>Original!T51</f>
        <v>0.126</v>
      </c>
      <c r="E56" s="6">
        <f>Original!V51</f>
        <v>22</v>
      </c>
      <c r="F56" s="6">
        <f t="shared" si="0"/>
        <v>0.126</v>
      </c>
      <c r="G56">
        <f t="shared" si="1"/>
        <v>1368.7380000000001</v>
      </c>
      <c r="H56">
        <f t="shared" si="2"/>
        <v>24.200000000000003</v>
      </c>
      <c r="I56">
        <f t="shared" si="3"/>
        <v>37888.908596000001</v>
      </c>
      <c r="J56">
        <f t="shared" si="4"/>
        <v>4765.4489959999992</v>
      </c>
      <c r="K56">
        <f t="shared" si="5"/>
        <v>33123.459600000002</v>
      </c>
    </row>
    <row r="57" spans="1:11" x14ac:dyDescent="0.25">
      <c r="A57" t="str">
        <f>Original!A52</f>
        <v>ORD-2024-468501</v>
      </c>
      <c r="B57">
        <f>Original!R52</f>
        <v>1454.11</v>
      </c>
      <c r="C57">
        <f>Original!S52</f>
        <v>2629.75</v>
      </c>
      <c r="D57" s="6">
        <f>Original!T52</f>
        <v>0.29199999999999998</v>
      </c>
      <c r="E57" s="6">
        <f>Original!V52</f>
        <v>8</v>
      </c>
      <c r="F57" s="6">
        <f t="shared" si="0"/>
        <v>0.2</v>
      </c>
      <c r="G57">
        <f t="shared" si="1"/>
        <v>1526.8154999999999</v>
      </c>
      <c r="H57">
        <f t="shared" si="2"/>
        <v>8.8000000000000007</v>
      </c>
      <c r="I57">
        <f t="shared" si="3"/>
        <v>18513.440000000002</v>
      </c>
      <c r="J57">
        <f t="shared" si="4"/>
        <v>5077.4636000000028</v>
      </c>
      <c r="K57">
        <f t="shared" si="5"/>
        <v>13435.9764</v>
      </c>
    </row>
    <row r="58" spans="1:11" x14ac:dyDescent="0.25">
      <c r="A58" t="str">
        <f>Original!A53</f>
        <v>ORD-2024-260775</v>
      </c>
      <c r="B58">
        <f>Original!R53</f>
        <v>72.94</v>
      </c>
      <c r="C58">
        <f>Original!S53</f>
        <v>106.3</v>
      </c>
      <c r="D58" s="6">
        <f>Original!T53</f>
        <v>0.29499999999999998</v>
      </c>
      <c r="E58" s="6">
        <f>Original!V53</f>
        <v>8</v>
      </c>
      <c r="F58" s="6">
        <f t="shared" si="0"/>
        <v>0.2</v>
      </c>
      <c r="G58">
        <f t="shared" si="1"/>
        <v>76.587000000000003</v>
      </c>
      <c r="H58">
        <f t="shared" si="2"/>
        <v>8.8000000000000007</v>
      </c>
      <c r="I58">
        <f t="shared" si="3"/>
        <v>748.35200000000009</v>
      </c>
      <c r="J58">
        <f t="shared" si="4"/>
        <v>74.386399999999981</v>
      </c>
      <c r="K58">
        <f t="shared" si="5"/>
        <v>673.96560000000011</v>
      </c>
    </row>
    <row r="59" spans="1:11" x14ac:dyDescent="0.25">
      <c r="A59" t="str">
        <f>Original!A54</f>
        <v>ORD-2023-419187</v>
      </c>
      <c r="B59">
        <f>Original!R54</f>
        <v>533.26</v>
      </c>
      <c r="C59">
        <f>Original!S54</f>
        <v>385.72</v>
      </c>
      <c r="D59" s="6">
        <f>Original!T54</f>
        <v>0</v>
      </c>
      <c r="E59" s="6">
        <f>Original!V54</f>
        <v>15</v>
      </c>
      <c r="F59" s="6">
        <f t="shared" si="0"/>
        <v>0</v>
      </c>
      <c r="G59">
        <f t="shared" si="1"/>
        <v>559.923</v>
      </c>
      <c r="H59">
        <f t="shared" si="2"/>
        <v>16.5</v>
      </c>
      <c r="I59">
        <f t="shared" si="3"/>
        <v>6364.38</v>
      </c>
      <c r="J59">
        <f t="shared" si="4"/>
        <v>-2874.3494999999994</v>
      </c>
      <c r="K59">
        <f t="shared" si="5"/>
        <v>9238.7294999999995</v>
      </c>
    </row>
    <row r="60" spans="1:11" x14ac:dyDescent="0.25">
      <c r="A60" t="str">
        <f>Original!A55</f>
        <v>ORD-2025-578007</v>
      </c>
      <c r="B60">
        <f>Original!R55</f>
        <v>204.11</v>
      </c>
      <c r="C60">
        <f>Original!S55</f>
        <v>236.87</v>
      </c>
      <c r="D60" s="6">
        <f>Original!T55</f>
        <v>0.182</v>
      </c>
      <c r="E60" s="6">
        <f>Original!V55</f>
        <v>13</v>
      </c>
      <c r="F60" s="6">
        <f t="shared" si="0"/>
        <v>0.182</v>
      </c>
      <c r="G60">
        <f t="shared" si="1"/>
        <v>214.31550000000001</v>
      </c>
      <c r="H60">
        <f t="shared" si="2"/>
        <v>14.3</v>
      </c>
      <c r="I60">
        <f t="shared" si="3"/>
        <v>2770.7631380000007</v>
      </c>
      <c r="J60">
        <f t="shared" si="4"/>
        <v>-293.94851199999948</v>
      </c>
      <c r="K60">
        <f t="shared" si="5"/>
        <v>3064.7116500000002</v>
      </c>
    </row>
    <row r="61" spans="1:11" x14ac:dyDescent="0.25">
      <c r="A61" t="str">
        <f>Original!A56</f>
        <v>ORD-2023-235230</v>
      </c>
      <c r="B61">
        <f>Original!R56</f>
        <v>44.42</v>
      </c>
      <c r="C61">
        <f>Original!S56</f>
        <v>41.9</v>
      </c>
      <c r="D61" s="6">
        <f>Original!T56</f>
        <v>0.14399999999999999</v>
      </c>
      <c r="E61" s="6">
        <f>Original!V56</f>
        <v>6</v>
      </c>
      <c r="F61" s="6">
        <f t="shared" si="0"/>
        <v>0.14399999999999999</v>
      </c>
      <c r="G61">
        <f t="shared" si="1"/>
        <v>46.641000000000005</v>
      </c>
      <c r="H61">
        <f t="shared" si="2"/>
        <v>6.6000000000000005</v>
      </c>
      <c r="I61">
        <f t="shared" si="3"/>
        <v>236.71824000000001</v>
      </c>
      <c r="J61">
        <f t="shared" si="4"/>
        <v>-71.112360000000052</v>
      </c>
      <c r="K61">
        <f t="shared" si="5"/>
        <v>307.83060000000006</v>
      </c>
    </row>
    <row r="62" spans="1:11" x14ac:dyDescent="0.25">
      <c r="A62" t="str">
        <f>Original!A57</f>
        <v>ORD-2025-765220</v>
      </c>
      <c r="B62">
        <f>Original!R57</f>
        <v>855.78</v>
      </c>
      <c r="C62">
        <f>Original!S57</f>
        <v>977.38</v>
      </c>
      <c r="D62" s="6">
        <f>Original!T57</f>
        <v>0.14699999999999999</v>
      </c>
      <c r="E62" s="6">
        <f>Original!V57</f>
        <v>38</v>
      </c>
      <c r="F62" s="6">
        <f t="shared" si="0"/>
        <v>0.14699999999999999</v>
      </c>
      <c r="G62">
        <f t="shared" si="1"/>
        <v>898.56899999999996</v>
      </c>
      <c r="H62">
        <f t="shared" si="2"/>
        <v>41.800000000000004</v>
      </c>
      <c r="I62">
        <f t="shared" si="3"/>
        <v>34848.874852000001</v>
      </c>
      <c r="J62">
        <f t="shared" si="4"/>
        <v>-2711.3093480000025</v>
      </c>
      <c r="K62">
        <f t="shared" si="5"/>
        <v>37560.184200000003</v>
      </c>
    </row>
    <row r="63" spans="1:11" x14ac:dyDescent="0.25">
      <c r="A63" t="str">
        <f>Original!A58</f>
        <v>ORD-2025-931538</v>
      </c>
      <c r="B63">
        <f>Original!R58</f>
        <v>1154.6400000000001</v>
      </c>
      <c r="C63">
        <f>Original!S58</f>
        <v>2794.13</v>
      </c>
      <c r="D63" s="6">
        <f>Original!T58</f>
        <v>3.5000000000000003E-2</v>
      </c>
      <c r="E63" s="6">
        <f>Original!V58</f>
        <v>11</v>
      </c>
      <c r="F63" s="6">
        <f t="shared" si="0"/>
        <v>3.5000000000000003E-2</v>
      </c>
      <c r="G63">
        <f t="shared" si="1"/>
        <v>1212.3720000000001</v>
      </c>
      <c r="H63">
        <f t="shared" si="2"/>
        <v>12.100000000000001</v>
      </c>
      <c r="I63">
        <f t="shared" si="3"/>
        <v>32625.658945000003</v>
      </c>
      <c r="J63">
        <f t="shared" si="4"/>
        <v>17955.957745</v>
      </c>
      <c r="K63">
        <f t="shared" si="5"/>
        <v>14669.701200000003</v>
      </c>
    </row>
    <row r="64" spans="1:11" x14ac:dyDescent="0.25">
      <c r="A64" t="str">
        <f>Original!A59</f>
        <v>ORD-2024-289089</v>
      </c>
      <c r="B64">
        <f>Original!R59</f>
        <v>346.82</v>
      </c>
      <c r="C64">
        <f>Original!S59</f>
        <v>701.95</v>
      </c>
      <c r="D64" s="6">
        <f>Original!T59</f>
        <v>0.14699999999999999</v>
      </c>
      <c r="E64" s="6">
        <f>Original!V59</f>
        <v>8</v>
      </c>
      <c r="F64" s="6">
        <f t="shared" si="0"/>
        <v>0.14699999999999999</v>
      </c>
      <c r="G64">
        <f t="shared" si="1"/>
        <v>364.161</v>
      </c>
      <c r="H64">
        <f t="shared" si="2"/>
        <v>8.8000000000000007</v>
      </c>
      <c r="I64">
        <f t="shared" si="3"/>
        <v>5269.1174800000008</v>
      </c>
      <c r="J64">
        <f t="shared" si="4"/>
        <v>2064.5006800000006</v>
      </c>
      <c r="K64">
        <f t="shared" si="5"/>
        <v>3204.6168000000002</v>
      </c>
    </row>
    <row r="65" spans="1:11" x14ac:dyDescent="0.25">
      <c r="A65" t="str">
        <f>Original!A60</f>
        <v>ORD-2025-639542</v>
      </c>
      <c r="B65">
        <f>Original!R60</f>
        <v>1225.5</v>
      </c>
      <c r="C65">
        <f>Original!S60</f>
        <v>5.27</v>
      </c>
      <c r="D65" s="6">
        <f>Original!T60</f>
        <v>7.4999999999999997E-2</v>
      </c>
      <c r="E65" s="6">
        <f>Original!V60</f>
        <v>56</v>
      </c>
      <c r="F65" s="6">
        <f t="shared" si="0"/>
        <v>7.4999999999999997E-2</v>
      </c>
      <c r="G65">
        <f t="shared" si="1"/>
        <v>1286.7750000000001</v>
      </c>
      <c r="H65">
        <f t="shared" si="2"/>
        <v>61.600000000000009</v>
      </c>
      <c r="I65">
        <f t="shared" si="3"/>
        <v>300.28460000000001</v>
      </c>
      <c r="J65">
        <f t="shared" si="4"/>
        <v>-78965.055400000012</v>
      </c>
      <c r="K65">
        <f t="shared" si="5"/>
        <v>79265.340000000011</v>
      </c>
    </row>
    <row r="66" spans="1:11" x14ac:dyDescent="0.25">
      <c r="A66" t="str">
        <f>Original!A61</f>
        <v>ORD-2025-762301</v>
      </c>
      <c r="B66">
        <f>Original!R61</f>
        <v>1057.5999999999999</v>
      </c>
      <c r="C66">
        <f>Original!S61</f>
        <v>1437.06</v>
      </c>
      <c r="D66" s="6">
        <f>Original!T61</f>
        <v>0.20499999999999999</v>
      </c>
      <c r="E66" s="6">
        <f>Original!V61</f>
        <v>4</v>
      </c>
      <c r="F66" s="6">
        <f t="shared" si="0"/>
        <v>0.2</v>
      </c>
      <c r="G66">
        <f t="shared" si="1"/>
        <v>1110.48</v>
      </c>
      <c r="H66">
        <f t="shared" si="2"/>
        <v>4.4000000000000004</v>
      </c>
      <c r="I66">
        <f t="shared" si="3"/>
        <v>5058.4512000000004</v>
      </c>
      <c r="J66">
        <f t="shared" si="4"/>
        <v>172.33920000000035</v>
      </c>
      <c r="K66">
        <f t="shared" si="5"/>
        <v>4886.1120000000001</v>
      </c>
    </row>
    <row r="67" spans="1:11" x14ac:dyDescent="0.25">
      <c r="A67" t="str">
        <f>Original!A62</f>
        <v>ORD-2024-906395</v>
      </c>
      <c r="B67">
        <f>Original!R62</f>
        <v>1176.56</v>
      </c>
      <c r="C67">
        <f>Original!S62</f>
        <v>1911.89</v>
      </c>
      <c r="D67" s="6">
        <f>Original!T62</f>
        <v>0.11899999999999999</v>
      </c>
      <c r="E67" s="6">
        <f>Original!V62</f>
        <v>20</v>
      </c>
      <c r="F67" s="6">
        <f t="shared" si="0"/>
        <v>0.11899999999999999</v>
      </c>
      <c r="G67">
        <f t="shared" si="1"/>
        <v>1235.3879999999999</v>
      </c>
      <c r="H67">
        <f t="shared" si="2"/>
        <v>22</v>
      </c>
      <c r="I67">
        <f t="shared" si="3"/>
        <v>37056.251980000001</v>
      </c>
      <c r="J67">
        <f t="shared" si="4"/>
        <v>9877.7159800000009</v>
      </c>
      <c r="K67">
        <f t="shared" si="5"/>
        <v>27178.536</v>
      </c>
    </row>
    <row r="68" spans="1:11" x14ac:dyDescent="0.25">
      <c r="A68" t="str">
        <f>Original!A63</f>
        <v>ORD-2025-779574</v>
      </c>
      <c r="B68">
        <f>Original!R63</f>
        <v>1470.15</v>
      </c>
      <c r="C68">
        <f>Original!S63</f>
        <v>2593.7800000000002</v>
      </c>
      <c r="D68" s="6">
        <f>Original!T63</f>
        <v>0.11</v>
      </c>
      <c r="E68" s="6">
        <f>Original!V63</f>
        <v>12</v>
      </c>
      <c r="F68" s="6">
        <f t="shared" si="0"/>
        <v>0.11</v>
      </c>
      <c r="G68">
        <f t="shared" si="1"/>
        <v>1543.6575000000003</v>
      </c>
      <c r="H68">
        <f t="shared" si="2"/>
        <v>13.200000000000001</v>
      </c>
      <c r="I68">
        <f t="shared" si="3"/>
        <v>30471.727440000006</v>
      </c>
      <c r="J68">
        <f t="shared" si="4"/>
        <v>10095.44844</v>
      </c>
      <c r="K68">
        <f t="shared" si="5"/>
        <v>20376.279000000006</v>
      </c>
    </row>
    <row r="69" spans="1:11" x14ac:dyDescent="0.25">
      <c r="A69" t="str">
        <f>Original!A64</f>
        <v>ORD-2025-526650</v>
      </c>
      <c r="B69">
        <f>Original!R64</f>
        <v>603.45000000000005</v>
      </c>
      <c r="C69">
        <f>Original!S64</f>
        <v>1244.08</v>
      </c>
      <c r="D69" s="6">
        <f>Original!T64</f>
        <v>0.2</v>
      </c>
      <c r="E69" s="6">
        <f>Original!V64</f>
        <v>11</v>
      </c>
      <c r="F69" s="6">
        <f t="shared" si="0"/>
        <v>0.2</v>
      </c>
      <c r="G69">
        <f t="shared" si="1"/>
        <v>633.62250000000006</v>
      </c>
      <c r="H69">
        <f t="shared" si="2"/>
        <v>12.100000000000001</v>
      </c>
      <c r="I69">
        <f t="shared" si="3"/>
        <v>12042.6944</v>
      </c>
      <c r="J69">
        <f t="shared" si="4"/>
        <v>4375.862149999999</v>
      </c>
      <c r="K69">
        <f t="shared" si="5"/>
        <v>7666.8322500000013</v>
      </c>
    </row>
    <row r="70" spans="1:11" x14ac:dyDescent="0.25">
      <c r="A70" t="str">
        <f>Original!A65</f>
        <v>ORD-2024-247979</v>
      </c>
      <c r="B70">
        <f>Original!R65</f>
        <v>1233.58</v>
      </c>
      <c r="C70">
        <f>Original!S65</f>
        <v>1912.51</v>
      </c>
      <c r="D70" s="6">
        <f>Original!T65</f>
        <v>0.255</v>
      </c>
      <c r="E70" s="6">
        <f>Original!V65</f>
        <v>51</v>
      </c>
      <c r="F70" s="6">
        <f t="shared" si="0"/>
        <v>0.2</v>
      </c>
      <c r="G70">
        <f t="shared" si="1"/>
        <v>1295.259</v>
      </c>
      <c r="H70">
        <f t="shared" si="2"/>
        <v>56.1</v>
      </c>
      <c r="I70">
        <f t="shared" si="3"/>
        <v>85833.448800000013</v>
      </c>
      <c r="J70">
        <f t="shared" si="4"/>
        <v>13169.418900000004</v>
      </c>
      <c r="K70">
        <f t="shared" si="5"/>
        <v>72664.029900000009</v>
      </c>
    </row>
    <row r="71" spans="1:11" x14ac:dyDescent="0.25">
      <c r="A71" t="str">
        <f>Original!A66</f>
        <v>ORD-2023-480975</v>
      </c>
      <c r="B71">
        <f>Original!R66</f>
        <v>498.5</v>
      </c>
      <c r="C71">
        <f>Original!S66</f>
        <v>755.87</v>
      </c>
      <c r="D71" s="6">
        <f>Original!T66</f>
        <v>0.13</v>
      </c>
      <c r="E71" s="6">
        <f>Original!V66</f>
        <v>40</v>
      </c>
      <c r="F71" s="6">
        <f t="shared" si="0"/>
        <v>0.13</v>
      </c>
      <c r="G71">
        <f t="shared" si="1"/>
        <v>523.42500000000007</v>
      </c>
      <c r="H71">
        <f t="shared" si="2"/>
        <v>44</v>
      </c>
      <c r="I71">
        <f t="shared" si="3"/>
        <v>28934.703599999997</v>
      </c>
      <c r="J71">
        <f t="shared" si="4"/>
        <v>5904.0035999999927</v>
      </c>
      <c r="K71">
        <f t="shared" si="5"/>
        <v>23030.700000000004</v>
      </c>
    </row>
    <row r="72" spans="1:11" x14ac:dyDescent="0.25">
      <c r="A72" t="str">
        <f>Original!A67</f>
        <v>ORD-2023-239789</v>
      </c>
      <c r="B72">
        <f>Original!R67</f>
        <v>1303.1099999999999</v>
      </c>
      <c r="C72">
        <f>Original!S67</f>
        <v>1145.67</v>
      </c>
      <c r="D72" s="6">
        <f>Original!T67</f>
        <v>0.184</v>
      </c>
      <c r="E72" s="6">
        <f>Original!V67</f>
        <v>13</v>
      </c>
      <c r="F72" s="6">
        <f t="shared" ref="F72:F135" si="6">MIN(D72,$B$2)</f>
        <v>0.184</v>
      </c>
      <c r="G72">
        <f t="shared" ref="G72:G135" si="7">B72*(1+$B$3)</f>
        <v>1368.2655</v>
      </c>
      <c r="H72">
        <f t="shared" ref="H72:H135" si="8">E72*(1+$B$4)</f>
        <v>14.3</v>
      </c>
      <c r="I72">
        <f t="shared" ref="I72:I135" si="9">C72*H72*(1-F72)</f>
        <v>13368.594096000003</v>
      </c>
      <c r="J72">
        <f t="shared" ref="J72:J135" si="10">I72-K72</f>
        <v>-6197.6025539999991</v>
      </c>
      <c r="K72">
        <f t="shared" ref="K72:K135" si="11">G72*H72</f>
        <v>19566.196650000002</v>
      </c>
    </row>
    <row r="73" spans="1:11" x14ac:dyDescent="0.25">
      <c r="A73" t="str">
        <f>Original!A68</f>
        <v>ORD-2023-548874</v>
      </c>
      <c r="B73">
        <f>Original!R68</f>
        <v>1082.17</v>
      </c>
      <c r="C73">
        <f>Original!S68</f>
        <v>1234.0999999999999</v>
      </c>
      <c r="D73" s="6">
        <f>Original!T68</f>
        <v>0.189</v>
      </c>
      <c r="E73" s="6">
        <f>Original!V68</f>
        <v>16</v>
      </c>
      <c r="F73" s="6">
        <f t="shared" si="6"/>
        <v>0.189</v>
      </c>
      <c r="G73">
        <f t="shared" si="7"/>
        <v>1136.2785000000001</v>
      </c>
      <c r="H73">
        <f t="shared" si="8"/>
        <v>17.600000000000001</v>
      </c>
      <c r="I73">
        <f t="shared" si="9"/>
        <v>17615.049759999998</v>
      </c>
      <c r="J73">
        <f t="shared" si="10"/>
        <v>-2383.4518400000052</v>
      </c>
      <c r="K73">
        <f t="shared" si="11"/>
        <v>19998.501600000003</v>
      </c>
    </row>
    <row r="74" spans="1:11" x14ac:dyDescent="0.25">
      <c r="A74" t="str">
        <f>Original!A69</f>
        <v>ORD-2024-347736</v>
      </c>
      <c r="B74">
        <f>Original!R69</f>
        <v>673.88</v>
      </c>
      <c r="C74">
        <f>Original!S69</f>
        <v>1228.01</v>
      </c>
      <c r="D74" s="6">
        <f>Original!T69</f>
        <v>0.105</v>
      </c>
      <c r="E74" s="6">
        <f>Original!V69</f>
        <v>13</v>
      </c>
      <c r="F74" s="6">
        <f t="shared" si="6"/>
        <v>0.105</v>
      </c>
      <c r="G74">
        <f t="shared" si="7"/>
        <v>707.57400000000007</v>
      </c>
      <c r="H74">
        <f t="shared" si="8"/>
        <v>14.3</v>
      </c>
      <c r="I74">
        <f t="shared" si="9"/>
        <v>15716.685985000002</v>
      </c>
      <c r="J74">
        <f t="shared" si="10"/>
        <v>5598.3777850000006</v>
      </c>
      <c r="K74">
        <f t="shared" si="11"/>
        <v>10118.308200000001</v>
      </c>
    </row>
    <row r="75" spans="1:11" x14ac:dyDescent="0.25">
      <c r="A75" t="str">
        <f>Original!A70</f>
        <v>ORD-2023-749324</v>
      </c>
      <c r="B75">
        <f>Original!R70</f>
        <v>494.61</v>
      </c>
      <c r="C75">
        <f>Original!S70</f>
        <v>605.23</v>
      </c>
      <c r="D75" s="6">
        <f>Original!T70</f>
        <v>0.20399999999999999</v>
      </c>
      <c r="E75" s="6">
        <f>Original!V70</f>
        <v>18</v>
      </c>
      <c r="F75" s="6">
        <f t="shared" si="6"/>
        <v>0.2</v>
      </c>
      <c r="G75">
        <f t="shared" si="7"/>
        <v>519.34050000000002</v>
      </c>
      <c r="H75">
        <f t="shared" si="8"/>
        <v>19.8</v>
      </c>
      <c r="I75">
        <f t="shared" si="9"/>
        <v>9586.8432000000012</v>
      </c>
      <c r="J75">
        <f t="shared" si="10"/>
        <v>-696.09870000000046</v>
      </c>
      <c r="K75">
        <f t="shared" si="11"/>
        <v>10282.941900000002</v>
      </c>
    </row>
    <row r="76" spans="1:11" x14ac:dyDescent="0.25">
      <c r="A76" t="str">
        <f>Original!A71</f>
        <v>ORD-2023-809913</v>
      </c>
      <c r="B76">
        <f>Original!R71</f>
        <v>882.33</v>
      </c>
      <c r="C76">
        <f>Original!S71</f>
        <v>1880.15</v>
      </c>
      <c r="D76" s="6">
        <f>Original!T71</f>
        <v>0.05</v>
      </c>
      <c r="E76" s="6">
        <f>Original!V71</f>
        <v>5</v>
      </c>
      <c r="F76" s="6">
        <f t="shared" si="6"/>
        <v>0.05</v>
      </c>
      <c r="G76">
        <f t="shared" si="7"/>
        <v>926.44650000000013</v>
      </c>
      <c r="H76">
        <f t="shared" si="8"/>
        <v>5.5</v>
      </c>
      <c r="I76">
        <f t="shared" si="9"/>
        <v>9823.7837500000005</v>
      </c>
      <c r="J76">
        <f t="shared" si="10"/>
        <v>4728.3279999999995</v>
      </c>
      <c r="K76">
        <f t="shared" si="11"/>
        <v>5095.455750000001</v>
      </c>
    </row>
    <row r="77" spans="1:11" x14ac:dyDescent="0.25">
      <c r="A77" t="str">
        <f>Original!A72</f>
        <v>ORD-2024-287210</v>
      </c>
      <c r="B77">
        <f>Original!R72</f>
        <v>910.63</v>
      </c>
      <c r="C77">
        <f>Original!S72</f>
        <v>1269.4000000000001</v>
      </c>
      <c r="D77" s="6">
        <f>Original!T72</f>
        <v>6.8000000000000005E-2</v>
      </c>
      <c r="E77" s="6">
        <f>Original!V72</f>
        <v>9</v>
      </c>
      <c r="F77" s="6">
        <f t="shared" si="6"/>
        <v>6.8000000000000005E-2</v>
      </c>
      <c r="G77">
        <f t="shared" si="7"/>
        <v>956.16150000000005</v>
      </c>
      <c r="H77">
        <f t="shared" si="8"/>
        <v>9.9</v>
      </c>
      <c r="I77">
        <f t="shared" si="9"/>
        <v>11712.49992</v>
      </c>
      <c r="J77">
        <f t="shared" si="10"/>
        <v>2246.5010700000003</v>
      </c>
      <c r="K77">
        <f t="shared" si="11"/>
        <v>9465.9988499999999</v>
      </c>
    </row>
    <row r="78" spans="1:11" x14ac:dyDescent="0.25">
      <c r="A78" t="str">
        <f>Original!A73</f>
        <v>ORD-2025-640677</v>
      </c>
      <c r="B78">
        <f>Original!R73</f>
        <v>264.19</v>
      </c>
      <c r="C78">
        <f>Original!S73</f>
        <v>620.92999999999995</v>
      </c>
      <c r="D78" s="6">
        <f>Original!T73</f>
        <v>0.14199999999999999</v>
      </c>
      <c r="E78" s="6">
        <f>Original!V73</f>
        <v>12</v>
      </c>
      <c r="F78" s="6">
        <f t="shared" si="6"/>
        <v>0.14199999999999999</v>
      </c>
      <c r="G78">
        <f t="shared" si="7"/>
        <v>277.39949999999999</v>
      </c>
      <c r="H78">
        <f t="shared" si="8"/>
        <v>13.200000000000001</v>
      </c>
      <c r="I78">
        <f t="shared" si="9"/>
        <v>7032.4048079999993</v>
      </c>
      <c r="J78">
        <f t="shared" si="10"/>
        <v>3370.7314079999992</v>
      </c>
      <c r="K78">
        <f t="shared" si="11"/>
        <v>3661.6734000000001</v>
      </c>
    </row>
    <row r="79" spans="1:11" x14ac:dyDescent="0.25">
      <c r="A79" t="str">
        <f>Original!A74</f>
        <v>ORD-2024-939873</v>
      </c>
      <c r="B79">
        <f>Original!R74</f>
        <v>1376.51</v>
      </c>
      <c r="C79">
        <f>Original!S74</f>
        <v>1455.91</v>
      </c>
      <c r="D79" s="6">
        <f>Original!T74</f>
        <v>0.185</v>
      </c>
      <c r="E79" s="6">
        <f>Original!V74</f>
        <v>17</v>
      </c>
      <c r="F79" s="6">
        <f t="shared" si="6"/>
        <v>0.185</v>
      </c>
      <c r="G79">
        <f t="shared" si="7"/>
        <v>1445.3355000000001</v>
      </c>
      <c r="H79">
        <f t="shared" si="8"/>
        <v>18.700000000000003</v>
      </c>
      <c r="I79">
        <f t="shared" si="9"/>
        <v>22188.796355000006</v>
      </c>
      <c r="J79">
        <f t="shared" si="10"/>
        <v>-4838.9774949999992</v>
      </c>
      <c r="K79">
        <f t="shared" si="11"/>
        <v>27027.773850000005</v>
      </c>
    </row>
    <row r="80" spans="1:11" x14ac:dyDescent="0.25">
      <c r="A80" t="str">
        <f>Original!A75</f>
        <v>ORD-2024-800947</v>
      </c>
      <c r="B80">
        <f>Original!R75</f>
        <v>717.55</v>
      </c>
      <c r="C80">
        <f>Original!S75</f>
        <v>546.42999999999995</v>
      </c>
      <c r="D80" s="6">
        <f>Original!T75</f>
        <v>4.7E-2</v>
      </c>
      <c r="E80" s="6">
        <f>Original!V75</f>
        <v>18</v>
      </c>
      <c r="F80" s="6">
        <f t="shared" si="6"/>
        <v>4.7E-2</v>
      </c>
      <c r="G80">
        <f t="shared" si="7"/>
        <v>753.42750000000001</v>
      </c>
      <c r="H80">
        <f t="shared" si="8"/>
        <v>19.8</v>
      </c>
      <c r="I80">
        <f t="shared" si="9"/>
        <v>10310.806242000001</v>
      </c>
      <c r="J80">
        <f t="shared" si="10"/>
        <v>-4607.0582580000009</v>
      </c>
      <c r="K80">
        <f t="shared" si="11"/>
        <v>14917.864500000001</v>
      </c>
    </row>
    <row r="81" spans="1:11" x14ac:dyDescent="0.25">
      <c r="A81" t="str">
        <f>Original!A76</f>
        <v>ORD-2023-382272</v>
      </c>
      <c r="B81">
        <f>Original!R76</f>
        <v>917.88</v>
      </c>
      <c r="C81">
        <f>Original!S76</f>
        <v>1347.92</v>
      </c>
      <c r="D81" s="6">
        <f>Original!T76</f>
        <v>0.34300000000000003</v>
      </c>
      <c r="E81" s="6">
        <f>Original!V76</f>
        <v>5</v>
      </c>
      <c r="F81" s="6">
        <f t="shared" si="6"/>
        <v>0.2</v>
      </c>
      <c r="G81">
        <f t="shared" si="7"/>
        <v>963.774</v>
      </c>
      <c r="H81">
        <f t="shared" si="8"/>
        <v>5.5</v>
      </c>
      <c r="I81">
        <f t="shared" si="9"/>
        <v>5930.8480000000009</v>
      </c>
      <c r="J81">
        <f t="shared" si="10"/>
        <v>630.09100000000126</v>
      </c>
      <c r="K81">
        <f t="shared" si="11"/>
        <v>5300.7569999999996</v>
      </c>
    </row>
    <row r="82" spans="1:11" x14ac:dyDescent="0.25">
      <c r="A82" t="str">
        <f>Original!A77</f>
        <v>ORD-2023-722117</v>
      </c>
      <c r="B82">
        <f>Original!R77</f>
        <v>825.64</v>
      </c>
      <c r="C82">
        <f>Original!S77</f>
        <v>1108.43</v>
      </c>
      <c r="D82" s="6">
        <f>Original!T77</f>
        <v>0.114</v>
      </c>
      <c r="E82" s="6">
        <f>Original!V77</f>
        <v>7</v>
      </c>
      <c r="F82" s="6">
        <f t="shared" si="6"/>
        <v>0.114</v>
      </c>
      <c r="G82">
        <f t="shared" si="7"/>
        <v>866.92200000000003</v>
      </c>
      <c r="H82">
        <f t="shared" si="8"/>
        <v>7.7000000000000011</v>
      </c>
      <c r="I82">
        <f t="shared" si="9"/>
        <v>7561.9311460000017</v>
      </c>
      <c r="J82">
        <f t="shared" si="10"/>
        <v>886.63174600000093</v>
      </c>
      <c r="K82">
        <f t="shared" si="11"/>
        <v>6675.2994000000008</v>
      </c>
    </row>
    <row r="83" spans="1:11" x14ac:dyDescent="0.25">
      <c r="A83" t="str">
        <f>Original!A78</f>
        <v>ORD-2024-446699</v>
      </c>
      <c r="B83">
        <f>Original!R78</f>
        <v>1394.65</v>
      </c>
      <c r="C83">
        <f>Original!S78</f>
        <v>3144.1</v>
      </c>
      <c r="D83" s="6">
        <f>Original!T78</f>
        <v>0.13400000000000001</v>
      </c>
      <c r="E83" s="6">
        <f>Original!V78</f>
        <v>13</v>
      </c>
      <c r="F83" s="6">
        <f t="shared" si="6"/>
        <v>0.13400000000000001</v>
      </c>
      <c r="G83">
        <f t="shared" si="7"/>
        <v>1464.3825000000002</v>
      </c>
      <c r="H83">
        <f t="shared" si="8"/>
        <v>14.3</v>
      </c>
      <c r="I83">
        <f t="shared" si="9"/>
        <v>38935.905579999999</v>
      </c>
      <c r="J83">
        <f t="shared" si="10"/>
        <v>17995.235829999994</v>
      </c>
      <c r="K83">
        <f t="shared" si="11"/>
        <v>20940.669750000005</v>
      </c>
    </row>
    <row r="84" spans="1:11" x14ac:dyDescent="0.25">
      <c r="A84" t="str">
        <f>Original!A79</f>
        <v>ORD-2024-451005</v>
      </c>
      <c r="B84">
        <f>Original!R79</f>
        <v>1112.98</v>
      </c>
      <c r="C84">
        <f>Original!S79</f>
        <v>2095.73</v>
      </c>
      <c r="D84" s="6">
        <f>Original!T79</f>
        <v>7.1999999999999995E-2</v>
      </c>
      <c r="E84" s="6">
        <f>Original!V79</f>
        <v>17</v>
      </c>
      <c r="F84" s="6">
        <f t="shared" si="6"/>
        <v>7.1999999999999995E-2</v>
      </c>
      <c r="G84">
        <f t="shared" si="7"/>
        <v>1168.6290000000001</v>
      </c>
      <c r="H84">
        <f t="shared" si="8"/>
        <v>18.700000000000003</v>
      </c>
      <c r="I84">
        <f t="shared" si="9"/>
        <v>36368.460128000006</v>
      </c>
      <c r="J84">
        <f t="shared" si="10"/>
        <v>14515.097828000002</v>
      </c>
      <c r="K84">
        <f t="shared" si="11"/>
        <v>21853.362300000004</v>
      </c>
    </row>
    <row r="85" spans="1:11" x14ac:dyDescent="0.25">
      <c r="A85" t="str">
        <f>Original!A80</f>
        <v>ORD-2023-290279</v>
      </c>
      <c r="B85">
        <f>Original!R80</f>
        <v>357.36</v>
      </c>
      <c r="C85">
        <f>Original!S80</f>
        <v>703.62</v>
      </c>
      <c r="D85" s="6">
        <f>Original!T80</f>
        <v>0.25700000000000001</v>
      </c>
      <c r="E85" s="6">
        <f>Original!V80</f>
        <v>20</v>
      </c>
      <c r="F85" s="6">
        <f t="shared" si="6"/>
        <v>0.2</v>
      </c>
      <c r="G85">
        <f t="shared" si="7"/>
        <v>375.22800000000001</v>
      </c>
      <c r="H85">
        <f t="shared" si="8"/>
        <v>22</v>
      </c>
      <c r="I85">
        <f t="shared" si="9"/>
        <v>12383.712</v>
      </c>
      <c r="J85">
        <f t="shared" si="10"/>
        <v>4128.6959999999999</v>
      </c>
      <c r="K85">
        <f t="shared" si="11"/>
        <v>8255.0159999999996</v>
      </c>
    </row>
    <row r="86" spans="1:11" x14ac:dyDescent="0.25">
      <c r="A86" t="str">
        <f>Original!A81</f>
        <v>ORD-2024-192263</v>
      </c>
      <c r="B86">
        <f>Original!R81</f>
        <v>1122.68</v>
      </c>
      <c r="C86">
        <f>Original!S81</f>
        <v>1997.19</v>
      </c>
      <c r="D86" s="6">
        <f>Original!T81</f>
        <v>0.186</v>
      </c>
      <c r="E86" s="6">
        <f>Original!V81</f>
        <v>3</v>
      </c>
      <c r="F86" s="6">
        <f t="shared" si="6"/>
        <v>0.186</v>
      </c>
      <c r="G86">
        <f t="shared" si="7"/>
        <v>1178.8140000000001</v>
      </c>
      <c r="H86">
        <f t="shared" si="8"/>
        <v>3.3000000000000003</v>
      </c>
      <c r="I86">
        <f t="shared" si="9"/>
        <v>5364.8517780000011</v>
      </c>
      <c r="J86">
        <f t="shared" si="10"/>
        <v>1474.7655780000005</v>
      </c>
      <c r="K86">
        <f t="shared" si="11"/>
        <v>3890.0862000000006</v>
      </c>
    </row>
    <row r="87" spans="1:11" x14ac:dyDescent="0.25">
      <c r="A87" t="str">
        <f>Original!A82</f>
        <v>ORD-2023-159379</v>
      </c>
      <c r="B87">
        <f>Original!R82</f>
        <v>1410.05</v>
      </c>
      <c r="C87">
        <f>Original!S82</f>
        <v>2763.95</v>
      </c>
      <c r="D87" s="6">
        <f>Original!T82</f>
        <v>0.161</v>
      </c>
      <c r="E87" s="6">
        <f>Original!V82</f>
        <v>26</v>
      </c>
      <c r="F87" s="6">
        <f t="shared" si="6"/>
        <v>0.161</v>
      </c>
      <c r="G87">
        <f t="shared" si="7"/>
        <v>1480.5525</v>
      </c>
      <c r="H87">
        <f t="shared" si="8"/>
        <v>28.6</v>
      </c>
      <c r="I87">
        <f t="shared" si="9"/>
        <v>66322.085829999996</v>
      </c>
      <c r="J87">
        <f t="shared" si="10"/>
        <v>23978.284329999995</v>
      </c>
      <c r="K87">
        <f t="shared" si="11"/>
        <v>42343.801500000001</v>
      </c>
    </row>
    <row r="88" spans="1:11" x14ac:dyDescent="0.25">
      <c r="A88" t="str">
        <f>Original!A83</f>
        <v>ORD-2023-343322</v>
      </c>
      <c r="B88">
        <f>Original!R83</f>
        <v>1183.95</v>
      </c>
      <c r="C88">
        <f>Original!S83</f>
        <v>1503.53</v>
      </c>
      <c r="D88" s="6">
        <f>Original!T83</f>
        <v>0.24099999999999999</v>
      </c>
      <c r="E88" s="6">
        <f>Original!V83</f>
        <v>16</v>
      </c>
      <c r="F88" s="6">
        <f t="shared" si="6"/>
        <v>0.2</v>
      </c>
      <c r="G88">
        <f t="shared" si="7"/>
        <v>1243.1475</v>
      </c>
      <c r="H88">
        <f t="shared" si="8"/>
        <v>17.600000000000001</v>
      </c>
      <c r="I88">
        <f t="shared" si="9"/>
        <v>21169.702400000002</v>
      </c>
      <c r="J88">
        <f t="shared" si="10"/>
        <v>-709.6935999999987</v>
      </c>
      <c r="K88">
        <f t="shared" si="11"/>
        <v>21879.396000000001</v>
      </c>
    </row>
    <row r="89" spans="1:11" x14ac:dyDescent="0.25">
      <c r="A89" t="str">
        <f>Original!A84</f>
        <v>ORD-2025-114382</v>
      </c>
      <c r="B89">
        <f>Original!R84</f>
        <v>170.39</v>
      </c>
      <c r="C89">
        <f>Original!S84</f>
        <v>388.04</v>
      </c>
      <c r="D89" s="6">
        <f>Original!T84</f>
        <v>8.4000000000000005E-2</v>
      </c>
      <c r="E89" s="6">
        <f>Original!V84</f>
        <v>15</v>
      </c>
      <c r="F89" s="6">
        <f t="shared" si="6"/>
        <v>8.4000000000000005E-2</v>
      </c>
      <c r="G89">
        <f t="shared" si="7"/>
        <v>178.90949999999998</v>
      </c>
      <c r="H89">
        <f t="shared" si="8"/>
        <v>16.5</v>
      </c>
      <c r="I89">
        <f t="shared" si="9"/>
        <v>5864.8365600000006</v>
      </c>
      <c r="J89">
        <f t="shared" si="10"/>
        <v>2912.8298100000011</v>
      </c>
      <c r="K89">
        <f t="shared" si="11"/>
        <v>2952.0067499999996</v>
      </c>
    </row>
    <row r="90" spans="1:11" x14ac:dyDescent="0.25">
      <c r="A90" t="str">
        <f>Original!A85</f>
        <v>ORD-2025-488349</v>
      </c>
      <c r="B90">
        <f>Original!R85</f>
        <v>23.24</v>
      </c>
      <c r="C90">
        <f>Original!S85</f>
        <v>44.57</v>
      </c>
      <c r="D90" s="6">
        <f>Original!T85</f>
        <v>0.215</v>
      </c>
      <c r="E90" s="6">
        <f>Original!V85</f>
        <v>15</v>
      </c>
      <c r="F90" s="6">
        <f t="shared" si="6"/>
        <v>0.2</v>
      </c>
      <c r="G90">
        <f t="shared" si="7"/>
        <v>24.402000000000001</v>
      </c>
      <c r="H90">
        <f t="shared" si="8"/>
        <v>16.5</v>
      </c>
      <c r="I90">
        <f t="shared" si="9"/>
        <v>588.32399999999996</v>
      </c>
      <c r="J90">
        <f t="shared" si="10"/>
        <v>185.69099999999992</v>
      </c>
      <c r="K90">
        <f t="shared" si="11"/>
        <v>402.63300000000004</v>
      </c>
    </row>
    <row r="91" spans="1:11" x14ac:dyDescent="0.25">
      <c r="A91" t="str">
        <f>Original!A86</f>
        <v>ORD-2025-330203</v>
      </c>
      <c r="B91">
        <f>Original!R86</f>
        <v>1421.19</v>
      </c>
      <c r="C91">
        <f>Original!S86</f>
        <v>1808.26</v>
      </c>
      <c r="D91" s="6">
        <f>Original!T86</f>
        <v>0.104</v>
      </c>
      <c r="E91" s="6">
        <f>Original!V86</f>
        <v>13</v>
      </c>
      <c r="F91" s="6">
        <f t="shared" si="6"/>
        <v>0.104</v>
      </c>
      <c r="G91">
        <f t="shared" si="7"/>
        <v>1492.2495000000001</v>
      </c>
      <c r="H91">
        <f t="shared" si="8"/>
        <v>14.3</v>
      </c>
      <c r="I91">
        <f t="shared" si="9"/>
        <v>23168.873728000002</v>
      </c>
      <c r="J91">
        <f t="shared" si="10"/>
        <v>1829.7058780000007</v>
      </c>
      <c r="K91">
        <f t="shared" si="11"/>
        <v>21339.167850000002</v>
      </c>
    </row>
    <row r="92" spans="1:11" x14ac:dyDescent="0.25">
      <c r="A92" t="str">
        <f>Original!A87</f>
        <v>ORD-2023-841426</v>
      </c>
      <c r="B92">
        <f>Original!R87</f>
        <v>1186.18</v>
      </c>
      <c r="C92">
        <f>Original!S87</f>
        <v>1285.0899999999999</v>
      </c>
      <c r="D92" s="6">
        <f>Original!T87</f>
        <v>7.0000000000000007E-2</v>
      </c>
      <c r="E92" s="6">
        <f>Original!V87</f>
        <v>11</v>
      </c>
      <c r="F92" s="6">
        <f t="shared" si="6"/>
        <v>7.0000000000000007E-2</v>
      </c>
      <c r="G92">
        <f t="shared" si="7"/>
        <v>1245.489</v>
      </c>
      <c r="H92">
        <f t="shared" si="8"/>
        <v>12.100000000000001</v>
      </c>
      <c r="I92">
        <f t="shared" si="9"/>
        <v>14461.117769999999</v>
      </c>
      <c r="J92">
        <f t="shared" si="10"/>
        <v>-609.29913000000306</v>
      </c>
      <c r="K92">
        <f t="shared" si="11"/>
        <v>15070.416900000002</v>
      </c>
    </row>
    <row r="93" spans="1:11" x14ac:dyDescent="0.25">
      <c r="A93" t="str">
        <f>Original!A88</f>
        <v>ORD-2024-594592</v>
      </c>
      <c r="B93">
        <f>Original!R88</f>
        <v>1366.48</v>
      </c>
      <c r="C93">
        <f>Original!S88</f>
        <v>1678.14</v>
      </c>
      <c r="D93" s="6">
        <f>Original!T88</f>
        <v>0.154</v>
      </c>
      <c r="E93" s="6">
        <f>Original!V88</f>
        <v>10</v>
      </c>
      <c r="F93" s="6">
        <f t="shared" si="6"/>
        <v>0.154</v>
      </c>
      <c r="G93">
        <f t="shared" si="7"/>
        <v>1434.8040000000001</v>
      </c>
      <c r="H93">
        <f t="shared" si="8"/>
        <v>11</v>
      </c>
      <c r="I93">
        <f t="shared" si="9"/>
        <v>15616.770840000001</v>
      </c>
      <c r="J93">
        <f t="shared" si="10"/>
        <v>-166.07315999999992</v>
      </c>
      <c r="K93">
        <f t="shared" si="11"/>
        <v>15782.844000000001</v>
      </c>
    </row>
    <row r="94" spans="1:11" x14ac:dyDescent="0.25">
      <c r="A94" t="str">
        <f>Original!A89</f>
        <v>ORD-2025-863978</v>
      </c>
      <c r="B94">
        <f>Original!R89</f>
        <v>601.51</v>
      </c>
      <c r="C94">
        <f>Original!S89</f>
        <v>679.35</v>
      </c>
      <c r="D94" s="6">
        <f>Original!T89</f>
        <v>0.188</v>
      </c>
      <c r="E94" s="6">
        <f>Original!V89</f>
        <v>3</v>
      </c>
      <c r="F94" s="6">
        <f t="shared" si="6"/>
        <v>0.188</v>
      </c>
      <c r="G94">
        <f t="shared" si="7"/>
        <v>631.58550000000002</v>
      </c>
      <c r="H94">
        <f t="shared" si="8"/>
        <v>3.3000000000000003</v>
      </c>
      <c r="I94">
        <f t="shared" si="9"/>
        <v>1820.3862600000004</v>
      </c>
      <c r="J94">
        <f t="shared" si="10"/>
        <v>-263.84588999999983</v>
      </c>
      <c r="K94">
        <f t="shared" si="11"/>
        <v>2084.2321500000003</v>
      </c>
    </row>
    <row r="95" spans="1:11" x14ac:dyDescent="0.25">
      <c r="A95" t="str">
        <f>Original!A90</f>
        <v>ORD-2024-604471</v>
      </c>
      <c r="B95">
        <f>Original!R90</f>
        <v>523.70000000000005</v>
      </c>
      <c r="C95">
        <f>Original!S90</f>
        <v>1109.92</v>
      </c>
      <c r="D95" s="6">
        <f>Original!T90</f>
        <v>0.03</v>
      </c>
      <c r="E95" s="6">
        <f>Original!V90</f>
        <v>11</v>
      </c>
      <c r="F95" s="6">
        <f t="shared" si="6"/>
        <v>0.03</v>
      </c>
      <c r="G95">
        <f t="shared" si="7"/>
        <v>549.8850000000001</v>
      </c>
      <c r="H95">
        <f t="shared" si="8"/>
        <v>12.100000000000001</v>
      </c>
      <c r="I95">
        <f t="shared" si="9"/>
        <v>13027.131040000002</v>
      </c>
      <c r="J95">
        <f t="shared" si="10"/>
        <v>6373.5225399999999</v>
      </c>
      <c r="K95">
        <f t="shared" si="11"/>
        <v>6653.6085000000021</v>
      </c>
    </row>
    <row r="96" spans="1:11" x14ac:dyDescent="0.25">
      <c r="A96" t="str">
        <f>Original!A91</f>
        <v>ORD-2023-258768</v>
      </c>
      <c r="B96">
        <f>Original!R91</f>
        <v>55.65</v>
      </c>
      <c r="C96">
        <f>Original!S91</f>
        <v>83.57</v>
      </c>
      <c r="D96" s="6">
        <f>Original!T91</f>
        <v>6.6000000000000003E-2</v>
      </c>
      <c r="E96" s="6">
        <f>Original!V91</f>
        <v>8</v>
      </c>
      <c r="F96" s="6">
        <f t="shared" si="6"/>
        <v>6.6000000000000003E-2</v>
      </c>
      <c r="G96">
        <f t="shared" si="7"/>
        <v>58.432499999999997</v>
      </c>
      <c r="H96">
        <f t="shared" si="8"/>
        <v>8.8000000000000007</v>
      </c>
      <c r="I96">
        <f t="shared" si="9"/>
        <v>686.87854400000003</v>
      </c>
      <c r="J96">
        <f t="shared" si="10"/>
        <v>172.67254400000002</v>
      </c>
      <c r="K96">
        <f t="shared" si="11"/>
        <v>514.20600000000002</v>
      </c>
    </row>
    <row r="97" spans="1:11" x14ac:dyDescent="0.25">
      <c r="A97" t="str">
        <f>Original!A92</f>
        <v>ORD-2025-626047</v>
      </c>
      <c r="B97">
        <f>Original!R92</f>
        <v>691.19</v>
      </c>
      <c r="C97">
        <f>Original!S92</f>
        <v>1284.3</v>
      </c>
      <c r="D97" s="6">
        <f>Original!T92</f>
        <v>7.3999999999999996E-2</v>
      </c>
      <c r="E97" s="6">
        <f>Original!V92</f>
        <v>7</v>
      </c>
      <c r="F97" s="6">
        <f t="shared" si="6"/>
        <v>7.3999999999999996E-2</v>
      </c>
      <c r="G97">
        <f t="shared" si="7"/>
        <v>725.74950000000013</v>
      </c>
      <c r="H97">
        <f t="shared" si="8"/>
        <v>7.7000000000000011</v>
      </c>
      <c r="I97">
        <f t="shared" si="9"/>
        <v>9157.3158600000006</v>
      </c>
      <c r="J97">
        <f t="shared" si="10"/>
        <v>3569.0447099999992</v>
      </c>
      <c r="K97">
        <f t="shared" si="11"/>
        <v>5588.2711500000014</v>
      </c>
    </row>
    <row r="98" spans="1:11" x14ac:dyDescent="0.25">
      <c r="A98" t="str">
        <f>Original!A93</f>
        <v>ORD-2025-526752</v>
      </c>
      <c r="B98">
        <f>Original!R93</f>
        <v>527.33000000000004</v>
      </c>
      <c r="C98">
        <f>Original!S93</f>
        <v>911.72</v>
      </c>
      <c r="D98" s="6">
        <f>Original!T93</f>
        <v>0.14399999999999999</v>
      </c>
      <c r="E98" s="6">
        <f>Original!V93</f>
        <v>25</v>
      </c>
      <c r="F98" s="6">
        <f t="shared" si="6"/>
        <v>0.14399999999999999</v>
      </c>
      <c r="G98">
        <f t="shared" si="7"/>
        <v>553.69650000000001</v>
      </c>
      <c r="H98">
        <f t="shared" si="8"/>
        <v>27.500000000000004</v>
      </c>
      <c r="I98">
        <f t="shared" si="9"/>
        <v>21461.888800000001</v>
      </c>
      <c r="J98">
        <f t="shared" si="10"/>
        <v>6235.2350499999975</v>
      </c>
      <c r="K98">
        <f t="shared" si="11"/>
        <v>15226.653750000003</v>
      </c>
    </row>
    <row r="99" spans="1:11" x14ac:dyDescent="0.25">
      <c r="A99" t="str">
        <f>Original!A94</f>
        <v>ORD-2023-374486</v>
      </c>
      <c r="B99">
        <f>Original!R94</f>
        <v>804.01</v>
      </c>
      <c r="C99">
        <f>Original!S94</f>
        <v>1405.07</v>
      </c>
      <c r="D99" s="6">
        <f>Original!T94</f>
        <v>9.6000000000000002E-2</v>
      </c>
      <c r="E99" s="6">
        <f>Original!V94</f>
        <v>8</v>
      </c>
      <c r="F99" s="6">
        <f t="shared" si="6"/>
        <v>9.6000000000000002E-2</v>
      </c>
      <c r="G99">
        <f t="shared" si="7"/>
        <v>844.21050000000002</v>
      </c>
      <c r="H99">
        <f t="shared" si="8"/>
        <v>8.8000000000000007</v>
      </c>
      <c r="I99">
        <f t="shared" si="9"/>
        <v>11177.612864000001</v>
      </c>
      <c r="J99">
        <f t="shared" si="10"/>
        <v>3748.5604640000001</v>
      </c>
      <c r="K99">
        <f t="shared" si="11"/>
        <v>7429.0524000000005</v>
      </c>
    </row>
    <row r="100" spans="1:11" x14ac:dyDescent="0.25">
      <c r="A100" t="str">
        <f>Original!A95</f>
        <v>ORD-2024-997336</v>
      </c>
      <c r="B100">
        <f>Original!R95</f>
        <v>412.09</v>
      </c>
      <c r="C100">
        <f>Original!S95</f>
        <v>968.94</v>
      </c>
      <c r="D100" s="6">
        <f>Original!T95</f>
        <v>9.9000000000000005E-2</v>
      </c>
      <c r="E100" s="6">
        <f>Original!V95</f>
        <v>23</v>
      </c>
      <c r="F100" s="6">
        <f t="shared" si="6"/>
        <v>9.9000000000000005E-2</v>
      </c>
      <c r="G100">
        <f t="shared" si="7"/>
        <v>432.69450000000001</v>
      </c>
      <c r="H100">
        <f t="shared" si="8"/>
        <v>25.3</v>
      </c>
      <c r="I100">
        <f t="shared" si="9"/>
        <v>22087.277982</v>
      </c>
      <c r="J100">
        <f t="shared" si="10"/>
        <v>11140.107131999999</v>
      </c>
      <c r="K100">
        <f t="shared" si="11"/>
        <v>10947.17085</v>
      </c>
    </row>
    <row r="101" spans="1:11" x14ac:dyDescent="0.25">
      <c r="A101" t="str">
        <f>Original!A96</f>
        <v>ORD-2025-725646</v>
      </c>
      <c r="B101">
        <f>Original!R96</f>
        <v>1009.48</v>
      </c>
      <c r="C101">
        <f>Original!S96</f>
        <v>1088.81</v>
      </c>
      <c r="D101" s="6">
        <f>Original!T96</f>
        <v>0.16</v>
      </c>
      <c r="E101" s="6">
        <f>Original!V96</f>
        <v>6</v>
      </c>
      <c r="F101" s="6">
        <f t="shared" si="6"/>
        <v>0.16</v>
      </c>
      <c r="G101">
        <f t="shared" si="7"/>
        <v>1059.954</v>
      </c>
      <c r="H101">
        <f t="shared" si="8"/>
        <v>6.6000000000000005</v>
      </c>
      <c r="I101">
        <f t="shared" si="9"/>
        <v>6036.3626400000003</v>
      </c>
      <c r="J101">
        <f t="shared" si="10"/>
        <v>-959.33375999999953</v>
      </c>
      <c r="K101">
        <f t="shared" si="11"/>
        <v>6995.6963999999998</v>
      </c>
    </row>
    <row r="102" spans="1:11" x14ac:dyDescent="0.25">
      <c r="A102" t="str">
        <f>Original!A97</f>
        <v>ORD-2023-868734</v>
      </c>
      <c r="B102">
        <f>Original!R97</f>
        <v>1084.79</v>
      </c>
      <c r="C102">
        <f>Original!S97</f>
        <v>2484.9899999999998</v>
      </c>
      <c r="D102" s="6">
        <f>Original!T97</f>
        <v>3.4000000000000002E-2</v>
      </c>
      <c r="E102" s="6">
        <f>Original!V97</f>
        <v>18</v>
      </c>
      <c r="F102" s="6">
        <f t="shared" si="6"/>
        <v>3.4000000000000002E-2</v>
      </c>
      <c r="G102">
        <f t="shared" si="7"/>
        <v>1139.0295000000001</v>
      </c>
      <c r="H102">
        <f t="shared" si="8"/>
        <v>19.8</v>
      </c>
      <c r="I102">
        <f t="shared" si="9"/>
        <v>47529.906731999996</v>
      </c>
      <c r="J102">
        <f t="shared" si="10"/>
        <v>24977.122631999991</v>
      </c>
      <c r="K102">
        <f t="shared" si="11"/>
        <v>22552.784100000004</v>
      </c>
    </row>
    <row r="103" spans="1:11" x14ac:dyDescent="0.25">
      <c r="A103" t="str">
        <f>Original!A98</f>
        <v>ORD-2025-262491</v>
      </c>
      <c r="B103">
        <f>Original!R98</f>
        <v>24.44</v>
      </c>
      <c r="C103">
        <f>Original!S98</f>
        <v>28.69</v>
      </c>
      <c r="D103" s="6">
        <f>Original!T98</f>
        <v>0.14599999999999999</v>
      </c>
      <c r="E103" s="6">
        <f>Original!V98</f>
        <v>6</v>
      </c>
      <c r="F103" s="6">
        <f t="shared" si="6"/>
        <v>0.14599999999999999</v>
      </c>
      <c r="G103">
        <f t="shared" si="7"/>
        <v>25.662000000000003</v>
      </c>
      <c r="H103">
        <f t="shared" si="8"/>
        <v>6.6000000000000005</v>
      </c>
      <c r="I103">
        <f t="shared" si="9"/>
        <v>161.708316</v>
      </c>
      <c r="J103">
        <f t="shared" si="10"/>
        <v>-7.6608840000000384</v>
      </c>
      <c r="K103">
        <f t="shared" si="11"/>
        <v>169.36920000000003</v>
      </c>
    </row>
    <row r="104" spans="1:11" x14ac:dyDescent="0.25">
      <c r="A104" t="str">
        <f>Original!A99</f>
        <v>ORD-2024-638884</v>
      </c>
      <c r="B104">
        <f>Original!R99</f>
        <v>1227.08</v>
      </c>
      <c r="C104">
        <f>Original!S99</f>
        <v>1896.62</v>
      </c>
      <c r="D104" s="6">
        <f>Original!T99</f>
        <v>0</v>
      </c>
      <c r="E104" s="6">
        <f>Original!V99</f>
        <v>18</v>
      </c>
      <c r="F104" s="6">
        <f t="shared" si="6"/>
        <v>0</v>
      </c>
      <c r="G104">
        <f t="shared" si="7"/>
        <v>1288.434</v>
      </c>
      <c r="H104">
        <f t="shared" si="8"/>
        <v>19.8</v>
      </c>
      <c r="I104">
        <f t="shared" si="9"/>
        <v>37553.076000000001</v>
      </c>
      <c r="J104">
        <f t="shared" si="10"/>
        <v>12042.0828</v>
      </c>
      <c r="K104">
        <f t="shared" si="11"/>
        <v>25510.993200000001</v>
      </c>
    </row>
    <row r="105" spans="1:11" x14ac:dyDescent="0.25">
      <c r="A105" t="str">
        <f>Original!A100</f>
        <v>ORD-2025-541501</v>
      </c>
      <c r="B105">
        <f>Original!R100</f>
        <v>547.32000000000005</v>
      </c>
      <c r="C105">
        <f>Original!S100</f>
        <v>419.17</v>
      </c>
      <c r="D105" s="6">
        <f>Original!T100</f>
        <v>9.1999999999999998E-2</v>
      </c>
      <c r="E105" s="6">
        <f>Original!V100</f>
        <v>14</v>
      </c>
      <c r="F105" s="6">
        <f t="shared" si="6"/>
        <v>9.1999999999999998E-2</v>
      </c>
      <c r="G105">
        <f t="shared" si="7"/>
        <v>574.68600000000004</v>
      </c>
      <c r="H105">
        <f t="shared" si="8"/>
        <v>15.400000000000002</v>
      </c>
      <c r="I105">
        <f t="shared" si="9"/>
        <v>5861.3379440000008</v>
      </c>
      <c r="J105">
        <f t="shared" si="10"/>
        <v>-2988.8264560000007</v>
      </c>
      <c r="K105">
        <f t="shared" si="11"/>
        <v>8850.1644000000015</v>
      </c>
    </row>
    <row r="106" spans="1:11" x14ac:dyDescent="0.25">
      <c r="A106" t="str">
        <f>Original!A101</f>
        <v>ORD-2023-422918</v>
      </c>
      <c r="B106">
        <f>Original!R101</f>
        <v>1200.78</v>
      </c>
      <c r="C106">
        <f>Original!S101</f>
        <v>2001.17</v>
      </c>
      <c r="D106" s="6">
        <f>Original!T101</f>
        <v>0.29199999999999998</v>
      </c>
      <c r="E106" s="6">
        <f>Original!V101</f>
        <v>18</v>
      </c>
      <c r="F106" s="6">
        <f t="shared" si="6"/>
        <v>0.2</v>
      </c>
      <c r="G106">
        <f t="shared" si="7"/>
        <v>1260.819</v>
      </c>
      <c r="H106">
        <f t="shared" si="8"/>
        <v>19.8</v>
      </c>
      <c r="I106">
        <f t="shared" si="9"/>
        <v>31698.532800000004</v>
      </c>
      <c r="J106">
        <f t="shared" si="10"/>
        <v>6734.3166000000056</v>
      </c>
      <c r="K106">
        <f t="shared" si="11"/>
        <v>24964.216199999999</v>
      </c>
    </row>
    <row r="107" spans="1:11" x14ac:dyDescent="0.25">
      <c r="A107" t="str">
        <f>Original!A102</f>
        <v>ORD-2025-328504</v>
      </c>
      <c r="B107">
        <f>Original!R102</f>
        <v>1253.22</v>
      </c>
      <c r="C107">
        <f>Original!S102</f>
        <v>3104.71</v>
      </c>
      <c r="D107" s="6">
        <f>Original!T102</f>
        <v>0</v>
      </c>
      <c r="E107" s="6">
        <f>Original!V102</f>
        <v>17</v>
      </c>
      <c r="F107" s="6">
        <f t="shared" si="6"/>
        <v>0</v>
      </c>
      <c r="G107">
        <f t="shared" si="7"/>
        <v>1315.8810000000001</v>
      </c>
      <c r="H107">
        <f t="shared" si="8"/>
        <v>18.700000000000003</v>
      </c>
      <c r="I107">
        <f t="shared" si="9"/>
        <v>58058.077000000012</v>
      </c>
      <c r="J107">
        <f t="shared" si="10"/>
        <v>33451.102300000006</v>
      </c>
      <c r="K107">
        <f t="shared" si="11"/>
        <v>24606.974700000006</v>
      </c>
    </row>
    <row r="108" spans="1:11" x14ac:dyDescent="0.25">
      <c r="A108" t="str">
        <f>Original!A103</f>
        <v>ORD-2024-851883</v>
      </c>
      <c r="B108">
        <f>Original!R103</f>
        <v>313.60000000000002</v>
      </c>
      <c r="C108">
        <f>Original!S103</f>
        <v>334.28</v>
      </c>
      <c r="D108" s="6">
        <f>Original!T103</f>
        <v>0.14000000000000001</v>
      </c>
      <c r="E108" s="6">
        <f>Original!V103</f>
        <v>22</v>
      </c>
      <c r="F108" s="6">
        <f t="shared" si="6"/>
        <v>0.14000000000000001</v>
      </c>
      <c r="G108">
        <f t="shared" si="7"/>
        <v>329.28000000000003</v>
      </c>
      <c r="H108">
        <f t="shared" si="8"/>
        <v>24.200000000000003</v>
      </c>
      <c r="I108">
        <f t="shared" si="9"/>
        <v>6957.0353599999999</v>
      </c>
      <c r="J108">
        <f t="shared" si="10"/>
        <v>-1011.540640000002</v>
      </c>
      <c r="K108">
        <f t="shared" si="11"/>
        <v>7968.5760000000018</v>
      </c>
    </row>
    <row r="109" spans="1:11" x14ac:dyDescent="0.25">
      <c r="A109" t="str">
        <f>Original!A104</f>
        <v>ORD-2025-662997</v>
      </c>
      <c r="B109">
        <f>Original!R104</f>
        <v>862.08</v>
      </c>
      <c r="C109">
        <f>Original!S104</f>
        <v>1952.83</v>
      </c>
      <c r="D109" s="6">
        <f>Original!T104</f>
        <v>0</v>
      </c>
      <c r="E109" s="6">
        <f>Original!V104</f>
        <v>7</v>
      </c>
      <c r="F109" s="6">
        <f t="shared" si="6"/>
        <v>0</v>
      </c>
      <c r="G109">
        <f t="shared" si="7"/>
        <v>905.18400000000008</v>
      </c>
      <c r="H109">
        <f t="shared" si="8"/>
        <v>7.7000000000000011</v>
      </c>
      <c r="I109">
        <f t="shared" si="9"/>
        <v>15036.791000000001</v>
      </c>
      <c r="J109">
        <f t="shared" si="10"/>
        <v>8066.8741999999993</v>
      </c>
      <c r="K109">
        <f t="shared" si="11"/>
        <v>6969.9168000000018</v>
      </c>
    </row>
    <row r="110" spans="1:11" x14ac:dyDescent="0.25">
      <c r="A110" t="str">
        <f>Original!A105</f>
        <v>ORD-2024-478165</v>
      </c>
      <c r="B110">
        <f>Original!R105</f>
        <v>107.03</v>
      </c>
      <c r="C110">
        <f>Original!S105</f>
        <v>242.29</v>
      </c>
      <c r="D110" s="6">
        <f>Original!T105</f>
        <v>0.18</v>
      </c>
      <c r="E110" s="6">
        <f>Original!V105</f>
        <v>30</v>
      </c>
      <c r="F110" s="6">
        <f t="shared" si="6"/>
        <v>0.18</v>
      </c>
      <c r="G110">
        <f t="shared" si="7"/>
        <v>112.3815</v>
      </c>
      <c r="H110">
        <f t="shared" si="8"/>
        <v>33</v>
      </c>
      <c r="I110">
        <f t="shared" si="9"/>
        <v>6556.3674000000001</v>
      </c>
      <c r="J110">
        <f t="shared" si="10"/>
        <v>2847.7779</v>
      </c>
      <c r="K110">
        <f t="shared" si="11"/>
        <v>3708.5895</v>
      </c>
    </row>
    <row r="111" spans="1:11" x14ac:dyDescent="0.25">
      <c r="A111" t="str">
        <f>Original!A106</f>
        <v>ORD-2024-771210</v>
      </c>
      <c r="B111">
        <f>Original!R106</f>
        <v>1405.56</v>
      </c>
      <c r="C111">
        <f>Original!S106</f>
        <v>2968.87</v>
      </c>
      <c r="D111" s="6">
        <f>Original!T106</f>
        <v>0.16900000000000001</v>
      </c>
      <c r="E111" s="6">
        <f>Original!V106</f>
        <v>5</v>
      </c>
      <c r="F111" s="6">
        <f t="shared" si="6"/>
        <v>0.16900000000000001</v>
      </c>
      <c r="G111">
        <f t="shared" si="7"/>
        <v>1475.838</v>
      </c>
      <c r="H111">
        <f t="shared" si="8"/>
        <v>5.5</v>
      </c>
      <c r="I111">
        <f t="shared" si="9"/>
        <v>13569.220335</v>
      </c>
      <c r="J111">
        <f t="shared" si="10"/>
        <v>5452.1113350000005</v>
      </c>
      <c r="K111">
        <f t="shared" si="11"/>
        <v>8117.1089999999995</v>
      </c>
    </row>
    <row r="112" spans="1:11" x14ac:dyDescent="0.25">
      <c r="A112" t="str">
        <f>Original!A107</f>
        <v>ORD-2024-155337</v>
      </c>
      <c r="B112">
        <f>Original!R107</f>
        <v>1157.51</v>
      </c>
      <c r="C112">
        <f>Original!S107</f>
        <v>1394.3</v>
      </c>
      <c r="D112" s="6">
        <f>Original!T107</f>
        <v>0.27800000000000002</v>
      </c>
      <c r="E112" s="6">
        <f>Original!V107</f>
        <v>12</v>
      </c>
      <c r="F112" s="6">
        <f t="shared" si="6"/>
        <v>0.2</v>
      </c>
      <c r="G112">
        <f t="shared" si="7"/>
        <v>1215.3855000000001</v>
      </c>
      <c r="H112">
        <f t="shared" si="8"/>
        <v>13.200000000000001</v>
      </c>
      <c r="I112">
        <f t="shared" si="9"/>
        <v>14723.808000000003</v>
      </c>
      <c r="J112">
        <f t="shared" si="10"/>
        <v>-1319.2806</v>
      </c>
      <c r="K112">
        <f t="shared" si="11"/>
        <v>16043.088600000003</v>
      </c>
    </row>
    <row r="113" spans="1:11" x14ac:dyDescent="0.25">
      <c r="A113" t="str">
        <f>Original!A108</f>
        <v>ORD-2023-251563</v>
      </c>
      <c r="B113">
        <f>Original!R108</f>
        <v>12.85</v>
      </c>
      <c r="C113">
        <f>Original!S108</f>
        <v>15.41</v>
      </c>
      <c r="D113" s="6">
        <f>Original!T108</f>
        <v>0.13700000000000001</v>
      </c>
      <c r="E113" s="6">
        <f>Original!V108</f>
        <v>39</v>
      </c>
      <c r="F113" s="6">
        <f t="shared" si="6"/>
        <v>0.13700000000000001</v>
      </c>
      <c r="G113">
        <f t="shared" si="7"/>
        <v>13.4925</v>
      </c>
      <c r="H113">
        <f t="shared" si="8"/>
        <v>42.900000000000006</v>
      </c>
      <c r="I113">
        <f t="shared" si="9"/>
        <v>570.51980700000001</v>
      </c>
      <c r="J113">
        <f t="shared" si="10"/>
        <v>-8.3084430000000111</v>
      </c>
      <c r="K113">
        <f t="shared" si="11"/>
        <v>578.82825000000003</v>
      </c>
    </row>
    <row r="114" spans="1:11" x14ac:dyDescent="0.25">
      <c r="A114" t="str">
        <f>Original!A109</f>
        <v>ORD-2024-286833</v>
      </c>
      <c r="B114">
        <f>Original!R109</f>
        <v>1138.8</v>
      </c>
      <c r="C114">
        <f>Original!S109</f>
        <v>2250.81</v>
      </c>
      <c r="D114" s="6">
        <f>Original!T109</f>
        <v>0.123</v>
      </c>
      <c r="E114" s="6">
        <f>Original!V109</f>
        <v>12</v>
      </c>
      <c r="F114" s="6">
        <f t="shared" si="6"/>
        <v>0.123</v>
      </c>
      <c r="G114">
        <f t="shared" si="7"/>
        <v>1195.74</v>
      </c>
      <c r="H114">
        <f t="shared" si="8"/>
        <v>13.200000000000001</v>
      </c>
      <c r="I114">
        <f t="shared" si="9"/>
        <v>26056.276884000003</v>
      </c>
      <c r="J114">
        <f t="shared" si="10"/>
        <v>10272.508884000001</v>
      </c>
      <c r="K114">
        <f t="shared" si="11"/>
        <v>15783.768000000002</v>
      </c>
    </row>
    <row r="115" spans="1:11" x14ac:dyDescent="0.25">
      <c r="A115" t="str">
        <f>Original!A110</f>
        <v>ORD-2024-792558</v>
      </c>
      <c r="B115">
        <f>Original!R110</f>
        <v>82.14</v>
      </c>
      <c r="C115">
        <f>Original!S110</f>
        <v>166.04</v>
      </c>
      <c r="D115" s="6">
        <f>Original!T110</f>
        <v>0</v>
      </c>
      <c r="E115" s="6">
        <f>Original!V110</f>
        <v>10</v>
      </c>
      <c r="F115" s="6">
        <f t="shared" si="6"/>
        <v>0</v>
      </c>
      <c r="G115">
        <f t="shared" si="7"/>
        <v>86.247</v>
      </c>
      <c r="H115">
        <f t="shared" si="8"/>
        <v>11</v>
      </c>
      <c r="I115">
        <f t="shared" si="9"/>
        <v>1826.4399999999998</v>
      </c>
      <c r="J115">
        <f t="shared" si="10"/>
        <v>877.72299999999984</v>
      </c>
      <c r="K115">
        <f t="shared" si="11"/>
        <v>948.71699999999998</v>
      </c>
    </row>
    <row r="116" spans="1:11" x14ac:dyDescent="0.25">
      <c r="A116" t="str">
        <f>Original!A111</f>
        <v>ORD-2024-166150</v>
      </c>
      <c r="B116">
        <f>Original!R111</f>
        <v>292.94</v>
      </c>
      <c r="C116">
        <f>Original!S111</f>
        <v>356.55</v>
      </c>
      <c r="D116" s="6">
        <f>Original!T111</f>
        <v>0.22900000000000001</v>
      </c>
      <c r="E116" s="6">
        <f>Original!V111</f>
        <v>2</v>
      </c>
      <c r="F116" s="6">
        <f t="shared" si="6"/>
        <v>0.2</v>
      </c>
      <c r="G116">
        <f t="shared" si="7"/>
        <v>307.58699999999999</v>
      </c>
      <c r="H116">
        <f t="shared" si="8"/>
        <v>2.2000000000000002</v>
      </c>
      <c r="I116">
        <f t="shared" si="9"/>
        <v>627.52800000000013</v>
      </c>
      <c r="J116">
        <f t="shared" si="10"/>
        <v>-49.163399999999911</v>
      </c>
      <c r="K116">
        <f t="shared" si="11"/>
        <v>676.69140000000004</v>
      </c>
    </row>
    <row r="117" spans="1:11" x14ac:dyDescent="0.25">
      <c r="A117" t="str">
        <f>Original!A112</f>
        <v>ORD-2024-909942</v>
      </c>
      <c r="B117">
        <f>Original!R112</f>
        <v>550.22</v>
      </c>
      <c r="C117">
        <f>Original!S112</f>
        <v>1025.05</v>
      </c>
      <c r="D117" s="6">
        <f>Original!T112</f>
        <v>0</v>
      </c>
      <c r="E117" s="6">
        <f>Original!V112</f>
        <v>27</v>
      </c>
      <c r="F117" s="6">
        <f t="shared" si="6"/>
        <v>0</v>
      </c>
      <c r="G117">
        <f t="shared" si="7"/>
        <v>577.73100000000011</v>
      </c>
      <c r="H117">
        <f t="shared" si="8"/>
        <v>29.700000000000003</v>
      </c>
      <c r="I117">
        <f t="shared" si="9"/>
        <v>30443.985000000001</v>
      </c>
      <c r="J117">
        <f t="shared" si="10"/>
        <v>13285.374299999996</v>
      </c>
      <c r="K117">
        <f t="shared" si="11"/>
        <v>17158.610700000005</v>
      </c>
    </row>
    <row r="118" spans="1:11" x14ac:dyDescent="0.25">
      <c r="A118" t="str">
        <f>Original!A113</f>
        <v>ORD-2024-223618</v>
      </c>
      <c r="B118">
        <f>Original!R113</f>
        <v>1187.1300000000001</v>
      </c>
      <c r="C118">
        <f>Original!S113</f>
        <v>1795.17</v>
      </c>
      <c r="D118" s="6">
        <f>Original!T113</f>
        <v>1.2E-2</v>
      </c>
      <c r="E118" s="6">
        <f>Original!V113</f>
        <v>17</v>
      </c>
      <c r="F118" s="6">
        <f t="shared" si="6"/>
        <v>1.2E-2</v>
      </c>
      <c r="G118">
        <f t="shared" si="7"/>
        <v>1246.4865000000002</v>
      </c>
      <c r="H118">
        <f t="shared" si="8"/>
        <v>18.700000000000003</v>
      </c>
      <c r="I118">
        <f t="shared" si="9"/>
        <v>33166.842852000002</v>
      </c>
      <c r="J118">
        <f t="shared" si="10"/>
        <v>9857.545301999995</v>
      </c>
      <c r="K118">
        <f t="shared" si="11"/>
        <v>23309.297550000007</v>
      </c>
    </row>
    <row r="119" spans="1:11" x14ac:dyDescent="0.25">
      <c r="A119" t="str">
        <f>Original!A114</f>
        <v>ORD-2024-919471</v>
      </c>
      <c r="B119">
        <f>Original!R114</f>
        <v>5.36</v>
      </c>
      <c r="C119">
        <f>Original!S114</f>
        <v>4.37</v>
      </c>
      <c r="D119" s="6">
        <f>Original!T114</f>
        <v>0.11799999999999999</v>
      </c>
      <c r="E119" s="6">
        <f>Original!V114</f>
        <v>9</v>
      </c>
      <c r="F119" s="6">
        <f t="shared" si="6"/>
        <v>0.11799999999999999</v>
      </c>
      <c r="G119">
        <f t="shared" si="7"/>
        <v>5.628000000000001</v>
      </c>
      <c r="H119">
        <f t="shared" si="8"/>
        <v>9.9</v>
      </c>
      <c r="I119">
        <f t="shared" si="9"/>
        <v>38.157966000000002</v>
      </c>
      <c r="J119">
        <f t="shared" si="10"/>
        <v>-17.559234000000011</v>
      </c>
      <c r="K119">
        <f t="shared" si="11"/>
        <v>55.717200000000012</v>
      </c>
    </row>
    <row r="120" spans="1:11" x14ac:dyDescent="0.25">
      <c r="A120" t="str">
        <f>Original!A115</f>
        <v>ORD-2025-649239</v>
      </c>
      <c r="B120">
        <f>Original!R115</f>
        <v>142.09</v>
      </c>
      <c r="C120">
        <f>Original!S115</f>
        <v>218.5</v>
      </c>
      <c r="D120" s="6">
        <f>Original!T115</f>
        <v>0.11899999999999999</v>
      </c>
      <c r="E120" s="6">
        <f>Original!V115</f>
        <v>11</v>
      </c>
      <c r="F120" s="6">
        <f t="shared" si="6"/>
        <v>0.11899999999999999</v>
      </c>
      <c r="G120">
        <f t="shared" si="7"/>
        <v>149.19450000000001</v>
      </c>
      <c r="H120">
        <f t="shared" si="8"/>
        <v>12.100000000000001</v>
      </c>
      <c r="I120">
        <f t="shared" si="9"/>
        <v>2329.2318500000001</v>
      </c>
      <c r="J120">
        <f t="shared" si="10"/>
        <v>523.97839999999974</v>
      </c>
      <c r="K120">
        <f t="shared" si="11"/>
        <v>1805.2534500000004</v>
      </c>
    </row>
    <row r="121" spans="1:11" x14ac:dyDescent="0.25">
      <c r="A121" t="str">
        <f>Original!A116</f>
        <v>ORD-2023-975863</v>
      </c>
      <c r="B121">
        <f>Original!R116</f>
        <v>354.24</v>
      </c>
      <c r="C121">
        <f>Original!S116</f>
        <v>249.87</v>
      </c>
      <c r="D121" s="6">
        <f>Original!T116</f>
        <v>0</v>
      </c>
      <c r="E121" s="6">
        <f>Original!V116</f>
        <v>6</v>
      </c>
      <c r="F121" s="6">
        <f t="shared" si="6"/>
        <v>0</v>
      </c>
      <c r="G121">
        <f t="shared" si="7"/>
        <v>371.952</v>
      </c>
      <c r="H121">
        <f t="shared" si="8"/>
        <v>6.6000000000000005</v>
      </c>
      <c r="I121">
        <f t="shared" si="9"/>
        <v>1649.1420000000001</v>
      </c>
      <c r="J121">
        <f t="shared" si="10"/>
        <v>-805.74120000000016</v>
      </c>
      <c r="K121">
        <f t="shared" si="11"/>
        <v>2454.8832000000002</v>
      </c>
    </row>
    <row r="122" spans="1:11" x14ac:dyDescent="0.25">
      <c r="A122" t="str">
        <f>Original!A117</f>
        <v>ORD-2023-869884</v>
      </c>
      <c r="B122">
        <f>Original!R117</f>
        <v>1473.58</v>
      </c>
      <c r="C122">
        <f>Original!S117</f>
        <v>3436.52</v>
      </c>
      <c r="D122" s="6">
        <f>Original!T117</f>
        <v>0.108</v>
      </c>
      <c r="E122" s="6">
        <f>Original!V117</f>
        <v>8</v>
      </c>
      <c r="F122" s="6">
        <f t="shared" si="6"/>
        <v>0.108</v>
      </c>
      <c r="G122">
        <f t="shared" si="7"/>
        <v>1547.259</v>
      </c>
      <c r="H122">
        <f t="shared" si="8"/>
        <v>8.8000000000000007</v>
      </c>
      <c r="I122">
        <f t="shared" si="9"/>
        <v>26975.307392000002</v>
      </c>
      <c r="J122">
        <f t="shared" si="10"/>
        <v>13359.428192000001</v>
      </c>
      <c r="K122">
        <f t="shared" si="11"/>
        <v>13615.879200000001</v>
      </c>
    </row>
    <row r="123" spans="1:11" x14ac:dyDescent="0.25">
      <c r="A123" t="str">
        <f>Original!A118</f>
        <v>ORD-2025-698069</v>
      </c>
      <c r="B123">
        <f>Original!R118</f>
        <v>75.180000000000007</v>
      </c>
      <c r="C123">
        <f>Original!S118</f>
        <v>53.45</v>
      </c>
      <c r="D123" s="6">
        <f>Original!T118</f>
        <v>0.157</v>
      </c>
      <c r="E123" s="6">
        <f>Original!V118</f>
        <v>17</v>
      </c>
      <c r="F123" s="6">
        <f t="shared" si="6"/>
        <v>0.157</v>
      </c>
      <c r="G123">
        <f t="shared" si="7"/>
        <v>78.939000000000007</v>
      </c>
      <c r="H123">
        <f t="shared" si="8"/>
        <v>18.700000000000003</v>
      </c>
      <c r="I123">
        <f t="shared" si="9"/>
        <v>842.5911450000001</v>
      </c>
      <c r="J123">
        <f t="shared" si="10"/>
        <v>-633.56815500000016</v>
      </c>
      <c r="K123">
        <f t="shared" si="11"/>
        <v>1476.1593000000003</v>
      </c>
    </row>
    <row r="124" spans="1:11" x14ac:dyDescent="0.25">
      <c r="A124" t="str">
        <f>Original!A119</f>
        <v>ORD-2024-474999</v>
      </c>
      <c r="B124">
        <f>Original!R119</f>
        <v>1391.99</v>
      </c>
      <c r="C124">
        <f>Original!S119</f>
        <v>3469.7</v>
      </c>
      <c r="D124" s="6">
        <f>Original!T119</f>
        <v>0.184</v>
      </c>
      <c r="E124" s="6">
        <f>Original!V119</f>
        <v>23</v>
      </c>
      <c r="F124" s="6">
        <f t="shared" si="6"/>
        <v>0.184</v>
      </c>
      <c r="G124">
        <f t="shared" si="7"/>
        <v>1461.5895</v>
      </c>
      <c r="H124">
        <f t="shared" si="8"/>
        <v>25.3</v>
      </c>
      <c r="I124">
        <f t="shared" si="9"/>
        <v>71631.262560000003</v>
      </c>
      <c r="J124">
        <f t="shared" si="10"/>
        <v>34653.048210000001</v>
      </c>
      <c r="K124">
        <f t="shared" si="11"/>
        <v>36978.214350000002</v>
      </c>
    </row>
    <row r="125" spans="1:11" x14ac:dyDescent="0.25">
      <c r="A125" t="str">
        <f>Original!A120</f>
        <v>ORD-2023-427304</v>
      </c>
      <c r="B125">
        <f>Original!R120</f>
        <v>339.61</v>
      </c>
      <c r="C125">
        <f>Original!S120</f>
        <v>621.02</v>
      </c>
      <c r="D125" s="6">
        <f>Original!T120</f>
        <v>7.0999999999999994E-2</v>
      </c>
      <c r="E125" s="6">
        <f>Original!V120</f>
        <v>10</v>
      </c>
      <c r="F125" s="6">
        <f t="shared" si="6"/>
        <v>7.0999999999999994E-2</v>
      </c>
      <c r="G125">
        <f t="shared" si="7"/>
        <v>356.59050000000002</v>
      </c>
      <c r="H125">
        <f t="shared" si="8"/>
        <v>11</v>
      </c>
      <c r="I125">
        <f t="shared" si="9"/>
        <v>6346.2033799999999</v>
      </c>
      <c r="J125">
        <f t="shared" si="10"/>
        <v>2423.7078799999999</v>
      </c>
      <c r="K125">
        <f t="shared" si="11"/>
        <v>3922.4955</v>
      </c>
    </row>
    <row r="126" spans="1:11" x14ac:dyDescent="0.25">
      <c r="A126" t="str">
        <f>Original!A121</f>
        <v>ORD-2025-956101</v>
      </c>
      <c r="B126">
        <f>Original!R121</f>
        <v>57.96</v>
      </c>
      <c r="C126">
        <f>Original!S121</f>
        <v>88.51</v>
      </c>
      <c r="D126" s="6">
        <f>Original!T121</f>
        <v>4.2999999999999997E-2</v>
      </c>
      <c r="E126" s="6">
        <f>Original!V121</f>
        <v>7</v>
      </c>
      <c r="F126" s="6">
        <f t="shared" si="6"/>
        <v>4.2999999999999997E-2</v>
      </c>
      <c r="G126">
        <f t="shared" si="7"/>
        <v>60.858000000000004</v>
      </c>
      <c r="H126">
        <f t="shared" si="8"/>
        <v>7.7000000000000011</v>
      </c>
      <c r="I126">
        <f t="shared" si="9"/>
        <v>652.22133900000017</v>
      </c>
      <c r="J126">
        <f t="shared" si="10"/>
        <v>183.6147390000001</v>
      </c>
      <c r="K126">
        <f t="shared" si="11"/>
        <v>468.60660000000007</v>
      </c>
    </row>
    <row r="127" spans="1:11" x14ac:dyDescent="0.25">
      <c r="A127" t="str">
        <f>Original!A122</f>
        <v>ORD-2025-184082</v>
      </c>
      <c r="B127">
        <f>Original!R122</f>
        <v>801.24</v>
      </c>
      <c r="C127">
        <f>Original!S122</f>
        <v>1959.09</v>
      </c>
      <c r="D127" s="6">
        <f>Original!T122</f>
        <v>0.123</v>
      </c>
      <c r="E127" s="6">
        <f>Original!V122</f>
        <v>23</v>
      </c>
      <c r="F127" s="6">
        <f t="shared" si="6"/>
        <v>0.123</v>
      </c>
      <c r="G127">
        <f t="shared" si="7"/>
        <v>841.30200000000002</v>
      </c>
      <c r="H127">
        <f t="shared" si="8"/>
        <v>25.3</v>
      </c>
      <c r="I127">
        <f t="shared" si="9"/>
        <v>43468.484829000001</v>
      </c>
      <c r="J127">
        <f t="shared" si="10"/>
        <v>22183.544228999999</v>
      </c>
      <c r="K127">
        <f t="shared" si="11"/>
        <v>21284.940600000002</v>
      </c>
    </row>
    <row r="128" spans="1:11" x14ac:dyDescent="0.25">
      <c r="A128" t="str">
        <f>Original!A123</f>
        <v>ORD-2023-576840</v>
      </c>
      <c r="B128">
        <f>Original!R123</f>
        <v>1297.42</v>
      </c>
      <c r="C128">
        <f>Original!S123</f>
        <v>2742.97</v>
      </c>
      <c r="D128" s="6">
        <f>Original!T123</f>
        <v>6.9000000000000006E-2</v>
      </c>
      <c r="E128" s="6">
        <f>Original!V123</f>
        <v>9</v>
      </c>
      <c r="F128" s="6">
        <f t="shared" si="6"/>
        <v>6.9000000000000006E-2</v>
      </c>
      <c r="G128">
        <f t="shared" si="7"/>
        <v>1362.2910000000002</v>
      </c>
      <c r="H128">
        <f t="shared" si="8"/>
        <v>9.9</v>
      </c>
      <c r="I128">
        <f t="shared" si="9"/>
        <v>25281.680193</v>
      </c>
      <c r="J128">
        <f t="shared" si="10"/>
        <v>11794.999292999997</v>
      </c>
      <c r="K128">
        <f t="shared" si="11"/>
        <v>13486.680900000003</v>
      </c>
    </row>
    <row r="129" spans="1:11" x14ac:dyDescent="0.25">
      <c r="A129" t="str">
        <f>Original!A124</f>
        <v>ORD-2023-178249</v>
      </c>
      <c r="B129">
        <f>Original!R124</f>
        <v>1395.49</v>
      </c>
      <c r="C129">
        <f>Original!S124</f>
        <v>1679.42</v>
      </c>
      <c r="D129" s="6">
        <f>Original!T124</f>
        <v>0.20300000000000001</v>
      </c>
      <c r="E129" s="6">
        <f>Original!V124</f>
        <v>12</v>
      </c>
      <c r="F129" s="6">
        <f t="shared" si="6"/>
        <v>0.2</v>
      </c>
      <c r="G129">
        <f t="shared" si="7"/>
        <v>1465.2645</v>
      </c>
      <c r="H129">
        <f t="shared" si="8"/>
        <v>13.200000000000001</v>
      </c>
      <c r="I129">
        <f t="shared" si="9"/>
        <v>17734.675200000001</v>
      </c>
      <c r="J129">
        <f t="shared" si="10"/>
        <v>-1606.8162000000011</v>
      </c>
      <c r="K129">
        <f t="shared" si="11"/>
        <v>19341.491400000003</v>
      </c>
    </row>
    <row r="130" spans="1:11" x14ac:dyDescent="0.25">
      <c r="A130" t="str">
        <f>Original!A125</f>
        <v>ORD-2024-588972</v>
      </c>
      <c r="B130">
        <f>Original!R125</f>
        <v>1363.51</v>
      </c>
      <c r="C130">
        <f>Original!S125</f>
        <v>1433.9</v>
      </c>
      <c r="D130" s="6">
        <f>Original!T125</f>
        <v>5.7000000000000002E-2</v>
      </c>
      <c r="E130" s="6">
        <f>Original!V125</f>
        <v>8</v>
      </c>
      <c r="F130" s="6">
        <f t="shared" si="6"/>
        <v>5.7000000000000002E-2</v>
      </c>
      <c r="G130">
        <f t="shared" si="7"/>
        <v>1431.6855</v>
      </c>
      <c r="H130">
        <f t="shared" si="8"/>
        <v>8.8000000000000007</v>
      </c>
      <c r="I130">
        <f t="shared" si="9"/>
        <v>11899.075760000002</v>
      </c>
      <c r="J130">
        <f t="shared" si="10"/>
        <v>-699.75663999999961</v>
      </c>
      <c r="K130">
        <f t="shared" si="11"/>
        <v>12598.832400000001</v>
      </c>
    </row>
    <row r="131" spans="1:11" x14ac:dyDescent="0.25">
      <c r="A131" t="str">
        <f>Original!A126</f>
        <v>ORD-2023-603238</v>
      </c>
      <c r="B131">
        <f>Original!R126</f>
        <v>178.19</v>
      </c>
      <c r="C131">
        <f>Original!S126</f>
        <v>284.43</v>
      </c>
      <c r="D131" s="6">
        <f>Original!T126</f>
        <v>8.8999999999999996E-2</v>
      </c>
      <c r="E131" s="6">
        <f>Original!V126</f>
        <v>8</v>
      </c>
      <c r="F131" s="6">
        <f t="shared" si="6"/>
        <v>8.8999999999999996E-2</v>
      </c>
      <c r="G131">
        <f t="shared" si="7"/>
        <v>187.09950000000001</v>
      </c>
      <c r="H131">
        <f t="shared" si="8"/>
        <v>8.8000000000000007</v>
      </c>
      <c r="I131">
        <f t="shared" si="9"/>
        <v>2280.2184240000006</v>
      </c>
      <c r="J131">
        <f t="shared" si="10"/>
        <v>633.74282400000038</v>
      </c>
      <c r="K131">
        <f t="shared" si="11"/>
        <v>1646.4756000000002</v>
      </c>
    </row>
    <row r="132" spans="1:11" x14ac:dyDescent="0.25">
      <c r="A132" t="str">
        <f>Original!A127</f>
        <v>ORD-2023-883066</v>
      </c>
      <c r="B132">
        <f>Original!R127</f>
        <v>950.77</v>
      </c>
      <c r="C132">
        <f>Original!S127</f>
        <v>694.78</v>
      </c>
      <c r="D132" s="6">
        <f>Original!T127</f>
        <v>8.4000000000000005E-2</v>
      </c>
      <c r="E132" s="6">
        <f>Original!V127</f>
        <v>14</v>
      </c>
      <c r="F132" s="6">
        <f t="shared" si="6"/>
        <v>8.4000000000000005E-2</v>
      </c>
      <c r="G132">
        <f t="shared" si="7"/>
        <v>998.30849999999998</v>
      </c>
      <c r="H132">
        <f t="shared" si="8"/>
        <v>15.400000000000002</v>
      </c>
      <c r="I132">
        <f t="shared" si="9"/>
        <v>9800.8445920000013</v>
      </c>
      <c r="J132">
        <f t="shared" si="10"/>
        <v>-5573.1063080000004</v>
      </c>
      <c r="K132">
        <f t="shared" si="11"/>
        <v>15373.950900000002</v>
      </c>
    </row>
    <row r="133" spans="1:11" x14ac:dyDescent="0.25">
      <c r="A133" t="str">
        <f>Original!A128</f>
        <v>ORD-2024-584090</v>
      </c>
      <c r="B133">
        <f>Original!R128</f>
        <v>1064.32</v>
      </c>
      <c r="C133">
        <f>Original!S128</f>
        <v>1848.39</v>
      </c>
      <c r="D133" s="6">
        <f>Original!T128</f>
        <v>7.2999999999999995E-2</v>
      </c>
      <c r="E133" s="6">
        <f>Original!V128</f>
        <v>38</v>
      </c>
      <c r="F133" s="6">
        <f t="shared" si="6"/>
        <v>7.2999999999999995E-2</v>
      </c>
      <c r="G133">
        <f t="shared" si="7"/>
        <v>1117.5360000000001</v>
      </c>
      <c r="H133">
        <f t="shared" si="8"/>
        <v>41.800000000000004</v>
      </c>
      <c r="I133">
        <f t="shared" si="9"/>
        <v>71622.524754000027</v>
      </c>
      <c r="J133">
        <f t="shared" si="10"/>
        <v>24909.519954000018</v>
      </c>
      <c r="K133">
        <f t="shared" si="11"/>
        <v>46713.00480000001</v>
      </c>
    </row>
    <row r="134" spans="1:11" x14ac:dyDescent="0.25">
      <c r="A134" t="str">
        <f>Original!A129</f>
        <v>ORD-2025-537785</v>
      </c>
      <c r="B134">
        <f>Original!R129</f>
        <v>41.76</v>
      </c>
      <c r="C134">
        <f>Original!S129</f>
        <v>45.19</v>
      </c>
      <c r="D134" s="6">
        <f>Original!T129</f>
        <v>0.17899999999999999</v>
      </c>
      <c r="E134" s="6">
        <f>Original!V129</f>
        <v>23</v>
      </c>
      <c r="F134" s="6">
        <f t="shared" si="6"/>
        <v>0.17899999999999999</v>
      </c>
      <c r="G134">
        <f t="shared" si="7"/>
        <v>43.847999999999999</v>
      </c>
      <c r="H134">
        <f t="shared" si="8"/>
        <v>25.3</v>
      </c>
      <c r="I134">
        <f t="shared" si="9"/>
        <v>938.65504699999997</v>
      </c>
      <c r="J134">
        <f t="shared" si="10"/>
        <v>-170.69935299999997</v>
      </c>
      <c r="K134">
        <f t="shared" si="11"/>
        <v>1109.3543999999999</v>
      </c>
    </row>
    <row r="135" spans="1:11" x14ac:dyDescent="0.25">
      <c r="A135" t="str">
        <f>Original!A130</f>
        <v>ORD-2024-605518</v>
      </c>
      <c r="B135">
        <f>Original!R130</f>
        <v>157.78</v>
      </c>
      <c r="C135">
        <f>Original!S130</f>
        <v>361.1</v>
      </c>
      <c r="D135" s="6">
        <f>Original!T130</f>
        <v>0.187</v>
      </c>
      <c r="E135" s="6">
        <f>Original!V130</f>
        <v>9</v>
      </c>
      <c r="F135" s="6">
        <f t="shared" si="6"/>
        <v>0.187</v>
      </c>
      <c r="G135">
        <f t="shared" si="7"/>
        <v>165.66900000000001</v>
      </c>
      <c r="H135">
        <f t="shared" si="8"/>
        <v>9.9</v>
      </c>
      <c r="I135">
        <f t="shared" si="9"/>
        <v>2906.3855699999999</v>
      </c>
      <c r="J135">
        <f t="shared" si="10"/>
        <v>1266.2624699999997</v>
      </c>
      <c r="K135">
        <f t="shared" si="11"/>
        <v>1640.1231000000002</v>
      </c>
    </row>
    <row r="136" spans="1:11" x14ac:dyDescent="0.25">
      <c r="A136" t="str">
        <f>Original!A131</f>
        <v>ORD-2023-521818</v>
      </c>
      <c r="B136">
        <f>Original!R131</f>
        <v>413.52</v>
      </c>
      <c r="C136">
        <f>Original!S131</f>
        <v>1004.34</v>
      </c>
      <c r="D136" s="6">
        <f>Original!T131</f>
        <v>0.111</v>
      </c>
      <c r="E136" s="6">
        <f>Original!V131</f>
        <v>18</v>
      </c>
      <c r="F136" s="6">
        <f t="shared" ref="F136:F199" si="12">MIN(D136,$B$2)</f>
        <v>0.111</v>
      </c>
      <c r="G136">
        <f t="shared" ref="G136:G199" si="13">B136*(1+$B$3)</f>
        <v>434.19600000000003</v>
      </c>
      <c r="H136">
        <f t="shared" ref="H136:H199" si="14">E136*(1+$B$4)</f>
        <v>19.8</v>
      </c>
      <c r="I136">
        <f t="shared" ref="I136:I199" si="15">C136*H136*(1-F136)</f>
        <v>17678.593548000001</v>
      </c>
      <c r="J136">
        <f t="shared" ref="J136:J199" si="16">I136-K136</f>
        <v>9081.5127479999992</v>
      </c>
      <c r="K136">
        <f t="shared" ref="K136:K199" si="17">G136*H136</f>
        <v>8597.0808000000015</v>
      </c>
    </row>
    <row r="137" spans="1:11" x14ac:dyDescent="0.25">
      <c r="A137" t="str">
        <f>Original!A132</f>
        <v>ORD-2025-650719</v>
      </c>
      <c r="B137">
        <f>Original!R132</f>
        <v>414.95</v>
      </c>
      <c r="C137">
        <f>Original!S132</f>
        <v>1027.73</v>
      </c>
      <c r="D137" s="6">
        <f>Original!T132</f>
        <v>6.3E-2</v>
      </c>
      <c r="E137" s="6">
        <f>Original!V132</f>
        <v>8</v>
      </c>
      <c r="F137" s="6">
        <f t="shared" si="12"/>
        <v>6.3E-2</v>
      </c>
      <c r="G137">
        <f t="shared" si="13"/>
        <v>435.69749999999999</v>
      </c>
      <c r="H137">
        <f t="shared" si="14"/>
        <v>8.8000000000000007</v>
      </c>
      <c r="I137">
        <f t="shared" si="15"/>
        <v>8474.2504880000015</v>
      </c>
      <c r="J137">
        <f t="shared" si="16"/>
        <v>4640.1124880000007</v>
      </c>
      <c r="K137">
        <f t="shared" si="17"/>
        <v>3834.1380000000004</v>
      </c>
    </row>
    <row r="138" spans="1:11" x14ac:dyDescent="0.25">
      <c r="A138" t="str">
        <f>Original!A133</f>
        <v>ORD-2025-501927</v>
      </c>
      <c r="B138">
        <f>Original!R133</f>
        <v>555.95000000000005</v>
      </c>
      <c r="C138">
        <f>Original!S133</f>
        <v>468.09</v>
      </c>
      <c r="D138" s="6">
        <f>Original!T133</f>
        <v>0.14199999999999999</v>
      </c>
      <c r="E138" s="6">
        <f>Original!V133</f>
        <v>11</v>
      </c>
      <c r="F138" s="6">
        <f t="shared" si="12"/>
        <v>0.14199999999999999</v>
      </c>
      <c r="G138">
        <f t="shared" si="13"/>
        <v>583.74750000000006</v>
      </c>
      <c r="H138">
        <f t="shared" si="14"/>
        <v>12.100000000000001</v>
      </c>
      <c r="I138">
        <f t="shared" si="15"/>
        <v>4859.6167619999997</v>
      </c>
      <c r="J138">
        <f t="shared" si="16"/>
        <v>-2203.7279880000015</v>
      </c>
      <c r="K138">
        <f t="shared" si="17"/>
        <v>7063.3447500000011</v>
      </c>
    </row>
    <row r="139" spans="1:11" x14ac:dyDescent="0.25">
      <c r="A139" t="str">
        <f>Original!A134</f>
        <v>ORD-2023-430904</v>
      </c>
      <c r="B139">
        <f>Original!R134</f>
        <v>941.2</v>
      </c>
      <c r="C139">
        <f>Original!S134</f>
        <v>668.02</v>
      </c>
      <c r="D139" s="6">
        <f>Original!T134</f>
        <v>0.22</v>
      </c>
      <c r="E139" s="6">
        <f>Original!V134</f>
        <v>16</v>
      </c>
      <c r="F139" s="6">
        <f t="shared" si="12"/>
        <v>0.2</v>
      </c>
      <c r="G139">
        <f t="shared" si="13"/>
        <v>988.2600000000001</v>
      </c>
      <c r="H139">
        <f t="shared" si="14"/>
        <v>17.600000000000001</v>
      </c>
      <c r="I139">
        <f t="shared" si="15"/>
        <v>9405.7216000000008</v>
      </c>
      <c r="J139">
        <f t="shared" si="16"/>
        <v>-7987.6544000000031</v>
      </c>
      <c r="K139">
        <f t="shared" si="17"/>
        <v>17393.376000000004</v>
      </c>
    </row>
    <row r="140" spans="1:11" x14ac:dyDescent="0.25">
      <c r="A140" t="str">
        <f>Original!A135</f>
        <v>ORD-2025-354346</v>
      </c>
      <c r="B140">
        <f>Original!R135</f>
        <v>304.77999999999997</v>
      </c>
      <c r="C140">
        <f>Original!S135</f>
        <v>537.27</v>
      </c>
      <c r="D140" s="6">
        <f>Original!T135</f>
        <v>0.187</v>
      </c>
      <c r="E140" s="6">
        <f>Original!V135</f>
        <v>8</v>
      </c>
      <c r="F140" s="6">
        <f t="shared" si="12"/>
        <v>0.187</v>
      </c>
      <c r="G140">
        <f t="shared" si="13"/>
        <v>320.01900000000001</v>
      </c>
      <c r="H140">
        <f t="shared" si="14"/>
        <v>8.8000000000000007</v>
      </c>
      <c r="I140">
        <f t="shared" si="15"/>
        <v>3843.8444880000002</v>
      </c>
      <c r="J140">
        <f t="shared" si="16"/>
        <v>1027.6772879999999</v>
      </c>
      <c r="K140">
        <f t="shared" si="17"/>
        <v>2816.1672000000003</v>
      </c>
    </row>
    <row r="141" spans="1:11" x14ac:dyDescent="0.25">
      <c r="A141" t="str">
        <f>Original!A136</f>
        <v>ORD-2024-164288</v>
      </c>
      <c r="B141">
        <f>Original!R136</f>
        <v>699.57</v>
      </c>
      <c r="C141">
        <f>Original!S136</f>
        <v>572.71</v>
      </c>
      <c r="D141" s="6">
        <f>Original!T136</f>
        <v>0.192</v>
      </c>
      <c r="E141" s="6">
        <f>Original!V136</f>
        <v>26</v>
      </c>
      <c r="F141" s="6">
        <f t="shared" si="12"/>
        <v>0.192</v>
      </c>
      <c r="G141">
        <f t="shared" si="13"/>
        <v>734.5485000000001</v>
      </c>
      <c r="H141">
        <f t="shared" si="14"/>
        <v>28.6</v>
      </c>
      <c r="I141">
        <f t="shared" si="15"/>
        <v>13234.640848000003</v>
      </c>
      <c r="J141">
        <f t="shared" si="16"/>
        <v>-7773.4462520000016</v>
      </c>
      <c r="K141">
        <f t="shared" si="17"/>
        <v>21008.087100000004</v>
      </c>
    </row>
    <row r="142" spans="1:11" x14ac:dyDescent="0.25">
      <c r="A142" t="str">
        <f>Original!A137</f>
        <v>ORD-2023-867285</v>
      </c>
      <c r="B142">
        <f>Original!R137</f>
        <v>1087.81</v>
      </c>
      <c r="C142">
        <f>Original!S137</f>
        <v>2323.87</v>
      </c>
      <c r="D142" s="6">
        <f>Original!T137</f>
        <v>9.4E-2</v>
      </c>
      <c r="E142" s="6">
        <f>Original!V137</f>
        <v>13</v>
      </c>
      <c r="F142" s="6">
        <f t="shared" si="12"/>
        <v>9.4E-2</v>
      </c>
      <c r="G142">
        <f t="shared" si="13"/>
        <v>1142.2004999999999</v>
      </c>
      <c r="H142">
        <f t="shared" si="14"/>
        <v>14.3</v>
      </c>
      <c r="I142">
        <f t="shared" si="15"/>
        <v>30107.594946000001</v>
      </c>
      <c r="J142">
        <f t="shared" si="16"/>
        <v>13774.127796000001</v>
      </c>
      <c r="K142">
        <f t="shared" si="17"/>
        <v>16333.46715</v>
      </c>
    </row>
    <row r="143" spans="1:11" x14ac:dyDescent="0.25">
      <c r="A143" t="str">
        <f>Original!A138</f>
        <v>ORD-2024-836421</v>
      </c>
      <c r="B143">
        <f>Original!R138</f>
        <v>1412.15</v>
      </c>
      <c r="C143">
        <f>Original!S138</f>
        <v>1631.04</v>
      </c>
      <c r="D143" s="6">
        <f>Original!T138</f>
        <v>8.9999999999999993E-3</v>
      </c>
      <c r="E143" s="6">
        <f>Original!V138</f>
        <v>6</v>
      </c>
      <c r="F143" s="6">
        <f t="shared" si="12"/>
        <v>8.9999999999999993E-3</v>
      </c>
      <c r="G143">
        <f t="shared" si="13"/>
        <v>1482.7575000000002</v>
      </c>
      <c r="H143">
        <f t="shared" si="14"/>
        <v>6.6000000000000005</v>
      </c>
      <c r="I143">
        <f t="shared" si="15"/>
        <v>10667.980224000001</v>
      </c>
      <c r="J143">
        <f t="shared" si="16"/>
        <v>881.78072399999837</v>
      </c>
      <c r="K143">
        <f t="shared" si="17"/>
        <v>9786.1995000000024</v>
      </c>
    </row>
    <row r="144" spans="1:11" x14ac:dyDescent="0.25">
      <c r="A144" t="str">
        <f>Original!A139</f>
        <v>ORD-2023-613287</v>
      </c>
      <c r="B144">
        <f>Original!R139</f>
        <v>304.22000000000003</v>
      </c>
      <c r="C144">
        <f>Original!S139</f>
        <v>393.31</v>
      </c>
      <c r="D144" s="6">
        <f>Original!T139</f>
        <v>0.26500000000000001</v>
      </c>
      <c r="E144" s="6">
        <f>Original!V139</f>
        <v>15</v>
      </c>
      <c r="F144" s="6">
        <f t="shared" si="12"/>
        <v>0.2</v>
      </c>
      <c r="G144">
        <f t="shared" si="13"/>
        <v>319.43100000000004</v>
      </c>
      <c r="H144">
        <f t="shared" si="14"/>
        <v>16.5</v>
      </c>
      <c r="I144">
        <f t="shared" si="15"/>
        <v>5191.692</v>
      </c>
      <c r="J144">
        <f t="shared" si="16"/>
        <v>-78.91950000000088</v>
      </c>
      <c r="K144">
        <f t="shared" si="17"/>
        <v>5270.6115000000009</v>
      </c>
    </row>
    <row r="145" spans="1:11" x14ac:dyDescent="0.25">
      <c r="A145" t="str">
        <f>Original!A140</f>
        <v>ORD-2024-783321</v>
      </c>
      <c r="B145">
        <f>Original!R140</f>
        <v>1203.58</v>
      </c>
      <c r="C145">
        <f>Original!S140</f>
        <v>1856.16</v>
      </c>
      <c r="D145" s="6">
        <f>Original!T140</f>
        <v>0.129</v>
      </c>
      <c r="E145" s="6">
        <f>Original!V140</f>
        <v>22</v>
      </c>
      <c r="F145" s="6">
        <f t="shared" si="12"/>
        <v>0.129</v>
      </c>
      <c r="G145">
        <f t="shared" si="13"/>
        <v>1263.759</v>
      </c>
      <c r="H145">
        <f t="shared" si="14"/>
        <v>24.200000000000003</v>
      </c>
      <c r="I145">
        <f t="shared" si="15"/>
        <v>39124.511712000007</v>
      </c>
      <c r="J145">
        <f t="shared" si="16"/>
        <v>8541.5439120000046</v>
      </c>
      <c r="K145">
        <f t="shared" si="17"/>
        <v>30582.967800000002</v>
      </c>
    </row>
    <row r="146" spans="1:11" x14ac:dyDescent="0.25">
      <c r="A146" t="str">
        <f>Original!A141</f>
        <v>ORD-2024-232632</v>
      </c>
      <c r="B146">
        <f>Original!R141</f>
        <v>65.930000000000007</v>
      </c>
      <c r="C146">
        <f>Original!S141</f>
        <v>84.9</v>
      </c>
      <c r="D146" s="6">
        <f>Original!T141</f>
        <v>0.25900000000000001</v>
      </c>
      <c r="E146" s="6">
        <f>Original!V141</f>
        <v>23</v>
      </c>
      <c r="F146" s="6">
        <f t="shared" si="12"/>
        <v>0.2</v>
      </c>
      <c r="G146">
        <f t="shared" si="13"/>
        <v>69.226500000000016</v>
      </c>
      <c r="H146">
        <f t="shared" si="14"/>
        <v>25.3</v>
      </c>
      <c r="I146">
        <f t="shared" si="15"/>
        <v>1718.3760000000002</v>
      </c>
      <c r="J146">
        <f t="shared" si="16"/>
        <v>-33.054450000000315</v>
      </c>
      <c r="K146">
        <f t="shared" si="17"/>
        <v>1751.4304500000005</v>
      </c>
    </row>
    <row r="147" spans="1:11" x14ac:dyDescent="0.25">
      <c r="A147" t="str">
        <f>Original!A142</f>
        <v>ORD-2023-906481</v>
      </c>
      <c r="B147">
        <f>Original!R142</f>
        <v>1463.92</v>
      </c>
      <c r="C147">
        <f>Original!S142</f>
        <v>2252.2399999999998</v>
      </c>
      <c r="D147" s="6">
        <f>Original!T142</f>
        <v>0.11799999999999999</v>
      </c>
      <c r="E147" s="6">
        <f>Original!V142</f>
        <v>44</v>
      </c>
      <c r="F147" s="6">
        <f t="shared" si="12"/>
        <v>0.11799999999999999</v>
      </c>
      <c r="G147">
        <f t="shared" si="13"/>
        <v>1537.1160000000002</v>
      </c>
      <c r="H147">
        <f t="shared" si="14"/>
        <v>48.400000000000006</v>
      </c>
      <c r="I147">
        <f t="shared" si="15"/>
        <v>96145.422911999995</v>
      </c>
      <c r="J147">
        <f t="shared" si="16"/>
        <v>21749.008511999971</v>
      </c>
      <c r="K147">
        <f t="shared" si="17"/>
        <v>74396.414400000023</v>
      </c>
    </row>
    <row r="148" spans="1:11" x14ac:dyDescent="0.25">
      <c r="A148" t="str">
        <f>Original!A143</f>
        <v>ORD-2024-902741</v>
      </c>
      <c r="B148">
        <f>Original!R143</f>
        <v>501.81</v>
      </c>
      <c r="C148">
        <f>Original!S143</f>
        <v>921.62</v>
      </c>
      <c r="D148" s="6">
        <f>Original!T143</f>
        <v>0.01</v>
      </c>
      <c r="E148" s="6">
        <f>Original!V143</f>
        <v>9</v>
      </c>
      <c r="F148" s="6">
        <f t="shared" si="12"/>
        <v>0.01</v>
      </c>
      <c r="G148">
        <f t="shared" si="13"/>
        <v>526.90050000000008</v>
      </c>
      <c r="H148">
        <f t="shared" si="14"/>
        <v>9.9</v>
      </c>
      <c r="I148">
        <f t="shared" si="15"/>
        <v>9032.7976200000012</v>
      </c>
      <c r="J148">
        <f t="shared" si="16"/>
        <v>3816.4826700000003</v>
      </c>
      <c r="K148">
        <f t="shared" si="17"/>
        <v>5216.3149500000009</v>
      </c>
    </row>
    <row r="149" spans="1:11" x14ac:dyDescent="0.25">
      <c r="A149" t="str">
        <f>Original!A144</f>
        <v>ORD-2023-912395</v>
      </c>
      <c r="B149">
        <f>Original!R144</f>
        <v>1261.48</v>
      </c>
      <c r="C149">
        <f>Original!S144</f>
        <v>1643.18</v>
      </c>
      <c r="D149" s="6">
        <f>Original!T144</f>
        <v>0.151</v>
      </c>
      <c r="E149" s="6">
        <f>Original!V144</f>
        <v>23</v>
      </c>
      <c r="F149" s="6">
        <f t="shared" si="12"/>
        <v>0.151</v>
      </c>
      <c r="G149">
        <f t="shared" si="13"/>
        <v>1324.5540000000001</v>
      </c>
      <c r="H149">
        <f t="shared" si="14"/>
        <v>25.3</v>
      </c>
      <c r="I149">
        <f t="shared" si="15"/>
        <v>35295.013446000004</v>
      </c>
      <c r="J149">
        <f t="shared" si="16"/>
        <v>1783.7972460000019</v>
      </c>
      <c r="K149">
        <f t="shared" si="17"/>
        <v>33511.216200000003</v>
      </c>
    </row>
    <row r="150" spans="1:11" x14ac:dyDescent="0.25">
      <c r="A150" t="str">
        <f>Original!A145</f>
        <v>ORD-2024-389102</v>
      </c>
      <c r="B150">
        <f>Original!R145</f>
        <v>817.23</v>
      </c>
      <c r="C150">
        <f>Original!S145</f>
        <v>1467.17</v>
      </c>
      <c r="D150" s="6">
        <f>Original!T145</f>
        <v>0.245</v>
      </c>
      <c r="E150" s="6">
        <f>Original!V145</f>
        <v>9</v>
      </c>
      <c r="F150" s="6">
        <f t="shared" si="12"/>
        <v>0.2</v>
      </c>
      <c r="G150">
        <f t="shared" si="13"/>
        <v>858.09150000000011</v>
      </c>
      <c r="H150">
        <f t="shared" si="14"/>
        <v>9.9</v>
      </c>
      <c r="I150">
        <f t="shared" si="15"/>
        <v>11619.986400000002</v>
      </c>
      <c r="J150">
        <f t="shared" si="16"/>
        <v>3124.8805499999999</v>
      </c>
      <c r="K150">
        <f t="shared" si="17"/>
        <v>8495.1058500000017</v>
      </c>
    </row>
    <row r="151" spans="1:11" x14ac:dyDescent="0.25">
      <c r="A151" t="str">
        <f>Original!A146</f>
        <v>ORD-2023-309373</v>
      </c>
      <c r="B151">
        <f>Original!R146</f>
        <v>578.85</v>
      </c>
      <c r="C151">
        <f>Original!S146</f>
        <v>998.76</v>
      </c>
      <c r="D151" s="6">
        <f>Original!T146</f>
        <v>8.2000000000000003E-2</v>
      </c>
      <c r="E151" s="6">
        <f>Original!V146</f>
        <v>28</v>
      </c>
      <c r="F151" s="6">
        <f t="shared" si="12"/>
        <v>8.2000000000000003E-2</v>
      </c>
      <c r="G151">
        <f t="shared" si="13"/>
        <v>607.79250000000002</v>
      </c>
      <c r="H151">
        <f t="shared" si="14"/>
        <v>30.800000000000004</v>
      </c>
      <c r="I151">
        <f t="shared" si="15"/>
        <v>28239.339744000004</v>
      </c>
      <c r="J151">
        <f t="shared" si="16"/>
        <v>9519.3307440000026</v>
      </c>
      <c r="K151">
        <f t="shared" si="17"/>
        <v>18720.009000000002</v>
      </c>
    </row>
    <row r="152" spans="1:11" x14ac:dyDescent="0.25">
      <c r="A152" t="str">
        <f>Original!A147</f>
        <v>ORD-2023-825495</v>
      </c>
      <c r="B152">
        <f>Original!R147</f>
        <v>275.56</v>
      </c>
      <c r="C152">
        <f>Original!S147</f>
        <v>630.72</v>
      </c>
      <c r="D152" s="6">
        <f>Original!T147</f>
        <v>0.107</v>
      </c>
      <c r="E152" s="6">
        <f>Original!V147</f>
        <v>23</v>
      </c>
      <c r="F152" s="6">
        <f t="shared" si="12"/>
        <v>0.107</v>
      </c>
      <c r="G152">
        <f t="shared" si="13"/>
        <v>289.33800000000002</v>
      </c>
      <c r="H152">
        <f t="shared" si="14"/>
        <v>25.3</v>
      </c>
      <c r="I152">
        <f t="shared" si="15"/>
        <v>14249.793888</v>
      </c>
      <c r="J152">
        <f t="shared" si="16"/>
        <v>6929.5424879999991</v>
      </c>
      <c r="K152">
        <f t="shared" si="17"/>
        <v>7320.251400000001</v>
      </c>
    </row>
    <row r="153" spans="1:11" x14ac:dyDescent="0.25">
      <c r="A153" t="str">
        <f>Original!A148</f>
        <v>ORD-2025-244832</v>
      </c>
      <c r="B153">
        <f>Original!R148</f>
        <v>891.46</v>
      </c>
      <c r="C153">
        <f>Original!S148</f>
        <v>728.61</v>
      </c>
      <c r="D153" s="6">
        <f>Original!T148</f>
        <v>0.185</v>
      </c>
      <c r="E153" s="6">
        <f>Original!V148</f>
        <v>6</v>
      </c>
      <c r="F153" s="6">
        <f t="shared" si="12"/>
        <v>0.185</v>
      </c>
      <c r="G153">
        <f t="shared" si="13"/>
        <v>936.03300000000013</v>
      </c>
      <c r="H153">
        <f t="shared" si="14"/>
        <v>6.6000000000000005</v>
      </c>
      <c r="I153">
        <f t="shared" si="15"/>
        <v>3919.1931900000004</v>
      </c>
      <c r="J153">
        <f t="shared" si="16"/>
        <v>-2258.6246100000012</v>
      </c>
      <c r="K153">
        <f t="shared" si="17"/>
        <v>6177.8178000000016</v>
      </c>
    </row>
    <row r="154" spans="1:11" x14ac:dyDescent="0.25">
      <c r="A154" t="str">
        <f>Original!A149</f>
        <v>ORD-2024-211453</v>
      </c>
      <c r="B154">
        <f>Original!R149</f>
        <v>683.42</v>
      </c>
      <c r="C154">
        <f>Original!S149</f>
        <v>951.51</v>
      </c>
      <c r="D154" s="6">
        <f>Original!T149</f>
        <v>0</v>
      </c>
      <c r="E154" s="6">
        <f>Original!V149</f>
        <v>14</v>
      </c>
      <c r="F154" s="6">
        <f t="shared" si="12"/>
        <v>0</v>
      </c>
      <c r="G154">
        <f t="shared" si="13"/>
        <v>717.59100000000001</v>
      </c>
      <c r="H154">
        <f t="shared" si="14"/>
        <v>15.400000000000002</v>
      </c>
      <c r="I154">
        <f t="shared" si="15"/>
        <v>14653.254000000003</v>
      </c>
      <c r="J154">
        <f t="shared" si="16"/>
        <v>3602.3526000000002</v>
      </c>
      <c r="K154">
        <f t="shared" si="17"/>
        <v>11050.901400000002</v>
      </c>
    </row>
    <row r="155" spans="1:11" x14ac:dyDescent="0.25">
      <c r="A155" t="str">
        <f>Original!A150</f>
        <v>ORD-2023-192324</v>
      </c>
      <c r="B155">
        <f>Original!R150</f>
        <v>376.83</v>
      </c>
      <c r="C155">
        <f>Original!S150</f>
        <v>732.88</v>
      </c>
      <c r="D155" s="6">
        <f>Original!T150</f>
        <v>0.188</v>
      </c>
      <c r="E155" s="6">
        <f>Original!V150</f>
        <v>25</v>
      </c>
      <c r="F155" s="6">
        <f t="shared" si="12"/>
        <v>0.188</v>
      </c>
      <c r="G155">
        <f t="shared" si="13"/>
        <v>395.67149999999998</v>
      </c>
      <c r="H155">
        <f t="shared" si="14"/>
        <v>27.500000000000004</v>
      </c>
      <c r="I155">
        <f t="shared" si="15"/>
        <v>16365.210400000002</v>
      </c>
      <c r="J155">
        <f t="shared" si="16"/>
        <v>5484.2441500000004</v>
      </c>
      <c r="K155">
        <f t="shared" si="17"/>
        <v>10880.966250000001</v>
      </c>
    </row>
    <row r="156" spans="1:11" x14ac:dyDescent="0.25">
      <c r="A156" t="str">
        <f>Original!A151</f>
        <v>ORD-2024-438404</v>
      </c>
      <c r="B156">
        <f>Original!R151</f>
        <v>1297</v>
      </c>
      <c r="C156">
        <f>Original!S151</f>
        <v>2411.52</v>
      </c>
      <c r="D156" s="6">
        <f>Original!T151</f>
        <v>2.1000000000000001E-2</v>
      </c>
      <c r="E156" s="6">
        <f>Original!V151</f>
        <v>18</v>
      </c>
      <c r="F156" s="6">
        <f t="shared" si="12"/>
        <v>2.1000000000000001E-2</v>
      </c>
      <c r="G156">
        <f t="shared" si="13"/>
        <v>1361.8500000000001</v>
      </c>
      <c r="H156">
        <f t="shared" si="14"/>
        <v>19.8</v>
      </c>
      <c r="I156">
        <f t="shared" si="15"/>
        <v>46745.385984</v>
      </c>
      <c r="J156">
        <f t="shared" si="16"/>
        <v>19780.755983999996</v>
      </c>
      <c r="K156">
        <f t="shared" si="17"/>
        <v>26964.630000000005</v>
      </c>
    </row>
    <row r="157" spans="1:11" x14ac:dyDescent="0.25">
      <c r="A157" t="str">
        <f>Original!A152</f>
        <v>ORD-2025-246470</v>
      </c>
      <c r="B157">
        <f>Original!R152</f>
        <v>763.32</v>
      </c>
      <c r="C157">
        <f>Original!S152</f>
        <v>568.29</v>
      </c>
      <c r="D157" s="6">
        <f>Original!T152</f>
        <v>0.13100000000000001</v>
      </c>
      <c r="E157" s="6">
        <f>Original!V152</f>
        <v>16</v>
      </c>
      <c r="F157" s="6">
        <f t="shared" si="12"/>
        <v>0.13100000000000001</v>
      </c>
      <c r="G157">
        <f t="shared" si="13"/>
        <v>801.4860000000001</v>
      </c>
      <c r="H157">
        <f t="shared" si="14"/>
        <v>17.600000000000001</v>
      </c>
      <c r="I157">
        <f t="shared" si="15"/>
        <v>8691.6545760000008</v>
      </c>
      <c r="J157">
        <f t="shared" si="16"/>
        <v>-5414.4990240000025</v>
      </c>
      <c r="K157">
        <f t="shared" si="17"/>
        <v>14106.153600000003</v>
      </c>
    </row>
    <row r="158" spans="1:11" x14ac:dyDescent="0.25">
      <c r="A158" t="str">
        <f>Original!A153</f>
        <v>ORD-2023-497686</v>
      </c>
      <c r="B158">
        <f>Original!R153</f>
        <v>1001.96</v>
      </c>
      <c r="C158">
        <f>Original!S153</f>
        <v>1254.95</v>
      </c>
      <c r="D158" s="6">
        <f>Original!T153</f>
        <v>4.4999999999999998E-2</v>
      </c>
      <c r="E158" s="6">
        <f>Original!V153</f>
        <v>18</v>
      </c>
      <c r="F158" s="6">
        <f t="shared" si="12"/>
        <v>4.4999999999999998E-2</v>
      </c>
      <c r="G158">
        <f t="shared" si="13"/>
        <v>1052.058</v>
      </c>
      <c r="H158">
        <f t="shared" si="14"/>
        <v>19.8</v>
      </c>
      <c r="I158">
        <f t="shared" si="15"/>
        <v>23729.849550000003</v>
      </c>
      <c r="J158">
        <f t="shared" si="16"/>
        <v>2899.1011500000022</v>
      </c>
      <c r="K158">
        <f t="shared" si="17"/>
        <v>20830.7484</v>
      </c>
    </row>
    <row r="159" spans="1:11" x14ac:dyDescent="0.25">
      <c r="A159" t="str">
        <f>Original!A154</f>
        <v>ORD-2023-596758</v>
      </c>
      <c r="B159">
        <f>Original!R154</f>
        <v>1097.5899999999999</v>
      </c>
      <c r="C159">
        <f>Original!S154</f>
        <v>845.55</v>
      </c>
      <c r="D159" s="6">
        <f>Original!T154</f>
        <v>0.184</v>
      </c>
      <c r="E159" s="6">
        <f>Original!V154</f>
        <v>6</v>
      </c>
      <c r="F159" s="6">
        <f t="shared" si="12"/>
        <v>0.184</v>
      </c>
      <c r="G159">
        <f t="shared" si="13"/>
        <v>1152.4694999999999</v>
      </c>
      <c r="H159">
        <f t="shared" si="14"/>
        <v>6.6000000000000005</v>
      </c>
      <c r="I159">
        <f t="shared" si="15"/>
        <v>4553.7940800000006</v>
      </c>
      <c r="J159">
        <f t="shared" si="16"/>
        <v>-3052.5046199999997</v>
      </c>
      <c r="K159">
        <f t="shared" si="17"/>
        <v>7606.2987000000003</v>
      </c>
    </row>
    <row r="160" spans="1:11" x14ac:dyDescent="0.25">
      <c r="A160" t="str">
        <f>Original!A155</f>
        <v>ORD-2024-201376</v>
      </c>
      <c r="B160">
        <f>Original!R155</f>
        <v>928.68</v>
      </c>
      <c r="C160">
        <f>Original!S155</f>
        <v>2145.17</v>
      </c>
      <c r="D160" s="6">
        <f>Original!T155</f>
        <v>0.13600000000000001</v>
      </c>
      <c r="E160" s="6">
        <f>Original!V155</f>
        <v>16</v>
      </c>
      <c r="F160" s="6">
        <f t="shared" si="12"/>
        <v>0.13600000000000001</v>
      </c>
      <c r="G160">
        <f t="shared" si="13"/>
        <v>975.11400000000003</v>
      </c>
      <c r="H160">
        <f t="shared" si="14"/>
        <v>17.600000000000001</v>
      </c>
      <c r="I160">
        <f t="shared" si="15"/>
        <v>32620.313088000006</v>
      </c>
      <c r="J160">
        <f t="shared" si="16"/>
        <v>15458.306688000004</v>
      </c>
      <c r="K160">
        <f t="shared" si="17"/>
        <v>17162.006400000002</v>
      </c>
    </row>
    <row r="161" spans="1:11" x14ac:dyDescent="0.25">
      <c r="A161" t="str">
        <f>Original!A156</f>
        <v>ORD-2023-842488</v>
      </c>
      <c r="B161">
        <f>Original!R156</f>
        <v>867.89</v>
      </c>
      <c r="C161">
        <f>Original!S156</f>
        <v>1349.94</v>
      </c>
      <c r="D161" s="6">
        <f>Original!T156</f>
        <v>0.184</v>
      </c>
      <c r="E161" s="6">
        <f>Original!V156</f>
        <v>10</v>
      </c>
      <c r="F161" s="6">
        <f t="shared" si="12"/>
        <v>0.184</v>
      </c>
      <c r="G161">
        <f t="shared" si="13"/>
        <v>911.28449999999998</v>
      </c>
      <c r="H161">
        <f t="shared" si="14"/>
        <v>11</v>
      </c>
      <c r="I161">
        <f t="shared" si="15"/>
        <v>12117.061440000001</v>
      </c>
      <c r="J161">
        <f t="shared" si="16"/>
        <v>2092.9319400000022</v>
      </c>
      <c r="K161">
        <f t="shared" si="17"/>
        <v>10024.129499999999</v>
      </c>
    </row>
    <row r="162" spans="1:11" x14ac:dyDescent="0.25">
      <c r="A162" t="str">
        <f>Original!A157</f>
        <v>ORD-2024-136321</v>
      </c>
      <c r="B162">
        <f>Original!R157</f>
        <v>436.58</v>
      </c>
      <c r="C162">
        <f>Original!S157</f>
        <v>527.48</v>
      </c>
      <c r="D162" s="6">
        <f>Original!T157</f>
        <v>0.111</v>
      </c>
      <c r="E162" s="6">
        <f>Original!V157</f>
        <v>19</v>
      </c>
      <c r="F162" s="6">
        <f t="shared" si="12"/>
        <v>0.111</v>
      </c>
      <c r="G162">
        <f t="shared" si="13"/>
        <v>458.40899999999999</v>
      </c>
      <c r="H162">
        <f t="shared" si="14"/>
        <v>20.900000000000002</v>
      </c>
      <c r="I162">
        <f t="shared" si="15"/>
        <v>9800.6311480000022</v>
      </c>
      <c r="J162">
        <f t="shared" si="16"/>
        <v>219.88304800000151</v>
      </c>
      <c r="K162">
        <f t="shared" si="17"/>
        <v>9580.7481000000007</v>
      </c>
    </row>
    <row r="163" spans="1:11" x14ac:dyDescent="0.25">
      <c r="A163" t="str">
        <f>Original!A158</f>
        <v>ORD-2024-764468</v>
      </c>
      <c r="B163">
        <f>Original!R158</f>
        <v>656.2</v>
      </c>
      <c r="C163">
        <f>Original!S158</f>
        <v>1467.17</v>
      </c>
      <c r="D163" s="6">
        <f>Original!T158</f>
        <v>1.7999999999999999E-2</v>
      </c>
      <c r="E163" s="6">
        <f>Original!V158</f>
        <v>5</v>
      </c>
      <c r="F163" s="6">
        <f t="shared" si="12"/>
        <v>1.7999999999999999E-2</v>
      </c>
      <c r="G163">
        <f t="shared" si="13"/>
        <v>689.0100000000001</v>
      </c>
      <c r="H163">
        <f t="shared" si="14"/>
        <v>5.5</v>
      </c>
      <c r="I163">
        <f t="shared" si="15"/>
        <v>7924.1851700000007</v>
      </c>
      <c r="J163">
        <f t="shared" si="16"/>
        <v>4134.6301700000004</v>
      </c>
      <c r="K163">
        <f t="shared" si="17"/>
        <v>3789.5550000000007</v>
      </c>
    </row>
    <row r="164" spans="1:11" x14ac:dyDescent="0.25">
      <c r="A164" t="str">
        <f>Original!A159</f>
        <v>ORD-2024-553449</v>
      </c>
      <c r="B164">
        <f>Original!R159</f>
        <v>896.75</v>
      </c>
      <c r="C164">
        <f>Original!S159</f>
        <v>1651.14</v>
      </c>
      <c r="D164" s="6">
        <f>Original!T159</f>
        <v>2.5000000000000001E-2</v>
      </c>
      <c r="E164" s="6">
        <f>Original!V159</f>
        <v>15</v>
      </c>
      <c r="F164" s="6">
        <f t="shared" si="12"/>
        <v>2.5000000000000001E-2</v>
      </c>
      <c r="G164">
        <f t="shared" si="13"/>
        <v>941.58750000000009</v>
      </c>
      <c r="H164">
        <f t="shared" si="14"/>
        <v>16.5</v>
      </c>
      <c r="I164">
        <f t="shared" si="15"/>
        <v>26562.714749999999</v>
      </c>
      <c r="J164">
        <f t="shared" si="16"/>
        <v>11026.520999999997</v>
      </c>
      <c r="K164">
        <f t="shared" si="17"/>
        <v>15536.193750000002</v>
      </c>
    </row>
    <row r="165" spans="1:11" x14ac:dyDescent="0.25">
      <c r="A165" t="str">
        <f>Original!A160</f>
        <v>ORD-2025-766923</v>
      </c>
      <c r="B165">
        <f>Original!R160</f>
        <v>815.83</v>
      </c>
      <c r="C165">
        <f>Original!S160</f>
        <v>1982.18</v>
      </c>
      <c r="D165" s="6">
        <f>Original!T160</f>
        <v>0.127</v>
      </c>
      <c r="E165" s="6">
        <f>Original!V160</f>
        <v>6</v>
      </c>
      <c r="F165" s="6">
        <f t="shared" si="12"/>
        <v>0.127</v>
      </c>
      <c r="G165">
        <f t="shared" si="13"/>
        <v>856.62150000000008</v>
      </c>
      <c r="H165">
        <f t="shared" si="14"/>
        <v>6.6000000000000005</v>
      </c>
      <c r="I165">
        <f t="shared" si="15"/>
        <v>11420.924724</v>
      </c>
      <c r="J165">
        <f t="shared" si="16"/>
        <v>5767.2228239999995</v>
      </c>
      <c r="K165">
        <f t="shared" si="17"/>
        <v>5653.7019000000009</v>
      </c>
    </row>
    <row r="166" spans="1:11" x14ac:dyDescent="0.25">
      <c r="A166" t="str">
        <f>Original!A161</f>
        <v>ORD-2025-418232</v>
      </c>
      <c r="B166">
        <f>Original!R161</f>
        <v>1220.4100000000001</v>
      </c>
      <c r="C166">
        <f>Original!S161</f>
        <v>2552.2199999999998</v>
      </c>
      <c r="D166" s="6">
        <f>Original!T161</f>
        <v>0.18099999999999999</v>
      </c>
      <c r="E166" s="6">
        <f>Original!V161</f>
        <v>14</v>
      </c>
      <c r="F166" s="6">
        <f t="shared" si="12"/>
        <v>0.18099999999999999</v>
      </c>
      <c r="G166">
        <f t="shared" si="13"/>
        <v>1281.4305000000002</v>
      </c>
      <c r="H166">
        <f t="shared" si="14"/>
        <v>15.400000000000002</v>
      </c>
      <c r="I166">
        <f t="shared" si="15"/>
        <v>32190.129971999999</v>
      </c>
      <c r="J166">
        <f t="shared" si="16"/>
        <v>12456.100271999992</v>
      </c>
      <c r="K166">
        <f t="shared" si="17"/>
        <v>19734.029700000006</v>
      </c>
    </row>
    <row r="167" spans="1:11" x14ac:dyDescent="0.25">
      <c r="A167" t="str">
        <f>Original!A162</f>
        <v>ORD-2023-848013</v>
      </c>
      <c r="B167">
        <f>Original!R162</f>
        <v>299.75</v>
      </c>
      <c r="C167">
        <f>Original!S162</f>
        <v>523.01</v>
      </c>
      <c r="D167" s="6">
        <f>Original!T162</f>
        <v>0.157</v>
      </c>
      <c r="E167" s="6">
        <f>Original!V162</f>
        <v>50</v>
      </c>
      <c r="F167" s="6">
        <f t="shared" si="12"/>
        <v>0.157</v>
      </c>
      <c r="G167">
        <f t="shared" si="13"/>
        <v>314.73750000000001</v>
      </c>
      <c r="H167">
        <f t="shared" si="14"/>
        <v>55.000000000000007</v>
      </c>
      <c r="I167">
        <f t="shared" si="15"/>
        <v>24249.358650000002</v>
      </c>
      <c r="J167">
        <f t="shared" si="16"/>
        <v>6938.7961499999983</v>
      </c>
      <c r="K167">
        <f t="shared" si="17"/>
        <v>17310.562500000004</v>
      </c>
    </row>
    <row r="168" spans="1:11" x14ac:dyDescent="0.25">
      <c r="A168" t="str">
        <f>Original!A163</f>
        <v>ORD-2024-357368</v>
      </c>
      <c r="B168">
        <f>Original!R163</f>
        <v>811.05</v>
      </c>
      <c r="C168">
        <f>Original!S163</f>
        <v>1217.71</v>
      </c>
      <c r="D168" s="6">
        <f>Original!T163</f>
        <v>7.1999999999999995E-2</v>
      </c>
      <c r="E168" s="6">
        <f>Original!V163</f>
        <v>5</v>
      </c>
      <c r="F168" s="6">
        <f t="shared" si="12"/>
        <v>7.1999999999999995E-2</v>
      </c>
      <c r="G168">
        <f t="shared" si="13"/>
        <v>851.60249999999996</v>
      </c>
      <c r="H168">
        <f t="shared" si="14"/>
        <v>5.5</v>
      </c>
      <c r="I168">
        <f t="shared" si="15"/>
        <v>6215.1918400000013</v>
      </c>
      <c r="J168">
        <f t="shared" si="16"/>
        <v>1531.378090000002</v>
      </c>
      <c r="K168">
        <f t="shared" si="17"/>
        <v>4683.8137499999993</v>
      </c>
    </row>
    <row r="169" spans="1:11" x14ac:dyDescent="0.25">
      <c r="A169" t="str">
        <f>Original!A164</f>
        <v>ORD-2024-219735</v>
      </c>
      <c r="B169">
        <f>Original!R164</f>
        <v>1023.27</v>
      </c>
      <c r="C169">
        <f>Original!S164</f>
        <v>1343.64</v>
      </c>
      <c r="D169" s="6">
        <f>Original!T164</f>
        <v>0.13300000000000001</v>
      </c>
      <c r="E169" s="6">
        <f>Original!V164</f>
        <v>7</v>
      </c>
      <c r="F169" s="6">
        <f t="shared" si="12"/>
        <v>0.13300000000000001</v>
      </c>
      <c r="G169">
        <f t="shared" si="13"/>
        <v>1074.4335000000001</v>
      </c>
      <c r="H169">
        <f t="shared" si="14"/>
        <v>7.7000000000000011</v>
      </c>
      <c r="I169">
        <f t="shared" si="15"/>
        <v>8970.0062760000019</v>
      </c>
      <c r="J169">
        <f t="shared" si="16"/>
        <v>696.8683259999998</v>
      </c>
      <c r="K169">
        <f t="shared" si="17"/>
        <v>8273.1379500000021</v>
      </c>
    </row>
    <row r="170" spans="1:11" x14ac:dyDescent="0.25">
      <c r="A170" t="str">
        <f>Original!A165</f>
        <v>ORD-2023-240507</v>
      </c>
      <c r="B170">
        <f>Original!R165</f>
        <v>135.12</v>
      </c>
      <c r="C170">
        <f>Original!S165</f>
        <v>301.7</v>
      </c>
      <c r="D170" s="6">
        <f>Original!T165</f>
        <v>0.14000000000000001</v>
      </c>
      <c r="E170" s="6">
        <f>Original!V165</f>
        <v>47</v>
      </c>
      <c r="F170" s="6">
        <f t="shared" si="12"/>
        <v>0.14000000000000001</v>
      </c>
      <c r="G170">
        <f t="shared" si="13"/>
        <v>141.876</v>
      </c>
      <c r="H170">
        <f t="shared" si="14"/>
        <v>51.7</v>
      </c>
      <c r="I170">
        <f t="shared" si="15"/>
        <v>13414.185399999998</v>
      </c>
      <c r="J170">
        <f t="shared" si="16"/>
        <v>6079.1961999999976</v>
      </c>
      <c r="K170">
        <f t="shared" si="17"/>
        <v>7334.9892000000009</v>
      </c>
    </row>
    <row r="171" spans="1:11" x14ac:dyDescent="0.25">
      <c r="A171" t="str">
        <f>Original!A166</f>
        <v>ORD-2024-134084</v>
      </c>
      <c r="B171">
        <f>Original!R166</f>
        <v>918.42</v>
      </c>
      <c r="C171">
        <f>Original!S166</f>
        <v>1511.71</v>
      </c>
      <c r="D171" s="6">
        <f>Original!T166</f>
        <v>0.02</v>
      </c>
      <c r="E171" s="6">
        <f>Original!V166</f>
        <v>8</v>
      </c>
      <c r="F171" s="6">
        <f t="shared" si="12"/>
        <v>0.02</v>
      </c>
      <c r="G171">
        <f t="shared" si="13"/>
        <v>964.34100000000001</v>
      </c>
      <c r="H171">
        <f t="shared" si="14"/>
        <v>8.8000000000000007</v>
      </c>
      <c r="I171">
        <f t="shared" si="15"/>
        <v>13036.98704</v>
      </c>
      <c r="J171">
        <f t="shared" si="16"/>
        <v>4550.7862399999995</v>
      </c>
      <c r="K171">
        <f t="shared" si="17"/>
        <v>8486.2008000000005</v>
      </c>
    </row>
    <row r="172" spans="1:11" x14ac:dyDescent="0.25">
      <c r="A172" t="str">
        <f>Original!A167</f>
        <v>ORD-2023-884625</v>
      </c>
      <c r="B172">
        <f>Original!R167</f>
        <v>1234.81</v>
      </c>
      <c r="C172">
        <f>Original!S167</f>
        <v>2055.2399999999998</v>
      </c>
      <c r="D172" s="6">
        <f>Original!T167</f>
        <v>5.2999999999999999E-2</v>
      </c>
      <c r="E172" s="6">
        <f>Original!V167</f>
        <v>44</v>
      </c>
      <c r="F172" s="6">
        <f t="shared" si="12"/>
        <v>5.2999999999999999E-2</v>
      </c>
      <c r="G172">
        <f t="shared" si="13"/>
        <v>1296.5505000000001</v>
      </c>
      <c r="H172">
        <f t="shared" si="14"/>
        <v>48.400000000000006</v>
      </c>
      <c r="I172">
        <f t="shared" si="15"/>
        <v>94201.514351999984</v>
      </c>
      <c r="J172">
        <f t="shared" si="16"/>
        <v>31448.470151999973</v>
      </c>
      <c r="K172">
        <f t="shared" si="17"/>
        <v>62753.044200000011</v>
      </c>
    </row>
    <row r="173" spans="1:11" x14ac:dyDescent="0.25">
      <c r="A173" t="str">
        <f>Original!A168</f>
        <v>ORD-2023-157993</v>
      </c>
      <c r="B173">
        <f>Original!R168</f>
        <v>329.03</v>
      </c>
      <c r="C173">
        <f>Original!S168</f>
        <v>391.15</v>
      </c>
      <c r="D173" s="6">
        <f>Original!T168</f>
        <v>0.19700000000000001</v>
      </c>
      <c r="E173" s="6">
        <f>Original!V168</f>
        <v>46</v>
      </c>
      <c r="F173" s="6">
        <f t="shared" si="12"/>
        <v>0.19700000000000001</v>
      </c>
      <c r="G173">
        <f t="shared" si="13"/>
        <v>345.48149999999998</v>
      </c>
      <c r="H173">
        <f t="shared" si="14"/>
        <v>50.6</v>
      </c>
      <c r="I173">
        <f t="shared" si="15"/>
        <v>15893.128569999997</v>
      </c>
      <c r="J173">
        <f t="shared" si="16"/>
        <v>-1588.2353300000032</v>
      </c>
      <c r="K173">
        <f t="shared" si="17"/>
        <v>17481.3639</v>
      </c>
    </row>
    <row r="174" spans="1:11" x14ac:dyDescent="0.25">
      <c r="A174" t="str">
        <f>Original!A169</f>
        <v>ORD-2024-329104</v>
      </c>
      <c r="B174">
        <f>Original!R169</f>
        <v>1481.74</v>
      </c>
      <c r="C174">
        <f>Original!S169</f>
        <v>1848.97</v>
      </c>
      <c r="D174" s="6">
        <f>Original!T169</f>
        <v>0.254</v>
      </c>
      <c r="E174" s="6">
        <f>Original!V169</f>
        <v>9</v>
      </c>
      <c r="F174" s="6">
        <f t="shared" si="12"/>
        <v>0.2</v>
      </c>
      <c r="G174">
        <f t="shared" si="13"/>
        <v>1555.827</v>
      </c>
      <c r="H174">
        <f t="shared" si="14"/>
        <v>9.9</v>
      </c>
      <c r="I174">
        <f t="shared" si="15"/>
        <v>14643.842400000001</v>
      </c>
      <c r="J174">
        <f t="shared" si="16"/>
        <v>-758.84490000000005</v>
      </c>
      <c r="K174">
        <f t="shared" si="17"/>
        <v>15402.687300000001</v>
      </c>
    </row>
    <row r="175" spans="1:11" x14ac:dyDescent="0.25">
      <c r="A175" t="str">
        <f>Original!A170</f>
        <v>ORD-2023-304451</v>
      </c>
      <c r="B175">
        <f>Original!R170</f>
        <v>906.81</v>
      </c>
      <c r="C175">
        <f>Original!S170</f>
        <v>1395.56</v>
      </c>
      <c r="D175" s="6">
        <f>Original!T170</f>
        <v>0.185</v>
      </c>
      <c r="E175" s="6">
        <f>Original!V170</f>
        <v>6</v>
      </c>
      <c r="F175" s="6">
        <f t="shared" si="12"/>
        <v>0.185</v>
      </c>
      <c r="G175">
        <f t="shared" si="13"/>
        <v>952.15049999999997</v>
      </c>
      <c r="H175">
        <f t="shared" si="14"/>
        <v>6.6000000000000005</v>
      </c>
      <c r="I175">
        <f t="shared" si="15"/>
        <v>7506.717239999999</v>
      </c>
      <c r="J175">
        <f t="shared" si="16"/>
        <v>1222.5239399999991</v>
      </c>
      <c r="K175">
        <f t="shared" si="17"/>
        <v>6284.1932999999999</v>
      </c>
    </row>
    <row r="176" spans="1:11" x14ac:dyDescent="0.25">
      <c r="A176" t="str">
        <f>Original!A171</f>
        <v>ORD-2024-942981</v>
      </c>
      <c r="B176">
        <f>Original!R171</f>
        <v>343.85</v>
      </c>
      <c r="C176">
        <f>Original!S171</f>
        <v>538.04</v>
      </c>
      <c r="D176" s="6">
        <f>Original!T171</f>
        <v>0.13900000000000001</v>
      </c>
      <c r="E176" s="6">
        <f>Original!V171</f>
        <v>5</v>
      </c>
      <c r="F176" s="6">
        <f t="shared" si="12"/>
        <v>0.13900000000000001</v>
      </c>
      <c r="G176">
        <f t="shared" si="13"/>
        <v>361.04250000000002</v>
      </c>
      <c r="H176">
        <f t="shared" si="14"/>
        <v>5.5</v>
      </c>
      <c r="I176">
        <f t="shared" si="15"/>
        <v>2547.8884199999998</v>
      </c>
      <c r="J176">
        <f t="shared" si="16"/>
        <v>562.15466999999967</v>
      </c>
      <c r="K176">
        <f t="shared" si="17"/>
        <v>1985.7337500000001</v>
      </c>
    </row>
    <row r="177" spans="1:11" x14ac:dyDescent="0.25">
      <c r="A177" t="str">
        <f>Original!A172</f>
        <v>ORD-2024-605629</v>
      </c>
      <c r="B177">
        <f>Original!R172</f>
        <v>801.77</v>
      </c>
      <c r="C177">
        <f>Original!S172</f>
        <v>1218.92</v>
      </c>
      <c r="D177" s="6">
        <f>Original!T172</f>
        <v>0.254</v>
      </c>
      <c r="E177" s="6">
        <f>Original!V172</f>
        <v>16</v>
      </c>
      <c r="F177" s="6">
        <f t="shared" si="12"/>
        <v>0.2</v>
      </c>
      <c r="G177">
        <f t="shared" si="13"/>
        <v>841.85850000000005</v>
      </c>
      <c r="H177">
        <f t="shared" si="14"/>
        <v>17.600000000000001</v>
      </c>
      <c r="I177">
        <f t="shared" si="15"/>
        <v>17162.393600000003</v>
      </c>
      <c r="J177">
        <f t="shared" si="16"/>
        <v>2345.6840000000011</v>
      </c>
      <c r="K177">
        <f t="shared" si="17"/>
        <v>14816.709600000002</v>
      </c>
    </row>
    <row r="178" spans="1:11" x14ac:dyDescent="0.25">
      <c r="A178" t="str">
        <f>Original!A173</f>
        <v>ORD-2023-450877</v>
      </c>
      <c r="B178">
        <f>Original!R173</f>
        <v>845.63</v>
      </c>
      <c r="C178">
        <f>Original!S173</f>
        <v>2062.12</v>
      </c>
      <c r="D178" s="6">
        <f>Original!T173</f>
        <v>0.13400000000000001</v>
      </c>
      <c r="E178" s="6">
        <f>Original!V173</f>
        <v>5</v>
      </c>
      <c r="F178" s="6">
        <f t="shared" si="12"/>
        <v>0.13400000000000001</v>
      </c>
      <c r="G178">
        <f t="shared" si="13"/>
        <v>887.91150000000005</v>
      </c>
      <c r="H178">
        <f t="shared" si="14"/>
        <v>5.5</v>
      </c>
      <c r="I178">
        <f t="shared" si="15"/>
        <v>9821.877559999999</v>
      </c>
      <c r="J178">
        <f t="shared" si="16"/>
        <v>4938.364309999999</v>
      </c>
      <c r="K178">
        <f t="shared" si="17"/>
        <v>4883.51325</v>
      </c>
    </row>
    <row r="179" spans="1:11" x14ac:dyDescent="0.25">
      <c r="A179" t="str">
        <f>Original!A174</f>
        <v>ORD-2023-286994</v>
      </c>
      <c r="B179">
        <f>Original!R174</f>
        <v>6.85</v>
      </c>
      <c r="C179">
        <f>Original!S174</f>
        <v>10.18</v>
      </c>
      <c r="D179" s="6">
        <f>Original!T174</f>
        <v>4.7E-2</v>
      </c>
      <c r="E179" s="6">
        <f>Original!V174</f>
        <v>10</v>
      </c>
      <c r="F179" s="6">
        <f t="shared" si="12"/>
        <v>4.7E-2</v>
      </c>
      <c r="G179">
        <f t="shared" si="13"/>
        <v>7.1924999999999999</v>
      </c>
      <c r="H179">
        <f t="shared" si="14"/>
        <v>11</v>
      </c>
      <c r="I179">
        <f t="shared" si="15"/>
        <v>106.71693999999998</v>
      </c>
      <c r="J179">
        <f t="shared" si="16"/>
        <v>27.599439999999987</v>
      </c>
      <c r="K179">
        <f t="shared" si="17"/>
        <v>79.117499999999993</v>
      </c>
    </row>
    <row r="180" spans="1:11" x14ac:dyDescent="0.25">
      <c r="A180" t="str">
        <f>Original!A175</f>
        <v>ORD-2025-700847</v>
      </c>
      <c r="B180">
        <f>Original!R175</f>
        <v>1263.8399999999999</v>
      </c>
      <c r="C180">
        <f>Original!S175</f>
        <v>2281.7199999999998</v>
      </c>
      <c r="D180" s="6">
        <f>Original!T175</f>
        <v>7.8E-2</v>
      </c>
      <c r="E180" s="6">
        <f>Original!V175</f>
        <v>15</v>
      </c>
      <c r="F180" s="6">
        <f t="shared" si="12"/>
        <v>7.8E-2</v>
      </c>
      <c r="G180">
        <f t="shared" si="13"/>
        <v>1327.0319999999999</v>
      </c>
      <c r="H180">
        <f t="shared" si="14"/>
        <v>16.5</v>
      </c>
      <c r="I180">
        <f t="shared" si="15"/>
        <v>34711.806360000002</v>
      </c>
      <c r="J180">
        <f t="shared" si="16"/>
        <v>12815.778360000004</v>
      </c>
      <c r="K180">
        <f t="shared" si="17"/>
        <v>21896.027999999998</v>
      </c>
    </row>
    <row r="181" spans="1:11" x14ac:dyDescent="0.25">
      <c r="A181" t="str">
        <f>Original!A176</f>
        <v>ORD-2024-970848</v>
      </c>
      <c r="B181">
        <f>Original!R176</f>
        <v>180.89</v>
      </c>
      <c r="C181">
        <f>Original!S176</f>
        <v>249.57</v>
      </c>
      <c r="D181" s="6">
        <f>Original!T176</f>
        <v>2.1999999999999999E-2</v>
      </c>
      <c r="E181" s="6">
        <f>Original!V176</f>
        <v>8</v>
      </c>
      <c r="F181" s="6">
        <f t="shared" si="12"/>
        <v>2.1999999999999999E-2</v>
      </c>
      <c r="G181">
        <f t="shared" si="13"/>
        <v>189.93449999999999</v>
      </c>
      <c r="H181">
        <f t="shared" si="14"/>
        <v>8.8000000000000007</v>
      </c>
      <c r="I181">
        <f t="shared" si="15"/>
        <v>2147.8992479999997</v>
      </c>
      <c r="J181">
        <f t="shared" si="16"/>
        <v>476.47564799999964</v>
      </c>
      <c r="K181">
        <f t="shared" si="17"/>
        <v>1671.4236000000001</v>
      </c>
    </row>
    <row r="182" spans="1:11" x14ac:dyDescent="0.25">
      <c r="A182" t="str">
        <f>Original!A177</f>
        <v>ORD-2025-845715</v>
      </c>
      <c r="B182">
        <f>Original!R177</f>
        <v>1413.87</v>
      </c>
      <c r="C182">
        <f>Original!S177</f>
        <v>3275</v>
      </c>
      <c r="D182" s="6">
        <f>Original!T177</f>
        <v>0.255</v>
      </c>
      <c r="E182" s="6">
        <f>Original!V177</f>
        <v>38</v>
      </c>
      <c r="F182" s="6">
        <f t="shared" si="12"/>
        <v>0.2</v>
      </c>
      <c r="G182">
        <f t="shared" si="13"/>
        <v>1484.5635</v>
      </c>
      <c r="H182">
        <f t="shared" si="14"/>
        <v>41.800000000000004</v>
      </c>
      <c r="I182">
        <f t="shared" si="15"/>
        <v>109516</v>
      </c>
      <c r="J182">
        <f t="shared" si="16"/>
        <v>47461.245699999992</v>
      </c>
      <c r="K182">
        <f t="shared" si="17"/>
        <v>62054.754300000008</v>
      </c>
    </row>
    <row r="183" spans="1:11" x14ac:dyDescent="0.25">
      <c r="A183" t="str">
        <f>Original!A178</f>
        <v>ORD-2023-664749</v>
      </c>
      <c r="B183">
        <f>Original!R178</f>
        <v>943.79</v>
      </c>
      <c r="C183">
        <f>Original!S178</f>
        <v>1913.76</v>
      </c>
      <c r="D183" s="6">
        <f>Original!T178</f>
        <v>9.0999999999999998E-2</v>
      </c>
      <c r="E183" s="6">
        <f>Original!V178</f>
        <v>9</v>
      </c>
      <c r="F183" s="6">
        <f t="shared" si="12"/>
        <v>9.0999999999999998E-2</v>
      </c>
      <c r="G183">
        <f t="shared" si="13"/>
        <v>990.97950000000003</v>
      </c>
      <c r="H183">
        <f t="shared" si="14"/>
        <v>9.9</v>
      </c>
      <c r="I183">
        <f t="shared" si="15"/>
        <v>17222.117616000003</v>
      </c>
      <c r="J183">
        <f t="shared" si="16"/>
        <v>7411.4205660000025</v>
      </c>
      <c r="K183">
        <f t="shared" si="17"/>
        <v>9810.6970500000007</v>
      </c>
    </row>
    <row r="184" spans="1:11" x14ac:dyDescent="0.25">
      <c r="A184" t="str">
        <f>Original!A179</f>
        <v>ORD-2024-960952</v>
      </c>
      <c r="B184">
        <f>Original!R179</f>
        <v>39.229999999999997</v>
      </c>
      <c r="C184">
        <f>Original!S179</f>
        <v>30.09</v>
      </c>
      <c r="D184" s="6">
        <f>Original!T179</f>
        <v>0.17699999999999999</v>
      </c>
      <c r="E184" s="6">
        <f>Original!V179</f>
        <v>13</v>
      </c>
      <c r="F184" s="6">
        <f t="shared" si="12"/>
        <v>0.17699999999999999</v>
      </c>
      <c r="G184">
        <f t="shared" si="13"/>
        <v>41.191499999999998</v>
      </c>
      <c r="H184">
        <f t="shared" si="14"/>
        <v>14.3</v>
      </c>
      <c r="I184">
        <f t="shared" si="15"/>
        <v>354.12620099999998</v>
      </c>
      <c r="J184">
        <f t="shared" si="16"/>
        <v>-234.91224900000003</v>
      </c>
      <c r="K184">
        <f t="shared" si="17"/>
        <v>589.03845000000001</v>
      </c>
    </row>
    <row r="185" spans="1:11" x14ac:dyDescent="0.25">
      <c r="A185" t="str">
        <f>Original!A180</f>
        <v>ORD-2023-987700</v>
      </c>
      <c r="B185">
        <f>Original!R180</f>
        <v>213.1</v>
      </c>
      <c r="C185">
        <f>Original!S180</f>
        <v>501.31</v>
      </c>
      <c r="D185" s="6">
        <f>Original!T180</f>
        <v>5.6000000000000001E-2</v>
      </c>
      <c r="E185" s="6">
        <f>Original!V180</f>
        <v>15</v>
      </c>
      <c r="F185" s="6">
        <f t="shared" si="12"/>
        <v>5.6000000000000001E-2</v>
      </c>
      <c r="G185">
        <f t="shared" si="13"/>
        <v>223.755</v>
      </c>
      <c r="H185">
        <f t="shared" si="14"/>
        <v>16.5</v>
      </c>
      <c r="I185">
        <f t="shared" si="15"/>
        <v>7808.404559999999</v>
      </c>
      <c r="J185">
        <f t="shared" si="16"/>
        <v>4116.4470599999986</v>
      </c>
      <c r="K185">
        <f t="shared" si="17"/>
        <v>3691.9575</v>
      </c>
    </row>
    <row r="186" spans="1:11" x14ac:dyDescent="0.25">
      <c r="A186" t="str">
        <f>Original!A181</f>
        <v>ORD-2025-652467</v>
      </c>
      <c r="B186">
        <f>Original!R181</f>
        <v>352.66</v>
      </c>
      <c r="C186">
        <f>Original!S181</f>
        <v>411.18</v>
      </c>
      <c r="D186" s="6">
        <f>Original!T181</f>
        <v>0.17299999999999999</v>
      </c>
      <c r="E186" s="6">
        <f>Original!V181</f>
        <v>13</v>
      </c>
      <c r="F186" s="6">
        <f t="shared" si="12"/>
        <v>0.17299999999999999</v>
      </c>
      <c r="G186">
        <f t="shared" si="13"/>
        <v>370.29300000000006</v>
      </c>
      <c r="H186">
        <f t="shared" si="14"/>
        <v>14.3</v>
      </c>
      <c r="I186">
        <f t="shared" si="15"/>
        <v>4862.6557980000007</v>
      </c>
      <c r="J186">
        <f t="shared" si="16"/>
        <v>-432.53410200000053</v>
      </c>
      <c r="K186">
        <f t="shared" si="17"/>
        <v>5295.1899000000012</v>
      </c>
    </row>
    <row r="187" spans="1:11" x14ac:dyDescent="0.25">
      <c r="A187" t="str">
        <f>Original!A182</f>
        <v>ORD-2025-667201</v>
      </c>
      <c r="B187">
        <f>Original!R182</f>
        <v>5.5</v>
      </c>
      <c r="C187">
        <f>Original!S182</f>
        <v>5.92</v>
      </c>
      <c r="D187" s="6">
        <f>Original!T182</f>
        <v>0.21199999999999999</v>
      </c>
      <c r="E187" s="6">
        <f>Original!V182</f>
        <v>4</v>
      </c>
      <c r="F187" s="6">
        <f t="shared" si="12"/>
        <v>0.2</v>
      </c>
      <c r="G187">
        <f t="shared" si="13"/>
        <v>5.7750000000000004</v>
      </c>
      <c r="H187">
        <f t="shared" si="14"/>
        <v>4.4000000000000004</v>
      </c>
      <c r="I187">
        <f t="shared" si="15"/>
        <v>20.838400000000004</v>
      </c>
      <c r="J187">
        <f t="shared" si="16"/>
        <v>-4.5716000000000001</v>
      </c>
      <c r="K187">
        <f t="shared" si="17"/>
        <v>25.410000000000004</v>
      </c>
    </row>
    <row r="188" spans="1:11" x14ac:dyDescent="0.25">
      <c r="A188" t="str">
        <f>Original!A183</f>
        <v>ORD-2024-237478</v>
      </c>
      <c r="B188">
        <f>Original!R183</f>
        <v>1132.6099999999999</v>
      </c>
      <c r="C188">
        <f>Original!S183</f>
        <v>2206.63</v>
      </c>
      <c r="D188" s="6">
        <f>Original!T183</f>
        <v>6.3E-2</v>
      </c>
      <c r="E188" s="6">
        <f>Original!V183</f>
        <v>20</v>
      </c>
      <c r="F188" s="6">
        <f t="shared" si="12"/>
        <v>6.3E-2</v>
      </c>
      <c r="G188">
        <f t="shared" si="13"/>
        <v>1189.2404999999999</v>
      </c>
      <c r="H188">
        <f t="shared" si="14"/>
        <v>22</v>
      </c>
      <c r="I188">
        <f t="shared" si="15"/>
        <v>45487.470820000002</v>
      </c>
      <c r="J188">
        <f t="shared" si="16"/>
        <v>19324.179820000005</v>
      </c>
      <c r="K188">
        <f t="shared" si="17"/>
        <v>26163.290999999997</v>
      </c>
    </row>
    <row r="189" spans="1:11" x14ac:dyDescent="0.25">
      <c r="A189" t="str">
        <f>Original!A184</f>
        <v>ORD-2025-898843</v>
      </c>
      <c r="B189">
        <f>Original!R184</f>
        <v>766.59</v>
      </c>
      <c r="C189">
        <f>Original!S184</f>
        <v>1912.8</v>
      </c>
      <c r="D189" s="6">
        <f>Original!T184</f>
        <v>0.19600000000000001</v>
      </c>
      <c r="E189" s="6">
        <f>Original!V184</f>
        <v>5</v>
      </c>
      <c r="F189" s="6">
        <f t="shared" si="12"/>
        <v>0.19600000000000001</v>
      </c>
      <c r="G189">
        <f t="shared" si="13"/>
        <v>804.91950000000008</v>
      </c>
      <c r="H189">
        <f t="shared" si="14"/>
        <v>5.5</v>
      </c>
      <c r="I189">
        <f t="shared" si="15"/>
        <v>8458.4016000000011</v>
      </c>
      <c r="J189">
        <f t="shared" si="16"/>
        <v>4031.3443500000003</v>
      </c>
      <c r="K189">
        <f t="shared" si="17"/>
        <v>4427.0572500000007</v>
      </c>
    </row>
    <row r="190" spans="1:11" x14ac:dyDescent="0.25">
      <c r="A190" t="str">
        <f>Original!A185</f>
        <v>ORD-2023-334213</v>
      </c>
      <c r="B190">
        <f>Original!R185</f>
        <v>790.63</v>
      </c>
      <c r="C190">
        <f>Original!S185</f>
        <v>1382.31</v>
      </c>
      <c r="D190" s="6">
        <f>Original!T185</f>
        <v>0.10100000000000001</v>
      </c>
      <c r="E190" s="6">
        <f>Original!V185</f>
        <v>7</v>
      </c>
      <c r="F190" s="6">
        <f t="shared" si="12"/>
        <v>0.10100000000000001</v>
      </c>
      <c r="G190">
        <f t="shared" si="13"/>
        <v>830.16150000000005</v>
      </c>
      <c r="H190">
        <f t="shared" si="14"/>
        <v>7.7000000000000011</v>
      </c>
      <c r="I190">
        <f t="shared" si="15"/>
        <v>9568.7645130000001</v>
      </c>
      <c r="J190">
        <f t="shared" si="16"/>
        <v>3176.520962999999</v>
      </c>
      <c r="K190">
        <f t="shared" si="17"/>
        <v>6392.2435500000011</v>
      </c>
    </row>
    <row r="191" spans="1:11" x14ac:dyDescent="0.25">
      <c r="A191" t="str">
        <f>Original!A186</f>
        <v>ORD-2024-640340</v>
      </c>
      <c r="B191">
        <f>Original!R186</f>
        <v>1023.06</v>
      </c>
      <c r="C191">
        <f>Original!S186</f>
        <v>1355.61</v>
      </c>
      <c r="D191" s="6">
        <f>Original!T186</f>
        <v>0.153</v>
      </c>
      <c r="E191" s="6">
        <f>Original!V186</f>
        <v>23</v>
      </c>
      <c r="F191" s="6">
        <f t="shared" si="12"/>
        <v>0.153</v>
      </c>
      <c r="G191">
        <f t="shared" si="13"/>
        <v>1074.213</v>
      </c>
      <c r="H191">
        <f t="shared" si="14"/>
        <v>25.3</v>
      </c>
      <c r="I191">
        <f t="shared" si="15"/>
        <v>29049.502250999998</v>
      </c>
      <c r="J191">
        <f t="shared" si="16"/>
        <v>1871.9133509999992</v>
      </c>
      <c r="K191">
        <f t="shared" si="17"/>
        <v>27177.588899999999</v>
      </c>
    </row>
    <row r="192" spans="1:11" x14ac:dyDescent="0.25">
      <c r="A192" t="str">
        <f>Original!A187</f>
        <v>ORD-2023-399631</v>
      </c>
      <c r="B192">
        <f>Original!R187</f>
        <v>734.34</v>
      </c>
      <c r="C192">
        <f>Original!S187</f>
        <v>887.9</v>
      </c>
      <c r="D192" s="6">
        <f>Original!T187</f>
        <v>2.5000000000000001E-2</v>
      </c>
      <c r="E192" s="6">
        <f>Original!V187</f>
        <v>12</v>
      </c>
      <c r="F192" s="6">
        <f t="shared" si="12"/>
        <v>2.5000000000000001E-2</v>
      </c>
      <c r="G192">
        <f t="shared" si="13"/>
        <v>771.05700000000002</v>
      </c>
      <c r="H192">
        <f t="shared" si="14"/>
        <v>13.200000000000001</v>
      </c>
      <c r="I192">
        <f t="shared" si="15"/>
        <v>11427.273000000001</v>
      </c>
      <c r="J192">
        <f t="shared" si="16"/>
        <v>1249.3205999999991</v>
      </c>
      <c r="K192">
        <f t="shared" si="17"/>
        <v>10177.952400000002</v>
      </c>
    </row>
    <row r="193" spans="1:11" x14ac:dyDescent="0.25">
      <c r="A193" t="str">
        <f>Original!A188</f>
        <v>ORD-2025-542939</v>
      </c>
      <c r="B193">
        <f>Original!R188</f>
        <v>594.74</v>
      </c>
      <c r="C193">
        <f>Original!S188</f>
        <v>1020.69</v>
      </c>
      <c r="D193" s="6">
        <f>Original!T188</f>
        <v>0.21099999999999999</v>
      </c>
      <c r="E193" s="6">
        <f>Original!V188</f>
        <v>6</v>
      </c>
      <c r="F193" s="6">
        <f t="shared" si="12"/>
        <v>0.2</v>
      </c>
      <c r="G193">
        <f t="shared" si="13"/>
        <v>624.47700000000009</v>
      </c>
      <c r="H193">
        <f t="shared" si="14"/>
        <v>6.6000000000000005</v>
      </c>
      <c r="I193">
        <f t="shared" si="15"/>
        <v>5389.2432000000008</v>
      </c>
      <c r="J193">
        <f t="shared" si="16"/>
        <v>1267.6949999999997</v>
      </c>
      <c r="K193">
        <f t="shared" si="17"/>
        <v>4121.5482000000011</v>
      </c>
    </row>
    <row r="194" spans="1:11" x14ac:dyDescent="0.25">
      <c r="A194" t="str">
        <f>Original!A189</f>
        <v>ORD-2023-521818</v>
      </c>
      <c r="B194">
        <f>Original!R189</f>
        <v>1262.0999999999999</v>
      </c>
      <c r="C194">
        <f>Original!S189</f>
        <v>1395.53</v>
      </c>
      <c r="D194" s="6">
        <f>Original!T189</f>
        <v>0.23300000000000001</v>
      </c>
      <c r="E194" s="6">
        <f>Original!V189</f>
        <v>25</v>
      </c>
      <c r="F194" s="6">
        <f t="shared" si="12"/>
        <v>0.2</v>
      </c>
      <c r="G194">
        <f t="shared" si="13"/>
        <v>1325.2049999999999</v>
      </c>
      <c r="H194">
        <f t="shared" si="14"/>
        <v>27.500000000000004</v>
      </c>
      <c r="I194">
        <f t="shared" si="15"/>
        <v>30701.660000000003</v>
      </c>
      <c r="J194">
        <f t="shared" si="16"/>
        <v>-5741.4775000000009</v>
      </c>
      <c r="K194">
        <f t="shared" si="17"/>
        <v>36443.137500000004</v>
      </c>
    </row>
    <row r="195" spans="1:11" x14ac:dyDescent="0.25">
      <c r="A195" t="str">
        <f>Original!A190</f>
        <v>ORD-2023-825836</v>
      </c>
      <c r="B195">
        <f>Original!R190</f>
        <v>1334.64</v>
      </c>
      <c r="C195">
        <f>Original!S190</f>
        <v>2273.42</v>
      </c>
      <c r="D195" s="6">
        <f>Original!T190</f>
        <v>0.11799999999999999</v>
      </c>
      <c r="E195" s="6">
        <f>Original!V190</f>
        <v>14</v>
      </c>
      <c r="F195" s="6">
        <f t="shared" si="12"/>
        <v>0.11799999999999999</v>
      </c>
      <c r="G195">
        <f t="shared" si="13"/>
        <v>1401.3720000000001</v>
      </c>
      <c r="H195">
        <f t="shared" si="14"/>
        <v>15.400000000000002</v>
      </c>
      <c r="I195">
        <f t="shared" si="15"/>
        <v>30879.409176000005</v>
      </c>
      <c r="J195">
        <f t="shared" si="16"/>
        <v>9298.2803759999988</v>
      </c>
      <c r="K195">
        <f t="shared" si="17"/>
        <v>21581.128800000006</v>
      </c>
    </row>
    <row r="196" spans="1:11" x14ac:dyDescent="0.25">
      <c r="A196" t="str">
        <f>Original!A191</f>
        <v>ORD-2024-503082</v>
      </c>
      <c r="B196">
        <f>Original!R191</f>
        <v>1075.9000000000001</v>
      </c>
      <c r="C196">
        <f>Original!S191</f>
        <v>1242.1500000000001</v>
      </c>
      <c r="D196" s="6">
        <f>Original!T191</f>
        <v>1.2E-2</v>
      </c>
      <c r="E196" s="6">
        <f>Original!V191</f>
        <v>7</v>
      </c>
      <c r="F196" s="6">
        <f t="shared" si="12"/>
        <v>1.2E-2</v>
      </c>
      <c r="G196">
        <f t="shared" si="13"/>
        <v>1129.6950000000002</v>
      </c>
      <c r="H196">
        <f t="shared" si="14"/>
        <v>7.7000000000000011</v>
      </c>
      <c r="I196">
        <f t="shared" si="15"/>
        <v>9449.7803400000012</v>
      </c>
      <c r="J196">
        <f t="shared" si="16"/>
        <v>751.1288399999994</v>
      </c>
      <c r="K196">
        <f t="shared" si="17"/>
        <v>8698.6515000000018</v>
      </c>
    </row>
    <row r="197" spans="1:11" x14ac:dyDescent="0.25">
      <c r="A197" t="str">
        <f>Original!A192</f>
        <v>ORD-2024-760799</v>
      </c>
      <c r="B197">
        <f>Original!R192</f>
        <v>993.75</v>
      </c>
      <c r="C197">
        <f>Original!S192</f>
        <v>1310.29</v>
      </c>
      <c r="D197" s="6">
        <f>Original!T192</f>
        <v>0.215</v>
      </c>
      <c r="E197" s="6">
        <f>Original!V192</f>
        <v>19</v>
      </c>
      <c r="F197" s="6">
        <f t="shared" si="12"/>
        <v>0.2</v>
      </c>
      <c r="G197">
        <f t="shared" si="13"/>
        <v>1043.4375</v>
      </c>
      <c r="H197">
        <f t="shared" si="14"/>
        <v>20.900000000000002</v>
      </c>
      <c r="I197">
        <f t="shared" si="15"/>
        <v>21908.048800000004</v>
      </c>
      <c r="J197">
        <f t="shared" si="16"/>
        <v>100.20505000000048</v>
      </c>
      <c r="K197">
        <f t="shared" si="17"/>
        <v>21807.843750000004</v>
      </c>
    </row>
    <row r="198" spans="1:11" x14ac:dyDescent="0.25">
      <c r="A198" t="str">
        <f>Original!A193</f>
        <v>ORD-2023-197661</v>
      </c>
      <c r="B198">
        <f>Original!R193</f>
        <v>446.69</v>
      </c>
      <c r="C198">
        <f>Original!S193</f>
        <v>967.25</v>
      </c>
      <c r="D198" s="6">
        <f>Original!T193</f>
        <v>9.4E-2</v>
      </c>
      <c r="E198" s="6">
        <f>Original!V193</f>
        <v>10</v>
      </c>
      <c r="F198" s="6">
        <f t="shared" si="12"/>
        <v>9.4E-2</v>
      </c>
      <c r="G198">
        <f t="shared" si="13"/>
        <v>469.02449999999999</v>
      </c>
      <c r="H198">
        <f t="shared" si="14"/>
        <v>11</v>
      </c>
      <c r="I198">
        <f t="shared" si="15"/>
        <v>9639.6134999999995</v>
      </c>
      <c r="J198">
        <f t="shared" si="16"/>
        <v>4480.3439999999991</v>
      </c>
      <c r="K198">
        <f t="shared" si="17"/>
        <v>5159.2695000000003</v>
      </c>
    </row>
    <row r="199" spans="1:11" x14ac:dyDescent="0.25">
      <c r="A199" t="str">
        <f>Original!A194</f>
        <v>ORD-2024-212990</v>
      </c>
      <c r="B199">
        <f>Original!R194</f>
        <v>797.8</v>
      </c>
      <c r="C199">
        <f>Original!S194</f>
        <v>886.22</v>
      </c>
      <c r="D199" s="6">
        <f>Original!T194</f>
        <v>0.23599999999999999</v>
      </c>
      <c r="E199" s="6">
        <f>Original!V194</f>
        <v>36</v>
      </c>
      <c r="F199" s="6">
        <f t="shared" si="12"/>
        <v>0.2</v>
      </c>
      <c r="G199">
        <f t="shared" si="13"/>
        <v>837.68999999999994</v>
      </c>
      <c r="H199">
        <f t="shared" si="14"/>
        <v>39.6</v>
      </c>
      <c r="I199">
        <f t="shared" si="15"/>
        <v>28075.449600000007</v>
      </c>
      <c r="J199">
        <f t="shared" si="16"/>
        <v>-5097.0743999999904</v>
      </c>
      <c r="K199">
        <f t="shared" si="17"/>
        <v>33172.523999999998</v>
      </c>
    </row>
    <row r="200" spans="1:11" x14ac:dyDescent="0.25">
      <c r="A200" t="str">
        <f>Original!A195</f>
        <v>ORD-2023-925146</v>
      </c>
      <c r="B200">
        <f>Original!R195</f>
        <v>986.44</v>
      </c>
      <c r="C200">
        <f>Original!S195</f>
        <v>790.61</v>
      </c>
      <c r="D200" s="6">
        <f>Original!T195</f>
        <v>7.1999999999999995E-2</v>
      </c>
      <c r="E200" s="6">
        <f>Original!V195</f>
        <v>6</v>
      </c>
      <c r="F200" s="6">
        <f t="shared" ref="F200:F263" si="18">MIN(D200,$B$2)</f>
        <v>7.1999999999999995E-2</v>
      </c>
      <c r="G200">
        <f t="shared" ref="G200:G263" si="19">B200*(1+$B$3)</f>
        <v>1035.7620000000002</v>
      </c>
      <c r="H200">
        <f t="shared" ref="H200:H263" si="20">E200*(1+$B$4)</f>
        <v>6.6000000000000005</v>
      </c>
      <c r="I200">
        <f t="shared" ref="I200:I263" si="21">C200*H200*(1-F200)</f>
        <v>4842.328128000001</v>
      </c>
      <c r="J200">
        <f t="shared" ref="J200:J263" si="22">I200-K200</f>
        <v>-1993.7010720000007</v>
      </c>
      <c r="K200">
        <f t="shared" ref="K200:K263" si="23">G200*H200</f>
        <v>6836.0292000000018</v>
      </c>
    </row>
    <row r="201" spans="1:11" x14ac:dyDescent="0.25">
      <c r="A201" t="str">
        <f>Original!A196</f>
        <v>ORD-2023-177794</v>
      </c>
      <c r="B201">
        <f>Original!R196</f>
        <v>249.71</v>
      </c>
      <c r="C201">
        <f>Original!S196</f>
        <v>361.33</v>
      </c>
      <c r="D201" s="6">
        <f>Original!T196</f>
        <v>9.4E-2</v>
      </c>
      <c r="E201" s="6">
        <f>Original!V196</f>
        <v>12</v>
      </c>
      <c r="F201" s="6">
        <f t="shared" si="18"/>
        <v>9.4E-2</v>
      </c>
      <c r="G201">
        <f t="shared" si="19"/>
        <v>262.19550000000004</v>
      </c>
      <c r="H201">
        <f t="shared" si="20"/>
        <v>13.200000000000001</v>
      </c>
      <c r="I201">
        <f t="shared" si="21"/>
        <v>4321.2177360000005</v>
      </c>
      <c r="J201">
        <f t="shared" si="22"/>
        <v>860.23713599999974</v>
      </c>
      <c r="K201">
        <f t="shared" si="23"/>
        <v>3460.9806000000008</v>
      </c>
    </row>
    <row r="202" spans="1:11" x14ac:dyDescent="0.25">
      <c r="A202" t="str">
        <f>Original!A197</f>
        <v>ORD-2024-444710</v>
      </c>
      <c r="B202">
        <f>Original!R197</f>
        <v>1378.8</v>
      </c>
      <c r="C202">
        <f>Original!S197</f>
        <v>1952.04</v>
      </c>
      <c r="D202" s="6">
        <f>Original!T197</f>
        <v>0.159</v>
      </c>
      <c r="E202" s="6">
        <f>Original!V197</f>
        <v>19</v>
      </c>
      <c r="F202" s="6">
        <f t="shared" si="18"/>
        <v>0.159</v>
      </c>
      <c r="G202">
        <f t="shared" si="19"/>
        <v>1447.74</v>
      </c>
      <c r="H202">
        <f t="shared" si="20"/>
        <v>20.900000000000002</v>
      </c>
      <c r="I202">
        <f t="shared" si="21"/>
        <v>34310.811876000007</v>
      </c>
      <c r="J202">
        <f t="shared" si="22"/>
        <v>4053.0458760000038</v>
      </c>
      <c r="K202">
        <f t="shared" si="23"/>
        <v>30257.766000000003</v>
      </c>
    </row>
    <row r="203" spans="1:11" x14ac:dyDescent="0.25">
      <c r="A203" t="str">
        <f>Original!A198</f>
        <v>ORD-2024-668926</v>
      </c>
      <c r="B203">
        <f>Original!R198</f>
        <v>1406.4</v>
      </c>
      <c r="C203">
        <f>Original!S198</f>
        <v>1564.76</v>
      </c>
      <c r="D203" s="6">
        <f>Original!T198</f>
        <v>0.185</v>
      </c>
      <c r="E203" s="6">
        <f>Original!V198</f>
        <v>17</v>
      </c>
      <c r="F203" s="6">
        <f t="shared" si="18"/>
        <v>0.185</v>
      </c>
      <c r="G203">
        <f t="shared" si="19"/>
        <v>1476.7200000000003</v>
      </c>
      <c r="H203">
        <f t="shared" si="20"/>
        <v>18.700000000000003</v>
      </c>
      <c r="I203">
        <f t="shared" si="21"/>
        <v>23847.724780000004</v>
      </c>
      <c r="J203">
        <f t="shared" si="22"/>
        <v>-3766.9392200000038</v>
      </c>
      <c r="K203">
        <f t="shared" si="23"/>
        <v>27614.664000000008</v>
      </c>
    </row>
    <row r="204" spans="1:11" x14ac:dyDescent="0.25">
      <c r="A204" t="str">
        <f>Original!A199</f>
        <v>ORD-2024-968374</v>
      </c>
      <c r="B204">
        <f>Original!R199</f>
        <v>516.86</v>
      </c>
      <c r="C204">
        <f>Original!S199</f>
        <v>852.54</v>
      </c>
      <c r="D204" s="6">
        <f>Original!T199</f>
        <v>5.0999999999999997E-2</v>
      </c>
      <c r="E204" s="6">
        <f>Original!V199</f>
        <v>14</v>
      </c>
      <c r="F204" s="6">
        <f t="shared" si="18"/>
        <v>5.0999999999999997E-2</v>
      </c>
      <c r="G204">
        <f t="shared" si="19"/>
        <v>542.70300000000009</v>
      </c>
      <c r="H204">
        <f t="shared" si="20"/>
        <v>15.400000000000002</v>
      </c>
      <c r="I204">
        <f t="shared" si="21"/>
        <v>12459.531084000002</v>
      </c>
      <c r="J204">
        <f t="shared" si="22"/>
        <v>4101.9048839999996</v>
      </c>
      <c r="K204">
        <f t="shared" si="23"/>
        <v>8357.6262000000024</v>
      </c>
    </row>
    <row r="205" spans="1:11" x14ac:dyDescent="0.25">
      <c r="A205" t="str">
        <f>Original!A200</f>
        <v>ORD-2023-575584</v>
      </c>
      <c r="B205">
        <f>Original!R200</f>
        <v>1142.8800000000001</v>
      </c>
      <c r="C205">
        <f>Original!S200</f>
        <v>1465.29</v>
      </c>
      <c r="D205" s="6">
        <f>Original!T200</f>
        <v>0.186</v>
      </c>
      <c r="E205" s="6">
        <f>Original!V200</f>
        <v>7</v>
      </c>
      <c r="F205" s="6">
        <f t="shared" si="18"/>
        <v>0.186</v>
      </c>
      <c r="G205">
        <f t="shared" si="19"/>
        <v>1200.0240000000001</v>
      </c>
      <c r="H205">
        <f t="shared" si="20"/>
        <v>7.7000000000000011</v>
      </c>
      <c r="I205">
        <f t="shared" si="21"/>
        <v>9184.1446620000024</v>
      </c>
      <c r="J205">
        <f t="shared" si="22"/>
        <v>-56.040138000000297</v>
      </c>
      <c r="K205">
        <f t="shared" si="23"/>
        <v>9240.1848000000027</v>
      </c>
    </row>
    <row r="206" spans="1:11" x14ac:dyDescent="0.25">
      <c r="A206" t="str">
        <f>Original!A201</f>
        <v>ORD-2023-701153</v>
      </c>
      <c r="B206">
        <f>Original!R201</f>
        <v>1320.33</v>
      </c>
      <c r="C206">
        <f>Original!S201</f>
        <v>2645.23</v>
      </c>
      <c r="D206" s="6">
        <f>Original!T201</f>
        <v>0.155</v>
      </c>
      <c r="E206" s="6">
        <f>Original!V201</f>
        <v>25</v>
      </c>
      <c r="F206" s="6">
        <f t="shared" si="18"/>
        <v>0.155</v>
      </c>
      <c r="G206">
        <f t="shared" si="19"/>
        <v>1386.3464999999999</v>
      </c>
      <c r="H206">
        <f t="shared" si="20"/>
        <v>27.500000000000004</v>
      </c>
      <c r="I206">
        <f t="shared" si="21"/>
        <v>61468.532125000005</v>
      </c>
      <c r="J206">
        <f t="shared" si="22"/>
        <v>23344.003375</v>
      </c>
      <c r="K206">
        <f t="shared" si="23"/>
        <v>38124.528750000005</v>
      </c>
    </row>
    <row r="207" spans="1:11" x14ac:dyDescent="0.25">
      <c r="A207" t="str">
        <f>Original!A202</f>
        <v>ORD-2023-382017</v>
      </c>
      <c r="B207">
        <f>Original!R202</f>
        <v>833.57</v>
      </c>
      <c r="C207">
        <f>Original!S202</f>
        <v>881.57</v>
      </c>
      <c r="D207" s="6">
        <f>Original!T202</f>
        <v>5.7000000000000002E-2</v>
      </c>
      <c r="E207" s="6">
        <f>Original!V202</f>
        <v>18</v>
      </c>
      <c r="F207" s="6">
        <f t="shared" si="18"/>
        <v>5.7000000000000002E-2</v>
      </c>
      <c r="G207">
        <f t="shared" si="19"/>
        <v>875.24850000000004</v>
      </c>
      <c r="H207">
        <f t="shared" si="20"/>
        <v>19.8</v>
      </c>
      <c r="I207">
        <f t="shared" si="21"/>
        <v>16460.146098000001</v>
      </c>
      <c r="J207">
        <f t="shared" si="22"/>
        <v>-869.77420200000051</v>
      </c>
      <c r="K207">
        <f t="shared" si="23"/>
        <v>17329.920300000002</v>
      </c>
    </row>
    <row r="208" spans="1:11" x14ac:dyDescent="0.25">
      <c r="A208" t="str">
        <f>Original!A203</f>
        <v>ORD-2024-999607</v>
      </c>
      <c r="B208">
        <f>Original!R203</f>
        <v>493.76</v>
      </c>
      <c r="C208">
        <f>Original!S203</f>
        <v>625.04</v>
      </c>
      <c r="D208" s="6">
        <f>Original!T203</f>
        <v>0.25800000000000001</v>
      </c>
      <c r="E208" s="6">
        <f>Original!V203</f>
        <v>10</v>
      </c>
      <c r="F208" s="6">
        <f t="shared" si="18"/>
        <v>0.2</v>
      </c>
      <c r="G208">
        <f t="shared" si="19"/>
        <v>518.44799999999998</v>
      </c>
      <c r="H208">
        <f t="shared" si="20"/>
        <v>11</v>
      </c>
      <c r="I208">
        <f t="shared" si="21"/>
        <v>5500.3519999999999</v>
      </c>
      <c r="J208">
        <f t="shared" si="22"/>
        <v>-202.57600000000002</v>
      </c>
      <c r="K208">
        <f t="shared" si="23"/>
        <v>5702.9279999999999</v>
      </c>
    </row>
    <row r="209" spans="1:11" x14ac:dyDescent="0.25">
      <c r="A209" t="str">
        <f>Original!A204</f>
        <v>ORD-2023-133848</v>
      </c>
      <c r="B209">
        <f>Original!R204</f>
        <v>590.33000000000004</v>
      </c>
      <c r="C209">
        <f>Original!S204</f>
        <v>973.04</v>
      </c>
      <c r="D209" s="6">
        <f>Original!T204</f>
        <v>0</v>
      </c>
      <c r="E209" s="6">
        <f>Original!V204</f>
        <v>26</v>
      </c>
      <c r="F209" s="6">
        <f t="shared" si="18"/>
        <v>0</v>
      </c>
      <c r="G209">
        <f t="shared" si="19"/>
        <v>619.84650000000011</v>
      </c>
      <c r="H209">
        <f t="shared" si="20"/>
        <v>28.6</v>
      </c>
      <c r="I209">
        <f t="shared" si="21"/>
        <v>27828.944</v>
      </c>
      <c r="J209">
        <f t="shared" si="22"/>
        <v>10101.334099999996</v>
      </c>
      <c r="K209">
        <f t="shared" si="23"/>
        <v>17727.609900000003</v>
      </c>
    </row>
    <row r="210" spans="1:11" x14ac:dyDescent="0.25">
      <c r="A210" t="str">
        <f>Original!A205</f>
        <v>ORD-2023-586275</v>
      </c>
      <c r="B210">
        <f>Original!R205</f>
        <v>884.36</v>
      </c>
      <c r="C210">
        <f>Original!S205</f>
        <v>1545.34</v>
      </c>
      <c r="D210" s="6">
        <f>Original!T205</f>
        <v>0.24299999999999999</v>
      </c>
      <c r="E210" s="6">
        <f>Original!V205</f>
        <v>41</v>
      </c>
      <c r="F210" s="6">
        <f t="shared" si="18"/>
        <v>0.2</v>
      </c>
      <c r="G210">
        <f t="shared" si="19"/>
        <v>928.57800000000009</v>
      </c>
      <c r="H210">
        <f t="shared" si="20"/>
        <v>45.1</v>
      </c>
      <c r="I210">
        <f t="shared" si="21"/>
        <v>55755.867200000008</v>
      </c>
      <c r="J210">
        <f t="shared" si="22"/>
        <v>13876.999400000001</v>
      </c>
      <c r="K210">
        <f t="shared" si="23"/>
        <v>41878.867800000007</v>
      </c>
    </row>
    <row r="211" spans="1:11" x14ac:dyDescent="0.25">
      <c r="A211" t="str">
        <f>Original!A206</f>
        <v>ORD-2025-964661</v>
      </c>
      <c r="B211">
        <f>Original!R206</f>
        <v>1016.32</v>
      </c>
      <c r="C211">
        <f>Original!S206</f>
        <v>2253.42</v>
      </c>
      <c r="D211" s="6">
        <f>Original!T206</f>
        <v>5.5E-2</v>
      </c>
      <c r="E211" s="6">
        <f>Original!V206</f>
        <v>12</v>
      </c>
      <c r="F211" s="6">
        <f t="shared" si="18"/>
        <v>5.5E-2</v>
      </c>
      <c r="G211">
        <f t="shared" si="19"/>
        <v>1067.1360000000002</v>
      </c>
      <c r="H211">
        <f t="shared" si="20"/>
        <v>13.200000000000001</v>
      </c>
      <c r="I211">
        <f t="shared" si="21"/>
        <v>28109.161080000002</v>
      </c>
      <c r="J211">
        <f t="shared" si="22"/>
        <v>14022.965879999998</v>
      </c>
      <c r="K211">
        <f t="shared" si="23"/>
        <v>14086.195200000004</v>
      </c>
    </row>
    <row r="212" spans="1:11" x14ac:dyDescent="0.25">
      <c r="A212" t="str">
        <f>Original!A207</f>
        <v>ORD-2023-390998</v>
      </c>
      <c r="B212">
        <f>Original!R207</f>
        <v>1178.42</v>
      </c>
      <c r="C212">
        <f>Original!S207</f>
        <v>2446.56</v>
      </c>
      <c r="D212" s="6">
        <f>Original!T207</f>
        <v>2.9000000000000001E-2</v>
      </c>
      <c r="E212" s="6">
        <f>Original!V207</f>
        <v>11</v>
      </c>
      <c r="F212" s="6">
        <f t="shared" si="18"/>
        <v>2.9000000000000001E-2</v>
      </c>
      <c r="G212">
        <f t="shared" si="19"/>
        <v>1237.3410000000001</v>
      </c>
      <c r="H212">
        <f t="shared" si="20"/>
        <v>12.100000000000001</v>
      </c>
      <c r="I212">
        <f t="shared" si="21"/>
        <v>28744.878096000004</v>
      </c>
      <c r="J212">
        <f t="shared" si="22"/>
        <v>13773.051996</v>
      </c>
      <c r="K212">
        <f t="shared" si="23"/>
        <v>14971.826100000004</v>
      </c>
    </row>
    <row r="213" spans="1:11" x14ac:dyDescent="0.25">
      <c r="A213" t="str">
        <f>Original!A208</f>
        <v>ORD-2023-920483</v>
      </c>
      <c r="B213">
        <f>Original!R208</f>
        <v>137.46</v>
      </c>
      <c r="C213">
        <f>Original!S208</f>
        <v>188.3</v>
      </c>
      <c r="D213" s="6">
        <f>Original!T208</f>
        <v>3.7999999999999999E-2</v>
      </c>
      <c r="E213" s="6">
        <f>Original!V208</f>
        <v>37</v>
      </c>
      <c r="F213" s="6">
        <f t="shared" si="18"/>
        <v>3.7999999999999999E-2</v>
      </c>
      <c r="G213">
        <f t="shared" si="19"/>
        <v>144.33300000000003</v>
      </c>
      <c r="H213">
        <f t="shared" si="20"/>
        <v>40.700000000000003</v>
      </c>
      <c r="I213">
        <f t="shared" si="21"/>
        <v>7372.5852200000008</v>
      </c>
      <c r="J213">
        <f t="shared" si="22"/>
        <v>1498.2321199999997</v>
      </c>
      <c r="K213">
        <f t="shared" si="23"/>
        <v>5874.3531000000012</v>
      </c>
    </row>
    <row r="214" spans="1:11" x14ac:dyDescent="0.25">
      <c r="A214" t="str">
        <f>Original!A209</f>
        <v>ORD-2025-146850</v>
      </c>
      <c r="B214">
        <f>Original!R209</f>
        <v>1030.44</v>
      </c>
      <c r="C214">
        <f>Original!S209</f>
        <v>2562.84</v>
      </c>
      <c r="D214" s="6">
        <f>Original!T209</f>
        <v>0.14799999999999999</v>
      </c>
      <c r="E214" s="6">
        <f>Original!V209</f>
        <v>13</v>
      </c>
      <c r="F214" s="6">
        <f t="shared" si="18"/>
        <v>0.14799999999999999</v>
      </c>
      <c r="G214">
        <f t="shared" si="19"/>
        <v>1081.9620000000002</v>
      </c>
      <c r="H214">
        <f t="shared" si="20"/>
        <v>14.3</v>
      </c>
      <c r="I214">
        <f t="shared" si="21"/>
        <v>31224.617424</v>
      </c>
      <c r="J214">
        <f t="shared" si="22"/>
        <v>15752.560823999997</v>
      </c>
      <c r="K214">
        <f t="shared" si="23"/>
        <v>15472.056600000004</v>
      </c>
    </row>
    <row r="215" spans="1:11" x14ac:dyDescent="0.25">
      <c r="A215" t="str">
        <f>Original!A210</f>
        <v>ORD-2024-687100</v>
      </c>
      <c r="B215">
        <f>Original!R210</f>
        <v>1248.3900000000001</v>
      </c>
      <c r="C215">
        <f>Original!S210</f>
        <v>1805.11</v>
      </c>
      <c r="D215" s="6">
        <f>Original!T210</f>
        <v>0.20300000000000001</v>
      </c>
      <c r="E215" s="6">
        <f>Original!V210</f>
        <v>11</v>
      </c>
      <c r="F215" s="6">
        <f t="shared" si="18"/>
        <v>0.2</v>
      </c>
      <c r="G215">
        <f t="shared" si="19"/>
        <v>1310.8095000000001</v>
      </c>
      <c r="H215">
        <f t="shared" si="20"/>
        <v>12.100000000000001</v>
      </c>
      <c r="I215">
        <f t="shared" si="21"/>
        <v>17473.464800000002</v>
      </c>
      <c r="J215">
        <f t="shared" si="22"/>
        <v>1612.6698499999984</v>
      </c>
      <c r="K215">
        <f t="shared" si="23"/>
        <v>15860.794950000003</v>
      </c>
    </row>
    <row r="216" spans="1:11" x14ac:dyDescent="0.25">
      <c r="A216" t="str">
        <f>Original!A211</f>
        <v>ORD-2025-629393</v>
      </c>
      <c r="B216">
        <f>Original!R211</f>
        <v>1204.95</v>
      </c>
      <c r="C216">
        <f>Original!S211</f>
        <v>2065.73</v>
      </c>
      <c r="D216" s="6">
        <f>Original!T211</f>
        <v>0.13600000000000001</v>
      </c>
      <c r="E216" s="6">
        <f>Original!V211</f>
        <v>10</v>
      </c>
      <c r="F216" s="6">
        <f t="shared" si="18"/>
        <v>0.13600000000000001</v>
      </c>
      <c r="G216">
        <f t="shared" si="19"/>
        <v>1265.1975</v>
      </c>
      <c r="H216">
        <f t="shared" si="20"/>
        <v>11</v>
      </c>
      <c r="I216">
        <f t="shared" si="21"/>
        <v>19632.697919999999</v>
      </c>
      <c r="J216">
        <f t="shared" si="22"/>
        <v>5715.5254199999981</v>
      </c>
      <c r="K216">
        <f t="shared" si="23"/>
        <v>13917.172500000001</v>
      </c>
    </row>
    <row r="217" spans="1:11" x14ac:dyDescent="0.25">
      <c r="A217" t="str">
        <f>Original!A212</f>
        <v>ORD-2024-686712</v>
      </c>
      <c r="B217">
        <f>Original!R212</f>
        <v>1095.6099999999999</v>
      </c>
      <c r="C217">
        <f>Original!S212</f>
        <v>2366.5100000000002</v>
      </c>
      <c r="D217" s="6">
        <f>Original!T212</f>
        <v>0.152</v>
      </c>
      <c r="E217" s="6">
        <f>Original!V212</f>
        <v>9</v>
      </c>
      <c r="F217" s="6">
        <f t="shared" si="18"/>
        <v>0.152</v>
      </c>
      <c r="G217">
        <f t="shared" si="19"/>
        <v>1150.3905</v>
      </c>
      <c r="H217">
        <f t="shared" si="20"/>
        <v>9.9</v>
      </c>
      <c r="I217">
        <f t="shared" si="21"/>
        <v>19867.324752000004</v>
      </c>
      <c r="J217">
        <f t="shared" si="22"/>
        <v>8478.4588020000047</v>
      </c>
      <c r="K217">
        <f t="shared" si="23"/>
        <v>11388.865949999999</v>
      </c>
    </row>
    <row r="218" spans="1:11" x14ac:dyDescent="0.25">
      <c r="A218" t="str">
        <f>Original!A213</f>
        <v>ORD-2025-586799</v>
      </c>
      <c r="B218">
        <f>Original!R213</f>
        <v>90.3</v>
      </c>
      <c r="C218">
        <f>Original!S213</f>
        <v>131.76</v>
      </c>
      <c r="D218" s="6">
        <f>Original!T213</f>
        <v>0.10199999999999999</v>
      </c>
      <c r="E218" s="6">
        <f>Original!V213</f>
        <v>15</v>
      </c>
      <c r="F218" s="6">
        <f t="shared" si="18"/>
        <v>0.10199999999999999</v>
      </c>
      <c r="G218">
        <f t="shared" si="19"/>
        <v>94.814999999999998</v>
      </c>
      <c r="H218">
        <f t="shared" si="20"/>
        <v>16.5</v>
      </c>
      <c r="I218">
        <f t="shared" si="21"/>
        <v>1952.28792</v>
      </c>
      <c r="J218">
        <f t="shared" si="22"/>
        <v>387.84041999999999</v>
      </c>
      <c r="K218">
        <f t="shared" si="23"/>
        <v>1564.4475</v>
      </c>
    </row>
    <row r="219" spans="1:11" x14ac:dyDescent="0.25">
      <c r="A219" t="str">
        <f>Original!A214</f>
        <v>ORD-2024-988736</v>
      </c>
      <c r="B219">
        <f>Original!R214</f>
        <v>1166.18</v>
      </c>
      <c r="C219">
        <f>Original!S214</f>
        <v>1335.02</v>
      </c>
      <c r="D219" s="6">
        <f>Original!T214</f>
        <v>0.128</v>
      </c>
      <c r="E219" s="6">
        <f>Original!V214</f>
        <v>6</v>
      </c>
      <c r="F219" s="6">
        <f t="shared" si="18"/>
        <v>0.128</v>
      </c>
      <c r="G219">
        <f t="shared" si="19"/>
        <v>1224.489</v>
      </c>
      <c r="H219">
        <f t="shared" si="20"/>
        <v>6.6000000000000005</v>
      </c>
      <c r="I219">
        <f t="shared" si="21"/>
        <v>7683.3071040000013</v>
      </c>
      <c r="J219">
        <f t="shared" si="22"/>
        <v>-398.32029599999987</v>
      </c>
      <c r="K219">
        <f t="shared" si="23"/>
        <v>8081.6274000000012</v>
      </c>
    </row>
    <row r="220" spans="1:11" x14ac:dyDescent="0.25">
      <c r="A220" t="str">
        <f>Original!A215</f>
        <v>ORD-2025-564184</v>
      </c>
      <c r="B220">
        <f>Original!R215</f>
        <v>1445.27</v>
      </c>
      <c r="C220">
        <f>Original!S215</f>
        <v>2691.45</v>
      </c>
      <c r="D220" s="6">
        <f>Original!T215</f>
        <v>0</v>
      </c>
      <c r="E220" s="6">
        <f>Original!V215</f>
        <v>9</v>
      </c>
      <c r="F220" s="6">
        <f t="shared" si="18"/>
        <v>0</v>
      </c>
      <c r="G220">
        <f t="shared" si="19"/>
        <v>1517.5335</v>
      </c>
      <c r="H220">
        <f t="shared" si="20"/>
        <v>9.9</v>
      </c>
      <c r="I220">
        <f t="shared" si="21"/>
        <v>26645.355</v>
      </c>
      <c r="J220">
        <f t="shared" si="22"/>
        <v>11621.773349999999</v>
      </c>
      <c r="K220">
        <f t="shared" si="23"/>
        <v>15023.58165</v>
      </c>
    </row>
    <row r="221" spans="1:11" x14ac:dyDescent="0.25">
      <c r="A221" t="str">
        <f>Original!A216</f>
        <v>ORD-2023-653343</v>
      </c>
      <c r="B221">
        <f>Original!R216</f>
        <v>388.51</v>
      </c>
      <c r="C221">
        <f>Original!S216</f>
        <v>776.46</v>
      </c>
      <c r="D221" s="6">
        <f>Original!T216</f>
        <v>0.157</v>
      </c>
      <c r="E221" s="6">
        <f>Original!V216</f>
        <v>12</v>
      </c>
      <c r="F221" s="6">
        <f t="shared" si="18"/>
        <v>0.157</v>
      </c>
      <c r="G221">
        <f t="shared" si="19"/>
        <v>407.93549999999999</v>
      </c>
      <c r="H221">
        <f t="shared" si="20"/>
        <v>13.200000000000001</v>
      </c>
      <c r="I221">
        <f t="shared" si="21"/>
        <v>8640.1362960000006</v>
      </c>
      <c r="J221">
        <f t="shared" si="22"/>
        <v>3255.3876960000007</v>
      </c>
      <c r="K221">
        <f t="shared" si="23"/>
        <v>5384.7485999999999</v>
      </c>
    </row>
    <row r="222" spans="1:11" x14ac:dyDescent="0.25">
      <c r="A222" t="str">
        <f>Original!A217</f>
        <v>ORD-2024-197852</v>
      </c>
      <c r="B222">
        <f>Original!R217</f>
        <v>231.11</v>
      </c>
      <c r="C222">
        <f>Original!S217</f>
        <v>318.17</v>
      </c>
      <c r="D222" s="6">
        <f>Original!T217</f>
        <v>0.20100000000000001</v>
      </c>
      <c r="E222" s="6">
        <f>Original!V217</f>
        <v>60</v>
      </c>
      <c r="F222" s="6">
        <f t="shared" si="18"/>
        <v>0.2</v>
      </c>
      <c r="G222">
        <f t="shared" si="19"/>
        <v>242.66550000000004</v>
      </c>
      <c r="H222">
        <f t="shared" si="20"/>
        <v>66</v>
      </c>
      <c r="I222">
        <f t="shared" si="21"/>
        <v>16799.376</v>
      </c>
      <c r="J222">
        <f t="shared" si="22"/>
        <v>783.4529999999977</v>
      </c>
      <c r="K222">
        <f t="shared" si="23"/>
        <v>16015.923000000003</v>
      </c>
    </row>
    <row r="223" spans="1:11" x14ac:dyDescent="0.25">
      <c r="A223" t="str">
        <f>Original!A218</f>
        <v>ORD-2023-431328</v>
      </c>
      <c r="B223">
        <f>Original!R218</f>
        <v>1085.6099999999999</v>
      </c>
      <c r="C223">
        <f>Original!S218</f>
        <v>1246.4100000000001</v>
      </c>
      <c r="D223" s="6">
        <f>Original!T218</f>
        <v>0.113</v>
      </c>
      <c r="E223" s="6">
        <f>Original!V218</f>
        <v>7</v>
      </c>
      <c r="F223" s="6">
        <f t="shared" si="18"/>
        <v>0.113</v>
      </c>
      <c r="G223">
        <f t="shared" si="19"/>
        <v>1139.8905</v>
      </c>
      <c r="H223">
        <f t="shared" si="20"/>
        <v>7.7000000000000011</v>
      </c>
      <c r="I223">
        <f t="shared" si="21"/>
        <v>8512.8556590000026</v>
      </c>
      <c r="J223">
        <f t="shared" si="22"/>
        <v>-264.30119099999865</v>
      </c>
      <c r="K223">
        <f t="shared" si="23"/>
        <v>8777.1568500000012</v>
      </c>
    </row>
    <row r="224" spans="1:11" x14ac:dyDescent="0.25">
      <c r="A224" t="str">
        <f>Original!A219</f>
        <v>ORD-2023-613317</v>
      </c>
      <c r="B224">
        <f>Original!R219</f>
        <v>150.86000000000001</v>
      </c>
      <c r="C224">
        <f>Original!S219</f>
        <v>346.96</v>
      </c>
      <c r="D224" s="6">
        <f>Original!T219</f>
        <v>0.19600000000000001</v>
      </c>
      <c r="E224" s="6">
        <f>Original!V219</f>
        <v>8</v>
      </c>
      <c r="F224" s="6">
        <f t="shared" si="18"/>
        <v>0.19600000000000001</v>
      </c>
      <c r="G224">
        <f t="shared" si="19"/>
        <v>158.40300000000002</v>
      </c>
      <c r="H224">
        <f t="shared" si="20"/>
        <v>8.8000000000000007</v>
      </c>
      <c r="I224">
        <f t="shared" si="21"/>
        <v>2454.8113920000001</v>
      </c>
      <c r="J224">
        <f t="shared" si="22"/>
        <v>1060.8649919999998</v>
      </c>
      <c r="K224">
        <f t="shared" si="23"/>
        <v>1393.9464000000003</v>
      </c>
    </row>
    <row r="225" spans="1:11" x14ac:dyDescent="0.25">
      <c r="A225" t="str">
        <f>Original!A220</f>
        <v>ORD-2024-720756</v>
      </c>
      <c r="B225">
        <f>Original!R220</f>
        <v>391.64</v>
      </c>
      <c r="C225">
        <f>Original!S220</f>
        <v>504.76</v>
      </c>
      <c r="D225" s="6">
        <f>Original!T220</f>
        <v>4.0000000000000001E-3</v>
      </c>
      <c r="E225" s="6">
        <f>Original!V220</f>
        <v>13</v>
      </c>
      <c r="F225" s="6">
        <f t="shared" si="18"/>
        <v>4.0000000000000001E-3</v>
      </c>
      <c r="G225">
        <f t="shared" si="19"/>
        <v>411.22199999999998</v>
      </c>
      <c r="H225">
        <f t="shared" si="20"/>
        <v>14.3</v>
      </c>
      <c r="I225">
        <f t="shared" si="21"/>
        <v>7189.1957280000006</v>
      </c>
      <c r="J225">
        <f t="shared" si="22"/>
        <v>1308.721128000001</v>
      </c>
      <c r="K225">
        <f t="shared" si="23"/>
        <v>5880.4745999999996</v>
      </c>
    </row>
    <row r="226" spans="1:11" x14ac:dyDescent="0.25">
      <c r="A226" t="str">
        <f>Original!A221</f>
        <v>ORD-2024-777623</v>
      </c>
      <c r="B226">
        <f>Original!R221</f>
        <v>386.96</v>
      </c>
      <c r="C226">
        <f>Original!S221</f>
        <v>937.46</v>
      </c>
      <c r="D226" s="6">
        <f>Original!T221</f>
        <v>0.26600000000000001</v>
      </c>
      <c r="E226" s="6">
        <f>Original!V221</f>
        <v>41</v>
      </c>
      <c r="F226" s="6">
        <f t="shared" si="18"/>
        <v>0.2</v>
      </c>
      <c r="G226">
        <f t="shared" si="19"/>
        <v>406.30799999999999</v>
      </c>
      <c r="H226">
        <f t="shared" si="20"/>
        <v>45.1</v>
      </c>
      <c r="I226">
        <f t="shared" si="21"/>
        <v>33823.556800000006</v>
      </c>
      <c r="J226">
        <f t="shared" si="22"/>
        <v>15499.066000000006</v>
      </c>
      <c r="K226">
        <f t="shared" si="23"/>
        <v>18324.4908</v>
      </c>
    </row>
    <row r="227" spans="1:11" x14ac:dyDescent="0.25">
      <c r="A227" t="str">
        <f>Original!A222</f>
        <v>ORD-2025-762212</v>
      </c>
      <c r="B227">
        <f>Original!R222</f>
        <v>589.14</v>
      </c>
      <c r="C227">
        <f>Original!S222</f>
        <v>1300.58</v>
      </c>
      <c r="D227" s="6">
        <f>Original!T222</f>
        <v>5.5E-2</v>
      </c>
      <c r="E227" s="6">
        <f>Original!V222</f>
        <v>11</v>
      </c>
      <c r="F227" s="6">
        <f t="shared" si="18"/>
        <v>5.5E-2</v>
      </c>
      <c r="G227">
        <f t="shared" si="19"/>
        <v>618.59699999999998</v>
      </c>
      <c r="H227">
        <f t="shared" si="20"/>
        <v>12.100000000000001</v>
      </c>
      <c r="I227">
        <f t="shared" si="21"/>
        <v>14871.482010000002</v>
      </c>
      <c r="J227">
        <f t="shared" si="22"/>
        <v>7386.4583100000009</v>
      </c>
      <c r="K227">
        <f t="shared" si="23"/>
        <v>7485.0237000000006</v>
      </c>
    </row>
    <row r="228" spans="1:11" x14ac:dyDescent="0.25">
      <c r="A228" t="str">
        <f>Original!A223</f>
        <v>ORD-2023-271918</v>
      </c>
      <c r="B228">
        <f>Original!R223</f>
        <v>145.58000000000001</v>
      </c>
      <c r="C228">
        <f>Original!S223</f>
        <v>228.15</v>
      </c>
      <c r="D228" s="6">
        <f>Original!T223</f>
        <v>0.20399999999999999</v>
      </c>
      <c r="E228" s="6">
        <f>Original!V223</f>
        <v>5</v>
      </c>
      <c r="F228" s="6">
        <f t="shared" si="18"/>
        <v>0.2</v>
      </c>
      <c r="G228">
        <f t="shared" si="19"/>
        <v>152.85900000000001</v>
      </c>
      <c r="H228">
        <f t="shared" si="20"/>
        <v>5.5</v>
      </c>
      <c r="I228">
        <f t="shared" si="21"/>
        <v>1003.8600000000001</v>
      </c>
      <c r="J228">
        <f t="shared" si="22"/>
        <v>163.13550000000009</v>
      </c>
      <c r="K228">
        <f t="shared" si="23"/>
        <v>840.72450000000003</v>
      </c>
    </row>
    <row r="229" spans="1:11" x14ac:dyDescent="0.25">
      <c r="A229" t="str">
        <f>Original!A224</f>
        <v>ORD-2023-713375</v>
      </c>
      <c r="B229">
        <f>Original!R224</f>
        <v>241.14</v>
      </c>
      <c r="C229">
        <f>Original!S224</f>
        <v>496.52</v>
      </c>
      <c r="D229" s="6">
        <f>Original!T224</f>
        <v>9.2999999999999999E-2</v>
      </c>
      <c r="E229" s="6">
        <f>Original!V224</f>
        <v>10</v>
      </c>
      <c r="F229" s="6">
        <f t="shared" si="18"/>
        <v>9.2999999999999999E-2</v>
      </c>
      <c r="G229">
        <f t="shared" si="19"/>
        <v>253.197</v>
      </c>
      <c r="H229">
        <f t="shared" si="20"/>
        <v>11</v>
      </c>
      <c r="I229">
        <f t="shared" si="21"/>
        <v>4953.7800399999996</v>
      </c>
      <c r="J229">
        <f t="shared" si="22"/>
        <v>2168.6130399999997</v>
      </c>
      <c r="K229">
        <f t="shared" si="23"/>
        <v>2785.1669999999999</v>
      </c>
    </row>
    <row r="230" spans="1:11" x14ac:dyDescent="0.25">
      <c r="A230" t="str">
        <f>Original!A225</f>
        <v>ORD-2025-678688</v>
      </c>
      <c r="B230">
        <f>Original!R225</f>
        <v>1198.9000000000001</v>
      </c>
      <c r="C230">
        <f>Original!S225</f>
        <v>2941.2</v>
      </c>
      <c r="D230" s="6">
        <f>Original!T225</f>
        <v>5.0999999999999997E-2</v>
      </c>
      <c r="E230" s="6">
        <f>Original!V225</f>
        <v>24</v>
      </c>
      <c r="F230" s="6">
        <f t="shared" si="18"/>
        <v>5.0999999999999997E-2</v>
      </c>
      <c r="G230">
        <f t="shared" si="19"/>
        <v>1258.8450000000003</v>
      </c>
      <c r="H230">
        <f t="shared" si="20"/>
        <v>26.400000000000002</v>
      </c>
      <c r="I230">
        <f t="shared" si="21"/>
        <v>73687.648320000008</v>
      </c>
      <c r="J230">
        <f t="shared" si="22"/>
        <v>40454.140319999999</v>
      </c>
      <c r="K230">
        <f t="shared" si="23"/>
        <v>33233.508000000009</v>
      </c>
    </row>
    <row r="231" spans="1:11" x14ac:dyDescent="0.25">
      <c r="A231" t="str">
        <f>Original!A226</f>
        <v>ORD-2023-501220</v>
      </c>
      <c r="B231">
        <f>Original!R226</f>
        <v>1089.1500000000001</v>
      </c>
      <c r="C231">
        <f>Original!S226</f>
        <v>1088.2</v>
      </c>
      <c r="D231" s="6">
        <f>Original!T226</f>
        <v>5.0999999999999997E-2</v>
      </c>
      <c r="E231" s="6">
        <f>Original!V226</f>
        <v>15</v>
      </c>
      <c r="F231" s="6">
        <f t="shared" si="18"/>
        <v>5.0999999999999997E-2</v>
      </c>
      <c r="G231">
        <f t="shared" si="19"/>
        <v>1143.6075000000001</v>
      </c>
      <c r="H231">
        <f t="shared" si="20"/>
        <v>16.5</v>
      </c>
      <c r="I231">
        <f t="shared" si="21"/>
        <v>17039.579699999998</v>
      </c>
      <c r="J231">
        <f t="shared" si="22"/>
        <v>-1829.9440500000019</v>
      </c>
      <c r="K231">
        <f t="shared" si="23"/>
        <v>18869.52375</v>
      </c>
    </row>
    <row r="232" spans="1:11" x14ac:dyDescent="0.25">
      <c r="A232" t="str">
        <f>Original!A227</f>
        <v>ORD-2023-195665</v>
      </c>
      <c r="B232">
        <f>Original!R227</f>
        <v>1080.43</v>
      </c>
      <c r="C232">
        <f>Original!S227</f>
        <v>2529.15</v>
      </c>
      <c r="D232" s="6">
        <f>Original!T227</f>
        <v>0.14699999999999999</v>
      </c>
      <c r="E232" s="6">
        <f>Original!V227</f>
        <v>10</v>
      </c>
      <c r="F232" s="6">
        <f t="shared" si="18"/>
        <v>0.14699999999999999</v>
      </c>
      <c r="G232">
        <f t="shared" si="19"/>
        <v>1134.4515000000001</v>
      </c>
      <c r="H232">
        <f t="shared" si="20"/>
        <v>11</v>
      </c>
      <c r="I232">
        <f t="shared" si="21"/>
        <v>23731.014450000002</v>
      </c>
      <c r="J232">
        <f t="shared" si="22"/>
        <v>11252.04795</v>
      </c>
      <c r="K232">
        <f t="shared" si="23"/>
        <v>12478.966500000002</v>
      </c>
    </row>
    <row r="233" spans="1:11" x14ac:dyDescent="0.25">
      <c r="A233" t="str">
        <f>Original!A228</f>
        <v>ORD-2023-290237</v>
      </c>
      <c r="B233">
        <f>Original!R228</f>
        <v>1352.44</v>
      </c>
      <c r="C233">
        <f>Original!S228</f>
        <v>2698.01</v>
      </c>
      <c r="D233" s="6">
        <f>Original!T228</f>
        <v>0.13100000000000001</v>
      </c>
      <c r="E233" s="6">
        <f>Original!V228</f>
        <v>13</v>
      </c>
      <c r="F233" s="6">
        <f t="shared" si="18"/>
        <v>0.13100000000000001</v>
      </c>
      <c r="G233">
        <f t="shared" si="19"/>
        <v>1420.0620000000001</v>
      </c>
      <c r="H233">
        <f t="shared" si="20"/>
        <v>14.3</v>
      </c>
      <c r="I233">
        <f t="shared" si="21"/>
        <v>33527.360867000003</v>
      </c>
      <c r="J233">
        <f t="shared" si="22"/>
        <v>13220.474267000001</v>
      </c>
      <c r="K233">
        <f t="shared" si="23"/>
        <v>20306.886600000002</v>
      </c>
    </row>
    <row r="234" spans="1:11" x14ac:dyDescent="0.25">
      <c r="A234" t="str">
        <f>Original!A229</f>
        <v>ORD-2023-302041</v>
      </c>
      <c r="B234">
        <f>Original!R229</f>
        <v>1239.8399999999999</v>
      </c>
      <c r="C234">
        <f>Original!S229</f>
        <v>1482.75</v>
      </c>
      <c r="D234" s="6">
        <f>Original!T229</f>
        <v>6.7000000000000004E-2</v>
      </c>
      <c r="E234" s="6">
        <f>Original!V229</f>
        <v>4</v>
      </c>
      <c r="F234" s="6">
        <f t="shared" si="18"/>
        <v>6.7000000000000004E-2</v>
      </c>
      <c r="G234">
        <f t="shared" si="19"/>
        <v>1301.8319999999999</v>
      </c>
      <c r="H234">
        <f t="shared" si="20"/>
        <v>4.4000000000000004</v>
      </c>
      <c r="I234">
        <f t="shared" si="21"/>
        <v>6086.9853000000003</v>
      </c>
      <c r="J234">
        <f t="shared" si="22"/>
        <v>358.92450000000008</v>
      </c>
      <c r="K234">
        <f t="shared" si="23"/>
        <v>5728.0608000000002</v>
      </c>
    </row>
    <row r="235" spans="1:11" x14ac:dyDescent="0.25">
      <c r="A235" t="str">
        <f>Original!A230</f>
        <v>ORD-2025-289139</v>
      </c>
      <c r="B235">
        <f>Original!R230</f>
        <v>933.29</v>
      </c>
      <c r="C235">
        <f>Original!S230</f>
        <v>1456.81</v>
      </c>
      <c r="D235" s="6">
        <f>Original!T230</f>
        <v>0.123</v>
      </c>
      <c r="E235" s="6">
        <f>Original!V230</f>
        <v>13</v>
      </c>
      <c r="F235" s="6">
        <f t="shared" si="18"/>
        <v>0.123</v>
      </c>
      <c r="G235">
        <f t="shared" si="19"/>
        <v>979.95450000000005</v>
      </c>
      <c r="H235">
        <f t="shared" si="20"/>
        <v>14.3</v>
      </c>
      <c r="I235">
        <f t="shared" si="21"/>
        <v>18269.999891000003</v>
      </c>
      <c r="J235">
        <f t="shared" si="22"/>
        <v>4256.6505410000009</v>
      </c>
      <c r="K235">
        <f t="shared" si="23"/>
        <v>14013.349350000002</v>
      </c>
    </row>
    <row r="236" spans="1:11" x14ac:dyDescent="0.25">
      <c r="A236" t="str">
        <f>Original!A231</f>
        <v>ORD-2023-949710</v>
      </c>
      <c r="B236">
        <f>Original!R231</f>
        <v>1024.0999999999999</v>
      </c>
      <c r="C236">
        <f>Original!S231</f>
        <v>918.19</v>
      </c>
      <c r="D236" s="6">
        <f>Original!T231</f>
        <v>0.189</v>
      </c>
      <c r="E236" s="6">
        <f>Original!V231</f>
        <v>10</v>
      </c>
      <c r="F236" s="6">
        <f t="shared" si="18"/>
        <v>0.189</v>
      </c>
      <c r="G236">
        <f t="shared" si="19"/>
        <v>1075.3049999999998</v>
      </c>
      <c r="H236">
        <f t="shared" si="20"/>
        <v>11</v>
      </c>
      <c r="I236">
        <f t="shared" si="21"/>
        <v>8191.1729899999991</v>
      </c>
      <c r="J236">
        <f t="shared" si="22"/>
        <v>-3637.1820099999986</v>
      </c>
      <c r="K236">
        <f t="shared" si="23"/>
        <v>11828.354999999998</v>
      </c>
    </row>
    <row r="237" spans="1:11" x14ac:dyDescent="0.25">
      <c r="A237" t="str">
        <f>Original!A232</f>
        <v>ORD-2023-603650</v>
      </c>
      <c r="B237">
        <f>Original!R232</f>
        <v>54.62</v>
      </c>
      <c r="C237">
        <f>Original!S232</f>
        <v>48.94</v>
      </c>
      <c r="D237" s="6">
        <f>Original!T232</f>
        <v>0.14799999999999999</v>
      </c>
      <c r="E237" s="6">
        <f>Original!V232</f>
        <v>16</v>
      </c>
      <c r="F237" s="6">
        <f t="shared" si="18"/>
        <v>0.14799999999999999</v>
      </c>
      <c r="G237">
        <f t="shared" si="19"/>
        <v>57.350999999999999</v>
      </c>
      <c r="H237">
        <f t="shared" si="20"/>
        <v>17.600000000000001</v>
      </c>
      <c r="I237">
        <f t="shared" si="21"/>
        <v>733.86508800000001</v>
      </c>
      <c r="J237">
        <f t="shared" si="22"/>
        <v>-275.51251200000002</v>
      </c>
      <c r="K237">
        <f t="shared" si="23"/>
        <v>1009.3776</v>
      </c>
    </row>
    <row r="238" spans="1:11" x14ac:dyDescent="0.25">
      <c r="A238" t="str">
        <f>Original!A233</f>
        <v>ORD-2025-757957</v>
      </c>
      <c r="B238">
        <f>Original!R233</f>
        <v>394.13</v>
      </c>
      <c r="C238">
        <f>Original!S233</f>
        <v>932.29</v>
      </c>
      <c r="D238" s="6">
        <f>Original!T233</f>
        <v>0.109</v>
      </c>
      <c r="E238" s="6">
        <f>Original!V233</f>
        <v>7</v>
      </c>
      <c r="F238" s="6">
        <f t="shared" si="18"/>
        <v>0.109</v>
      </c>
      <c r="G238">
        <f t="shared" si="19"/>
        <v>413.8365</v>
      </c>
      <c r="H238">
        <f t="shared" si="20"/>
        <v>7.7000000000000011</v>
      </c>
      <c r="I238">
        <f t="shared" si="21"/>
        <v>6396.1620030000004</v>
      </c>
      <c r="J238">
        <f t="shared" si="22"/>
        <v>3209.6209530000001</v>
      </c>
      <c r="K238">
        <f t="shared" si="23"/>
        <v>3186.5410500000003</v>
      </c>
    </row>
    <row r="239" spans="1:11" x14ac:dyDescent="0.25">
      <c r="A239" t="str">
        <f>Original!A234</f>
        <v>ORD-2024-423853</v>
      </c>
      <c r="B239">
        <f>Original!R234</f>
        <v>197.63</v>
      </c>
      <c r="C239">
        <f>Original!S234</f>
        <v>325.79000000000002</v>
      </c>
      <c r="D239" s="6">
        <f>Original!T234</f>
        <v>0.11600000000000001</v>
      </c>
      <c r="E239" s="6">
        <f>Original!V234</f>
        <v>10</v>
      </c>
      <c r="F239" s="6">
        <f t="shared" si="18"/>
        <v>0.11600000000000001</v>
      </c>
      <c r="G239">
        <f t="shared" si="19"/>
        <v>207.51150000000001</v>
      </c>
      <c r="H239">
        <f t="shared" si="20"/>
        <v>11</v>
      </c>
      <c r="I239">
        <f t="shared" si="21"/>
        <v>3167.9819600000001</v>
      </c>
      <c r="J239">
        <f t="shared" si="22"/>
        <v>885.35545999999977</v>
      </c>
      <c r="K239">
        <f t="shared" si="23"/>
        <v>2282.6265000000003</v>
      </c>
    </row>
    <row r="240" spans="1:11" x14ac:dyDescent="0.25">
      <c r="A240" t="str">
        <f>Original!A235</f>
        <v>ORD-2024-569164</v>
      </c>
      <c r="B240">
        <f>Original!R235</f>
        <v>195.54</v>
      </c>
      <c r="C240">
        <f>Original!S235</f>
        <v>405.97</v>
      </c>
      <c r="D240" s="6">
        <f>Original!T235</f>
        <v>0.187</v>
      </c>
      <c r="E240" s="6">
        <f>Original!V235</f>
        <v>16</v>
      </c>
      <c r="F240" s="6">
        <f t="shared" si="18"/>
        <v>0.187</v>
      </c>
      <c r="G240">
        <f t="shared" si="19"/>
        <v>205.31700000000001</v>
      </c>
      <c r="H240">
        <f t="shared" si="20"/>
        <v>17.600000000000001</v>
      </c>
      <c r="I240">
        <f t="shared" si="21"/>
        <v>5808.9435360000007</v>
      </c>
      <c r="J240">
        <f t="shared" si="22"/>
        <v>2195.3643360000001</v>
      </c>
      <c r="K240">
        <f t="shared" si="23"/>
        <v>3613.5792000000006</v>
      </c>
    </row>
    <row r="241" spans="1:11" x14ac:dyDescent="0.25">
      <c r="A241" t="str">
        <f>Original!A236</f>
        <v>ORD-2023-946143</v>
      </c>
      <c r="B241">
        <f>Original!R236</f>
        <v>1309.77</v>
      </c>
      <c r="C241">
        <f>Original!S236</f>
        <v>1589.07</v>
      </c>
      <c r="D241" s="6">
        <f>Original!T236</f>
        <v>0.10199999999999999</v>
      </c>
      <c r="E241" s="6">
        <f>Original!V236</f>
        <v>10</v>
      </c>
      <c r="F241" s="6">
        <f t="shared" si="18"/>
        <v>0.10199999999999999</v>
      </c>
      <c r="G241">
        <f t="shared" si="19"/>
        <v>1375.2585000000001</v>
      </c>
      <c r="H241">
        <f t="shared" si="20"/>
        <v>11</v>
      </c>
      <c r="I241">
        <f t="shared" si="21"/>
        <v>15696.833460000002</v>
      </c>
      <c r="J241">
        <f t="shared" si="22"/>
        <v>568.98996000000079</v>
      </c>
      <c r="K241">
        <f t="shared" si="23"/>
        <v>15127.843500000001</v>
      </c>
    </row>
    <row r="242" spans="1:11" x14ac:dyDescent="0.25">
      <c r="A242" t="str">
        <f>Original!A237</f>
        <v>ORD-2024-281211</v>
      </c>
      <c r="B242">
        <f>Original!R237</f>
        <v>1237.68</v>
      </c>
      <c r="C242">
        <f>Original!S237</f>
        <v>1432.8</v>
      </c>
      <c r="D242" s="6">
        <f>Original!T237</f>
        <v>6.8000000000000005E-2</v>
      </c>
      <c r="E242" s="6">
        <f>Original!V237</f>
        <v>13</v>
      </c>
      <c r="F242" s="6">
        <f t="shared" si="18"/>
        <v>6.8000000000000005E-2</v>
      </c>
      <c r="G242">
        <f t="shared" si="19"/>
        <v>1299.5640000000001</v>
      </c>
      <c r="H242">
        <f t="shared" si="20"/>
        <v>14.3</v>
      </c>
      <c r="I242">
        <f t="shared" si="21"/>
        <v>19095.78528</v>
      </c>
      <c r="J242">
        <f t="shared" si="22"/>
        <v>512.02007999999842</v>
      </c>
      <c r="K242">
        <f t="shared" si="23"/>
        <v>18583.765200000002</v>
      </c>
    </row>
    <row r="243" spans="1:11" x14ac:dyDescent="0.25">
      <c r="A243" t="str">
        <f>Original!A238</f>
        <v>ORD-2024-805860</v>
      </c>
      <c r="B243">
        <f>Original!R238</f>
        <v>1338.99</v>
      </c>
      <c r="C243">
        <f>Original!S238</f>
        <v>1765.76</v>
      </c>
      <c r="D243" s="6">
        <f>Original!T238</f>
        <v>0.126</v>
      </c>
      <c r="E243" s="6">
        <f>Original!V238</f>
        <v>24</v>
      </c>
      <c r="F243" s="6">
        <f t="shared" si="18"/>
        <v>0.126</v>
      </c>
      <c r="G243">
        <f t="shared" si="19"/>
        <v>1405.9395000000002</v>
      </c>
      <c r="H243">
        <f t="shared" si="20"/>
        <v>26.400000000000002</v>
      </c>
      <c r="I243">
        <f t="shared" si="21"/>
        <v>40742.439936000002</v>
      </c>
      <c r="J243">
        <f t="shared" si="22"/>
        <v>3625.6371359999976</v>
      </c>
      <c r="K243">
        <f t="shared" si="23"/>
        <v>37116.802800000005</v>
      </c>
    </row>
    <row r="244" spans="1:11" x14ac:dyDescent="0.25">
      <c r="A244" t="str">
        <f>Original!A239</f>
        <v>ORD-2025-132174</v>
      </c>
      <c r="B244">
        <f>Original!R239</f>
        <v>1364.89</v>
      </c>
      <c r="C244">
        <f>Original!S239</f>
        <v>2757.54</v>
      </c>
      <c r="D244" s="6">
        <f>Original!T239</f>
        <v>0.17199999999999999</v>
      </c>
      <c r="E244" s="6">
        <f>Original!V239</f>
        <v>61</v>
      </c>
      <c r="F244" s="6">
        <f t="shared" si="18"/>
        <v>0.17199999999999999</v>
      </c>
      <c r="G244">
        <f t="shared" si="19"/>
        <v>1433.1345000000001</v>
      </c>
      <c r="H244">
        <f t="shared" si="20"/>
        <v>67.100000000000009</v>
      </c>
      <c r="I244">
        <f t="shared" si="21"/>
        <v>153205.61335200001</v>
      </c>
      <c r="J244">
        <f t="shared" si="22"/>
        <v>57042.288401999991</v>
      </c>
      <c r="K244">
        <f t="shared" si="23"/>
        <v>96163.324950000024</v>
      </c>
    </row>
    <row r="245" spans="1:11" x14ac:dyDescent="0.25">
      <c r="A245" t="str">
        <f>Original!A240</f>
        <v>ORD-2023-964434</v>
      </c>
      <c r="B245">
        <f>Original!R240</f>
        <v>699.33</v>
      </c>
      <c r="C245">
        <f>Original!S240</f>
        <v>873.75</v>
      </c>
      <c r="D245" s="6">
        <f>Original!T240</f>
        <v>0.23499999999999999</v>
      </c>
      <c r="E245" s="6">
        <f>Original!V240</f>
        <v>10</v>
      </c>
      <c r="F245" s="6">
        <f t="shared" si="18"/>
        <v>0.2</v>
      </c>
      <c r="G245">
        <f t="shared" si="19"/>
        <v>734.29650000000004</v>
      </c>
      <c r="H245">
        <f t="shared" si="20"/>
        <v>11</v>
      </c>
      <c r="I245">
        <f t="shared" si="21"/>
        <v>7689</v>
      </c>
      <c r="J245">
        <f t="shared" si="22"/>
        <v>-388.26150000000052</v>
      </c>
      <c r="K245">
        <f t="shared" si="23"/>
        <v>8077.2615000000005</v>
      </c>
    </row>
    <row r="246" spans="1:11" x14ac:dyDescent="0.25">
      <c r="A246" t="str">
        <f>Original!A241</f>
        <v>ORD-2024-897622</v>
      </c>
      <c r="B246">
        <f>Original!R241</f>
        <v>160.82</v>
      </c>
      <c r="C246">
        <f>Original!S241</f>
        <v>258.52</v>
      </c>
      <c r="D246" s="6">
        <f>Original!T241</f>
        <v>0.13</v>
      </c>
      <c r="E246" s="6">
        <f>Original!V241</f>
        <v>17</v>
      </c>
      <c r="F246" s="6">
        <f t="shared" si="18"/>
        <v>0.13</v>
      </c>
      <c r="G246">
        <f t="shared" si="19"/>
        <v>168.86099999999999</v>
      </c>
      <c r="H246">
        <f t="shared" si="20"/>
        <v>18.700000000000003</v>
      </c>
      <c r="I246">
        <f t="shared" si="21"/>
        <v>4205.8618800000004</v>
      </c>
      <c r="J246">
        <f t="shared" si="22"/>
        <v>1048.1611800000001</v>
      </c>
      <c r="K246">
        <f t="shared" si="23"/>
        <v>3157.7007000000003</v>
      </c>
    </row>
    <row r="247" spans="1:11" x14ac:dyDescent="0.25">
      <c r="A247" t="str">
        <f>Original!A242</f>
        <v>ORD-2023-517216</v>
      </c>
      <c r="B247">
        <f>Original!R242</f>
        <v>385.32</v>
      </c>
      <c r="C247">
        <f>Original!S242</f>
        <v>606.76</v>
      </c>
      <c r="D247" s="6">
        <f>Original!T242</f>
        <v>8.5999999999999993E-2</v>
      </c>
      <c r="E247" s="6">
        <f>Original!V242</f>
        <v>8</v>
      </c>
      <c r="F247" s="6">
        <f t="shared" si="18"/>
        <v>8.5999999999999993E-2</v>
      </c>
      <c r="G247">
        <f t="shared" si="19"/>
        <v>404.58600000000001</v>
      </c>
      <c r="H247">
        <f t="shared" si="20"/>
        <v>8.8000000000000007</v>
      </c>
      <c r="I247">
        <f t="shared" si="21"/>
        <v>4880.2920320000003</v>
      </c>
      <c r="J247">
        <f t="shared" si="22"/>
        <v>1319.9352319999998</v>
      </c>
      <c r="K247">
        <f t="shared" si="23"/>
        <v>3560.3568000000005</v>
      </c>
    </row>
    <row r="248" spans="1:11" x14ac:dyDescent="0.25">
      <c r="A248" t="str">
        <f>Original!A243</f>
        <v>ORD-2025-509940</v>
      </c>
      <c r="B248">
        <f>Original!R243</f>
        <v>918.12</v>
      </c>
      <c r="C248">
        <f>Original!S243</f>
        <v>1337.69</v>
      </c>
      <c r="D248" s="6">
        <f>Original!T243</f>
        <v>9.5000000000000001E-2</v>
      </c>
      <c r="E248" s="6">
        <f>Original!V243</f>
        <v>8</v>
      </c>
      <c r="F248" s="6">
        <f t="shared" si="18"/>
        <v>9.5000000000000001E-2</v>
      </c>
      <c r="G248">
        <f t="shared" si="19"/>
        <v>964.02600000000007</v>
      </c>
      <c r="H248">
        <f t="shared" si="20"/>
        <v>8.8000000000000007</v>
      </c>
      <c r="I248">
        <f t="shared" si="21"/>
        <v>10653.363160000003</v>
      </c>
      <c r="J248">
        <f t="shared" si="22"/>
        <v>2169.9343600000011</v>
      </c>
      <c r="K248">
        <f t="shared" si="23"/>
        <v>8483.4288000000015</v>
      </c>
    </row>
    <row r="249" spans="1:11" x14ac:dyDescent="0.25">
      <c r="A249" t="str">
        <f>Original!A244</f>
        <v>ORD-2025-646342</v>
      </c>
      <c r="B249">
        <f>Original!R244</f>
        <v>1225.94</v>
      </c>
      <c r="C249">
        <f>Original!S244</f>
        <v>1793.08</v>
      </c>
      <c r="D249" s="6">
        <f>Original!T244</f>
        <v>0.13600000000000001</v>
      </c>
      <c r="E249" s="6">
        <f>Original!V244</f>
        <v>22</v>
      </c>
      <c r="F249" s="6">
        <f t="shared" si="18"/>
        <v>0.13600000000000001</v>
      </c>
      <c r="G249">
        <f t="shared" si="19"/>
        <v>1287.2370000000001</v>
      </c>
      <c r="H249">
        <f t="shared" si="20"/>
        <v>24.200000000000003</v>
      </c>
      <c r="I249">
        <f t="shared" si="21"/>
        <v>37491.151103999997</v>
      </c>
      <c r="J249">
        <f t="shared" si="22"/>
        <v>6340.0157039999904</v>
      </c>
      <c r="K249">
        <f t="shared" si="23"/>
        <v>31151.135400000006</v>
      </c>
    </row>
    <row r="250" spans="1:11" x14ac:dyDescent="0.25">
      <c r="A250" t="str">
        <f>Original!A245</f>
        <v>ORD-2024-866535</v>
      </c>
      <c r="B250">
        <f>Original!R245</f>
        <v>72.06</v>
      </c>
      <c r="C250">
        <f>Original!S245</f>
        <v>122.74</v>
      </c>
      <c r="D250" s="6">
        <f>Original!T245</f>
        <v>0.23799999999999999</v>
      </c>
      <c r="E250" s="6">
        <f>Original!V245</f>
        <v>8</v>
      </c>
      <c r="F250" s="6">
        <f t="shared" si="18"/>
        <v>0.2</v>
      </c>
      <c r="G250">
        <f t="shared" si="19"/>
        <v>75.663000000000011</v>
      </c>
      <c r="H250">
        <f t="shared" si="20"/>
        <v>8.8000000000000007</v>
      </c>
      <c r="I250">
        <f t="shared" si="21"/>
        <v>864.08960000000013</v>
      </c>
      <c r="J250">
        <f t="shared" si="22"/>
        <v>198.25519999999995</v>
      </c>
      <c r="K250">
        <f t="shared" si="23"/>
        <v>665.83440000000019</v>
      </c>
    </row>
    <row r="251" spans="1:11" x14ac:dyDescent="0.25">
      <c r="A251" t="str">
        <f>Original!A246</f>
        <v>ORD-2023-747341</v>
      </c>
      <c r="B251">
        <f>Original!R246</f>
        <v>1013.54</v>
      </c>
      <c r="C251">
        <f>Original!S246</f>
        <v>927.93</v>
      </c>
      <c r="D251" s="6">
        <f>Original!T246</f>
        <v>0.17499999999999999</v>
      </c>
      <c r="E251" s="6">
        <f>Original!V246</f>
        <v>16</v>
      </c>
      <c r="F251" s="6">
        <f t="shared" si="18"/>
        <v>0.17499999999999999</v>
      </c>
      <c r="G251">
        <f t="shared" si="19"/>
        <v>1064.2170000000001</v>
      </c>
      <c r="H251">
        <f t="shared" si="20"/>
        <v>17.600000000000001</v>
      </c>
      <c r="I251">
        <f t="shared" si="21"/>
        <v>13473.543600000001</v>
      </c>
      <c r="J251">
        <f t="shared" si="22"/>
        <v>-5256.6756000000023</v>
      </c>
      <c r="K251">
        <f t="shared" si="23"/>
        <v>18730.219200000003</v>
      </c>
    </row>
    <row r="252" spans="1:11" x14ac:dyDescent="0.25">
      <c r="A252" t="str">
        <f>Original!A247</f>
        <v>ORD-2024-853298</v>
      </c>
      <c r="B252">
        <f>Original!R247</f>
        <v>65.64</v>
      </c>
      <c r="C252">
        <f>Original!S247</f>
        <v>151.88</v>
      </c>
      <c r="D252" s="6">
        <f>Original!T247</f>
        <v>0.16700000000000001</v>
      </c>
      <c r="E252" s="6">
        <f>Original!V247</f>
        <v>23</v>
      </c>
      <c r="F252" s="6">
        <f t="shared" si="18"/>
        <v>0.16700000000000001</v>
      </c>
      <c r="G252">
        <f t="shared" si="19"/>
        <v>68.921999999999997</v>
      </c>
      <c r="H252">
        <f t="shared" si="20"/>
        <v>25.3</v>
      </c>
      <c r="I252">
        <f t="shared" si="21"/>
        <v>3200.8558119999998</v>
      </c>
      <c r="J252">
        <f t="shared" si="22"/>
        <v>1457.1292119999998</v>
      </c>
      <c r="K252">
        <f t="shared" si="23"/>
        <v>1743.7266</v>
      </c>
    </row>
    <row r="253" spans="1:11" x14ac:dyDescent="0.25">
      <c r="A253" t="str">
        <f>Original!A248</f>
        <v>ORD-2024-544865</v>
      </c>
      <c r="B253">
        <f>Original!R248</f>
        <v>1350.98</v>
      </c>
      <c r="C253">
        <f>Original!S248</f>
        <v>2210.4</v>
      </c>
      <c r="D253" s="6">
        <f>Original!T248</f>
        <v>0.26300000000000001</v>
      </c>
      <c r="E253" s="6">
        <f>Original!V248</f>
        <v>6</v>
      </c>
      <c r="F253" s="6">
        <f t="shared" si="18"/>
        <v>0.2</v>
      </c>
      <c r="G253">
        <f t="shared" si="19"/>
        <v>1418.529</v>
      </c>
      <c r="H253">
        <f t="shared" si="20"/>
        <v>6.6000000000000005</v>
      </c>
      <c r="I253">
        <f t="shared" si="21"/>
        <v>11670.912000000002</v>
      </c>
      <c r="J253">
        <f t="shared" si="22"/>
        <v>2308.620600000002</v>
      </c>
      <c r="K253">
        <f t="shared" si="23"/>
        <v>9362.2914000000001</v>
      </c>
    </row>
    <row r="254" spans="1:11" x14ac:dyDescent="0.25">
      <c r="A254" t="str">
        <f>Original!A249</f>
        <v>ORD-2025-946490</v>
      </c>
      <c r="B254">
        <f>Original!R249</f>
        <v>20.149999999999999</v>
      </c>
      <c r="C254">
        <f>Original!S249</f>
        <v>39.74</v>
      </c>
      <c r="D254" s="6">
        <f>Original!T249</f>
        <v>0.151</v>
      </c>
      <c r="E254" s="6">
        <f>Original!V249</f>
        <v>18</v>
      </c>
      <c r="F254" s="6">
        <f t="shared" si="18"/>
        <v>0.151</v>
      </c>
      <c r="G254">
        <f t="shared" si="19"/>
        <v>21.157499999999999</v>
      </c>
      <c r="H254">
        <f t="shared" si="20"/>
        <v>19.8</v>
      </c>
      <c r="I254">
        <f t="shared" si="21"/>
        <v>668.03734800000007</v>
      </c>
      <c r="J254">
        <f t="shared" si="22"/>
        <v>249.11884800000007</v>
      </c>
      <c r="K254">
        <f t="shared" si="23"/>
        <v>418.91849999999999</v>
      </c>
    </row>
    <row r="255" spans="1:11" x14ac:dyDescent="0.25">
      <c r="A255" t="str">
        <f>Original!A250</f>
        <v>ORD-2024-320972</v>
      </c>
      <c r="B255">
        <f>Original!R250</f>
        <v>803.28</v>
      </c>
      <c r="C255">
        <f>Original!S250</f>
        <v>1009</v>
      </c>
      <c r="D255" s="6">
        <f>Original!T250</f>
        <v>0.11</v>
      </c>
      <c r="E255" s="6">
        <f>Original!V250</f>
        <v>4</v>
      </c>
      <c r="F255" s="6">
        <f t="shared" si="18"/>
        <v>0.11</v>
      </c>
      <c r="G255">
        <f t="shared" si="19"/>
        <v>843.44399999999996</v>
      </c>
      <c r="H255">
        <f t="shared" si="20"/>
        <v>4.4000000000000004</v>
      </c>
      <c r="I255">
        <f t="shared" si="21"/>
        <v>3951.2440000000006</v>
      </c>
      <c r="J255">
        <f t="shared" si="22"/>
        <v>240.0904000000005</v>
      </c>
      <c r="K255">
        <f t="shared" si="23"/>
        <v>3711.1536000000001</v>
      </c>
    </row>
    <row r="256" spans="1:11" x14ac:dyDescent="0.25">
      <c r="A256" t="str">
        <f>Original!A251</f>
        <v>ORD-2025-248586</v>
      </c>
      <c r="B256">
        <f>Original!R251</f>
        <v>1212.99</v>
      </c>
      <c r="C256">
        <f>Original!S251</f>
        <v>1653.64</v>
      </c>
      <c r="D256" s="6">
        <f>Original!T251</f>
        <v>0.107</v>
      </c>
      <c r="E256" s="6">
        <f>Original!V251</f>
        <v>8</v>
      </c>
      <c r="F256" s="6">
        <f t="shared" si="18"/>
        <v>0.107</v>
      </c>
      <c r="G256">
        <f t="shared" si="19"/>
        <v>1273.6395</v>
      </c>
      <c r="H256">
        <f t="shared" si="20"/>
        <v>8.8000000000000007</v>
      </c>
      <c r="I256">
        <f t="shared" si="21"/>
        <v>12994.964576000002</v>
      </c>
      <c r="J256">
        <f t="shared" si="22"/>
        <v>1786.9369760000009</v>
      </c>
      <c r="K256">
        <f t="shared" si="23"/>
        <v>11208.027600000001</v>
      </c>
    </row>
    <row r="257" spans="1:11" x14ac:dyDescent="0.25">
      <c r="A257" t="str">
        <f>Original!A252</f>
        <v>ORD-2024-664046</v>
      </c>
      <c r="B257">
        <f>Original!R252</f>
        <v>462.94</v>
      </c>
      <c r="C257">
        <f>Original!S252</f>
        <v>1015.7</v>
      </c>
      <c r="D257" s="6">
        <f>Original!T252</f>
        <v>0.14299999999999999</v>
      </c>
      <c r="E257" s="6">
        <f>Original!V252</f>
        <v>14</v>
      </c>
      <c r="F257" s="6">
        <f t="shared" si="18"/>
        <v>0.14299999999999999</v>
      </c>
      <c r="G257">
        <f t="shared" si="19"/>
        <v>486.08700000000005</v>
      </c>
      <c r="H257">
        <f t="shared" si="20"/>
        <v>15.400000000000002</v>
      </c>
      <c r="I257">
        <f t="shared" si="21"/>
        <v>13405.005460000002</v>
      </c>
      <c r="J257">
        <f t="shared" si="22"/>
        <v>5919.26566</v>
      </c>
      <c r="K257">
        <f t="shared" si="23"/>
        <v>7485.7398000000021</v>
      </c>
    </row>
    <row r="258" spans="1:11" x14ac:dyDescent="0.25">
      <c r="A258" t="str">
        <f>Original!A253</f>
        <v>ORD-2023-276806</v>
      </c>
      <c r="B258">
        <f>Original!R253</f>
        <v>481.71</v>
      </c>
      <c r="C258">
        <f>Original!S253</f>
        <v>912.45</v>
      </c>
      <c r="D258" s="6">
        <f>Original!T253</f>
        <v>0.20300000000000001</v>
      </c>
      <c r="E258" s="6">
        <f>Original!V253</f>
        <v>24</v>
      </c>
      <c r="F258" s="6">
        <f t="shared" si="18"/>
        <v>0.2</v>
      </c>
      <c r="G258">
        <f t="shared" si="19"/>
        <v>505.7955</v>
      </c>
      <c r="H258">
        <f t="shared" si="20"/>
        <v>26.400000000000002</v>
      </c>
      <c r="I258">
        <f t="shared" si="21"/>
        <v>19270.944000000003</v>
      </c>
      <c r="J258">
        <f t="shared" si="22"/>
        <v>5917.9428000000025</v>
      </c>
      <c r="K258">
        <f t="shared" si="23"/>
        <v>13353.001200000001</v>
      </c>
    </row>
    <row r="259" spans="1:11" x14ac:dyDescent="0.25">
      <c r="A259" t="str">
        <f>Original!A254</f>
        <v>ORD-2024-220234</v>
      </c>
      <c r="B259">
        <f>Original!R254</f>
        <v>648.64</v>
      </c>
      <c r="C259">
        <f>Original!S254</f>
        <v>815.19</v>
      </c>
      <c r="D259" s="6">
        <f>Original!T254</f>
        <v>0.22500000000000001</v>
      </c>
      <c r="E259" s="6">
        <f>Original!V254</f>
        <v>28</v>
      </c>
      <c r="F259" s="6">
        <f t="shared" si="18"/>
        <v>0.2</v>
      </c>
      <c r="G259">
        <f t="shared" si="19"/>
        <v>681.072</v>
      </c>
      <c r="H259">
        <f t="shared" si="20"/>
        <v>30.800000000000004</v>
      </c>
      <c r="I259">
        <f t="shared" si="21"/>
        <v>20086.281600000006</v>
      </c>
      <c r="J259">
        <f t="shared" si="22"/>
        <v>-890.73599999999715</v>
      </c>
      <c r="K259">
        <f t="shared" si="23"/>
        <v>20977.017600000003</v>
      </c>
    </row>
    <row r="260" spans="1:11" x14ac:dyDescent="0.25">
      <c r="A260" t="str">
        <f>Original!A255</f>
        <v>ORD-2024-301260</v>
      </c>
      <c r="B260">
        <f>Original!R255</f>
        <v>798.97</v>
      </c>
      <c r="C260">
        <f>Original!S255</f>
        <v>1814.06</v>
      </c>
      <c r="D260" s="6">
        <f>Original!T255</f>
        <v>0.122</v>
      </c>
      <c r="E260" s="6">
        <f>Original!V255</f>
        <v>16</v>
      </c>
      <c r="F260" s="6">
        <f t="shared" si="18"/>
        <v>0.122</v>
      </c>
      <c r="G260">
        <f t="shared" si="19"/>
        <v>838.91850000000011</v>
      </c>
      <c r="H260">
        <f t="shared" si="20"/>
        <v>17.600000000000001</v>
      </c>
      <c r="I260">
        <f t="shared" si="21"/>
        <v>28032.306368000001</v>
      </c>
      <c r="J260">
        <f t="shared" si="22"/>
        <v>13267.340767999998</v>
      </c>
      <c r="K260">
        <f t="shared" si="23"/>
        <v>14764.965600000003</v>
      </c>
    </row>
    <row r="261" spans="1:11" x14ac:dyDescent="0.25">
      <c r="A261" t="str">
        <f>Original!A256</f>
        <v>ORD-2024-350100</v>
      </c>
      <c r="B261">
        <f>Original!R256</f>
        <v>317.25</v>
      </c>
      <c r="C261">
        <f>Original!S256</f>
        <v>758.92</v>
      </c>
      <c r="D261" s="6">
        <f>Original!T256</f>
        <v>5.2999999999999999E-2</v>
      </c>
      <c r="E261" s="6">
        <f>Original!V256</f>
        <v>9</v>
      </c>
      <c r="F261" s="6">
        <f t="shared" si="18"/>
        <v>5.2999999999999999E-2</v>
      </c>
      <c r="G261">
        <f t="shared" si="19"/>
        <v>333.11250000000001</v>
      </c>
      <c r="H261">
        <f t="shared" si="20"/>
        <v>9.9</v>
      </c>
      <c r="I261">
        <f t="shared" si="21"/>
        <v>7115.1026759999995</v>
      </c>
      <c r="J261">
        <f t="shared" si="22"/>
        <v>3817.2889259999993</v>
      </c>
      <c r="K261">
        <f t="shared" si="23"/>
        <v>3297.8137500000003</v>
      </c>
    </row>
    <row r="262" spans="1:11" x14ac:dyDescent="0.25">
      <c r="A262" t="str">
        <f>Original!A257</f>
        <v>ORD-2024-855600</v>
      </c>
      <c r="B262">
        <f>Original!R257</f>
        <v>668.97</v>
      </c>
      <c r="C262">
        <f>Original!S257</f>
        <v>1667.44</v>
      </c>
      <c r="D262" s="6">
        <f>Original!T257</f>
        <v>3.4000000000000002E-2</v>
      </c>
      <c r="E262" s="6">
        <f>Original!V257</f>
        <v>15</v>
      </c>
      <c r="F262" s="6">
        <f t="shared" si="18"/>
        <v>3.4000000000000002E-2</v>
      </c>
      <c r="G262">
        <f t="shared" si="19"/>
        <v>702.41850000000011</v>
      </c>
      <c r="H262">
        <f t="shared" si="20"/>
        <v>16.5</v>
      </c>
      <c r="I262">
        <f t="shared" si="21"/>
        <v>26577.326160000001</v>
      </c>
      <c r="J262">
        <f t="shared" si="22"/>
        <v>14987.420909999999</v>
      </c>
      <c r="K262">
        <f t="shared" si="23"/>
        <v>11589.905250000002</v>
      </c>
    </row>
    <row r="263" spans="1:11" x14ac:dyDescent="0.25">
      <c r="A263" t="str">
        <f>Original!A258</f>
        <v>ORD-2023-474313</v>
      </c>
      <c r="B263">
        <f>Original!R258</f>
        <v>1470.26</v>
      </c>
      <c r="C263">
        <f>Original!S258</f>
        <v>2562.5500000000002</v>
      </c>
      <c r="D263" s="6">
        <f>Original!T258</f>
        <v>0.17299999999999999</v>
      </c>
      <c r="E263" s="6">
        <f>Original!V258</f>
        <v>9</v>
      </c>
      <c r="F263" s="6">
        <f t="shared" si="18"/>
        <v>0.17299999999999999</v>
      </c>
      <c r="G263">
        <f t="shared" si="19"/>
        <v>1543.7730000000001</v>
      </c>
      <c r="H263">
        <f t="shared" si="20"/>
        <v>9.9</v>
      </c>
      <c r="I263">
        <f t="shared" si="21"/>
        <v>20980.365615000002</v>
      </c>
      <c r="J263">
        <f t="shared" si="22"/>
        <v>5697.0129150000012</v>
      </c>
      <c r="K263">
        <f t="shared" si="23"/>
        <v>15283.352700000001</v>
      </c>
    </row>
    <row r="264" spans="1:11" x14ac:dyDescent="0.25">
      <c r="A264" t="str">
        <f>Original!A259</f>
        <v>ORD-2023-256951</v>
      </c>
      <c r="B264">
        <f>Original!R259</f>
        <v>516.96</v>
      </c>
      <c r="C264">
        <f>Original!S259</f>
        <v>745.38</v>
      </c>
      <c r="D264" s="6">
        <f>Original!T259</f>
        <v>0.19700000000000001</v>
      </c>
      <c r="E264" s="6">
        <f>Original!V259</f>
        <v>4</v>
      </c>
      <c r="F264" s="6">
        <f t="shared" ref="F264:F327" si="24">MIN(D264,$B$2)</f>
        <v>0.19700000000000001</v>
      </c>
      <c r="G264">
        <f t="shared" ref="G264:G327" si="25">B264*(1+$B$3)</f>
        <v>542.80800000000011</v>
      </c>
      <c r="H264">
        <f t="shared" ref="H264:H327" si="26">E264*(1+$B$4)</f>
        <v>4.4000000000000004</v>
      </c>
      <c r="I264">
        <f t="shared" ref="I264:I327" si="27">C264*H264*(1-F264)</f>
        <v>2633.5766159999998</v>
      </c>
      <c r="J264">
        <f t="shared" ref="J264:J327" si="28">I264-K264</f>
        <v>245.22141599999895</v>
      </c>
      <c r="K264">
        <f t="shared" ref="K264:K327" si="29">G264*H264</f>
        <v>2388.3552000000009</v>
      </c>
    </row>
    <row r="265" spans="1:11" x14ac:dyDescent="0.25">
      <c r="A265" t="str">
        <f>Original!A260</f>
        <v>ORD-2025-184754</v>
      </c>
      <c r="B265">
        <f>Original!R260</f>
        <v>314.93</v>
      </c>
      <c r="C265">
        <f>Original!S260</f>
        <v>687.95</v>
      </c>
      <c r="D265" s="6">
        <f>Original!T260</f>
        <v>0.20499999999999999</v>
      </c>
      <c r="E265" s="6">
        <f>Original!V260</f>
        <v>8</v>
      </c>
      <c r="F265" s="6">
        <f t="shared" si="24"/>
        <v>0.2</v>
      </c>
      <c r="G265">
        <f t="shared" si="25"/>
        <v>330.67650000000003</v>
      </c>
      <c r="H265">
        <f t="shared" si="26"/>
        <v>8.8000000000000007</v>
      </c>
      <c r="I265">
        <f t="shared" si="27"/>
        <v>4843.1680000000006</v>
      </c>
      <c r="J265">
        <f t="shared" si="28"/>
        <v>1933.2148000000002</v>
      </c>
      <c r="K265">
        <f t="shared" si="29"/>
        <v>2909.9532000000004</v>
      </c>
    </row>
    <row r="266" spans="1:11" x14ac:dyDescent="0.25">
      <c r="A266" t="str">
        <f>Original!A261</f>
        <v>ORD-2023-888140</v>
      </c>
      <c r="B266">
        <f>Original!R261</f>
        <v>715.94</v>
      </c>
      <c r="C266">
        <f>Original!S261</f>
        <v>550.07000000000005</v>
      </c>
      <c r="D266" s="6">
        <f>Original!T261</f>
        <v>0.14000000000000001</v>
      </c>
      <c r="E266" s="6">
        <f>Original!V261</f>
        <v>16</v>
      </c>
      <c r="F266" s="6">
        <f t="shared" si="24"/>
        <v>0.14000000000000001</v>
      </c>
      <c r="G266">
        <f t="shared" si="25"/>
        <v>751.73700000000008</v>
      </c>
      <c r="H266">
        <f t="shared" si="26"/>
        <v>17.600000000000001</v>
      </c>
      <c r="I266">
        <f t="shared" si="27"/>
        <v>8325.8595200000018</v>
      </c>
      <c r="J266">
        <f t="shared" si="28"/>
        <v>-4904.7116800000003</v>
      </c>
      <c r="K266">
        <f t="shared" si="29"/>
        <v>13230.571200000002</v>
      </c>
    </row>
    <row r="267" spans="1:11" x14ac:dyDescent="0.25">
      <c r="A267" t="str">
        <f>Original!A262</f>
        <v>ORD-2023-638181</v>
      </c>
      <c r="B267">
        <f>Original!R262</f>
        <v>1120.06</v>
      </c>
      <c r="C267">
        <f>Original!S262</f>
        <v>2068.21</v>
      </c>
      <c r="D267" s="6">
        <f>Original!T262</f>
        <v>7.8E-2</v>
      </c>
      <c r="E267" s="6">
        <f>Original!V262</f>
        <v>12</v>
      </c>
      <c r="F267" s="6">
        <f t="shared" si="24"/>
        <v>7.8E-2</v>
      </c>
      <c r="G267">
        <f t="shared" si="25"/>
        <v>1176.0630000000001</v>
      </c>
      <c r="H267">
        <f t="shared" si="26"/>
        <v>13.200000000000001</v>
      </c>
      <c r="I267">
        <f t="shared" si="27"/>
        <v>25170.942984000005</v>
      </c>
      <c r="J267">
        <f t="shared" si="28"/>
        <v>9646.9113840000027</v>
      </c>
      <c r="K267">
        <f t="shared" si="29"/>
        <v>15524.031600000002</v>
      </c>
    </row>
    <row r="268" spans="1:11" x14ac:dyDescent="0.25">
      <c r="A268" t="str">
        <f>Original!A263</f>
        <v>ORD-2023-521280</v>
      </c>
      <c r="B268">
        <f>Original!R263</f>
        <v>1471.58</v>
      </c>
      <c r="C268">
        <f>Original!S263</f>
        <v>2576.65</v>
      </c>
      <c r="D268" s="6">
        <f>Original!T263</f>
        <v>4.0000000000000001E-3</v>
      </c>
      <c r="E268" s="6">
        <f>Original!V263</f>
        <v>7</v>
      </c>
      <c r="F268" s="6">
        <f t="shared" si="24"/>
        <v>4.0000000000000001E-3</v>
      </c>
      <c r="G268">
        <f t="shared" si="25"/>
        <v>1545.1589999999999</v>
      </c>
      <c r="H268">
        <f t="shared" si="26"/>
        <v>7.7000000000000011</v>
      </c>
      <c r="I268">
        <f t="shared" si="27"/>
        <v>19760.84418</v>
      </c>
      <c r="J268">
        <f t="shared" si="28"/>
        <v>7863.1198800000002</v>
      </c>
      <c r="K268">
        <f t="shared" si="29"/>
        <v>11897.7243</v>
      </c>
    </row>
    <row r="269" spans="1:11" x14ac:dyDescent="0.25">
      <c r="A269" t="str">
        <f>Original!A264</f>
        <v>ORD-2023-630430</v>
      </c>
      <c r="B269">
        <f>Original!R264</f>
        <v>582.88</v>
      </c>
      <c r="C269">
        <f>Original!S264</f>
        <v>1044.1400000000001</v>
      </c>
      <c r="D269" s="6">
        <f>Original!T264</f>
        <v>0.216</v>
      </c>
      <c r="E269" s="6">
        <f>Original!V264</f>
        <v>10</v>
      </c>
      <c r="F269" s="6">
        <f t="shared" si="24"/>
        <v>0.2</v>
      </c>
      <c r="G269">
        <f t="shared" si="25"/>
        <v>612.024</v>
      </c>
      <c r="H269">
        <f t="shared" si="26"/>
        <v>11</v>
      </c>
      <c r="I269">
        <f t="shared" si="27"/>
        <v>9188.4320000000007</v>
      </c>
      <c r="J269">
        <f t="shared" si="28"/>
        <v>2456.1680000000006</v>
      </c>
      <c r="K269">
        <f t="shared" si="29"/>
        <v>6732.2640000000001</v>
      </c>
    </row>
    <row r="270" spans="1:11" x14ac:dyDescent="0.25">
      <c r="A270" t="str">
        <f>Original!A265</f>
        <v>ORD-2025-908258</v>
      </c>
      <c r="B270">
        <f>Original!R265</f>
        <v>93.91</v>
      </c>
      <c r="C270">
        <f>Original!S265</f>
        <v>99.04</v>
      </c>
      <c r="D270" s="6">
        <f>Original!T265</f>
        <v>5.7000000000000002E-2</v>
      </c>
      <c r="E270" s="6">
        <f>Original!V265</f>
        <v>6</v>
      </c>
      <c r="F270" s="6">
        <f t="shared" si="24"/>
        <v>5.7000000000000002E-2</v>
      </c>
      <c r="G270">
        <f t="shared" si="25"/>
        <v>98.605500000000006</v>
      </c>
      <c r="H270">
        <f t="shared" si="26"/>
        <v>6.6000000000000005</v>
      </c>
      <c r="I270">
        <f t="shared" si="27"/>
        <v>616.40515200000004</v>
      </c>
      <c r="J270">
        <f t="shared" si="28"/>
        <v>-34.391148000000044</v>
      </c>
      <c r="K270">
        <f t="shared" si="29"/>
        <v>650.79630000000009</v>
      </c>
    </row>
    <row r="271" spans="1:11" x14ac:dyDescent="0.25">
      <c r="A271" t="str">
        <f>Original!A266</f>
        <v>ORD-2025-440093</v>
      </c>
      <c r="B271">
        <f>Original!R266</f>
        <v>1457.44</v>
      </c>
      <c r="C271">
        <f>Original!S266</f>
        <v>1996.81</v>
      </c>
      <c r="D271" s="6">
        <f>Original!T266</f>
        <v>0.126</v>
      </c>
      <c r="E271" s="6">
        <f>Original!V266</f>
        <v>23</v>
      </c>
      <c r="F271" s="6">
        <f t="shared" si="24"/>
        <v>0.126</v>
      </c>
      <c r="G271">
        <f t="shared" si="25"/>
        <v>1530.3120000000001</v>
      </c>
      <c r="H271">
        <f t="shared" si="26"/>
        <v>25.3</v>
      </c>
      <c r="I271">
        <f t="shared" si="27"/>
        <v>44153.862082</v>
      </c>
      <c r="J271">
        <f t="shared" si="28"/>
        <v>5436.9684819999966</v>
      </c>
      <c r="K271">
        <f t="shared" si="29"/>
        <v>38716.893600000003</v>
      </c>
    </row>
    <row r="272" spans="1:11" x14ac:dyDescent="0.25">
      <c r="A272" t="str">
        <f>Original!A267</f>
        <v>ORD-2025-898022</v>
      </c>
      <c r="B272">
        <f>Original!R267</f>
        <v>1207.6300000000001</v>
      </c>
      <c r="C272">
        <f>Original!S267</f>
        <v>921.68</v>
      </c>
      <c r="D272" s="6">
        <f>Original!T267</f>
        <v>0.19600000000000001</v>
      </c>
      <c r="E272" s="6">
        <f>Original!V267</f>
        <v>17</v>
      </c>
      <c r="F272" s="6">
        <f t="shared" si="24"/>
        <v>0.19600000000000001</v>
      </c>
      <c r="G272">
        <f t="shared" si="25"/>
        <v>1268.0115000000001</v>
      </c>
      <c r="H272">
        <f t="shared" si="26"/>
        <v>18.700000000000003</v>
      </c>
      <c r="I272">
        <f t="shared" si="27"/>
        <v>13857.274464000002</v>
      </c>
      <c r="J272">
        <f t="shared" si="28"/>
        <v>-9854.5405860000028</v>
      </c>
      <c r="K272">
        <f t="shared" si="29"/>
        <v>23711.815050000005</v>
      </c>
    </row>
    <row r="273" spans="1:11" x14ac:dyDescent="0.25">
      <c r="A273" t="str">
        <f>Original!A268</f>
        <v>ORD-2024-500511</v>
      </c>
      <c r="B273">
        <f>Original!R268</f>
        <v>1108.1099999999999</v>
      </c>
      <c r="C273">
        <f>Original!S268</f>
        <v>2503.79</v>
      </c>
      <c r="D273" s="6">
        <f>Original!T268</f>
        <v>0.184</v>
      </c>
      <c r="E273" s="6">
        <f>Original!V268</f>
        <v>19</v>
      </c>
      <c r="F273" s="6">
        <f t="shared" si="24"/>
        <v>0.184</v>
      </c>
      <c r="G273">
        <f t="shared" si="25"/>
        <v>1163.5155</v>
      </c>
      <c r="H273">
        <f t="shared" si="26"/>
        <v>20.900000000000002</v>
      </c>
      <c r="I273">
        <f t="shared" si="27"/>
        <v>42700.636176000007</v>
      </c>
      <c r="J273">
        <f t="shared" si="28"/>
        <v>18383.162226000004</v>
      </c>
      <c r="K273">
        <f t="shared" si="29"/>
        <v>24317.473950000003</v>
      </c>
    </row>
    <row r="274" spans="1:11" x14ac:dyDescent="0.25">
      <c r="A274" t="str">
        <f>Original!A269</f>
        <v>ORD-2023-632893</v>
      </c>
      <c r="B274">
        <f>Original!R269</f>
        <v>1269.6500000000001</v>
      </c>
      <c r="C274">
        <f>Original!S269</f>
        <v>2462.77</v>
      </c>
      <c r="D274" s="6">
        <f>Original!T269</f>
        <v>0.107</v>
      </c>
      <c r="E274" s="6">
        <f>Original!V269</f>
        <v>8</v>
      </c>
      <c r="F274" s="6">
        <f t="shared" si="24"/>
        <v>0.107</v>
      </c>
      <c r="G274">
        <f t="shared" si="25"/>
        <v>1333.1325000000002</v>
      </c>
      <c r="H274">
        <f t="shared" si="26"/>
        <v>8.8000000000000007</v>
      </c>
      <c r="I274">
        <f t="shared" si="27"/>
        <v>19353.431768000002</v>
      </c>
      <c r="J274">
        <f t="shared" si="28"/>
        <v>7621.8657679999997</v>
      </c>
      <c r="K274">
        <f t="shared" si="29"/>
        <v>11731.566000000003</v>
      </c>
    </row>
    <row r="275" spans="1:11" x14ac:dyDescent="0.25">
      <c r="A275" t="str">
        <f>Original!A270</f>
        <v>ORD-2023-967239</v>
      </c>
      <c r="B275">
        <f>Original!R270</f>
        <v>526.49</v>
      </c>
      <c r="C275">
        <f>Original!S270</f>
        <v>496.2</v>
      </c>
      <c r="D275" s="6">
        <f>Original!T270</f>
        <v>0</v>
      </c>
      <c r="E275" s="6">
        <f>Original!V270</f>
        <v>14</v>
      </c>
      <c r="F275" s="6">
        <f t="shared" si="24"/>
        <v>0</v>
      </c>
      <c r="G275">
        <f t="shared" si="25"/>
        <v>552.81450000000007</v>
      </c>
      <c r="H275">
        <f t="shared" si="26"/>
        <v>15.400000000000002</v>
      </c>
      <c r="I275">
        <f t="shared" si="27"/>
        <v>7641.4800000000005</v>
      </c>
      <c r="J275">
        <f t="shared" si="28"/>
        <v>-871.8633000000018</v>
      </c>
      <c r="K275">
        <f t="shared" si="29"/>
        <v>8513.3433000000023</v>
      </c>
    </row>
    <row r="276" spans="1:11" x14ac:dyDescent="0.25">
      <c r="A276" t="str">
        <f>Original!A271</f>
        <v>ORD-2024-885858</v>
      </c>
      <c r="B276">
        <f>Original!R271</f>
        <v>720</v>
      </c>
      <c r="C276">
        <f>Original!S271</f>
        <v>907.59</v>
      </c>
      <c r="D276" s="6">
        <f>Original!T271</f>
        <v>0.154</v>
      </c>
      <c r="E276" s="6">
        <f>Original!V271</f>
        <v>10</v>
      </c>
      <c r="F276" s="6">
        <f t="shared" si="24"/>
        <v>0.154</v>
      </c>
      <c r="G276">
        <f t="shared" si="25"/>
        <v>756</v>
      </c>
      <c r="H276">
        <f t="shared" si="26"/>
        <v>11</v>
      </c>
      <c r="I276">
        <f t="shared" si="27"/>
        <v>8446.0325400000002</v>
      </c>
      <c r="J276">
        <f t="shared" si="28"/>
        <v>130.03254000000015</v>
      </c>
      <c r="K276">
        <f t="shared" si="29"/>
        <v>8316</v>
      </c>
    </row>
    <row r="277" spans="1:11" x14ac:dyDescent="0.25">
      <c r="A277" t="str">
        <f>Original!A272</f>
        <v>ORD-2023-253245</v>
      </c>
      <c r="B277">
        <f>Original!R272</f>
        <v>232.73</v>
      </c>
      <c r="C277">
        <f>Original!S272</f>
        <v>334.19</v>
      </c>
      <c r="D277" s="6">
        <f>Original!T272</f>
        <v>0.13400000000000001</v>
      </c>
      <c r="E277" s="6">
        <f>Original!V272</f>
        <v>25</v>
      </c>
      <c r="F277" s="6">
        <f t="shared" si="24"/>
        <v>0.13400000000000001</v>
      </c>
      <c r="G277">
        <f t="shared" si="25"/>
        <v>244.3665</v>
      </c>
      <c r="H277">
        <f t="shared" si="26"/>
        <v>27.500000000000004</v>
      </c>
      <c r="I277">
        <f t="shared" si="27"/>
        <v>7958.7348499999998</v>
      </c>
      <c r="J277">
        <f t="shared" si="28"/>
        <v>1238.6560999999992</v>
      </c>
      <c r="K277">
        <f t="shared" si="29"/>
        <v>6720.0787500000006</v>
      </c>
    </row>
    <row r="278" spans="1:11" x14ac:dyDescent="0.25">
      <c r="A278" t="str">
        <f>Original!A273</f>
        <v>ORD-2025-484073</v>
      </c>
      <c r="B278">
        <f>Original!R273</f>
        <v>325.87</v>
      </c>
      <c r="C278">
        <f>Original!S273</f>
        <v>538.79</v>
      </c>
      <c r="D278" s="6">
        <f>Original!T273</f>
        <v>0.17399999999999999</v>
      </c>
      <c r="E278" s="6">
        <f>Original!V273</f>
        <v>16</v>
      </c>
      <c r="F278" s="6">
        <f t="shared" si="24"/>
        <v>0.17399999999999999</v>
      </c>
      <c r="G278">
        <f t="shared" si="25"/>
        <v>342.1635</v>
      </c>
      <c r="H278">
        <f t="shared" si="26"/>
        <v>17.600000000000001</v>
      </c>
      <c r="I278">
        <f t="shared" si="27"/>
        <v>7832.7135040000003</v>
      </c>
      <c r="J278">
        <f t="shared" si="28"/>
        <v>1810.6359039999998</v>
      </c>
      <c r="K278">
        <f t="shared" si="29"/>
        <v>6022.0776000000005</v>
      </c>
    </row>
    <row r="279" spans="1:11" x14ac:dyDescent="0.25">
      <c r="A279" t="str">
        <f>Original!A274</f>
        <v>ORD-2024-745822</v>
      </c>
      <c r="B279">
        <f>Original!R274</f>
        <v>1025.51</v>
      </c>
      <c r="C279">
        <f>Original!S274</f>
        <v>1436.54</v>
      </c>
      <c r="D279" s="6">
        <f>Original!T274</f>
        <v>0.13900000000000001</v>
      </c>
      <c r="E279" s="6">
        <f>Original!V274</f>
        <v>28</v>
      </c>
      <c r="F279" s="6">
        <f t="shared" si="24"/>
        <v>0.13900000000000001</v>
      </c>
      <c r="G279">
        <f t="shared" si="25"/>
        <v>1076.7855</v>
      </c>
      <c r="H279">
        <f t="shared" si="26"/>
        <v>30.800000000000004</v>
      </c>
      <c r="I279">
        <f t="shared" si="27"/>
        <v>38095.316952000008</v>
      </c>
      <c r="J279">
        <f t="shared" si="28"/>
        <v>4930.3235520000017</v>
      </c>
      <c r="K279">
        <f t="shared" si="29"/>
        <v>33164.993400000007</v>
      </c>
    </row>
    <row r="280" spans="1:11" x14ac:dyDescent="0.25">
      <c r="A280" t="str">
        <f>Original!A275</f>
        <v>ORD-2023-369160</v>
      </c>
      <c r="B280">
        <f>Original!R275</f>
        <v>1082.3800000000001</v>
      </c>
      <c r="C280">
        <f>Original!S275</f>
        <v>1766.55</v>
      </c>
      <c r="D280" s="6">
        <f>Original!T275</f>
        <v>0.16400000000000001</v>
      </c>
      <c r="E280" s="6">
        <f>Original!V275</f>
        <v>20</v>
      </c>
      <c r="F280" s="6">
        <f t="shared" si="24"/>
        <v>0.16400000000000001</v>
      </c>
      <c r="G280">
        <f t="shared" si="25"/>
        <v>1136.4990000000003</v>
      </c>
      <c r="H280">
        <f t="shared" si="26"/>
        <v>22</v>
      </c>
      <c r="I280">
        <f t="shared" si="27"/>
        <v>32490.387599999998</v>
      </c>
      <c r="J280">
        <f t="shared" si="28"/>
        <v>7487.4095999999918</v>
      </c>
      <c r="K280">
        <f t="shared" si="29"/>
        <v>25002.978000000006</v>
      </c>
    </row>
    <row r="281" spans="1:11" x14ac:dyDescent="0.25">
      <c r="A281" t="str">
        <f>Original!A276</f>
        <v>ORD-2024-834983</v>
      </c>
      <c r="B281">
        <f>Original!R276</f>
        <v>287.61</v>
      </c>
      <c r="C281">
        <f>Original!S276</f>
        <v>628.54</v>
      </c>
      <c r="D281" s="6">
        <f>Original!T276</f>
        <v>0.13500000000000001</v>
      </c>
      <c r="E281" s="6">
        <f>Original!V276</f>
        <v>21</v>
      </c>
      <c r="F281" s="6">
        <f t="shared" si="24"/>
        <v>0.13500000000000001</v>
      </c>
      <c r="G281">
        <f t="shared" si="25"/>
        <v>301.99050000000005</v>
      </c>
      <c r="H281">
        <f t="shared" si="26"/>
        <v>23.1</v>
      </c>
      <c r="I281">
        <f t="shared" si="27"/>
        <v>12559.17201</v>
      </c>
      <c r="J281">
        <f t="shared" si="28"/>
        <v>5583.1914599999982</v>
      </c>
      <c r="K281">
        <f t="shared" si="29"/>
        <v>6975.980550000002</v>
      </c>
    </row>
    <row r="282" spans="1:11" x14ac:dyDescent="0.25">
      <c r="A282" t="str">
        <f>Original!A277</f>
        <v>ORD-2024-499009</v>
      </c>
      <c r="B282">
        <f>Original!R277</f>
        <v>1410.97</v>
      </c>
      <c r="C282">
        <f>Original!S277</f>
        <v>1650.75</v>
      </c>
      <c r="D282" s="6">
        <f>Original!T277</f>
        <v>0.13500000000000001</v>
      </c>
      <c r="E282" s="6">
        <f>Original!V277</f>
        <v>6</v>
      </c>
      <c r="F282" s="6">
        <f t="shared" si="24"/>
        <v>0.13500000000000001</v>
      </c>
      <c r="G282">
        <f t="shared" si="25"/>
        <v>1481.5185000000001</v>
      </c>
      <c r="H282">
        <f t="shared" si="26"/>
        <v>6.6000000000000005</v>
      </c>
      <c r="I282">
        <f t="shared" si="27"/>
        <v>9424.1317500000005</v>
      </c>
      <c r="J282">
        <f t="shared" si="28"/>
        <v>-353.89035000000149</v>
      </c>
      <c r="K282">
        <f t="shared" si="29"/>
        <v>9778.022100000002</v>
      </c>
    </row>
    <row r="283" spans="1:11" x14ac:dyDescent="0.25">
      <c r="A283" t="str">
        <f>Original!A278</f>
        <v>ORD-2024-948800</v>
      </c>
      <c r="B283">
        <f>Original!R278</f>
        <v>1338.35</v>
      </c>
      <c r="C283">
        <f>Original!S278</f>
        <v>2247.14</v>
      </c>
      <c r="D283" s="6">
        <f>Original!T278</f>
        <v>0.115</v>
      </c>
      <c r="E283" s="6">
        <f>Original!V278</f>
        <v>40</v>
      </c>
      <c r="F283" s="6">
        <f t="shared" si="24"/>
        <v>0.115</v>
      </c>
      <c r="G283">
        <f t="shared" si="25"/>
        <v>1405.2674999999999</v>
      </c>
      <c r="H283">
        <f t="shared" si="26"/>
        <v>44</v>
      </c>
      <c r="I283">
        <f t="shared" si="27"/>
        <v>87503.631599999993</v>
      </c>
      <c r="J283">
        <f t="shared" si="28"/>
        <v>25671.861599999997</v>
      </c>
      <c r="K283">
        <f t="shared" si="29"/>
        <v>61831.77</v>
      </c>
    </row>
    <row r="284" spans="1:11" x14ac:dyDescent="0.25">
      <c r="A284" t="str">
        <f>Original!A279</f>
        <v>ORD-2025-678328</v>
      </c>
      <c r="B284">
        <f>Original!R279</f>
        <v>385.08</v>
      </c>
      <c r="C284">
        <f>Original!S279</f>
        <v>893.19</v>
      </c>
      <c r="D284" s="6">
        <f>Original!T279</f>
        <v>0.151</v>
      </c>
      <c r="E284" s="6">
        <f>Original!V279</f>
        <v>8</v>
      </c>
      <c r="F284" s="6">
        <f t="shared" si="24"/>
        <v>0.151</v>
      </c>
      <c r="G284">
        <f t="shared" si="25"/>
        <v>404.334</v>
      </c>
      <c r="H284">
        <f t="shared" si="26"/>
        <v>8.8000000000000007</v>
      </c>
      <c r="I284">
        <f t="shared" si="27"/>
        <v>6673.2011280000006</v>
      </c>
      <c r="J284">
        <f t="shared" si="28"/>
        <v>3115.0619280000001</v>
      </c>
      <c r="K284">
        <f t="shared" si="29"/>
        <v>3558.1392000000005</v>
      </c>
    </row>
    <row r="285" spans="1:11" x14ac:dyDescent="0.25">
      <c r="A285" t="str">
        <f>Original!A280</f>
        <v>ORD-2024-580808</v>
      </c>
      <c r="B285">
        <f>Original!R280</f>
        <v>1173.83</v>
      </c>
      <c r="C285">
        <f>Original!S280</f>
        <v>2328.9</v>
      </c>
      <c r="D285" s="6">
        <f>Original!T280</f>
        <v>0.12</v>
      </c>
      <c r="E285" s="6">
        <f>Original!V280</f>
        <v>17</v>
      </c>
      <c r="F285" s="6">
        <f t="shared" si="24"/>
        <v>0.12</v>
      </c>
      <c r="G285">
        <f t="shared" si="25"/>
        <v>1232.5215000000001</v>
      </c>
      <c r="H285">
        <f t="shared" si="26"/>
        <v>18.700000000000003</v>
      </c>
      <c r="I285">
        <f t="shared" si="27"/>
        <v>38324.378400000009</v>
      </c>
      <c r="J285">
        <f t="shared" si="28"/>
        <v>15276.226350000004</v>
      </c>
      <c r="K285">
        <f t="shared" si="29"/>
        <v>23048.152050000004</v>
      </c>
    </row>
    <row r="286" spans="1:11" x14ac:dyDescent="0.25">
      <c r="A286" t="str">
        <f>Original!A281</f>
        <v>ORD-2023-211715</v>
      </c>
      <c r="B286">
        <f>Original!R281</f>
        <v>953.46</v>
      </c>
      <c r="C286">
        <f>Original!S281</f>
        <v>2066.75</v>
      </c>
      <c r="D286" s="6">
        <f>Original!T281</f>
        <v>0.13800000000000001</v>
      </c>
      <c r="E286" s="6">
        <f>Original!V281</f>
        <v>5</v>
      </c>
      <c r="F286" s="6">
        <f t="shared" si="24"/>
        <v>0.13800000000000001</v>
      </c>
      <c r="G286">
        <f t="shared" si="25"/>
        <v>1001.133</v>
      </c>
      <c r="H286">
        <f t="shared" si="26"/>
        <v>5.5</v>
      </c>
      <c r="I286">
        <f t="shared" si="27"/>
        <v>9798.4617500000004</v>
      </c>
      <c r="J286">
        <f t="shared" si="28"/>
        <v>4292.2302500000005</v>
      </c>
      <c r="K286">
        <f t="shared" si="29"/>
        <v>5506.2314999999999</v>
      </c>
    </row>
    <row r="287" spans="1:11" x14ac:dyDescent="0.25">
      <c r="A287" t="str">
        <f>Original!A282</f>
        <v>ORD-2023-715175</v>
      </c>
      <c r="B287">
        <f>Original!R282</f>
        <v>1097.0899999999999</v>
      </c>
      <c r="C287">
        <f>Original!S282</f>
        <v>2182.31</v>
      </c>
      <c r="D287" s="6">
        <f>Original!T282</f>
        <v>0.112</v>
      </c>
      <c r="E287" s="6">
        <f>Original!V282</f>
        <v>9</v>
      </c>
      <c r="F287" s="6">
        <f t="shared" si="24"/>
        <v>0.112</v>
      </c>
      <c r="G287">
        <f t="shared" si="25"/>
        <v>1151.9445000000001</v>
      </c>
      <c r="H287">
        <f t="shared" si="26"/>
        <v>9.9</v>
      </c>
      <c r="I287">
        <f t="shared" si="27"/>
        <v>19185.123671999998</v>
      </c>
      <c r="J287">
        <f t="shared" si="28"/>
        <v>7780.8731219999972</v>
      </c>
      <c r="K287">
        <f t="shared" si="29"/>
        <v>11404.250550000001</v>
      </c>
    </row>
    <row r="288" spans="1:11" x14ac:dyDescent="0.25">
      <c r="A288" t="str">
        <f>Original!A283</f>
        <v>ORD-2025-685236</v>
      </c>
      <c r="B288">
        <f>Original!R283</f>
        <v>1106.96</v>
      </c>
      <c r="C288">
        <f>Original!S283</f>
        <v>2726.62</v>
      </c>
      <c r="D288" s="6">
        <f>Original!T283</f>
        <v>0.317</v>
      </c>
      <c r="E288" s="6">
        <f>Original!V283</f>
        <v>7</v>
      </c>
      <c r="F288" s="6">
        <f t="shared" si="24"/>
        <v>0.2</v>
      </c>
      <c r="G288">
        <f t="shared" si="25"/>
        <v>1162.308</v>
      </c>
      <c r="H288">
        <f t="shared" si="26"/>
        <v>7.7000000000000011</v>
      </c>
      <c r="I288">
        <f t="shared" si="27"/>
        <v>16795.979200000002</v>
      </c>
      <c r="J288">
        <f t="shared" si="28"/>
        <v>7846.2075999999997</v>
      </c>
      <c r="K288">
        <f t="shared" si="29"/>
        <v>8949.7716000000019</v>
      </c>
    </row>
    <row r="289" spans="1:11" x14ac:dyDescent="0.25">
      <c r="A289" t="str">
        <f>Original!A284</f>
        <v>ORD-2023-274037</v>
      </c>
      <c r="B289">
        <f>Original!R284</f>
        <v>91.85</v>
      </c>
      <c r="C289">
        <f>Original!S284</f>
        <v>111.29</v>
      </c>
      <c r="D289" s="6">
        <f>Original!T284</f>
        <v>0</v>
      </c>
      <c r="E289" s="6">
        <f>Original!V284</f>
        <v>6</v>
      </c>
      <c r="F289" s="6">
        <f t="shared" si="24"/>
        <v>0</v>
      </c>
      <c r="G289">
        <f t="shared" si="25"/>
        <v>96.442499999999995</v>
      </c>
      <c r="H289">
        <f t="shared" si="26"/>
        <v>6.6000000000000005</v>
      </c>
      <c r="I289">
        <f t="shared" si="27"/>
        <v>734.51400000000012</v>
      </c>
      <c r="J289">
        <f t="shared" si="28"/>
        <v>97.993500000000154</v>
      </c>
      <c r="K289">
        <f t="shared" si="29"/>
        <v>636.52049999999997</v>
      </c>
    </row>
    <row r="290" spans="1:11" x14ac:dyDescent="0.25">
      <c r="A290" t="str">
        <f>Original!A285</f>
        <v>ORD-2025-983096</v>
      </c>
      <c r="B290">
        <f>Original!R285</f>
        <v>623.4</v>
      </c>
      <c r="C290">
        <f>Original!S285</f>
        <v>1100.0899999999999</v>
      </c>
      <c r="D290" s="6">
        <f>Original!T285</f>
        <v>0.114</v>
      </c>
      <c r="E290" s="6">
        <f>Original!V285</f>
        <v>12</v>
      </c>
      <c r="F290" s="6">
        <f t="shared" si="24"/>
        <v>0.114</v>
      </c>
      <c r="G290">
        <f t="shared" si="25"/>
        <v>654.57000000000005</v>
      </c>
      <c r="H290">
        <f t="shared" si="26"/>
        <v>13.200000000000001</v>
      </c>
      <c r="I290">
        <f t="shared" si="27"/>
        <v>12865.772568</v>
      </c>
      <c r="J290">
        <f t="shared" si="28"/>
        <v>4225.4485679999998</v>
      </c>
      <c r="K290">
        <f t="shared" si="29"/>
        <v>8640.3240000000005</v>
      </c>
    </row>
    <row r="291" spans="1:11" x14ac:dyDescent="0.25">
      <c r="A291" t="str">
        <f>Original!A286</f>
        <v>ORD-2024-366010</v>
      </c>
      <c r="B291">
        <f>Original!R286</f>
        <v>1017.93</v>
      </c>
      <c r="C291">
        <f>Original!S286</f>
        <v>1529.14</v>
      </c>
      <c r="D291" s="6">
        <f>Original!T286</f>
        <v>0.155</v>
      </c>
      <c r="E291" s="6">
        <f>Original!V286</f>
        <v>12</v>
      </c>
      <c r="F291" s="6">
        <f t="shared" si="24"/>
        <v>0.155</v>
      </c>
      <c r="G291">
        <f t="shared" si="25"/>
        <v>1068.8264999999999</v>
      </c>
      <c r="H291">
        <f t="shared" si="26"/>
        <v>13.200000000000001</v>
      </c>
      <c r="I291">
        <f t="shared" si="27"/>
        <v>17056.027560000002</v>
      </c>
      <c r="J291">
        <f t="shared" si="28"/>
        <v>2947.5177600000025</v>
      </c>
      <c r="K291">
        <f t="shared" si="29"/>
        <v>14108.5098</v>
      </c>
    </row>
    <row r="292" spans="1:11" x14ac:dyDescent="0.25">
      <c r="A292" t="str">
        <f>Original!A287</f>
        <v>ORD-2023-610470</v>
      </c>
      <c r="B292">
        <f>Original!R287</f>
        <v>554.76</v>
      </c>
      <c r="C292">
        <f>Original!S287</f>
        <v>728.69</v>
      </c>
      <c r="D292" s="6">
        <f>Original!T287</f>
        <v>0.22</v>
      </c>
      <c r="E292" s="6">
        <f>Original!V287</f>
        <v>7</v>
      </c>
      <c r="F292" s="6">
        <f t="shared" si="24"/>
        <v>0.2</v>
      </c>
      <c r="G292">
        <f t="shared" si="25"/>
        <v>582.49800000000005</v>
      </c>
      <c r="H292">
        <f t="shared" si="26"/>
        <v>7.7000000000000011</v>
      </c>
      <c r="I292">
        <f t="shared" si="27"/>
        <v>4488.7304000000013</v>
      </c>
      <c r="J292">
        <f t="shared" si="28"/>
        <v>3.4958000000005995</v>
      </c>
      <c r="K292">
        <f t="shared" si="29"/>
        <v>4485.2346000000007</v>
      </c>
    </row>
    <row r="293" spans="1:11" x14ac:dyDescent="0.25">
      <c r="A293" t="str">
        <f>Original!A288</f>
        <v>ORD-2025-541048</v>
      </c>
      <c r="B293">
        <f>Original!R288</f>
        <v>7.02</v>
      </c>
      <c r="C293">
        <f>Original!S288</f>
        <v>6.28</v>
      </c>
      <c r="D293" s="6">
        <f>Original!T288</f>
        <v>0.13400000000000001</v>
      </c>
      <c r="E293" s="6">
        <f>Original!V288</f>
        <v>14</v>
      </c>
      <c r="F293" s="6">
        <f t="shared" si="24"/>
        <v>0.13400000000000001</v>
      </c>
      <c r="G293">
        <f t="shared" si="25"/>
        <v>7.3709999999999996</v>
      </c>
      <c r="H293">
        <f t="shared" si="26"/>
        <v>15.400000000000002</v>
      </c>
      <c r="I293">
        <f t="shared" si="27"/>
        <v>83.752592000000021</v>
      </c>
      <c r="J293">
        <f t="shared" si="28"/>
        <v>-29.760807999999983</v>
      </c>
      <c r="K293">
        <f t="shared" si="29"/>
        <v>113.5134</v>
      </c>
    </row>
    <row r="294" spans="1:11" x14ac:dyDescent="0.25">
      <c r="A294" t="str">
        <f>Original!A289</f>
        <v>ORD-2024-862371</v>
      </c>
      <c r="B294">
        <f>Original!R289</f>
        <v>1066.6500000000001</v>
      </c>
      <c r="C294">
        <f>Original!S289</f>
        <v>2569.77</v>
      </c>
      <c r="D294" s="6">
        <f>Original!T289</f>
        <v>0.13400000000000001</v>
      </c>
      <c r="E294" s="6">
        <f>Original!V289</f>
        <v>9</v>
      </c>
      <c r="F294" s="6">
        <f t="shared" si="24"/>
        <v>0.13400000000000001</v>
      </c>
      <c r="G294">
        <f t="shared" si="25"/>
        <v>1119.9825000000001</v>
      </c>
      <c r="H294">
        <f t="shared" si="26"/>
        <v>9.9</v>
      </c>
      <c r="I294">
        <f t="shared" si="27"/>
        <v>22031.666118000001</v>
      </c>
      <c r="J294">
        <f t="shared" si="28"/>
        <v>10943.839367999999</v>
      </c>
      <c r="K294">
        <f t="shared" si="29"/>
        <v>11087.826750000002</v>
      </c>
    </row>
    <row r="295" spans="1:11" x14ac:dyDescent="0.25">
      <c r="A295" t="str">
        <f>Original!A290</f>
        <v>ORD-2024-277241</v>
      </c>
      <c r="B295">
        <f>Original!R290</f>
        <v>798.45</v>
      </c>
      <c r="C295">
        <f>Original!S290</f>
        <v>1592.02</v>
      </c>
      <c r="D295" s="6">
        <f>Original!T290</f>
        <v>6.6000000000000003E-2</v>
      </c>
      <c r="E295" s="6">
        <f>Original!V290</f>
        <v>18</v>
      </c>
      <c r="F295" s="6">
        <f t="shared" si="24"/>
        <v>6.6000000000000003E-2</v>
      </c>
      <c r="G295">
        <f t="shared" si="25"/>
        <v>838.37250000000006</v>
      </c>
      <c r="H295">
        <f t="shared" si="26"/>
        <v>19.8</v>
      </c>
      <c r="I295">
        <f t="shared" si="27"/>
        <v>29441.544263999996</v>
      </c>
      <c r="J295">
        <f t="shared" si="28"/>
        <v>12841.768763999993</v>
      </c>
      <c r="K295">
        <f t="shared" si="29"/>
        <v>16599.775500000003</v>
      </c>
    </row>
    <row r="296" spans="1:11" x14ac:dyDescent="0.25">
      <c r="A296" t="str">
        <f>Original!A291</f>
        <v>ORD-2023-369150</v>
      </c>
      <c r="B296">
        <f>Original!R291</f>
        <v>1271.56</v>
      </c>
      <c r="C296">
        <f>Original!S291</f>
        <v>995.47</v>
      </c>
      <c r="D296" s="6">
        <f>Original!T291</f>
        <v>0.192</v>
      </c>
      <c r="E296" s="6">
        <f>Original!V291</f>
        <v>13</v>
      </c>
      <c r="F296" s="6">
        <f t="shared" si="24"/>
        <v>0.192</v>
      </c>
      <c r="G296">
        <f t="shared" si="25"/>
        <v>1335.1379999999999</v>
      </c>
      <c r="H296">
        <f t="shared" si="26"/>
        <v>14.3</v>
      </c>
      <c r="I296">
        <f t="shared" si="27"/>
        <v>11502.058568000002</v>
      </c>
      <c r="J296">
        <f t="shared" si="28"/>
        <v>-7590.4148319999967</v>
      </c>
      <c r="K296">
        <f t="shared" si="29"/>
        <v>19092.473399999999</v>
      </c>
    </row>
    <row r="297" spans="1:11" x14ac:dyDescent="0.25">
      <c r="A297" t="str">
        <f>Original!A292</f>
        <v>ORD-2025-922513</v>
      </c>
      <c r="B297">
        <f>Original!R292</f>
        <v>521.05999999999995</v>
      </c>
      <c r="C297">
        <f>Original!S292</f>
        <v>1240.31</v>
      </c>
      <c r="D297" s="6">
        <f>Original!T292</f>
        <v>0.14599999999999999</v>
      </c>
      <c r="E297" s="6">
        <f>Original!V292</f>
        <v>18</v>
      </c>
      <c r="F297" s="6">
        <f t="shared" si="24"/>
        <v>0.14599999999999999</v>
      </c>
      <c r="G297">
        <f t="shared" si="25"/>
        <v>547.11299999999994</v>
      </c>
      <c r="H297">
        <f t="shared" si="26"/>
        <v>19.8</v>
      </c>
      <c r="I297">
        <f t="shared" si="27"/>
        <v>20972.649851999999</v>
      </c>
      <c r="J297">
        <f t="shared" si="28"/>
        <v>10139.812452</v>
      </c>
      <c r="K297">
        <f t="shared" si="29"/>
        <v>10832.837399999999</v>
      </c>
    </row>
    <row r="298" spans="1:11" x14ac:dyDescent="0.25">
      <c r="A298" t="str">
        <f>Original!A293</f>
        <v>ORD-2025-752845</v>
      </c>
      <c r="B298">
        <f>Original!R293</f>
        <v>71.62</v>
      </c>
      <c r="C298">
        <f>Original!S293</f>
        <v>118.37</v>
      </c>
      <c r="D298" s="6">
        <f>Original!T293</f>
        <v>0.156</v>
      </c>
      <c r="E298" s="6">
        <f>Original!V293</f>
        <v>11</v>
      </c>
      <c r="F298" s="6">
        <f t="shared" si="24"/>
        <v>0.156</v>
      </c>
      <c r="G298">
        <f t="shared" si="25"/>
        <v>75.201000000000008</v>
      </c>
      <c r="H298">
        <f t="shared" si="26"/>
        <v>12.100000000000001</v>
      </c>
      <c r="I298">
        <f t="shared" si="27"/>
        <v>1208.8417880000002</v>
      </c>
      <c r="J298">
        <f t="shared" si="28"/>
        <v>298.90968799999996</v>
      </c>
      <c r="K298">
        <f t="shared" si="29"/>
        <v>909.93210000000022</v>
      </c>
    </row>
    <row r="299" spans="1:11" x14ac:dyDescent="0.25">
      <c r="A299" t="str">
        <f>Original!A294</f>
        <v>ORD-2023-667815</v>
      </c>
      <c r="B299">
        <f>Original!R294</f>
        <v>1142.48</v>
      </c>
      <c r="C299">
        <f>Original!S294</f>
        <v>2105.5300000000002</v>
      </c>
      <c r="D299" s="6">
        <f>Original!T294</f>
        <v>0.20699999999999999</v>
      </c>
      <c r="E299" s="6">
        <f>Original!V294</f>
        <v>14</v>
      </c>
      <c r="F299" s="6">
        <f t="shared" si="24"/>
        <v>0.2</v>
      </c>
      <c r="G299">
        <f t="shared" si="25"/>
        <v>1199.604</v>
      </c>
      <c r="H299">
        <f t="shared" si="26"/>
        <v>15.400000000000002</v>
      </c>
      <c r="I299">
        <f t="shared" si="27"/>
        <v>25940.129600000007</v>
      </c>
      <c r="J299">
        <f t="shared" si="28"/>
        <v>7466.2280000000028</v>
      </c>
      <c r="K299">
        <f t="shared" si="29"/>
        <v>18473.901600000005</v>
      </c>
    </row>
    <row r="300" spans="1:11" x14ac:dyDescent="0.25">
      <c r="A300" t="str">
        <f>Original!A295</f>
        <v>ORD-2023-375011</v>
      </c>
      <c r="B300">
        <f>Original!R295</f>
        <v>209.81</v>
      </c>
      <c r="C300">
        <f>Original!S295</f>
        <v>523</v>
      </c>
      <c r="D300" s="6">
        <f>Original!T295</f>
        <v>5.8999999999999997E-2</v>
      </c>
      <c r="E300" s="6">
        <f>Original!V295</f>
        <v>15</v>
      </c>
      <c r="F300" s="6">
        <f t="shared" si="24"/>
        <v>5.8999999999999997E-2</v>
      </c>
      <c r="G300">
        <f t="shared" si="25"/>
        <v>220.3005</v>
      </c>
      <c r="H300">
        <f t="shared" si="26"/>
        <v>16.5</v>
      </c>
      <c r="I300">
        <f t="shared" si="27"/>
        <v>8120.3595000000005</v>
      </c>
      <c r="J300">
        <f t="shared" si="28"/>
        <v>4485.4012500000008</v>
      </c>
      <c r="K300">
        <f t="shared" si="29"/>
        <v>3634.9582500000001</v>
      </c>
    </row>
    <row r="301" spans="1:11" x14ac:dyDescent="0.25">
      <c r="A301" t="str">
        <f>Original!A296</f>
        <v>ORD-2025-487025</v>
      </c>
      <c r="B301">
        <f>Original!R296</f>
        <v>786.2</v>
      </c>
      <c r="C301">
        <f>Original!S296</f>
        <v>1075.3</v>
      </c>
      <c r="D301" s="6">
        <f>Original!T296</f>
        <v>0.08</v>
      </c>
      <c r="E301" s="6">
        <f>Original!V296</f>
        <v>9</v>
      </c>
      <c r="F301" s="6">
        <f t="shared" si="24"/>
        <v>0.08</v>
      </c>
      <c r="G301">
        <f t="shared" si="25"/>
        <v>825.5100000000001</v>
      </c>
      <c r="H301">
        <f t="shared" si="26"/>
        <v>9.9</v>
      </c>
      <c r="I301">
        <f t="shared" si="27"/>
        <v>9793.8323999999993</v>
      </c>
      <c r="J301">
        <f t="shared" si="28"/>
        <v>1621.2833999999984</v>
      </c>
      <c r="K301">
        <f t="shared" si="29"/>
        <v>8172.5490000000009</v>
      </c>
    </row>
    <row r="302" spans="1:11" x14ac:dyDescent="0.25">
      <c r="A302" t="str">
        <f>Original!A297</f>
        <v>ORD-2025-398335</v>
      </c>
      <c r="B302">
        <f>Original!R297</f>
        <v>1362.31</v>
      </c>
      <c r="C302">
        <f>Original!S297</f>
        <v>3294.57</v>
      </c>
      <c r="D302" s="6">
        <f>Original!T297</f>
        <v>0.113</v>
      </c>
      <c r="E302" s="6">
        <f>Original!V297</f>
        <v>7</v>
      </c>
      <c r="F302" s="6">
        <f t="shared" si="24"/>
        <v>0.113</v>
      </c>
      <c r="G302">
        <f t="shared" si="25"/>
        <v>1430.4255000000001</v>
      </c>
      <c r="H302">
        <f t="shared" si="26"/>
        <v>7.7000000000000011</v>
      </c>
      <c r="I302">
        <f t="shared" si="27"/>
        <v>22501.583643000005</v>
      </c>
      <c r="J302">
        <f t="shared" si="28"/>
        <v>11487.307293000003</v>
      </c>
      <c r="K302">
        <f t="shared" si="29"/>
        <v>11014.276350000002</v>
      </c>
    </row>
    <row r="303" spans="1:11" x14ac:dyDescent="0.25">
      <c r="A303" t="str">
        <f>Original!A298</f>
        <v>ORD-2024-792137</v>
      </c>
      <c r="B303">
        <f>Original!R298</f>
        <v>248.24</v>
      </c>
      <c r="C303">
        <f>Original!S298</f>
        <v>464.05</v>
      </c>
      <c r="D303" s="6">
        <f>Original!T298</f>
        <v>0.16900000000000001</v>
      </c>
      <c r="E303" s="6">
        <f>Original!V298</f>
        <v>11</v>
      </c>
      <c r="F303" s="6">
        <f t="shared" si="24"/>
        <v>0.16900000000000001</v>
      </c>
      <c r="G303">
        <f t="shared" si="25"/>
        <v>260.65200000000004</v>
      </c>
      <c r="H303">
        <f t="shared" si="26"/>
        <v>12.100000000000001</v>
      </c>
      <c r="I303">
        <f t="shared" si="27"/>
        <v>4666.069155000001</v>
      </c>
      <c r="J303">
        <f t="shared" si="28"/>
        <v>1512.1799550000001</v>
      </c>
      <c r="K303">
        <f t="shared" si="29"/>
        <v>3153.889200000001</v>
      </c>
    </row>
    <row r="304" spans="1:11" x14ac:dyDescent="0.25">
      <c r="A304" t="str">
        <f>Original!A299</f>
        <v>ORD-2023-602648</v>
      </c>
      <c r="B304">
        <f>Original!R299</f>
        <v>337</v>
      </c>
      <c r="C304">
        <f>Original!S299</f>
        <v>511.03</v>
      </c>
      <c r="D304" s="6">
        <f>Original!T299</f>
        <v>0.108</v>
      </c>
      <c r="E304" s="6">
        <f>Original!V299</f>
        <v>7</v>
      </c>
      <c r="F304" s="6">
        <f t="shared" si="24"/>
        <v>0.108</v>
      </c>
      <c r="G304">
        <f t="shared" si="25"/>
        <v>353.85</v>
      </c>
      <c r="H304">
        <f t="shared" si="26"/>
        <v>7.7000000000000011</v>
      </c>
      <c r="I304">
        <f t="shared" si="27"/>
        <v>3509.9584520000003</v>
      </c>
      <c r="J304">
        <f t="shared" si="28"/>
        <v>785.31345199999987</v>
      </c>
      <c r="K304">
        <f t="shared" si="29"/>
        <v>2724.6450000000004</v>
      </c>
    </row>
    <row r="305" spans="1:11" x14ac:dyDescent="0.25">
      <c r="A305" t="str">
        <f>Original!A300</f>
        <v>ORD-2024-207096</v>
      </c>
      <c r="B305">
        <f>Original!R300</f>
        <v>5.66</v>
      </c>
      <c r="C305">
        <f>Original!S300</f>
        <v>4.22</v>
      </c>
      <c r="D305" s="6">
        <f>Original!T300</f>
        <v>0.11899999999999999</v>
      </c>
      <c r="E305" s="6">
        <f>Original!V300</f>
        <v>18</v>
      </c>
      <c r="F305" s="6">
        <f t="shared" si="24"/>
        <v>0.11899999999999999</v>
      </c>
      <c r="G305">
        <f t="shared" si="25"/>
        <v>5.9430000000000005</v>
      </c>
      <c r="H305">
        <f t="shared" si="26"/>
        <v>19.8</v>
      </c>
      <c r="I305">
        <f t="shared" si="27"/>
        <v>73.612836000000001</v>
      </c>
      <c r="J305">
        <f t="shared" si="28"/>
        <v>-44.058564000000018</v>
      </c>
      <c r="K305">
        <f t="shared" si="29"/>
        <v>117.67140000000002</v>
      </c>
    </row>
    <row r="306" spans="1:11" x14ac:dyDescent="0.25">
      <c r="A306" t="str">
        <f>Original!A301</f>
        <v>ORD-2025-939953</v>
      </c>
      <c r="B306">
        <f>Original!R301</f>
        <v>591.72</v>
      </c>
      <c r="C306">
        <f>Original!S301</f>
        <v>577.24</v>
      </c>
      <c r="D306" s="6">
        <f>Original!T301</f>
        <v>0</v>
      </c>
      <c r="E306" s="6">
        <f>Original!V301</f>
        <v>22</v>
      </c>
      <c r="F306" s="6">
        <f t="shared" si="24"/>
        <v>0</v>
      </c>
      <c r="G306">
        <f t="shared" si="25"/>
        <v>621.30600000000004</v>
      </c>
      <c r="H306">
        <f t="shared" si="26"/>
        <v>24.200000000000003</v>
      </c>
      <c r="I306">
        <f t="shared" si="27"/>
        <v>13969.208000000002</v>
      </c>
      <c r="J306">
        <f t="shared" si="28"/>
        <v>-1066.3972000000012</v>
      </c>
      <c r="K306">
        <f t="shared" si="29"/>
        <v>15035.605200000004</v>
      </c>
    </row>
    <row r="307" spans="1:11" x14ac:dyDescent="0.25">
      <c r="A307" t="str">
        <f>Original!A302</f>
        <v>ORD-2025-191328</v>
      </c>
      <c r="B307">
        <f>Original!R302</f>
        <v>862.89</v>
      </c>
      <c r="C307">
        <f>Original!S302</f>
        <v>1426.03</v>
      </c>
      <c r="D307" s="6">
        <f>Original!T302</f>
        <v>5.6000000000000001E-2</v>
      </c>
      <c r="E307" s="6">
        <f>Original!V302</f>
        <v>19</v>
      </c>
      <c r="F307" s="6">
        <f t="shared" si="24"/>
        <v>5.6000000000000001E-2</v>
      </c>
      <c r="G307">
        <f t="shared" si="25"/>
        <v>906.03449999999998</v>
      </c>
      <c r="H307">
        <f t="shared" si="26"/>
        <v>20.900000000000002</v>
      </c>
      <c r="I307">
        <f t="shared" si="27"/>
        <v>28135.001488000002</v>
      </c>
      <c r="J307">
        <f t="shared" si="28"/>
        <v>9198.8804380000001</v>
      </c>
      <c r="K307">
        <f t="shared" si="29"/>
        <v>18936.121050000002</v>
      </c>
    </row>
    <row r="308" spans="1:11" x14ac:dyDescent="0.25">
      <c r="A308" t="str">
        <f>Original!A303</f>
        <v>ORD-2023-166668</v>
      </c>
      <c r="B308">
        <f>Original!R303</f>
        <v>649.91</v>
      </c>
      <c r="C308">
        <f>Original!S303</f>
        <v>1360.12</v>
      </c>
      <c r="D308" s="6">
        <f>Original!T303</f>
        <v>0.19400000000000001</v>
      </c>
      <c r="E308" s="6">
        <f>Original!V303</f>
        <v>9</v>
      </c>
      <c r="F308" s="6">
        <f t="shared" si="24"/>
        <v>0.19400000000000001</v>
      </c>
      <c r="G308">
        <f t="shared" si="25"/>
        <v>682.40549999999996</v>
      </c>
      <c r="H308">
        <f t="shared" si="26"/>
        <v>9.9</v>
      </c>
      <c r="I308">
        <f t="shared" si="27"/>
        <v>10852.941528000001</v>
      </c>
      <c r="J308">
        <f t="shared" si="28"/>
        <v>4097.1270780000013</v>
      </c>
      <c r="K308">
        <f t="shared" si="29"/>
        <v>6755.8144499999999</v>
      </c>
    </row>
    <row r="309" spans="1:11" x14ac:dyDescent="0.25">
      <c r="A309" t="str">
        <f>Original!A304</f>
        <v>ORD-2023-594700</v>
      </c>
      <c r="B309">
        <f>Original!R304</f>
        <v>1269.55</v>
      </c>
      <c r="C309">
        <f>Original!S304</f>
        <v>2071.1</v>
      </c>
      <c r="D309" s="6">
        <f>Original!T304</f>
        <v>0.129</v>
      </c>
      <c r="E309" s="6">
        <f>Original!V304</f>
        <v>22</v>
      </c>
      <c r="F309" s="6">
        <f t="shared" si="24"/>
        <v>0.129</v>
      </c>
      <c r="G309">
        <f t="shared" si="25"/>
        <v>1333.0274999999999</v>
      </c>
      <c r="H309">
        <f t="shared" si="26"/>
        <v>24.200000000000003</v>
      </c>
      <c r="I309">
        <f t="shared" si="27"/>
        <v>43655.060020000004</v>
      </c>
      <c r="J309">
        <f t="shared" si="28"/>
        <v>11395.794520000003</v>
      </c>
      <c r="K309">
        <f t="shared" si="29"/>
        <v>32259.265500000001</v>
      </c>
    </row>
    <row r="310" spans="1:11" x14ac:dyDescent="0.25">
      <c r="A310" t="str">
        <f>Original!A305</f>
        <v>ORD-2025-278048</v>
      </c>
      <c r="B310">
        <f>Original!R305</f>
        <v>892.73</v>
      </c>
      <c r="C310">
        <f>Original!S305</f>
        <v>979.84</v>
      </c>
      <c r="D310" s="6">
        <f>Original!T305</f>
        <v>0.17399999999999999</v>
      </c>
      <c r="E310" s="6">
        <f>Original!V305</f>
        <v>10</v>
      </c>
      <c r="F310" s="6">
        <f t="shared" si="24"/>
        <v>0.17399999999999999</v>
      </c>
      <c r="G310">
        <f t="shared" si="25"/>
        <v>937.36650000000009</v>
      </c>
      <c r="H310">
        <f t="shared" si="26"/>
        <v>11</v>
      </c>
      <c r="I310">
        <f t="shared" si="27"/>
        <v>8902.8262400000003</v>
      </c>
      <c r="J310">
        <f t="shared" si="28"/>
        <v>-1408.2052600000006</v>
      </c>
      <c r="K310">
        <f t="shared" si="29"/>
        <v>10311.031500000001</v>
      </c>
    </row>
    <row r="311" spans="1:11" x14ac:dyDescent="0.25">
      <c r="A311" t="str">
        <f>Original!A306</f>
        <v>ORD-2024-878493</v>
      </c>
      <c r="B311">
        <f>Original!R306</f>
        <v>231.63</v>
      </c>
      <c r="C311">
        <f>Original!S306</f>
        <v>537.39</v>
      </c>
      <c r="D311" s="6">
        <f>Original!T306</f>
        <v>0.08</v>
      </c>
      <c r="E311" s="6">
        <f>Original!V306</f>
        <v>12</v>
      </c>
      <c r="F311" s="6">
        <f t="shared" si="24"/>
        <v>0.08</v>
      </c>
      <c r="G311">
        <f t="shared" si="25"/>
        <v>243.2115</v>
      </c>
      <c r="H311">
        <f t="shared" si="26"/>
        <v>13.200000000000001</v>
      </c>
      <c r="I311">
        <f t="shared" si="27"/>
        <v>6526.0641600000008</v>
      </c>
      <c r="J311">
        <f t="shared" si="28"/>
        <v>3315.6723600000005</v>
      </c>
      <c r="K311">
        <f t="shared" si="29"/>
        <v>3210.3918000000003</v>
      </c>
    </row>
    <row r="312" spans="1:11" x14ac:dyDescent="0.25">
      <c r="A312" t="str">
        <f>Original!A307</f>
        <v>ORD-2025-138578</v>
      </c>
      <c r="B312">
        <f>Original!R307</f>
        <v>86.68</v>
      </c>
      <c r="C312">
        <f>Original!S307</f>
        <v>213.32</v>
      </c>
      <c r="D312" s="6">
        <f>Original!T307</f>
        <v>3.7999999999999999E-2</v>
      </c>
      <c r="E312" s="6">
        <f>Original!V307</f>
        <v>8</v>
      </c>
      <c r="F312" s="6">
        <f t="shared" si="24"/>
        <v>3.7999999999999999E-2</v>
      </c>
      <c r="G312">
        <f t="shared" si="25"/>
        <v>91.01400000000001</v>
      </c>
      <c r="H312">
        <f t="shared" si="26"/>
        <v>8.8000000000000007</v>
      </c>
      <c r="I312">
        <f t="shared" si="27"/>
        <v>1805.8817920000001</v>
      </c>
      <c r="J312">
        <f t="shared" si="28"/>
        <v>1004.958592</v>
      </c>
      <c r="K312">
        <f t="shared" si="29"/>
        <v>800.92320000000018</v>
      </c>
    </row>
    <row r="313" spans="1:11" x14ac:dyDescent="0.25">
      <c r="A313" t="str">
        <f>Original!A308</f>
        <v>ORD-2025-944081</v>
      </c>
      <c r="B313">
        <f>Original!R308</f>
        <v>1450.43</v>
      </c>
      <c r="C313">
        <f>Original!S308</f>
        <v>1994.67</v>
      </c>
      <c r="D313" s="6">
        <f>Original!T308</f>
        <v>0.1</v>
      </c>
      <c r="E313" s="6">
        <f>Original!V308</f>
        <v>24</v>
      </c>
      <c r="F313" s="6">
        <f t="shared" si="24"/>
        <v>0.1</v>
      </c>
      <c r="G313">
        <f t="shared" si="25"/>
        <v>1522.9515000000001</v>
      </c>
      <c r="H313">
        <f t="shared" si="26"/>
        <v>26.400000000000002</v>
      </c>
      <c r="I313">
        <f t="shared" si="27"/>
        <v>47393.359200000006</v>
      </c>
      <c r="J313">
        <f t="shared" si="28"/>
        <v>7187.4395999999979</v>
      </c>
      <c r="K313">
        <f t="shared" si="29"/>
        <v>40205.919600000008</v>
      </c>
    </row>
    <row r="314" spans="1:11" x14ac:dyDescent="0.25">
      <c r="A314" t="str">
        <f>Original!A309</f>
        <v>ORD-2025-364852</v>
      </c>
      <c r="B314">
        <f>Original!R309</f>
        <v>382.96</v>
      </c>
      <c r="C314">
        <f>Original!S309</f>
        <v>552.84</v>
      </c>
      <c r="D314" s="6">
        <f>Original!T309</f>
        <v>0.17599999999999999</v>
      </c>
      <c r="E314" s="6">
        <f>Original!V309</f>
        <v>8</v>
      </c>
      <c r="F314" s="6">
        <f t="shared" si="24"/>
        <v>0.17599999999999999</v>
      </c>
      <c r="G314">
        <f t="shared" si="25"/>
        <v>402.108</v>
      </c>
      <c r="H314">
        <f t="shared" si="26"/>
        <v>8.8000000000000007</v>
      </c>
      <c r="I314">
        <f t="shared" si="27"/>
        <v>4008.7534080000014</v>
      </c>
      <c r="J314">
        <f t="shared" si="28"/>
        <v>470.20300800000086</v>
      </c>
      <c r="K314">
        <f t="shared" si="29"/>
        <v>3538.5504000000005</v>
      </c>
    </row>
    <row r="315" spans="1:11" x14ac:dyDescent="0.25">
      <c r="A315" t="str">
        <f>Original!A310</f>
        <v>ORD-2025-415018</v>
      </c>
      <c r="B315">
        <f>Original!R310</f>
        <v>122.29</v>
      </c>
      <c r="C315">
        <f>Original!S310</f>
        <v>224.95</v>
      </c>
      <c r="D315" s="6">
        <f>Original!T310</f>
        <v>0.153</v>
      </c>
      <c r="E315" s="6">
        <f>Original!V310</f>
        <v>28</v>
      </c>
      <c r="F315" s="6">
        <f t="shared" si="24"/>
        <v>0.153</v>
      </c>
      <c r="G315">
        <f t="shared" si="25"/>
        <v>128.40450000000001</v>
      </c>
      <c r="H315">
        <f t="shared" si="26"/>
        <v>30.800000000000004</v>
      </c>
      <c r="I315">
        <f t="shared" si="27"/>
        <v>5868.4056200000005</v>
      </c>
      <c r="J315">
        <f t="shared" si="28"/>
        <v>1913.5470199999995</v>
      </c>
      <c r="K315">
        <f t="shared" si="29"/>
        <v>3954.8586000000009</v>
      </c>
    </row>
    <row r="316" spans="1:11" x14ac:dyDescent="0.25">
      <c r="A316" t="str">
        <f>Original!A311</f>
        <v>ORD-2023-884192</v>
      </c>
      <c r="B316">
        <f>Original!R311</f>
        <v>401.66</v>
      </c>
      <c r="C316">
        <f>Original!S311</f>
        <v>772.09</v>
      </c>
      <c r="D316" s="6">
        <f>Original!T311</f>
        <v>8.8999999999999996E-2</v>
      </c>
      <c r="E316" s="6">
        <f>Original!V311</f>
        <v>14</v>
      </c>
      <c r="F316" s="6">
        <f t="shared" si="24"/>
        <v>8.8999999999999996E-2</v>
      </c>
      <c r="G316">
        <f t="shared" si="25"/>
        <v>421.74300000000005</v>
      </c>
      <c r="H316">
        <f t="shared" si="26"/>
        <v>15.400000000000002</v>
      </c>
      <c r="I316">
        <f t="shared" si="27"/>
        <v>10831.959446000003</v>
      </c>
      <c r="J316">
        <f t="shared" si="28"/>
        <v>4337.1172460000007</v>
      </c>
      <c r="K316">
        <f t="shared" si="29"/>
        <v>6494.8422000000019</v>
      </c>
    </row>
    <row r="317" spans="1:11" x14ac:dyDescent="0.25">
      <c r="A317" t="str">
        <f>Original!A312</f>
        <v>ORD-2024-165942</v>
      </c>
      <c r="B317">
        <f>Original!R312</f>
        <v>1399.72</v>
      </c>
      <c r="C317">
        <f>Original!S312</f>
        <v>3149.21</v>
      </c>
      <c r="D317" s="6">
        <f>Original!T312</f>
        <v>0.185</v>
      </c>
      <c r="E317" s="6">
        <f>Original!V312</f>
        <v>12</v>
      </c>
      <c r="F317" s="6">
        <f t="shared" si="24"/>
        <v>0.185</v>
      </c>
      <c r="G317">
        <f t="shared" si="25"/>
        <v>1469.7060000000001</v>
      </c>
      <c r="H317">
        <f t="shared" si="26"/>
        <v>13.200000000000001</v>
      </c>
      <c r="I317">
        <f t="shared" si="27"/>
        <v>33879.201180000004</v>
      </c>
      <c r="J317">
        <f t="shared" si="28"/>
        <v>14479.081979999999</v>
      </c>
      <c r="K317">
        <f t="shared" si="29"/>
        <v>19400.119200000005</v>
      </c>
    </row>
    <row r="318" spans="1:11" x14ac:dyDescent="0.25">
      <c r="A318" t="str">
        <f>Original!A313</f>
        <v>ORD-2024-403664</v>
      </c>
      <c r="B318">
        <f>Original!R313</f>
        <v>51.13</v>
      </c>
      <c r="C318">
        <f>Original!S313</f>
        <v>57.53</v>
      </c>
      <c r="D318" s="6">
        <f>Original!T313</f>
        <v>4.4999999999999998E-2</v>
      </c>
      <c r="E318" s="6">
        <f>Original!V313</f>
        <v>16</v>
      </c>
      <c r="F318" s="6">
        <f t="shared" si="24"/>
        <v>4.4999999999999998E-2</v>
      </c>
      <c r="G318">
        <f t="shared" si="25"/>
        <v>53.686500000000002</v>
      </c>
      <c r="H318">
        <f t="shared" si="26"/>
        <v>17.600000000000001</v>
      </c>
      <c r="I318">
        <f t="shared" si="27"/>
        <v>966.96424000000013</v>
      </c>
      <c r="J318">
        <f t="shared" si="28"/>
        <v>22.081840000000057</v>
      </c>
      <c r="K318">
        <f t="shared" si="29"/>
        <v>944.88240000000008</v>
      </c>
    </row>
    <row r="319" spans="1:11" x14ac:dyDescent="0.25">
      <c r="A319" t="str">
        <f>Original!A314</f>
        <v>ORD-2023-890605</v>
      </c>
      <c r="B319">
        <f>Original!R314</f>
        <v>471.42</v>
      </c>
      <c r="C319">
        <f>Original!S314</f>
        <v>824.81</v>
      </c>
      <c r="D319" s="6">
        <f>Original!T314</f>
        <v>8.7999999999999995E-2</v>
      </c>
      <c r="E319" s="6">
        <f>Original!V314</f>
        <v>15</v>
      </c>
      <c r="F319" s="6">
        <f t="shared" si="24"/>
        <v>8.7999999999999995E-2</v>
      </c>
      <c r="G319">
        <f t="shared" si="25"/>
        <v>494.99100000000004</v>
      </c>
      <c r="H319">
        <f t="shared" si="26"/>
        <v>16.5</v>
      </c>
      <c r="I319">
        <f t="shared" si="27"/>
        <v>12411.740879999999</v>
      </c>
      <c r="J319">
        <f t="shared" si="28"/>
        <v>4244.3893799999987</v>
      </c>
      <c r="K319">
        <f t="shared" si="29"/>
        <v>8167.3515000000007</v>
      </c>
    </row>
    <row r="320" spans="1:11" x14ac:dyDescent="0.25">
      <c r="A320" t="str">
        <f>Original!A315</f>
        <v>ORD-2024-925626</v>
      </c>
      <c r="B320">
        <f>Original!R315</f>
        <v>840.68</v>
      </c>
      <c r="C320">
        <f>Original!S315</f>
        <v>1493.53</v>
      </c>
      <c r="D320" s="6">
        <f>Original!T315</f>
        <v>0</v>
      </c>
      <c r="E320" s="6">
        <f>Original!V315</f>
        <v>27</v>
      </c>
      <c r="F320" s="6">
        <f t="shared" si="24"/>
        <v>0</v>
      </c>
      <c r="G320">
        <f t="shared" si="25"/>
        <v>882.71399999999994</v>
      </c>
      <c r="H320">
        <f t="shared" si="26"/>
        <v>29.700000000000003</v>
      </c>
      <c r="I320">
        <f t="shared" si="27"/>
        <v>44357.841</v>
      </c>
      <c r="J320">
        <f t="shared" si="28"/>
        <v>18141.235199999999</v>
      </c>
      <c r="K320">
        <f t="shared" si="29"/>
        <v>26216.605800000001</v>
      </c>
    </row>
    <row r="321" spans="1:11" x14ac:dyDescent="0.25">
      <c r="A321" t="str">
        <f>Original!A316</f>
        <v>ORD-2024-427031</v>
      </c>
      <c r="B321">
        <f>Original!R316</f>
        <v>597.85</v>
      </c>
      <c r="C321">
        <f>Original!S316</f>
        <v>741.92</v>
      </c>
      <c r="D321" s="6">
        <f>Original!T316</f>
        <v>3.1E-2</v>
      </c>
      <c r="E321" s="6">
        <f>Original!V316</f>
        <v>7</v>
      </c>
      <c r="F321" s="6">
        <f t="shared" si="24"/>
        <v>3.1E-2</v>
      </c>
      <c r="G321">
        <f t="shared" si="25"/>
        <v>627.74250000000006</v>
      </c>
      <c r="H321">
        <f t="shared" si="26"/>
        <v>7.7000000000000011</v>
      </c>
      <c r="I321">
        <f t="shared" si="27"/>
        <v>5535.687696</v>
      </c>
      <c r="J321">
        <f t="shared" si="28"/>
        <v>702.07044599999881</v>
      </c>
      <c r="K321">
        <f t="shared" si="29"/>
        <v>4833.6172500000011</v>
      </c>
    </row>
    <row r="322" spans="1:11" x14ac:dyDescent="0.25">
      <c r="A322" t="str">
        <f>Original!A317</f>
        <v>ORD-2025-231184</v>
      </c>
      <c r="B322">
        <f>Original!R317</f>
        <v>379.45</v>
      </c>
      <c r="C322">
        <f>Original!S317</f>
        <v>742.23</v>
      </c>
      <c r="D322" s="6">
        <f>Original!T317</f>
        <v>0.09</v>
      </c>
      <c r="E322" s="6">
        <f>Original!V317</f>
        <v>13</v>
      </c>
      <c r="F322" s="6">
        <f t="shared" si="24"/>
        <v>0.09</v>
      </c>
      <c r="G322">
        <f t="shared" si="25"/>
        <v>398.42250000000001</v>
      </c>
      <c r="H322">
        <f t="shared" si="26"/>
        <v>14.3</v>
      </c>
      <c r="I322">
        <f t="shared" si="27"/>
        <v>9658.6389900000013</v>
      </c>
      <c r="J322">
        <f t="shared" si="28"/>
        <v>3961.1972400000004</v>
      </c>
      <c r="K322">
        <f t="shared" si="29"/>
        <v>5697.4417500000009</v>
      </c>
    </row>
    <row r="323" spans="1:11" x14ac:dyDescent="0.25">
      <c r="A323" t="str">
        <f>Original!A318</f>
        <v>ORD-2023-363031</v>
      </c>
      <c r="B323">
        <f>Original!R318</f>
        <v>291.18</v>
      </c>
      <c r="C323">
        <f>Original!S318</f>
        <v>479.54</v>
      </c>
      <c r="D323" s="6">
        <f>Original!T318</f>
        <v>0.14099999999999999</v>
      </c>
      <c r="E323" s="6">
        <f>Original!V318</f>
        <v>22</v>
      </c>
      <c r="F323" s="6">
        <f t="shared" si="24"/>
        <v>0.14099999999999999</v>
      </c>
      <c r="G323">
        <f t="shared" si="25"/>
        <v>305.73900000000003</v>
      </c>
      <c r="H323">
        <f t="shared" si="26"/>
        <v>24.200000000000003</v>
      </c>
      <c r="I323">
        <f t="shared" si="27"/>
        <v>9968.5816120000018</v>
      </c>
      <c r="J323">
        <f t="shared" si="28"/>
        <v>2569.6978120000003</v>
      </c>
      <c r="K323">
        <f t="shared" si="29"/>
        <v>7398.8838000000014</v>
      </c>
    </row>
    <row r="324" spans="1:11" x14ac:dyDescent="0.25">
      <c r="A324" t="str">
        <f>Original!A319</f>
        <v>ORD-2023-619570</v>
      </c>
      <c r="B324">
        <f>Original!R319</f>
        <v>1017.92</v>
      </c>
      <c r="C324">
        <f>Original!S319</f>
        <v>1175.25</v>
      </c>
      <c r="D324" s="6">
        <f>Original!T319</f>
        <v>7.4999999999999997E-2</v>
      </c>
      <c r="E324" s="6">
        <f>Original!V319</f>
        <v>15</v>
      </c>
      <c r="F324" s="6">
        <f t="shared" si="24"/>
        <v>7.4999999999999997E-2</v>
      </c>
      <c r="G324">
        <f t="shared" si="25"/>
        <v>1068.816</v>
      </c>
      <c r="H324">
        <f t="shared" si="26"/>
        <v>16.5</v>
      </c>
      <c r="I324">
        <f t="shared" si="27"/>
        <v>17937.253124999999</v>
      </c>
      <c r="J324">
        <f t="shared" si="28"/>
        <v>301.78912499999933</v>
      </c>
      <c r="K324">
        <f t="shared" si="29"/>
        <v>17635.464</v>
      </c>
    </row>
    <row r="325" spans="1:11" x14ac:dyDescent="0.25">
      <c r="A325" t="str">
        <f>Original!A320</f>
        <v>ORD-2025-861401</v>
      </c>
      <c r="B325">
        <f>Original!R320</f>
        <v>156.55000000000001</v>
      </c>
      <c r="C325">
        <f>Original!S320</f>
        <v>227.45</v>
      </c>
      <c r="D325" s="6">
        <f>Original!T320</f>
        <v>1.4E-2</v>
      </c>
      <c r="E325" s="6">
        <f>Original!V320</f>
        <v>13</v>
      </c>
      <c r="F325" s="6">
        <f t="shared" si="24"/>
        <v>1.4E-2</v>
      </c>
      <c r="G325">
        <f t="shared" si="25"/>
        <v>164.37750000000003</v>
      </c>
      <c r="H325">
        <f t="shared" si="26"/>
        <v>14.3</v>
      </c>
      <c r="I325">
        <f t="shared" si="27"/>
        <v>3206.9995099999996</v>
      </c>
      <c r="J325">
        <f t="shared" si="28"/>
        <v>856.40125999999918</v>
      </c>
      <c r="K325">
        <f t="shared" si="29"/>
        <v>2350.5982500000005</v>
      </c>
    </row>
    <row r="326" spans="1:11" x14ac:dyDescent="0.25">
      <c r="A326" t="str">
        <f>Original!A321</f>
        <v>ORD-2023-835010</v>
      </c>
      <c r="B326">
        <f>Original!R321</f>
        <v>875.36</v>
      </c>
      <c r="C326">
        <f>Original!S321</f>
        <v>1178.6199999999999</v>
      </c>
      <c r="D326" s="6">
        <f>Original!T321</f>
        <v>0.151</v>
      </c>
      <c r="E326" s="6">
        <f>Original!V321</f>
        <v>53</v>
      </c>
      <c r="F326" s="6">
        <f t="shared" si="24"/>
        <v>0.151</v>
      </c>
      <c r="G326">
        <f t="shared" si="25"/>
        <v>919.12800000000004</v>
      </c>
      <c r="H326">
        <f t="shared" si="26"/>
        <v>58.300000000000004</v>
      </c>
      <c r="I326">
        <f t="shared" si="27"/>
        <v>58337.800554000001</v>
      </c>
      <c r="J326">
        <f t="shared" si="28"/>
        <v>4752.6381539999929</v>
      </c>
      <c r="K326">
        <f t="shared" si="29"/>
        <v>53585.162400000008</v>
      </c>
    </row>
    <row r="327" spans="1:11" x14ac:dyDescent="0.25">
      <c r="A327" t="str">
        <f>Original!A322</f>
        <v>ORD-2024-819979</v>
      </c>
      <c r="B327">
        <f>Original!R322</f>
        <v>986.85</v>
      </c>
      <c r="C327">
        <f>Original!S322</f>
        <v>2422.1</v>
      </c>
      <c r="D327" s="6">
        <f>Original!T322</f>
        <v>7.5999999999999998E-2</v>
      </c>
      <c r="E327" s="6">
        <f>Original!V322</f>
        <v>10</v>
      </c>
      <c r="F327" s="6">
        <f t="shared" si="24"/>
        <v>7.5999999999999998E-2</v>
      </c>
      <c r="G327">
        <f t="shared" si="25"/>
        <v>1036.1925000000001</v>
      </c>
      <c r="H327">
        <f t="shared" si="26"/>
        <v>11</v>
      </c>
      <c r="I327">
        <f t="shared" si="27"/>
        <v>24618.224399999999</v>
      </c>
      <c r="J327">
        <f t="shared" si="28"/>
        <v>13220.106899999999</v>
      </c>
      <c r="K327">
        <f t="shared" si="29"/>
        <v>11398.1175</v>
      </c>
    </row>
    <row r="328" spans="1:11" x14ac:dyDescent="0.25">
      <c r="A328" t="str">
        <f>Original!A323</f>
        <v>ORD-2024-719055</v>
      </c>
      <c r="B328">
        <f>Original!R323</f>
        <v>404.77</v>
      </c>
      <c r="C328">
        <f>Original!S323</f>
        <v>433.88</v>
      </c>
      <c r="D328" s="6">
        <f>Original!T323</f>
        <v>0.215</v>
      </c>
      <c r="E328" s="6">
        <f>Original!V323</f>
        <v>22</v>
      </c>
      <c r="F328" s="6">
        <f t="shared" ref="F328:F391" si="30">MIN(D328,$B$2)</f>
        <v>0.2</v>
      </c>
      <c r="G328">
        <f t="shared" ref="G328:G391" si="31">B328*(1+$B$3)</f>
        <v>425.00850000000003</v>
      </c>
      <c r="H328">
        <f t="shared" ref="H328:H391" si="32">E328*(1+$B$4)</f>
        <v>24.200000000000003</v>
      </c>
      <c r="I328">
        <f t="shared" ref="I328:I391" si="33">C328*H328*(1-F328)</f>
        <v>8399.9168000000009</v>
      </c>
      <c r="J328">
        <f t="shared" ref="J328:J391" si="34">I328-K328</f>
        <v>-1885.2889000000014</v>
      </c>
      <c r="K328">
        <f t="shared" ref="K328:K391" si="35">G328*H328</f>
        <v>10285.205700000002</v>
      </c>
    </row>
    <row r="329" spans="1:11" x14ac:dyDescent="0.25">
      <c r="A329" t="str">
        <f>Original!A324</f>
        <v>ORD-2023-888245</v>
      </c>
      <c r="B329">
        <f>Original!R324</f>
        <v>1299.81</v>
      </c>
      <c r="C329">
        <f>Original!S324</f>
        <v>3149.13</v>
      </c>
      <c r="D329" s="6">
        <f>Original!T324</f>
        <v>0.10299999999999999</v>
      </c>
      <c r="E329" s="6">
        <f>Original!V324</f>
        <v>14</v>
      </c>
      <c r="F329" s="6">
        <f t="shared" si="30"/>
        <v>0.10299999999999999</v>
      </c>
      <c r="G329">
        <f t="shared" si="31"/>
        <v>1364.8005000000001</v>
      </c>
      <c r="H329">
        <f t="shared" si="32"/>
        <v>15.400000000000002</v>
      </c>
      <c r="I329">
        <f t="shared" si="33"/>
        <v>43501.45199400001</v>
      </c>
      <c r="J329">
        <f t="shared" si="34"/>
        <v>22483.524294000006</v>
      </c>
      <c r="K329">
        <f t="shared" si="35"/>
        <v>21017.927700000004</v>
      </c>
    </row>
    <row r="330" spans="1:11" x14ac:dyDescent="0.25">
      <c r="A330" t="str">
        <f>Original!A325</f>
        <v>ORD-2024-206121</v>
      </c>
      <c r="B330">
        <f>Original!R325</f>
        <v>80.48</v>
      </c>
      <c r="C330">
        <f>Original!S325</f>
        <v>65.650000000000006</v>
      </c>
      <c r="D330" s="6">
        <f>Original!T325</f>
        <v>0.17599999999999999</v>
      </c>
      <c r="E330" s="6">
        <f>Original!V325</f>
        <v>13</v>
      </c>
      <c r="F330" s="6">
        <f t="shared" si="30"/>
        <v>0.17599999999999999</v>
      </c>
      <c r="G330">
        <f t="shared" si="31"/>
        <v>84.504000000000005</v>
      </c>
      <c r="H330">
        <f t="shared" si="32"/>
        <v>14.3</v>
      </c>
      <c r="I330">
        <f t="shared" si="33"/>
        <v>773.56708000000015</v>
      </c>
      <c r="J330">
        <f t="shared" si="34"/>
        <v>-434.84011999999996</v>
      </c>
      <c r="K330">
        <f t="shared" si="35"/>
        <v>1208.4072000000001</v>
      </c>
    </row>
    <row r="331" spans="1:11" x14ac:dyDescent="0.25">
      <c r="A331" t="str">
        <f>Original!A326</f>
        <v>ORD-2024-500890</v>
      </c>
      <c r="B331">
        <f>Original!R326</f>
        <v>1010.33</v>
      </c>
      <c r="C331">
        <f>Original!S326</f>
        <v>2492.14</v>
      </c>
      <c r="D331" s="6">
        <f>Original!T326</f>
        <v>5.0999999999999997E-2</v>
      </c>
      <c r="E331" s="6">
        <f>Original!V326</f>
        <v>11</v>
      </c>
      <c r="F331" s="6">
        <f t="shared" si="30"/>
        <v>5.0999999999999997E-2</v>
      </c>
      <c r="G331">
        <f t="shared" si="31"/>
        <v>1060.8465000000001</v>
      </c>
      <c r="H331">
        <f t="shared" si="32"/>
        <v>12.100000000000001</v>
      </c>
      <c r="I331">
        <f t="shared" si="33"/>
        <v>28616.994405999998</v>
      </c>
      <c r="J331">
        <f t="shared" si="34"/>
        <v>15780.751755999996</v>
      </c>
      <c r="K331">
        <f t="shared" si="35"/>
        <v>12836.242650000002</v>
      </c>
    </row>
    <row r="332" spans="1:11" x14ac:dyDescent="0.25">
      <c r="A332" t="str">
        <f>Original!A327</f>
        <v>ORD-2023-144816</v>
      </c>
      <c r="B332">
        <f>Original!R327</f>
        <v>653.86</v>
      </c>
      <c r="C332">
        <f>Original!S327</f>
        <v>931.84</v>
      </c>
      <c r="D332" s="6">
        <f>Original!T327</f>
        <v>0.121</v>
      </c>
      <c r="E332" s="6">
        <f>Original!V327</f>
        <v>12</v>
      </c>
      <c r="F332" s="6">
        <f t="shared" si="30"/>
        <v>0.121</v>
      </c>
      <c r="G332">
        <f t="shared" si="31"/>
        <v>686.553</v>
      </c>
      <c r="H332">
        <f t="shared" si="32"/>
        <v>13.200000000000001</v>
      </c>
      <c r="I332">
        <f t="shared" si="33"/>
        <v>10811.953152000002</v>
      </c>
      <c r="J332">
        <f t="shared" si="34"/>
        <v>1749.4535520000009</v>
      </c>
      <c r="K332">
        <f t="shared" si="35"/>
        <v>9062.499600000001</v>
      </c>
    </row>
    <row r="333" spans="1:11" x14ac:dyDescent="0.25">
      <c r="A333" t="str">
        <f>Original!A328</f>
        <v>ORD-2024-153053</v>
      </c>
      <c r="B333">
        <f>Original!R328</f>
        <v>310.02</v>
      </c>
      <c r="C333">
        <f>Original!S328</f>
        <v>619.51</v>
      </c>
      <c r="D333" s="6">
        <f>Original!T328</f>
        <v>4.2000000000000003E-2</v>
      </c>
      <c r="E333" s="6">
        <f>Original!V328</f>
        <v>4</v>
      </c>
      <c r="F333" s="6">
        <f t="shared" si="30"/>
        <v>4.2000000000000003E-2</v>
      </c>
      <c r="G333">
        <f t="shared" si="31"/>
        <v>325.52100000000002</v>
      </c>
      <c r="H333">
        <f t="shared" si="32"/>
        <v>4.4000000000000004</v>
      </c>
      <c r="I333">
        <f t="shared" si="33"/>
        <v>2611.3585520000001</v>
      </c>
      <c r="J333">
        <f t="shared" si="34"/>
        <v>1179.0661519999999</v>
      </c>
      <c r="K333">
        <f t="shared" si="35"/>
        <v>1432.2924000000003</v>
      </c>
    </row>
    <row r="334" spans="1:11" x14ac:dyDescent="0.25">
      <c r="A334" t="str">
        <f>Original!A329</f>
        <v>ORD-2023-536542</v>
      </c>
      <c r="B334">
        <f>Original!R329</f>
        <v>894.23</v>
      </c>
      <c r="C334">
        <f>Original!S329</f>
        <v>1421.55</v>
      </c>
      <c r="D334" s="6">
        <f>Original!T329</f>
        <v>0.109</v>
      </c>
      <c r="E334" s="6">
        <f>Original!V329</f>
        <v>3</v>
      </c>
      <c r="F334" s="6">
        <f t="shared" si="30"/>
        <v>0.109</v>
      </c>
      <c r="G334">
        <f t="shared" si="31"/>
        <v>938.94150000000002</v>
      </c>
      <c r="H334">
        <f t="shared" si="32"/>
        <v>3.3000000000000003</v>
      </c>
      <c r="I334">
        <f t="shared" si="33"/>
        <v>4179.7834649999995</v>
      </c>
      <c r="J334">
        <f t="shared" si="34"/>
        <v>1081.2765149999991</v>
      </c>
      <c r="K334">
        <f t="shared" si="35"/>
        <v>3098.5069500000004</v>
      </c>
    </row>
    <row r="335" spans="1:11" x14ac:dyDescent="0.25">
      <c r="A335" t="str">
        <f>Original!A330</f>
        <v>ORD-2025-779530</v>
      </c>
      <c r="B335">
        <f>Original!R330</f>
        <v>383.77</v>
      </c>
      <c r="C335">
        <f>Original!S330</f>
        <v>952.56</v>
      </c>
      <c r="D335" s="6">
        <f>Original!T330</f>
        <v>0.34599999999999997</v>
      </c>
      <c r="E335" s="6">
        <f>Original!V330</f>
        <v>10</v>
      </c>
      <c r="F335" s="6">
        <f t="shared" si="30"/>
        <v>0.2</v>
      </c>
      <c r="G335">
        <f t="shared" si="31"/>
        <v>402.95850000000002</v>
      </c>
      <c r="H335">
        <f t="shared" si="32"/>
        <v>11</v>
      </c>
      <c r="I335">
        <f t="shared" si="33"/>
        <v>8382.5280000000002</v>
      </c>
      <c r="J335">
        <f t="shared" si="34"/>
        <v>3949.9845000000005</v>
      </c>
      <c r="K335">
        <f t="shared" si="35"/>
        <v>4432.5434999999998</v>
      </c>
    </row>
    <row r="336" spans="1:11" x14ac:dyDescent="0.25">
      <c r="A336" t="str">
        <f>Original!A331</f>
        <v>ORD-2023-163610</v>
      </c>
      <c r="B336">
        <f>Original!R331</f>
        <v>1373.31</v>
      </c>
      <c r="C336">
        <f>Original!S331</f>
        <v>3154.14</v>
      </c>
      <c r="D336" s="6">
        <f>Original!T331</f>
        <v>0.2</v>
      </c>
      <c r="E336" s="6">
        <f>Original!V331</f>
        <v>11</v>
      </c>
      <c r="F336" s="6">
        <f t="shared" si="30"/>
        <v>0.2</v>
      </c>
      <c r="G336">
        <f t="shared" si="31"/>
        <v>1441.9755</v>
      </c>
      <c r="H336">
        <f t="shared" si="32"/>
        <v>12.100000000000001</v>
      </c>
      <c r="I336">
        <f t="shared" si="33"/>
        <v>30532.075200000007</v>
      </c>
      <c r="J336">
        <f t="shared" si="34"/>
        <v>13084.171650000004</v>
      </c>
      <c r="K336">
        <f t="shared" si="35"/>
        <v>17447.903550000003</v>
      </c>
    </row>
    <row r="337" spans="1:11" x14ac:dyDescent="0.25">
      <c r="A337" t="str">
        <f>Original!A332</f>
        <v>ORD-2025-653781</v>
      </c>
      <c r="B337">
        <f>Original!R332</f>
        <v>100.69</v>
      </c>
      <c r="C337">
        <f>Original!S332</f>
        <v>226.14</v>
      </c>
      <c r="D337" s="6">
        <f>Original!T332</f>
        <v>6.5000000000000002E-2</v>
      </c>
      <c r="E337" s="6">
        <f>Original!V332</f>
        <v>12</v>
      </c>
      <c r="F337" s="6">
        <f t="shared" si="30"/>
        <v>6.5000000000000002E-2</v>
      </c>
      <c r="G337">
        <f t="shared" si="31"/>
        <v>105.72450000000001</v>
      </c>
      <c r="H337">
        <f t="shared" si="32"/>
        <v>13.200000000000001</v>
      </c>
      <c r="I337">
        <f t="shared" si="33"/>
        <v>2791.0198800000003</v>
      </c>
      <c r="J337">
        <f t="shared" si="34"/>
        <v>1395.4564800000001</v>
      </c>
      <c r="K337">
        <f t="shared" si="35"/>
        <v>1395.5634000000002</v>
      </c>
    </row>
    <row r="338" spans="1:11" x14ac:dyDescent="0.25">
      <c r="A338" t="str">
        <f>Original!A333</f>
        <v>ORD-2025-737787</v>
      </c>
      <c r="B338">
        <f>Original!R333</f>
        <v>425.15</v>
      </c>
      <c r="C338">
        <f>Original!S333</f>
        <v>885.92</v>
      </c>
      <c r="D338" s="6">
        <f>Original!T333</f>
        <v>0.23899999999999999</v>
      </c>
      <c r="E338" s="6">
        <f>Original!V333</f>
        <v>13</v>
      </c>
      <c r="F338" s="6">
        <f t="shared" si="30"/>
        <v>0.2</v>
      </c>
      <c r="G338">
        <f t="shared" si="31"/>
        <v>446.40749999999997</v>
      </c>
      <c r="H338">
        <f t="shared" si="32"/>
        <v>14.3</v>
      </c>
      <c r="I338">
        <f t="shared" si="33"/>
        <v>10134.924800000001</v>
      </c>
      <c r="J338">
        <f t="shared" si="34"/>
        <v>3751.2975500000011</v>
      </c>
      <c r="K338">
        <f t="shared" si="35"/>
        <v>6383.6272499999995</v>
      </c>
    </row>
    <row r="339" spans="1:11" x14ac:dyDescent="0.25">
      <c r="A339" t="str">
        <f>Original!A334</f>
        <v>ORD-2023-944052</v>
      </c>
      <c r="B339">
        <f>Original!R334</f>
        <v>1082.25</v>
      </c>
      <c r="C339">
        <f>Original!S334</f>
        <v>2433.34</v>
      </c>
      <c r="D339" s="6">
        <f>Original!T334</f>
        <v>0.27</v>
      </c>
      <c r="E339" s="6">
        <f>Original!V334</f>
        <v>4</v>
      </c>
      <c r="F339" s="6">
        <f t="shared" si="30"/>
        <v>0.2</v>
      </c>
      <c r="G339">
        <f t="shared" si="31"/>
        <v>1136.3625</v>
      </c>
      <c r="H339">
        <f t="shared" si="32"/>
        <v>4.4000000000000004</v>
      </c>
      <c r="I339">
        <f t="shared" si="33"/>
        <v>8565.3568000000014</v>
      </c>
      <c r="J339">
        <f t="shared" si="34"/>
        <v>3565.3618000000015</v>
      </c>
      <c r="K339">
        <f t="shared" si="35"/>
        <v>4999.9949999999999</v>
      </c>
    </row>
    <row r="340" spans="1:11" x14ac:dyDescent="0.25">
      <c r="A340" t="str">
        <f>Original!A335</f>
        <v>ORD-2023-181257</v>
      </c>
      <c r="B340">
        <f>Original!R335</f>
        <v>1184.99</v>
      </c>
      <c r="C340">
        <f>Original!S335</f>
        <v>1154.3399999999999</v>
      </c>
      <c r="D340" s="6">
        <f>Original!T335</f>
        <v>2.8000000000000001E-2</v>
      </c>
      <c r="E340" s="6">
        <f>Original!V335</f>
        <v>5</v>
      </c>
      <c r="F340" s="6">
        <f t="shared" si="30"/>
        <v>2.8000000000000001E-2</v>
      </c>
      <c r="G340">
        <f t="shared" si="31"/>
        <v>1244.2395000000001</v>
      </c>
      <c r="H340">
        <f t="shared" si="32"/>
        <v>5.5</v>
      </c>
      <c r="I340">
        <f t="shared" si="33"/>
        <v>6171.1016399999999</v>
      </c>
      <c r="J340">
        <f t="shared" si="34"/>
        <v>-672.21561000000111</v>
      </c>
      <c r="K340">
        <f t="shared" si="35"/>
        <v>6843.317250000001</v>
      </c>
    </row>
    <row r="341" spans="1:11" x14ac:dyDescent="0.25">
      <c r="A341" t="str">
        <f>Original!A336</f>
        <v>ORD-2025-323492</v>
      </c>
      <c r="B341">
        <f>Original!R336</f>
        <v>481.32</v>
      </c>
      <c r="C341">
        <f>Original!S336</f>
        <v>1135.99</v>
      </c>
      <c r="D341" s="6">
        <f>Original!T336</f>
        <v>0.14499999999999999</v>
      </c>
      <c r="E341" s="6">
        <f>Original!V336</f>
        <v>5</v>
      </c>
      <c r="F341" s="6">
        <f t="shared" si="30"/>
        <v>0.14499999999999999</v>
      </c>
      <c r="G341">
        <f t="shared" si="31"/>
        <v>505.38600000000002</v>
      </c>
      <c r="H341">
        <f t="shared" si="32"/>
        <v>5.5</v>
      </c>
      <c r="I341">
        <f t="shared" si="33"/>
        <v>5341.9929749999992</v>
      </c>
      <c r="J341">
        <f t="shared" si="34"/>
        <v>2562.3699749999992</v>
      </c>
      <c r="K341">
        <f t="shared" si="35"/>
        <v>2779.623</v>
      </c>
    </row>
    <row r="342" spans="1:11" x14ac:dyDescent="0.25">
      <c r="A342" t="str">
        <f>Original!A337</f>
        <v>ORD-2024-332076</v>
      </c>
      <c r="B342">
        <f>Original!R337</f>
        <v>1288.8499999999999</v>
      </c>
      <c r="C342">
        <f>Original!S337</f>
        <v>2751.84</v>
      </c>
      <c r="D342" s="6">
        <f>Original!T337</f>
        <v>0.158</v>
      </c>
      <c r="E342" s="6">
        <f>Original!V337</f>
        <v>7</v>
      </c>
      <c r="F342" s="6">
        <f t="shared" si="30"/>
        <v>0.158</v>
      </c>
      <c r="G342">
        <f t="shared" si="31"/>
        <v>1353.2925</v>
      </c>
      <c r="H342">
        <f t="shared" si="32"/>
        <v>7.7000000000000011</v>
      </c>
      <c r="I342">
        <f t="shared" si="33"/>
        <v>17841.279456000004</v>
      </c>
      <c r="J342">
        <f t="shared" si="34"/>
        <v>7420.9272060000021</v>
      </c>
      <c r="K342">
        <f t="shared" si="35"/>
        <v>10420.352250000002</v>
      </c>
    </row>
    <row r="343" spans="1:11" x14ac:dyDescent="0.25">
      <c r="A343" t="str">
        <f>Original!A338</f>
        <v>ORD-2024-571797</v>
      </c>
      <c r="B343">
        <f>Original!R338</f>
        <v>647.26</v>
      </c>
      <c r="C343">
        <f>Original!S338</f>
        <v>1374.72</v>
      </c>
      <c r="D343" s="6">
        <f>Original!T338</f>
        <v>6.6000000000000003E-2</v>
      </c>
      <c r="E343" s="6">
        <f>Original!V338</f>
        <v>22</v>
      </c>
      <c r="F343" s="6">
        <f t="shared" si="30"/>
        <v>6.6000000000000003E-2</v>
      </c>
      <c r="G343">
        <f t="shared" si="31"/>
        <v>679.62300000000005</v>
      </c>
      <c r="H343">
        <f t="shared" si="32"/>
        <v>24.200000000000003</v>
      </c>
      <c r="I343">
        <f t="shared" si="33"/>
        <v>31072.521216000001</v>
      </c>
      <c r="J343">
        <f t="shared" si="34"/>
        <v>14625.644615999998</v>
      </c>
      <c r="K343">
        <f t="shared" si="35"/>
        <v>16446.876600000003</v>
      </c>
    </row>
    <row r="344" spans="1:11" x14ac:dyDescent="0.25">
      <c r="A344" t="str">
        <f>Original!A339</f>
        <v>ORD-2024-129345</v>
      </c>
      <c r="B344">
        <f>Original!R339</f>
        <v>624.23</v>
      </c>
      <c r="C344">
        <f>Original!S339</f>
        <v>1318.37</v>
      </c>
      <c r="D344" s="6">
        <f>Original!T339</f>
        <v>0.21</v>
      </c>
      <c r="E344" s="6">
        <f>Original!V339</f>
        <v>37</v>
      </c>
      <c r="F344" s="6">
        <f t="shared" si="30"/>
        <v>0.2</v>
      </c>
      <c r="G344">
        <f t="shared" si="31"/>
        <v>655.44150000000002</v>
      </c>
      <c r="H344">
        <f t="shared" si="32"/>
        <v>40.700000000000003</v>
      </c>
      <c r="I344">
        <f t="shared" si="33"/>
        <v>42926.127200000003</v>
      </c>
      <c r="J344">
        <f t="shared" si="34"/>
        <v>16249.658149999999</v>
      </c>
      <c r="K344">
        <f t="shared" si="35"/>
        <v>26676.469050000003</v>
      </c>
    </row>
    <row r="345" spans="1:11" x14ac:dyDescent="0.25">
      <c r="A345" t="str">
        <f>Original!A340</f>
        <v>ORD-2023-660608</v>
      </c>
      <c r="B345">
        <f>Original!R340</f>
        <v>506.83</v>
      </c>
      <c r="C345">
        <f>Original!S340</f>
        <v>441.74</v>
      </c>
      <c r="D345" s="6">
        <f>Original!T340</f>
        <v>0.24</v>
      </c>
      <c r="E345" s="6">
        <f>Original!V340</f>
        <v>9</v>
      </c>
      <c r="F345" s="6">
        <f t="shared" si="30"/>
        <v>0.2</v>
      </c>
      <c r="G345">
        <f t="shared" si="31"/>
        <v>532.17150000000004</v>
      </c>
      <c r="H345">
        <f t="shared" si="32"/>
        <v>9.9</v>
      </c>
      <c r="I345">
        <f t="shared" si="33"/>
        <v>3498.5808000000006</v>
      </c>
      <c r="J345">
        <f t="shared" si="34"/>
        <v>-1769.91705</v>
      </c>
      <c r="K345">
        <f t="shared" si="35"/>
        <v>5268.4978500000007</v>
      </c>
    </row>
    <row r="346" spans="1:11" x14ac:dyDescent="0.25">
      <c r="A346" t="str">
        <f>Original!A341</f>
        <v>ORD-2023-825084</v>
      </c>
      <c r="B346">
        <f>Original!R341</f>
        <v>620.74</v>
      </c>
      <c r="C346">
        <f>Original!S341</f>
        <v>1330.07</v>
      </c>
      <c r="D346" s="6">
        <f>Original!T341</f>
        <v>0.29899999999999999</v>
      </c>
      <c r="E346" s="6">
        <f>Original!V341</f>
        <v>28</v>
      </c>
      <c r="F346" s="6">
        <f t="shared" si="30"/>
        <v>0.2</v>
      </c>
      <c r="G346">
        <f t="shared" si="31"/>
        <v>651.77700000000004</v>
      </c>
      <c r="H346">
        <f t="shared" si="32"/>
        <v>30.800000000000004</v>
      </c>
      <c r="I346">
        <f t="shared" si="33"/>
        <v>32772.924800000001</v>
      </c>
      <c r="J346">
        <f t="shared" si="34"/>
        <v>12698.193199999998</v>
      </c>
      <c r="K346">
        <f t="shared" si="35"/>
        <v>20074.731600000003</v>
      </c>
    </row>
    <row r="347" spans="1:11" x14ac:dyDescent="0.25">
      <c r="A347" t="str">
        <f>Original!A342</f>
        <v>ORD-2023-261081</v>
      </c>
      <c r="B347">
        <f>Original!R342</f>
        <v>661.45</v>
      </c>
      <c r="C347">
        <f>Original!S342</f>
        <v>1634.86</v>
      </c>
      <c r="D347" s="6">
        <f>Original!T342</f>
        <v>0.56499999999999995</v>
      </c>
      <c r="E347" s="6">
        <f>Original!V342</f>
        <v>24</v>
      </c>
      <c r="F347" s="6">
        <f t="shared" si="30"/>
        <v>0.2</v>
      </c>
      <c r="G347">
        <f t="shared" si="31"/>
        <v>694.52250000000004</v>
      </c>
      <c r="H347">
        <f t="shared" si="32"/>
        <v>26.400000000000002</v>
      </c>
      <c r="I347">
        <f t="shared" si="33"/>
        <v>34528.243200000004</v>
      </c>
      <c r="J347">
        <f t="shared" si="34"/>
        <v>16192.849200000001</v>
      </c>
      <c r="K347">
        <f t="shared" si="35"/>
        <v>18335.394000000004</v>
      </c>
    </row>
    <row r="348" spans="1:11" x14ac:dyDescent="0.25">
      <c r="A348" t="str">
        <f>Original!A343</f>
        <v>ORD-2023-766015</v>
      </c>
      <c r="B348">
        <f>Original!R343</f>
        <v>32.1</v>
      </c>
      <c r="C348">
        <f>Original!S343</f>
        <v>70.599999999999994</v>
      </c>
      <c r="D348" s="6">
        <f>Original!T343</f>
        <v>0.28199999999999997</v>
      </c>
      <c r="E348" s="6">
        <f>Original!V343</f>
        <v>22</v>
      </c>
      <c r="F348" s="6">
        <f t="shared" si="30"/>
        <v>0.2</v>
      </c>
      <c r="G348">
        <f t="shared" si="31"/>
        <v>33.705000000000005</v>
      </c>
      <c r="H348">
        <f t="shared" si="32"/>
        <v>24.200000000000003</v>
      </c>
      <c r="I348">
        <f t="shared" si="33"/>
        <v>1366.816</v>
      </c>
      <c r="J348">
        <f t="shared" si="34"/>
        <v>551.15499999999986</v>
      </c>
      <c r="K348">
        <f t="shared" si="35"/>
        <v>815.66100000000017</v>
      </c>
    </row>
    <row r="349" spans="1:11" x14ac:dyDescent="0.25">
      <c r="A349" t="str">
        <f>Original!A344</f>
        <v>ORD-2024-333192</v>
      </c>
      <c r="B349">
        <f>Original!R344</f>
        <v>805.81</v>
      </c>
      <c r="C349">
        <f>Original!S344</f>
        <v>1823.04</v>
      </c>
      <c r="D349" s="6">
        <f>Original!T344</f>
        <v>0</v>
      </c>
      <c r="E349" s="6">
        <f>Original!V344</f>
        <v>11</v>
      </c>
      <c r="F349" s="6">
        <f t="shared" si="30"/>
        <v>0</v>
      </c>
      <c r="G349">
        <f t="shared" si="31"/>
        <v>846.10050000000001</v>
      </c>
      <c r="H349">
        <f t="shared" si="32"/>
        <v>12.100000000000001</v>
      </c>
      <c r="I349">
        <f t="shared" si="33"/>
        <v>22058.784000000003</v>
      </c>
      <c r="J349">
        <f t="shared" si="34"/>
        <v>11820.967950000002</v>
      </c>
      <c r="K349">
        <f t="shared" si="35"/>
        <v>10237.816050000001</v>
      </c>
    </row>
    <row r="350" spans="1:11" x14ac:dyDescent="0.25">
      <c r="A350" t="str">
        <f>Original!A345</f>
        <v>ORD-2024-647473</v>
      </c>
      <c r="B350">
        <f>Original!R345</f>
        <v>1231.8</v>
      </c>
      <c r="C350">
        <f>Original!S345</f>
        <v>2015.99</v>
      </c>
      <c r="D350" s="6">
        <f>Original!T345</f>
        <v>0.26100000000000001</v>
      </c>
      <c r="E350" s="6">
        <f>Original!V345</f>
        <v>6</v>
      </c>
      <c r="F350" s="6">
        <f t="shared" si="30"/>
        <v>0.2</v>
      </c>
      <c r="G350">
        <f t="shared" si="31"/>
        <v>1293.3900000000001</v>
      </c>
      <c r="H350">
        <f t="shared" si="32"/>
        <v>6.6000000000000005</v>
      </c>
      <c r="I350">
        <f t="shared" si="33"/>
        <v>10644.427200000002</v>
      </c>
      <c r="J350">
        <f t="shared" si="34"/>
        <v>2108.0532000000003</v>
      </c>
      <c r="K350">
        <f t="shared" si="35"/>
        <v>8536.3740000000016</v>
      </c>
    </row>
    <row r="351" spans="1:11" x14ac:dyDescent="0.25">
      <c r="A351" t="str">
        <f>Original!A346</f>
        <v>ORD-2024-892908</v>
      </c>
      <c r="B351">
        <f>Original!R346</f>
        <v>105.13</v>
      </c>
      <c r="C351">
        <f>Original!S346</f>
        <v>244.13</v>
      </c>
      <c r="D351" s="6">
        <f>Original!T346</f>
        <v>7.0999999999999994E-2</v>
      </c>
      <c r="E351" s="6">
        <f>Original!V346</f>
        <v>14</v>
      </c>
      <c r="F351" s="6">
        <f t="shared" si="30"/>
        <v>7.0999999999999994E-2</v>
      </c>
      <c r="G351">
        <f t="shared" si="31"/>
        <v>110.3865</v>
      </c>
      <c r="H351">
        <f t="shared" si="32"/>
        <v>15.400000000000002</v>
      </c>
      <c r="I351">
        <f t="shared" si="33"/>
        <v>3492.6702580000006</v>
      </c>
      <c r="J351">
        <f t="shared" si="34"/>
        <v>1792.7181580000004</v>
      </c>
      <c r="K351">
        <f t="shared" si="35"/>
        <v>1699.9521000000002</v>
      </c>
    </row>
    <row r="352" spans="1:11" x14ac:dyDescent="0.25">
      <c r="A352" t="str">
        <f>Original!A347</f>
        <v>ORD-2023-573146</v>
      </c>
      <c r="B352">
        <f>Original!R347</f>
        <v>1495.79</v>
      </c>
      <c r="C352">
        <f>Original!S347</f>
        <v>2783.12</v>
      </c>
      <c r="D352" s="6">
        <f>Original!T347</f>
        <v>0.02</v>
      </c>
      <c r="E352" s="6">
        <f>Original!V347</f>
        <v>5</v>
      </c>
      <c r="F352" s="6">
        <f t="shared" si="30"/>
        <v>0.02</v>
      </c>
      <c r="G352">
        <f t="shared" si="31"/>
        <v>1570.5795000000001</v>
      </c>
      <c r="H352">
        <f t="shared" si="32"/>
        <v>5.5</v>
      </c>
      <c r="I352">
        <f t="shared" si="33"/>
        <v>15001.016799999999</v>
      </c>
      <c r="J352">
        <f t="shared" si="34"/>
        <v>6362.8295499999986</v>
      </c>
      <c r="K352">
        <f t="shared" si="35"/>
        <v>8638.1872500000009</v>
      </c>
    </row>
    <row r="353" spans="1:11" x14ac:dyDescent="0.25">
      <c r="A353" t="str">
        <f>Original!A348</f>
        <v>ORD-2024-901115</v>
      </c>
      <c r="B353">
        <f>Original!R348</f>
        <v>986.81</v>
      </c>
      <c r="C353">
        <f>Original!S348</f>
        <v>2050.31</v>
      </c>
      <c r="D353" s="6">
        <f>Original!T348</f>
        <v>0.10299999999999999</v>
      </c>
      <c r="E353" s="6">
        <f>Original!V348</f>
        <v>43</v>
      </c>
      <c r="F353" s="6">
        <f t="shared" si="30"/>
        <v>0.10299999999999999</v>
      </c>
      <c r="G353">
        <f t="shared" si="31"/>
        <v>1036.1505</v>
      </c>
      <c r="H353">
        <f t="shared" si="32"/>
        <v>47.300000000000004</v>
      </c>
      <c r="I353">
        <f t="shared" si="33"/>
        <v>86990.757710999998</v>
      </c>
      <c r="J353">
        <f t="shared" si="34"/>
        <v>37980.839060999999</v>
      </c>
      <c r="K353">
        <f t="shared" si="35"/>
        <v>49009.91865</v>
      </c>
    </row>
    <row r="354" spans="1:11" x14ac:dyDescent="0.25">
      <c r="A354" t="str">
        <f>Original!A349</f>
        <v>ORD-2023-898009</v>
      </c>
      <c r="B354">
        <f>Original!R349</f>
        <v>77.739999999999995</v>
      </c>
      <c r="C354">
        <f>Original!S349</f>
        <v>147.12</v>
      </c>
      <c r="D354" s="6">
        <f>Original!T349</f>
        <v>0</v>
      </c>
      <c r="E354" s="6">
        <f>Original!V349</f>
        <v>15</v>
      </c>
      <c r="F354" s="6">
        <f t="shared" si="30"/>
        <v>0</v>
      </c>
      <c r="G354">
        <f t="shared" si="31"/>
        <v>81.626999999999995</v>
      </c>
      <c r="H354">
        <f t="shared" si="32"/>
        <v>16.5</v>
      </c>
      <c r="I354">
        <f t="shared" si="33"/>
        <v>2427.48</v>
      </c>
      <c r="J354">
        <f t="shared" si="34"/>
        <v>1080.6345000000001</v>
      </c>
      <c r="K354">
        <f t="shared" si="35"/>
        <v>1346.8454999999999</v>
      </c>
    </row>
    <row r="355" spans="1:11" x14ac:dyDescent="0.25">
      <c r="A355" t="str">
        <f>Original!A350</f>
        <v>ORD-2023-208944</v>
      </c>
      <c r="B355">
        <f>Original!R350</f>
        <v>932.61</v>
      </c>
      <c r="C355">
        <f>Original!S350</f>
        <v>1982.98</v>
      </c>
      <c r="D355" s="6">
        <f>Original!T350</f>
        <v>0.14399999999999999</v>
      </c>
      <c r="E355" s="6">
        <f>Original!V350</f>
        <v>16</v>
      </c>
      <c r="F355" s="6">
        <f t="shared" si="30"/>
        <v>0.14399999999999999</v>
      </c>
      <c r="G355">
        <f t="shared" si="31"/>
        <v>979.24050000000011</v>
      </c>
      <c r="H355">
        <f t="shared" si="32"/>
        <v>17.600000000000001</v>
      </c>
      <c r="I355">
        <f t="shared" si="33"/>
        <v>29874.783488000005</v>
      </c>
      <c r="J355">
        <f t="shared" si="34"/>
        <v>12640.150688000002</v>
      </c>
      <c r="K355">
        <f t="shared" si="35"/>
        <v>17234.632800000003</v>
      </c>
    </row>
    <row r="356" spans="1:11" x14ac:dyDescent="0.25">
      <c r="A356" t="str">
        <f>Original!A351</f>
        <v>ORD-2025-480172</v>
      </c>
      <c r="B356">
        <f>Original!R351</f>
        <v>982.93</v>
      </c>
      <c r="C356">
        <f>Original!S351</f>
        <v>2299.3000000000002</v>
      </c>
      <c r="D356" s="6">
        <f>Original!T351</f>
        <v>0.113</v>
      </c>
      <c r="E356" s="6">
        <f>Original!V351</f>
        <v>6</v>
      </c>
      <c r="F356" s="6">
        <f t="shared" si="30"/>
        <v>0.113</v>
      </c>
      <c r="G356">
        <f t="shared" si="31"/>
        <v>1032.0764999999999</v>
      </c>
      <c r="H356">
        <f t="shared" si="32"/>
        <v>6.6000000000000005</v>
      </c>
      <c r="I356">
        <f t="shared" si="33"/>
        <v>13460.562060000002</v>
      </c>
      <c r="J356">
        <f t="shared" si="34"/>
        <v>6648.8571600000023</v>
      </c>
      <c r="K356">
        <f t="shared" si="35"/>
        <v>6811.7048999999997</v>
      </c>
    </row>
    <row r="357" spans="1:11" x14ac:dyDescent="0.25">
      <c r="A357" t="str">
        <f>Original!A352</f>
        <v>ORD-2023-735274</v>
      </c>
      <c r="B357">
        <f>Original!R352</f>
        <v>307.37</v>
      </c>
      <c r="C357">
        <f>Original!S352</f>
        <v>462.61</v>
      </c>
      <c r="D357" s="6">
        <f>Original!T352</f>
        <v>0.188</v>
      </c>
      <c r="E357" s="6">
        <f>Original!V352</f>
        <v>11</v>
      </c>
      <c r="F357" s="6">
        <f t="shared" si="30"/>
        <v>0.188</v>
      </c>
      <c r="G357">
        <f t="shared" si="31"/>
        <v>322.73850000000004</v>
      </c>
      <c r="H357">
        <f t="shared" si="32"/>
        <v>12.100000000000001</v>
      </c>
      <c r="I357">
        <f t="shared" si="33"/>
        <v>4545.2357720000009</v>
      </c>
      <c r="J357">
        <f t="shared" si="34"/>
        <v>640.09992199999988</v>
      </c>
      <c r="K357">
        <f t="shared" si="35"/>
        <v>3905.135850000001</v>
      </c>
    </row>
    <row r="358" spans="1:11" x14ac:dyDescent="0.25">
      <c r="A358" t="str">
        <f>Original!A353</f>
        <v>ORD-2023-212701</v>
      </c>
      <c r="B358">
        <f>Original!R353</f>
        <v>879.08</v>
      </c>
      <c r="C358">
        <f>Original!S353</f>
        <v>1093.3900000000001</v>
      </c>
      <c r="D358" s="6">
        <f>Original!T353</f>
        <v>0.113</v>
      </c>
      <c r="E358" s="6">
        <f>Original!V353</f>
        <v>17</v>
      </c>
      <c r="F358" s="6">
        <f t="shared" si="30"/>
        <v>0.113</v>
      </c>
      <c r="G358">
        <f t="shared" si="31"/>
        <v>923.03400000000011</v>
      </c>
      <c r="H358">
        <f t="shared" si="32"/>
        <v>18.700000000000003</v>
      </c>
      <c r="I358">
        <f t="shared" si="33"/>
        <v>18135.950591000004</v>
      </c>
      <c r="J358">
        <f t="shared" si="34"/>
        <v>875.21479099999851</v>
      </c>
      <c r="K358">
        <f t="shared" si="35"/>
        <v>17260.735800000006</v>
      </c>
    </row>
    <row r="359" spans="1:11" x14ac:dyDescent="0.25">
      <c r="A359" t="str">
        <f>Original!A354</f>
        <v>ORD-2023-479747</v>
      </c>
      <c r="B359">
        <f>Original!R354</f>
        <v>956.38</v>
      </c>
      <c r="C359">
        <f>Original!S354</f>
        <v>1454.22</v>
      </c>
      <c r="D359" s="6">
        <f>Original!T354</f>
        <v>3.9E-2</v>
      </c>
      <c r="E359" s="6">
        <f>Original!V354</f>
        <v>19</v>
      </c>
      <c r="F359" s="6">
        <f t="shared" si="30"/>
        <v>3.9E-2</v>
      </c>
      <c r="G359">
        <f t="shared" si="31"/>
        <v>1004.1990000000001</v>
      </c>
      <c r="H359">
        <f t="shared" si="32"/>
        <v>20.900000000000002</v>
      </c>
      <c r="I359">
        <f t="shared" si="33"/>
        <v>29207.863278000004</v>
      </c>
      <c r="J359">
        <f t="shared" si="34"/>
        <v>8220.1041780000014</v>
      </c>
      <c r="K359">
        <f t="shared" si="35"/>
        <v>20987.759100000003</v>
      </c>
    </row>
    <row r="360" spans="1:11" x14ac:dyDescent="0.25">
      <c r="A360" t="str">
        <f>Original!A355</f>
        <v>ORD-2024-915495</v>
      </c>
      <c r="B360">
        <f>Original!R355</f>
        <v>1233.3599999999999</v>
      </c>
      <c r="C360">
        <f>Original!S355</f>
        <v>2120.4</v>
      </c>
      <c r="D360" s="6">
        <f>Original!T355</f>
        <v>0.17899999999999999</v>
      </c>
      <c r="E360" s="6">
        <f>Original!V355</f>
        <v>20</v>
      </c>
      <c r="F360" s="6">
        <f t="shared" si="30"/>
        <v>0.17899999999999999</v>
      </c>
      <c r="G360">
        <f t="shared" si="31"/>
        <v>1295.028</v>
      </c>
      <c r="H360">
        <f t="shared" si="32"/>
        <v>22</v>
      </c>
      <c r="I360">
        <f t="shared" si="33"/>
        <v>38298.664799999999</v>
      </c>
      <c r="J360">
        <f t="shared" si="34"/>
        <v>9808.0487999999968</v>
      </c>
      <c r="K360">
        <f t="shared" si="35"/>
        <v>28490.616000000002</v>
      </c>
    </row>
    <row r="361" spans="1:11" x14ac:dyDescent="0.25">
      <c r="A361" t="str">
        <f>Original!A356</f>
        <v>ORD-2024-225829</v>
      </c>
      <c r="B361">
        <f>Original!R356</f>
        <v>55.35</v>
      </c>
      <c r="C361">
        <f>Original!S356</f>
        <v>128.68</v>
      </c>
      <c r="D361" s="6">
        <f>Original!T356</f>
        <v>0.128</v>
      </c>
      <c r="E361" s="6">
        <f>Original!V356</f>
        <v>10</v>
      </c>
      <c r="F361" s="6">
        <f t="shared" si="30"/>
        <v>0.128</v>
      </c>
      <c r="G361">
        <f t="shared" si="31"/>
        <v>58.117500000000007</v>
      </c>
      <c r="H361">
        <f t="shared" si="32"/>
        <v>11</v>
      </c>
      <c r="I361">
        <f t="shared" si="33"/>
        <v>1234.29856</v>
      </c>
      <c r="J361">
        <f t="shared" si="34"/>
        <v>595.00605999999993</v>
      </c>
      <c r="K361">
        <f t="shared" si="35"/>
        <v>639.29250000000002</v>
      </c>
    </row>
    <row r="362" spans="1:11" x14ac:dyDescent="0.25">
      <c r="A362" t="str">
        <f>Original!A357</f>
        <v>ORD-2024-921935</v>
      </c>
      <c r="B362">
        <f>Original!R357</f>
        <v>657.45</v>
      </c>
      <c r="C362">
        <f>Original!S357</f>
        <v>1325.96</v>
      </c>
      <c r="D362" s="6">
        <f>Original!T357</f>
        <v>0.16700000000000001</v>
      </c>
      <c r="E362" s="6">
        <f>Original!V357</f>
        <v>21</v>
      </c>
      <c r="F362" s="6">
        <f t="shared" si="30"/>
        <v>0.16700000000000001</v>
      </c>
      <c r="G362">
        <f t="shared" si="31"/>
        <v>690.3225000000001</v>
      </c>
      <c r="H362">
        <f t="shared" si="32"/>
        <v>23.1</v>
      </c>
      <c r="I362">
        <f t="shared" si="33"/>
        <v>25514.520108000001</v>
      </c>
      <c r="J362">
        <f t="shared" si="34"/>
        <v>9568.0703579999972</v>
      </c>
      <c r="K362">
        <f t="shared" si="35"/>
        <v>15946.449750000003</v>
      </c>
    </row>
    <row r="363" spans="1:11" x14ac:dyDescent="0.25">
      <c r="A363" t="str">
        <f>Original!A358</f>
        <v>ORD-2025-949776</v>
      </c>
      <c r="B363">
        <f>Original!R358</f>
        <v>1203.02</v>
      </c>
      <c r="C363">
        <f>Original!S358</f>
        <v>2439.33</v>
      </c>
      <c r="D363" s="6">
        <f>Original!T358</f>
        <v>0</v>
      </c>
      <c r="E363" s="6">
        <f>Original!V358</f>
        <v>18</v>
      </c>
      <c r="F363" s="6">
        <f t="shared" si="30"/>
        <v>0</v>
      </c>
      <c r="G363">
        <f t="shared" si="31"/>
        <v>1263.171</v>
      </c>
      <c r="H363">
        <f t="shared" si="32"/>
        <v>19.8</v>
      </c>
      <c r="I363">
        <f t="shared" si="33"/>
        <v>48298.733999999997</v>
      </c>
      <c r="J363">
        <f t="shared" si="34"/>
        <v>23287.948199999995</v>
      </c>
      <c r="K363">
        <f t="shared" si="35"/>
        <v>25010.785800000001</v>
      </c>
    </row>
    <row r="364" spans="1:11" x14ac:dyDescent="0.25">
      <c r="A364" t="str">
        <f>Original!A359</f>
        <v>ORD-2024-510591</v>
      </c>
      <c r="B364">
        <f>Original!R359</f>
        <v>1176.69</v>
      </c>
      <c r="C364">
        <f>Original!S359</f>
        <v>2201.54</v>
      </c>
      <c r="D364" s="6">
        <f>Original!T359</f>
        <v>0.17</v>
      </c>
      <c r="E364" s="6">
        <f>Original!V359</f>
        <v>27</v>
      </c>
      <c r="F364" s="6">
        <f t="shared" si="30"/>
        <v>0.17</v>
      </c>
      <c r="G364">
        <f t="shared" si="31"/>
        <v>1235.5245000000002</v>
      </c>
      <c r="H364">
        <f t="shared" si="32"/>
        <v>29.700000000000003</v>
      </c>
      <c r="I364">
        <f t="shared" si="33"/>
        <v>54270.162540000005</v>
      </c>
      <c r="J364">
        <f t="shared" si="34"/>
        <v>17575.084889999998</v>
      </c>
      <c r="K364">
        <f t="shared" si="35"/>
        <v>36695.077650000007</v>
      </c>
    </row>
    <row r="365" spans="1:11" x14ac:dyDescent="0.25">
      <c r="A365" t="str">
        <f>Original!A360</f>
        <v>ORD-2024-961756</v>
      </c>
      <c r="B365">
        <f>Original!R360</f>
        <v>769.9</v>
      </c>
      <c r="C365">
        <f>Original!S360</f>
        <v>814.36</v>
      </c>
      <c r="D365" s="6">
        <f>Original!T360</f>
        <v>0</v>
      </c>
      <c r="E365" s="6">
        <f>Original!V360</f>
        <v>5</v>
      </c>
      <c r="F365" s="6">
        <f t="shared" si="30"/>
        <v>0</v>
      </c>
      <c r="G365">
        <f t="shared" si="31"/>
        <v>808.39499999999998</v>
      </c>
      <c r="H365">
        <f t="shared" si="32"/>
        <v>5.5</v>
      </c>
      <c r="I365">
        <f t="shared" si="33"/>
        <v>4478.9800000000005</v>
      </c>
      <c r="J365">
        <f t="shared" si="34"/>
        <v>32.8075000000008</v>
      </c>
      <c r="K365">
        <f t="shared" si="35"/>
        <v>4446.1724999999997</v>
      </c>
    </row>
    <row r="366" spans="1:11" x14ac:dyDescent="0.25">
      <c r="A366" t="str">
        <f>Original!A361</f>
        <v>ORD-2024-892173</v>
      </c>
      <c r="B366">
        <f>Original!R361</f>
        <v>666.23</v>
      </c>
      <c r="C366">
        <f>Original!S361</f>
        <v>1382.91</v>
      </c>
      <c r="D366" s="6">
        <f>Original!T361</f>
        <v>0.17599999999999999</v>
      </c>
      <c r="E366" s="6">
        <f>Original!V361</f>
        <v>13</v>
      </c>
      <c r="F366" s="6">
        <f t="shared" si="30"/>
        <v>0.17599999999999999</v>
      </c>
      <c r="G366">
        <f t="shared" si="31"/>
        <v>699.54150000000004</v>
      </c>
      <c r="H366">
        <f t="shared" si="32"/>
        <v>14.3</v>
      </c>
      <c r="I366">
        <f t="shared" si="33"/>
        <v>16295.105112000003</v>
      </c>
      <c r="J366">
        <f t="shared" si="34"/>
        <v>6291.6616620000023</v>
      </c>
      <c r="K366">
        <f t="shared" si="35"/>
        <v>10003.443450000001</v>
      </c>
    </row>
    <row r="367" spans="1:11" x14ac:dyDescent="0.25">
      <c r="A367" t="str">
        <f>Original!A362</f>
        <v>ORD-2024-704056</v>
      </c>
      <c r="B367">
        <f>Original!R362</f>
        <v>951.44</v>
      </c>
      <c r="C367">
        <f>Original!S362</f>
        <v>1646.43</v>
      </c>
      <c r="D367" s="6">
        <f>Original!T362</f>
        <v>0.11</v>
      </c>
      <c r="E367" s="6">
        <f>Original!V362</f>
        <v>24</v>
      </c>
      <c r="F367" s="6">
        <f t="shared" si="30"/>
        <v>0.11</v>
      </c>
      <c r="G367">
        <f t="shared" si="31"/>
        <v>999.01200000000006</v>
      </c>
      <c r="H367">
        <f t="shared" si="32"/>
        <v>26.400000000000002</v>
      </c>
      <c r="I367">
        <f t="shared" si="33"/>
        <v>38684.519280000008</v>
      </c>
      <c r="J367">
        <f t="shared" si="34"/>
        <v>12310.602480000005</v>
      </c>
      <c r="K367">
        <f t="shared" si="35"/>
        <v>26373.916800000003</v>
      </c>
    </row>
    <row r="368" spans="1:11" x14ac:dyDescent="0.25">
      <c r="A368" t="str">
        <f>Original!A363</f>
        <v>ORD-2025-591006</v>
      </c>
      <c r="B368">
        <f>Original!R363</f>
        <v>546.83000000000004</v>
      </c>
      <c r="C368">
        <f>Original!S363</f>
        <v>400.84</v>
      </c>
      <c r="D368" s="6">
        <f>Original!T363</f>
        <v>7.8E-2</v>
      </c>
      <c r="E368" s="6">
        <f>Original!V363</f>
        <v>13</v>
      </c>
      <c r="F368" s="6">
        <f t="shared" si="30"/>
        <v>7.8E-2</v>
      </c>
      <c r="G368">
        <f t="shared" si="31"/>
        <v>574.17150000000004</v>
      </c>
      <c r="H368">
        <f t="shared" si="32"/>
        <v>14.3</v>
      </c>
      <c r="I368">
        <f t="shared" si="33"/>
        <v>5284.9150639999998</v>
      </c>
      <c r="J368">
        <f t="shared" si="34"/>
        <v>-2925.7373860000016</v>
      </c>
      <c r="K368">
        <f t="shared" si="35"/>
        <v>8210.6524500000014</v>
      </c>
    </row>
    <row r="369" spans="1:11" x14ac:dyDescent="0.25">
      <c r="A369" t="str">
        <f>Original!A364</f>
        <v>ORD-2023-159821</v>
      </c>
      <c r="B369">
        <f>Original!R364</f>
        <v>834.26</v>
      </c>
      <c r="C369">
        <f>Original!S364</f>
        <v>1780.56</v>
      </c>
      <c r="D369" s="6">
        <f>Original!T364</f>
        <v>1.4E-2</v>
      </c>
      <c r="E369" s="6">
        <f>Original!V364</f>
        <v>47</v>
      </c>
      <c r="F369" s="6">
        <f t="shared" si="30"/>
        <v>1.4E-2</v>
      </c>
      <c r="G369">
        <f t="shared" si="31"/>
        <v>875.97300000000007</v>
      </c>
      <c r="H369">
        <f t="shared" si="32"/>
        <v>51.7</v>
      </c>
      <c r="I369">
        <f t="shared" si="33"/>
        <v>90766.18267200001</v>
      </c>
      <c r="J369">
        <f t="shared" si="34"/>
        <v>45478.378572000001</v>
      </c>
      <c r="K369">
        <f t="shared" si="35"/>
        <v>45287.804100000008</v>
      </c>
    </row>
    <row r="370" spans="1:11" x14ac:dyDescent="0.25">
      <c r="A370" t="str">
        <f>Original!A365</f>
        <v>ORD-2024-343877</v>
      </c>
      <c r="B370">
        <f>Original!R365</f>
        <v>1029.67</v>
      </c>
      <c r="C370">
        <f>Original!S365</f>
        <v>1118.43</v>
      </c>
      <c r="D370" s="6">
        <f>Original!T365</f>
        <v>0.27200000000000002</v>
      </c>
      <c r="E370" s="6">
        <f>Original!V365</f>
        <v>9</v>
      </c>
      <c r="F370" s="6">
        <f t="shared" si="30"/>
        <v>0.2</v>
      </c>
      <c r="G370">
        <f t="shared" si="31"/>
        <v>1081.1535000000001</v>
      </c>
      <c r="H370">
        <f t="shared" si="32"/>
        <v>9.9</v>
      </c>
      <c r="I370">
        <f t="shared" si="33"/>
        <v>8857.9656000000014</v>
      </c>
      <c r="J370">
        <f t="shared" si="34"/>
        <v>-1845.4540500000003</v>
      </c>
      <c r="K370">
        <f t="shared" si="35"/>
        <v>10703.419650000002</v>
      </c>
    </row>
    <row r="371" spans="1:11" x14ac:dyDescent="0.25">
      <c r="A371" t="str">
        <f>Original!A366</f>
        <v>ORD-2023-386663</v>
      </c>
      <c r="B371">
        <f>Original!R366</f>
        <v>605.82000000000005</v>
      </c>
      <c r="C371">
        <f>Original!S366</f>
        <v>771.12</v>
      </c>
      <c r="D371" s="6">
        <f>Original!T366</f>
        <v>0.13200000000000001</v>
      </c>
      <c r="E371" s="6">
        <f>Original!V366</f>
        <v>19</v>
      </c>
      <c r="F371" s="6">
        <f t="shared" si="30"/>
        <v>0.13200000000000001</v>
      </c>
      <c r="G371">
        <f t="shared" si="31"/>
        <v>636.1110000000001</v>
      </c>
      <c r="H371">
        <f t="shared" si="32"/>
        <v>20.900000000000002</v>
      </c>
      <c r="I371">
        <f t="shared" si="33"/>
        <v>13989.042144000001</v>
      </c>
      <c r="J371">
        <f t="shared" si="34"/>
        <v>694.32224399999723</v>
      </c>
      <c r="K371">
        <f t="shared" si="35"/>
        <v>13294.719900000004</v>
      </c>
    </row>
    <row r="372" spans="1:11" x14ac:dyDescent="0.25">
      <c r="A372" t="str">
        <f>Original!A367</f>
        <v>ORD-2025-125517</v>
      </c>
      <c r="B372">
        <f>Original!R367</f>
        <v>1055.45</v>
      </c>
      <c r="C372">
        <f>Original!S367</f>
        <v>1210.04</v>
      </c>
      <c r="D372" s="6">
        <f>Original!T367</f>
        <v>8.9999999999999993E-3</v>
      </c>
      <c r="E372" s="6">
        <f>Original!V367</f>
        <v>18</v>
      </c>
      <c r="F372" s="6">
        <f t="shared" si="30"/>
        <v>8.9999999999999993E-3</v>
      </c>
      <c r="G372">
        <f t="shared" si="31"/>
        <v>1108.2225000000001</v>
      </c>
      <c r="H372">
        <f t="shared" si="32"/>
        <v>19.8</v>
      </c>
      <c r="I372">
        <f t="shared" si="33"/>
        <v>23743.162872000001</v>
      </c>
      <c r="J372">
        <f t="shared" si="34"/>
        <v>1800.3573719999986</v>
      </c>
      <c r="K372">
        <f t="shared" si="35"/>
        <v>21942.805500000002</v>
      </c>
    </row>
    <row r="373" spans="1:11" x14ac:dyDescent="0.25">
      <c r="A373" t="str">
        <f>Original!A368</f>
        <v>ORD-2024-819778</v>
      </c>
      <c r="B373">
        <f>Original!R368</f>
        <v>1295.18</v>
      </c>
      <c r="C373">
        <f>Original!S368</f>
        <v>3024.03</v>
      </c>
      <c r="D373" s="6">
        <f>Original!T368</f>
        <v>0.192</v>
      </c>
      <c r="E373" s="6">
        <f>Original!V368</f>
        <v>8</v>
      </c>
      <c r="F373" s="6">
        <f t="shared" si="30"/>
        <v>0.192</v>
      </c>
      <c r="G373">
        <f t="shared" si="31"/>
        <v>1359.9390000000001</v>
      </c>
      <c r="H373">
        <f t="shared" si="32"/>
        <v>8.8000000000000007</v>
      </c>
      <c r="I373">
        <f t="shared" si="33"/>
        <v>21502.062912000005</v>
      </c>
      <c r="J373">
        <f t="shared" si="34"/>
        <v>9534.5997120000029</v>
      </c>
      <c r="K373">
        <f t="shared" si="35"/>
        <v>11967.463200000002</v>
      </c>
    </row>
    <row r="374" spans="1:11" x14ac:dyDescent="0.25">
      <c r="A374" t="str">
        <f>Original!A369</f>
        <v>ORD-2025-624006</v>
      </c>
      <c r="B374">
        <f>Original!R369</f>
        <v>935.83</v>
      </c>
      <c r="C374">
        <f>Original!S369</f>
        <v>2303.46</v>
      </c>
      <c r="D374" s="6">
        <f>Original!T369</f>
        <v>0.105</v>
      </c>
      <c r="E374" s="6">
        <f>Original!V369</f>
        <v>9</v>
      </c>
      <c r="F374" s="6">
        <f t="shared" si="30"/>
        <v>0.105</v>
      </c>
      <c r="G374">
        <f t="shared" si="31"/>
        <v>982.62150000000008</v>
      </c>
      <c r="H374">
        <f t="shared" si="32"/>
        <v>9.9</v>
      </c>
      <c r="I374">
        <f t="shared" si="33"/>
        <v>20409.80733</v>
      </c>
      <c r="J374">
        <f t="shared" si="34"/>
        <v>10681.854479999998</v>
      </c>
      <c r="K374">
        <f t="shared" si="35"/>
        <v>9727.9528500000015</v>
      </c>
    </row>
    <row r="375" spans="1:11" x14ac:dyDescent="0.25">
      <c r="A375" t="str">
        <f>Original!A370</f>
        <v>ORD-2023-132101</v>
      </c>
      <c r="B375">
        <f>Original!R370</f>
        <v>1279.56</v>
      </c>
      <c r="C375">
        <f>Original!S370</f>
        <v>3083.8</v>
      </c>
      <c r="D375" s="6">
        <f>Original!T370</f>
        <v>0.106</v>
      </c>
      <c r="E375" s="6">
        <f>Original!V370</f>
        <v>5</v>
      </c>
      <c r="F375" s="6">
        <f t="shared" si="30"/>
        <v>0.106</v>
      </c>
      <c r="G375">
        <f t="shared" si="31"/>
        <v>1343.538</v>
      </c>
      <c r="H375">
        <f t="shared" si="32"/>
        <v>5.5</v>
      </c>
      <c r="I375">
        <f t="shared" si="33"/>
        <v>15163.044600000001</v>
      </c>
      <c r="J375">
        <f t="shared" si="34"/>
        <v>7773.5856000000013</v>
      </c>
      <c r="K375">
        <f t="shared" si="35"/>
        <v>7389.4589999999998</v>
      </c>
    </row>
    <row r="376" spans="1:11" x14ac:dyDescent="0.25">
      <c r="A376" t="str">
        <f>Original!A371</f>
        <v>ORD-2025-306903</v>
      </c>
      <c r="B376">
        <f>Original!R371</f>
        <v>255.4</v>
      </c>
      <c r="C376">
        <f>Original!S371</f>
        <v>322.70999999999998</v>
      </c>
      <c r="D376" s="6">
        <f>Original!T371</f>
        <v>0.115</v>
      </c>
      <c r="E376" s="6">
        <f>Original!V371</f>
        <v>16</v>
      </c>
      <c r="F376" s="6">
        <f t="shared" si="30"/>
        <v>0.115</v>
      </c>
      <c r="G376">
        <f t="shared" si="31"/>
        <v>268.17</v>
      </c>
      <c r="H376">
        <f t="shared" si="32"/>
        <v>17.600000000000001</v>
      </c>
      <c r="I376">
        <f t="shared" si="33"/>
        <v>5026.5309600000001</v>
      </c>
      <c r="J376">
        <f t="shared" si="34"/>
        <v>306.73895999999968</v>
      </c>
      <c r="K376">
        <f t="shared" si="35"/>
        <v>4719.7920000000004</v>
      </c>
    </row>
    <row r="377" spans="1:11" x14ac:dyDescent="0.25">
      <c r="A377" t="str">
        <f>Original!A372</f>
        <v>ORD-2023-813340</v>
      </c>
      <c r="B377">
        <f>Original!R372</f>
        <v>492.75</v>
      </c>
      <c r="C377">
        <f>Original!S372</f>
        <v>731.29</v>
      </c>
      <c r="D377" s="6">
        <f>Original!T372</f>
        <v>5.8000000000000003E-2</v>
      </c>
      <c r="E377" s="6">
        <f>Original!V372</f>
        <v>6</v>
      </c>
      <c r="F377" s="6">
        <f t="shared" si="30"/>
        <v>5.8000000000000003E-2</v>
      </c>
      <c r="G377">
        <f t="shared" si="31"/>
        <v>517.38750000000005</v>
      </c>
      <c r="H377">
        <f t="shared" si="32"/>
        <v>6.6000000000000005</v>
      </c>
      <c r="I377">
        <f t="shared" si="33"/>
        <v>4546.576188</v>
      </c>
      <c r="J377">
        <f t="shared" si="34"/>
        <v>1131.8186879999994</v>
      </c>
      <c r="K377">
        <f t="shared" si="35"/>
        <v>3414.7575000000006</v>
      </c>
    </row>
    <row r="378" spans="1:11" x14ac:dyDescent="0.25">
      <c r="A378" t="str">
        <f>Original!A373</f>
        <v>ORD-2023-855675</v>
      </c>
      <c r="B378">
        <f>Original!R373</f>
        <v>1214.49</v>
      </c>
      <c r="C378">
        <f>Original!S373</f>
        <v>1533.95</v>
      </c>
      <c r="D378" s="6">
        <f>Original!T373</f>
        <v>0</v>
      </c>
      <c r="E378" s="6">
        <f>Original!V373</f>
        <v>11</v>
      </c>
      <c r="F378" s="6">
        <f t="shared" si="30"/>
        <v>0</v>
      </c>
      <c r="G378">
        <f t="shared" si="31"/>
        <v>1275.2145</v>
      </c>
      <c r="H378">
        <f t="shared" si="32"/>
        <v>12.100000000000001</v>
      </c>
      <c r="I378">
        <f t="shared" si="33"/>
        <v>18560.795000000002</v>
      </c>
      <c r="J378">
        <f t="shared" si="34"/>
        <v>3130.6995499999994</v>
      </c>
      <c r="K378">
        <f t="shared" si="35"/>
        <v>15430.095450000003</v>
      </c>
    </row>
    <row r="379" spans="1:11" x14ac:dyDescent="0.25">
      <c r="A379" t="str">
        <f>Original!A374</f>
        <v>ORD-2023-545150</v>
      </c>
      <c r="B379">
        <f>Original!R374</f>
        <v>720.35</v>
      </c>
      <c r="C379">
        <f>Original!S374</f>
        <v>1571.66</v>
      </c>
      <c r="D379" s="6">
        <f>Original!T374</f>
        <v>0.107</v>
      </c>
      <c r="E379" s="6">
        <f>Original!V374</f>
        <v>23</v>
      </c>
      <c r="F379" s="6">
        <f t="shared" si="30"/>
        <v>0.107</v>
      </c>
      <c r="G379">
        <f t="shared" si="31"/>
        <v>756.36750000000006</v>
      </c>
      <c r="H379">
        <f t="shared" si="32"/>
        <v>25.3</v>
      </c>
      <c r="I379">
        <f t="shared" si="33"/>
        <v>35508.357214000003</v>
      </c>
      <c r="J379">
        <f t="shared" si="34"/>
        <v>16372.259464000002</v>
      </c>
      <c r="K379">
        <f t="shared" si="35"/>
        <v>19136.097750000001</v>
      </c>
    </row>
    <row r="380" spans="1:11" x14ac:dyDescent="0.25">
      <c r="A380" t="str">
        <f>Original!A375</f>
        <v>ORD-2025-269934</v>
      </c>
      <c r="B380">
        <f>Original!R375</f>
        <v>290.14</v>
      </c>
      <c r="C380">
        <f>Original!S375</f>
        <v>250.73</v>
      </c>
      <c r="D380" s="6">
        <f>Original!T375</f>
        <v>3.4000000000000002E-2</v>
      </c>
      <c r="E380" s="6">
        <f>Original!V375</f>
        <v>17</v>
      </c>
      <c r="F380" s="6">
        <f t="shared" si="30"/>
        <v>3.4000000000000002E-2</v>
      </c>
      <c r="G380">
        <f t="shared" si="31"/>
        <v>304.64699999999999</v>
      </c>
      <c r="H380">
        <f t="shared" si="32"/>
        <v>18.700000000000003</v>
      </c>
      <c r="I380">
        <f t="shared" si="33"/>
        <v>4529.2368660000002</v>
      </c>
      <c r="J380">
        <f t="shared" si="34"/>
        <v>-1167.6620340000009</v>
      </c>
      <c r="K380">
        <f t="shared" si="35"/>
        <v>5696.898900000001</v>
      </c>
    </row>
    <row r="381" spans="1:11" x14ac:dyDescent="0.25">
      <c r="A381" t="str">
        <f>Original!A376</f>
        <v>ORD-2024-690270</v>
      </c>
      <c r="B381">
        <f>Original!R376</f>
        <v>1484.23</v>
      </c>
      <c r="C381">
        <f>Original!S376</f>
        <v>3472.81</v>
      </c>
      <c r="D381" s="6">
        <f>Original!T376</f>
        <v>0.25600000000000001</v>
      </c>
      <c r="E381" s="6">
        <f>Original!V376</f>
        <v>12</v>
      </c>
      <c r="F381" s="6">
        <f t="shared" si="30"/>
        <v>0.2</v>
      </c>
      <c r="G381">
        <f t="shared" si="31"/>
        <v>1558.4415000000001</v>
      </c>
      <c r="H381">
        <f t="shared" si="32"/>
        <v>13.200000000000001</v>
      </c>
      <c r="I381">
        <f t="shared" si="33"/>
        <v>36672.873600000006</v>
      </c>
      <c r="J381">
        <f t="shared" si="34"/>
        <v>16101.445800000001</v>
      </c>
      <c r="K381">
        <f t="shared" si="35"/>
        <v>20571.427800000005</v>
      </c>
    </row>
    <row r="382" spans="1:11" x14ac:dyDescent="0.25">
      <c r="A382" t="str">
        <f>Original!A377</f>
        <v>ORD-2024-868223</v>
      </c>
      <c r="B382">
        <f>Original!R377</f>
        <v>988.83</v>
      </c>
      <c r="C382">
        <f>Original!S377</f>
        <v>1206.04</v>
      </c>
      <c r="D382" s="6">
        <f>Original!T377</f>
        <v>6.3E-2</v>
      </c>
      <c r="E382" s="6">
        <f>Original!V377</f>
        <v>34</v>
      </c>
      <c r="F382" s="6">
        <f t="shared" si="30"/>
        <v>6.3E-2</v>
      </c>
      <c r="G382">
        <f t="shared" si="31"/>
        <v>1038.2715000000001</v>
      </c>
      <c r="H382">
        <f t="shared" si="32"/>
        <v>37.400000000000006</v>
      </c>
      <c r="I382">
        <f t="shared" si="33"/>
        <v>42264.224552000007</v>
      </c>
      <c r="J382">
        <f t="shared" si="34"/>
        <v>3432.8704519999956</v>
      </c>
      <c r="K382">
        <f t="shared" si="35"/>
        <v>38831.354100000011</v>
      </c>
    </row>
    <row r="383" spans="1:11" x14ac:dyDescent="0.25">
      <c r="A383" t="str">
        <f>Original!A378</f>
        <v>ORD-2025-188059</v>
      </c>
      <c r="B383">
        <f>Original!R378</f>
        <v>1227.7</v>
      </c>
      <c r="C383">
        <f>Original!S378</f>
        <v>2197.23</v>
      </c>
      <c r="D383" s="6">
        <f>Original!T378</f>
        <v>9.9000000000000005E-2</v>
      </c>
      <c r="E383" s="6">
        <f>Original!V378</f>
        <v>22</v>
      </c>
      <c r="F383" s="6">
        <f t="shared" si="30"/>
        <v>9.9000000000000005E-2</v>
      </c>
      <c r="G383">
        <f t="shared" si="31"/>
        <v>1289.085</v>
      </c>
      <c r="H383">
        <f t="shared" si="32"/>
        <v>24.200000000000003</v>
      </c>
      <c r="I383">
        <f t="shared" si="33"/>
        <v>47908.842366000012</v>
      </c>
      <c r="J383">
        <f t="shared" si="34"/>
        <v>16712.985366000008</v>
      </c>
      <c r="K383">
        <f t="shared" si="35"/>
        <v>31195.857000000004</v>
      </c>
    </row>
    <row r="384" spans="1:11" x14ac:dyDescent="0.25">
      <c r="A384" t="str">
        <f>Original!A379</f>
        <v>ORD-2023-281890</v>
      </c>
      <c r="B384">
        <f>Original!R379</f>
        <v>1113.7</v>
      </c>
      <c r="C384">
        <f>Original!S379</f>
        <v>1620.6</v>
      </c>
      <c r="D384" s="6">
        <f>Original!T379</f>
        <v>0.13900000000000001</v>
      </c>
      <c r="E384" s="6">
        <f>Original!V379</f>
        <v>11</v>
      </c>
      <c r="F384" s="6">
        <f t="shared" si="30"/>
        <v>0.13900000000000001</v>
      </c>
      <c r="G384">
        <f t="shared" si="31"/>
        <v>1169.385</v>
      </c>
      <c r="H384">
        <f t="shared" si="32"/>
        <v>12.100000000000001</v>
      </c>
      <c r="I384">
        <f t="shared" si="33"/>
        <v>16883.57286</v>
      </c>
      <c r="J384">
        <f t="shared" si="34"/>
        <v>2734.0143599999992</v>
      </c>
      <c r="K384">
        <f t="shared" si="35"/>
        <v>14149.558500000001</v>
      </c>
    </row>
    <row r="385" spans="1:11" x14ac:dyDescent="0.25">
      <c r="A385" t="str">
        <f>Original!A380</f>
        <v>ORD-2025-636162</v>
      </c>
      <c r="B385">
        <f>Original!R380</f>
        <v>432.13</v>
      </c>
      <c r="C385">
        <f>Original!S380</f>
        <v>1034.6600000000001</v>
      </c>
      <c r="D385" s="6">
        <f>Original!T380</f>
        <v>9.1999999999999998E-2</v>
      </c>
      <c r="E385" s="6">
        <f>Original!V380</f>
        <v>7</v>
      </c>
      <c r="F385" s="6">
        <f t="shared" si="30"/>
        <v>9.1999999999999998E-2</v>
      </c>
      <c r="G385">
        <f t="shared" si="31"/>
        <v>453.73650000000004</v>
      </c>
      <c r="H385">
        <f t="shared" si="32"/>
        <v>7.7000000000000011</v>
      </c>
      <c r="I385">
        <f t="shared" si="33"/>
        <v>7233.9288560000014</v>
      </c>
      <c r="J385">
        <f t="shared" si="34"/>
        <v>3740.1578060000006</v>
      </c>
      <c r="K385">
        <f t="shared" si="35"/>
        <v>3493.7710500000007</v>
      </c>
    </row>
    <row r="386" spans="1:11" x14ac:dyDescent="0.25">
      <c r="A386" t="str">
        <f>Original!A381</f>
        <v>ORD-2025-915869</v>
      </c>
      <c r="B386">
        <f>Original!R381</f>
        <v>837.39</v>
      </c>
      <c r="C386">
        <f>Original!S381</f>
        <v>1905.42</v>
      </c>
      <c r="D386" s="6">
        <f>Original!T381</f>
        <v>3.2000000000000001E-2</v>
      </c>
      <c r="E386" s="6">
        <f>Original!V381</f>
        <v>18</v>
      </c>
      <c r="F386" s="6">
        <f t="shared" si="30"/>
        <v>3.2000000000000001E-2</v>
      </c>
      <c r="G386">
        <f t="shared" si="31"/>
        <v>879.2595</v>
      </c>
      <c r="H386">
        <f t="shared" si="32"/>
        <v>19.8</v>
      </c>
      <c r="I386">
        <f t="shared" si="33"/>
        <v>36520.041888000007</v>
      </c>
      <c r="J386">
        <f t="shared" si="34"/>
        <v>19110.703788000006</v>
      </c>
      <c r="K386">
        <f t="shared" si="35"/>
        <v>17409.338100000001</v>
      </c>
    </row>
    <row r="387" spans="1:11" x14ac:dyDescent="0.25">
      <c r="A387" t="str">
        <f>Original!A382</f>
        <v>ORD-2025-192876</v>
      </c>
      <c r="B387">
        <f>Original!R382</f>
        <v>378.26</v>
      </c>
      <c r="C387">
        <f>Original!S382</f>
        <v>541.55999999999995</v>
      </c>
      <c r="D387" s="6">
        <f>Original!T382</f>
        <v>0.16300000000000001</v>
      </c>
      <c r="E387" s="6">
        <f>Original!V382</f>
        <v>25</v>
      </c>
      <c r="F387" s="6">
        <f t="shared" si="30"/>
        <v>0.16300000000000001</v>
      </c>
      <c r="G387">
        <f t="shared" si="31"/>
        <v>397.173</v>
      </c>
      <c r="H387">
        <f t="shared" si="32"/>
        <v>27.500000000000004</v>
      </c>
      <c r="I387">
        <f t="shared" si="33"/>
        <v>12465.3573</v>
      </c>
      <c r="J387">
        <f t="shared" si="34"/>
        <v>1543.0997999999981</v>
      </c>
      <c r="K387">
        <f t="shared" si="35"/>
        <v>10922.257500000002</v>
      </c>
    </row>
    <row r="388" spans="1:11" x14ac:dyDescent="0.25">
      <c r="A388" t="str">
        <f>Original!A383</f>
        <v>ORD-2025-822030</v>
      </c>
      <c r="B388">
        <f>Original!R383</f>
        <v>833.73</v>
      </c>
      <c r="C388">
        <f>Original!S383</f>
        <v>1116.5999999999999</v>
      </c>
      <c r="D388" s="6">
        <f>Original!T383</f>
        <v>0.17599999999999999</v>
      </c>
      <c r="E388" s="6">
        <f>Original!V383</f>
        <v>14</v>
      </c>
      <c r="F388" s="6">
        <f t="shared" si="30"/>
        <v>0.17599999999999999</v>
      </c>
      <c r="G388">
        <f t="shared" si="31"/>
        <v>875.41650000000004</v>
      </c>
      <c r="H388">
        <f t="shared" si="32"/>
        <v>15.400000000000002</v>
      </c>
      <c r="I388">
        <f t="shared" si="33"/>
        <v>14169.20736</v>
      </c>
      <c r="J388">
        <f t="shared" si="34"/>
        <v>687.79325999999855</v>
      </c>
      <c r="K388">
        <f t="shared" si="35"/>
        <v>13481.414100000002</v>
      </c>
    </row>
    <row r="389" spans="1:11" x14ac:dyDescent="0.25">
      <c r="A389" t="str">
        <f>Original!A384</f>
        <v>ORD-2025-789245</v>
      </c>
      <c r="B389">
        <f>Original!R384</f>
        <v>1142.06</v>
      </c>
      <c r="C389">
        <f>Original!S384</f>
        <v>1455</v>
      </c>
      <c r="D389" s="6">
        <f>Original!T384</f>
        <v>7.8E-2</v>
      </c>
      <c r="E389" s="6">
        <f>Original!V384</f>
        <v>28</v>
      </c>
      <c r="F389" s="6">
        <f t="shared" si="30"/>
        <v>7.8E-2</v>
      </c>
      <c r="G389">
        <f t="shared" si="31"/>
        <v>1199.163</v>
      </c>
      <c r="H389">
        <f t="shared" si="32"/>
        <v>30.800000000000004</v>
      </c>
      <c r="I389">
        <f t="shared" si="33"/>
        <v>41318.508000000009</v>
      </c>
      <c r="J389">
        <f t="shared" si="34"/>
        <v>4384.2876000000033</v>
      </c>
      <c r="K389">
        <f t="shared" si="35"/>
        <v>36934.220400000006</v>
      </c>
    </row>
    <row r="390" spans="1:11" x14ac:dyDescent="0.25">
      <c r="A390" t="str">
        <f>Original!A385</f>
        <v>ORD-2023-594955</v>
      </c>
      <c r="B390">
        <f>Original!R385</f>
        <v>1145.53</v>
      </c>
      <c r="C390">
        <f>Original!S385</f>
        <v>1278.3</v>
      </c>
      <c r="D390" s="6">
        <f>Original!T385</f>
        <v>0.09</v>
      </c>
      <c r="E390" s="6">
        <f>Original!V385</f>
        <v>41</v>
      </c>
      <c r="F390" s="6">
        <f t="shared" si="30"/>
        <v>0.09</v>
      </c>
      <c r="G390">
        <f t="shared" si="31"/>
        <v>1202.8064999999999</v>
      </c>
      <c r="H390">
        <f t="shared" si="32"/>
        <v>45.1</v>
      </c>
      <c r="I390">
        <f t="shared" si="33"/>
        <v>52462.710300000006</v>
      </c>
      <c r="J390">
        <f t="shared" si="34"/>
        <v>-1783.8628499999904</v>
      </c>
      <c r="K390">
        <f t="shared" si="35"/>
        <v>54246.573149999997</v>
      </c>
    </row>
    <row r="391" spans="1:11" x14ac:dyDescent="0.25">
      <c r="A391" t="str">
        <f>Original!A386</f>
        <v>ORD-2024-398783</v>
      </c>
      <c r="B391">
        <f>Original!R386</f>
        <v>941.35</v>
      </c>
      <c r="C391">
        <f>Original!S386</f>
        <v>899.83</v>
      </c>
      <c r="D391" s="6">
        <f>Original!T386</f>
        <v>5.8000000000000003E-2</v>
      </c>
      <c r="E391" s="6">
        <f>Original!V386</f>
        <v>18</v>
      </c>
      <c r="F391" s="6">
        <f t="shared" si="30"/>
        <v>5.8000000000000003E-2</v>
      </c>
      <c r="G391">
        <f t="shared" si="31"/>
        <v>988.41750000000002</v>
      </c>
      <c r="H391">
        <f t="shared" si="32"/>
        <v>19.8</v>
      </c>
      <c r="I391">
        <f t="shared" si="33"/>
        <v>16783.269228000001</v>
      </c>
      <c r="J391">
        <f t="shared" si="34"/>
        <v>-2787.3972719999983</v>
      </c>
      <c r="K391">
        <f t="shared" si="35"/>
        <v>19570.666499999999</v>
      </c>
    </row>
    <row r="392" spans="1:11" x14ac:dyDescent="0.25">
      <c r="A392" t="str">
        <f>Original!A387</f>
        <v>ORD-2023-676553</v>
      </c>
      <c r="B392">
        <f>Original!R387</f>
        <v>1161.2</v>
      </c>
      <c r="C392">
        <f>Original!S387</f>
        <v>878.73</v>
      </c>
      <c r="D392" s="6">
        <f>Original!T387</f>
        <v>0.19</v>
      </c>
      <c r="E392" s="6">
        <f>Original!V387</f>
        <v>31</v>
      </c>
      <c r="F392" s="6">
        <f t="shared" ref="F392:F455" si="36">MIN(D392,$B$2)</f>
        <v>0.19</v>
      </c>
      <c r="G392">
        <f t="shared" ref="G392:G455" si="37">B392*(1+$B$3)</f>
        <v>1219.26</v>
      </c>
      <c r="H392">
        <f t="shared" ref="H392:H455" si="38">E392*(1+$B$4)</f>
        <v>34.1</v>
      </c>
      <c r="I392">
        <f t="shared" ref="I392:I455" si="39">C392*H392*(1-F392)</f>
        <v>24271.401330000004</v>
      </c>
      <c r="J392">
        <f t="shared" ref="J392:J455" si="40">I392-K392</f>
        <v>-17305.364669999999</v>
      </c>
      <c r="K392">
        <f t="shared" ref="K392:K455" si="41">G392*H392</f>
        <v>41576.766000000003</v>
      </c>
    </row>
    <row r="393" spans="1:11" x14ac:dyDescent="0.25">
      <c r="A393" t="str">
        <f>Original!A388</f>
        <v>ORD-2025-866565</v>
      </c>
      <c r="B393">
        <f>Original!R388</f>
        <v>320.12</v>
      </c>
      <c r="C393">
        <f>Original!S388</f>
        <v>594.41999999999996</v>
      </c>
      <c r="D393" s="6">
        <f>Original!T388</f>
        <v>0.104</v>
      </c>
      <c r="E393" s="6">
        <f>Original!V388</f>
        <v>18</v>
      </c>
      <c r="F393" s="6">
        <f t="shared" si="36"/>
        <v>0.104</v>
      </c>
      <c r="G393">
        <f t="shared" si="37"/>
        <v>336.12600000000003</v>
      </c>
      <c r="H393">
        <f t="shared" si="38"/>
        <v>19.8</v>
      </c>
      <c r="I393">
        <f t="shared" si="39"/>
        <v>10545.486336</v>
      </c>
      <c r="J393">
        <f t="shared" si="40"/>
        <v>3890.1915359999994</v>
      </c>
      <c r="K393">
        <f t="shared" si="41"/>
        <v>6655.2948000000006</v>
      </c>
    </row>
    <row r="394" spans="1:11" x14ac:dyDescent="0.25">
      <c r="A394" t="str">
        <f>Original!A389</f>
        <v>ORD-2024-527858</v>
      </c>
      <c r="B394">
        <f>Original!R389</f>
        <v>1163.99</v>
      </c>
      <c r="C394">
        <f>Original!S389</f>
        <v>1617.85</v>
      </c>
      <c r="D394" s="6">
        <f>Original!T389</f>
        <v>0.127</v>
      </c>
      <c r="E394" s="6">
        <f>Original!V389</f>
        <v>14</v>
      </c>
      <c r="F394" s="6">
        <f t="shared" si="36"/>
        <v>0.127</v>
      </c>
      <c r="G394">
        <f t="shared" si="37"/>
        <v>1222.1895</v>
      </c>
      <c r="H394">
        <f t="shared" si="38"/>
        <v>15.400000000000002</v>
      </c>
      <c r="I394">
        <f t="shared" si="39"/>
        <v>21750.698970000001</v>
      </c>
      <c r="J394">
        <f t="shared" si="40"/>
        <v>2928.9806700000008</v>
      </c>
      <c r="K394">
        <f t="shared" si="41"/>
        <v>18821.7183</v>
      </c>
    </row>
    <row r="395" spans="1:11" x14ac:dyDescent="0.25">
      <c r="A395" t="str">
        <f>Original!A390</f>
        <v>ORD-2023-619385</v>
      </c>
      <c r="B395">
        <f>Original!R390</f>
        <v>1019.36</v>
      </c>
      <c r="C395">
        <f>Original!S390</f>
        <v>972.91</v>
      </c>
      <c r="D395" s="6">
        <f>Original!T390</f>
        <v>0.14699999999999999</v>
      </c>
      <c r="E395" s="6">
        <f>Original!V390</f>
        <v>17</v>
      </c>
      <c r="F395" s="6">
        <f t="shared" si="36"/>
        <v>0.14699999999999999</v>
      </c>
      <c r="G395">
        <f t="shared" si="37"/>
        <v>1070.328</v>
      </c>
      <c r="H395">
        <f t="shared" si="38"/>
        <v>18.700000000000003</v>
      </c>
      <c r="I395">
        <f t="shared" si="39"/>
        <v>15518.984701000001</v>
      </c>
      <c r="J395">
        <f t="shared" si="40"/>
        <v>-4496.1488989999998</v>
      </c>
      <c r="K395">
        <f t="shared" si="41"/>
        <v>20015.133600000001</v>
      </c>
    </row>
    <row r="396" spans="1:11" x14ac:dyDescent="0.25">
      <c r="A396" t="str">
        <f>Original!A391</f>
        <v>ORD-2023-835226</v>
      </c>
      <c r="B396">
        <f>Original!R391</f>
        <v>20.38</v>
      </c>
      <c r="C396">
        <f>Original!S391</f>
        <v>42.56</v>
      </c>
      <c r="D396" s="6">
        <f>Original!T391</f>
        <v>7.1999999999999995E-2</v>
      </c>
      <c r="E396" s="6">
        <f>Original!V391</f>
        <v>11</v>
      </c>
      <c r="F396" s="6">
        <f t="shared" si="36"/>
        <v>7.1999999999999995E-2</v>
      </c>
      <c r="G396">
        <f t="shared" si="37"/>
        <v>21.399000000000001</v>
      </c>
      <c r="H396">
        <f t="shared" si="38"/>
        <v>12.100000000000001</v>
      </c>
      <c r="I396">
        <f t="shared" si="39"/>
        <v>477.89772800000014</v>
      </c>
      <c r="J396">
        <f t="shared" si="40"/>
        <v>218.96982800000012</v>
      </c>
      <c r="K396">
        <f t="shared" si="41"/>
        <v>258.92790000000002</v>
      </c>
    </row>
    <row r="397" spans="1:11" x14ac:dyDescent="0.25">
      <c r="A397" t="str">
        <f>Original!A392</f>
        <v>ORD-2025-485946</v>
      </c>
      <c r="B397">
        <f>Original!R392</f>
        <v>1487.59</v>
      </c>
      <c r="C397">
        <f>Original!S392</f>
        <v>1480.83</v>
      </c>
      <c r="D397" s="6">
        <f>Original!T392</f>
        <v>8.9999999999999993E-3</v>
      </c>
      <c r="E397" s="6">
        <f>Original!V392</f>
        <v>11</v>
      </c>
      <c r="F397" s="6">
        <f t="shared" si="36"/>
        <v>8.9999999999999993E-3</v>
      </c>
      <c r="G397">
        <f t="shared" si="37"/>
        <v>1561.9694999999999</v>
      </c>
      <c r="H397">
        <f t="shared" si="38"/>
        <v>12.100000000000001</v>
      </c>
      <c r="I397">
        <f t="shared" si="39"/>
        <v>17756.780613000003</v>
      </c>
      <c r="J397">
        <f t="shared" si="40"/>
        <v>-1143.0503369999969</v>
      </c>
      <c r="K397">
        <f t="shared" si="41"/>
        <v>18899.83095</v>
      </c>
    </row>
    <row r="398" spans="1:11" x14ac:dyDescent="0.25">
      <c r="A398" t="str">
        <f>Original!A393</f>
        <v>ORD-2024-307849</v>
      </c>
      <c r="B398">
        <f>Original!R393</f>
        <v>229.96</v>
      </c>
      <c r="C398">
        <f>Original!S393</f>
        <v>564.26</v>
      </c>
      <c r="D398" s="6">
        <f>Original!T393</f>
        <v>0.105</v>
      </c>
      <c r="E398" s="6">
        <f>Original!V393</f>
        <v>5</v>
      </c>
      <c r="F398" s="6">
        <f t="shared" si="36"/>
        <v>0.105</v>
      </c>
      <c r="G398">
        <f t="shared" si="37"/>
        <v>241.45800000000003</v>
      </c>
      <c r="H398">
        <f t="shared" si="38"/>
        <v>5.5</v>
      </c>
      <c r="I398">
        <f t="shared" si="39"/>
        <v>2777.5698499999999</v>
      </c>
      <c r="J398">
        <f t="shared" si="40"/>
        <v>1449.5508499999996</v>
      </c>
      <c r="K398">
        <f t="shared" si="41"/>
        <v>1328.0190000000002</v>
      </c>
    </row>
    <row r="399" spans="1:11" x14ac:dyDescent="0.25">
      <c r="A399" t="str">
        <f>Original!A394</f>
        <v>ORD-2023-368449</v>
      </c>
      <c r="B399">
        <f>Original!R394</f>
        <v>1132.03</v>
      </c>
      <c r="C399">
        <f>Original!S394</f>
        <v>2137.21</v>
      </c>
      <c r="D399" s="6">
        <f>Original!T394</f>
        <v>0.35699999999999998</v>
      </c>
      <c r="E399" s="6">
        <f>Original!V394</f>
        <v>35</v>
      </c>
      <c r="F399" s="6">
        <f t="shared" si="36"/>
        <v>0.2</v>
      </c>
      <c r="G399">
        <f t="shared" si="37"/>
        <v>1188.6315</v>
      </c>
      <c r="H399">
        <f t="shared" si="38"/>
        <v>38.5</v>
      </c>
      <c r="I399">
        <f t="shared" si="39"/>
        <v>65826.068000000014</v>
      </c>
      <c r="J399">
        <f t="shared" si="40"/>
        <v>20063.755250000017</v>
      </c>
      <c r="K399">
        <f t="shared" si="41"/>
        <v>45762.312749999997</v>
      </c>
    </row>
    <row r="400" spans="1:11" x14ac:dyDescent="0.25">
      <c r="A400" t="str">
        <f>Original!A395</f>
        <v>ORD-2024-251426</v>
      </c>
      <c r="B400">
        <f>Original!R395</f>
        <v>1137.4100000000001</v>
      </c>
      <c r="C400">
        <f>Original!S395</f>
        <v>1680.93</v>
      </c>
      <c r="D400" s="6">
        <f>Original!T395</f>
        <v>0.254</v>
      </c>
      <c r="E400" s="6">
        <f>Original!V395</f>
        <v>9</v>
      </c>
      <c r="F400" s="6">
        <f t="shared" si="36"/>
        <v>0.2</v>
      </c>
      <c r="G400">
        <f t="shared" si="37"/>
        <v>1194.2805000000001</v>
      </c>
      <c r="H400">
        <f t="shared" si="38"/>
        <v>9.9</v>
      </c>
      <c r="I400">
        <f t="shared" si="39"/>
        <v>13312.965600000003</v>
      </c>
      <c r="J400">
        <f t="shared" si="40"/>
        <v>1489.5886500000015</v>
      </c>
      <c r="K400">
        <f t="shared" si="41"/>
        <v>11823.376950000002</v>
      </c>
    </row>
    <row r="401" spans="1:11" x14ac:dyDescent="0.25">
      <c r="A401" t="str">
        <f>Original!A396</f>
        <v>ORD-2023-927385</v>
      </c>
      <c r="B401">
        <f>Original!R396</f>
        <v>1295.3900000000001</v>
      </c>
      <c r="C401">
        <f>Original!S396</f>
        <v>2905.06</v>
      </c>
      <c r="D401" s="6">
        <f>Original!T396</f>
        <v>0.14799999999999999</v>
      </c>
      <c r="E401" s="6">
        <f>Original!V396</f>
        <v>8</v>
      </c>
      <c r="F401" s="6">
        <f t="shared" si="36"/>
        <v>0.14799999999999999</v>
      </c>
      <c r="G401">
        <f t="shared" si="37"/>
        <v>1360.1595000000002</v>
      </c>
      <c r="H401">
        <f t="shared" si="38"/>
        <v>8.8000000000000007</v>
      </c>
      <c r="I401">
        <f t="shared" si="39"/>
        <v>21780.977856000001</v>
      </c>
      <c r="J401">
        <f t="shared" si="40"/>
        <v>9811.5742559999981</v>
      </c>
      <c r="K401">
        <f t="shared" si="41"/>
        <v>11969.403600000003</v>
      </c>
    </row>
    <row r="402" spans="1:11" x14ac:dyDescent="0.25">
      <c r="A402" t="str">
        <f>Original!A397</f>
        <v>ORD-2025-486350</v>
      </c>
      <c r="B402">
        <f>Original!R397</f>
        <v>653.6</v>
      </c>
      <c r="C402">
        <f>Original!S397</f>
        <v>842.09</v>
      </c>
      <c r="D402" s="6">
        <f>Original!T397</f>
        <v>9.8000000000000004E-2</v>
      </c>
      <c r="E402" s="6">
        <f>Original!V397</f>
        <v>19</v>
      </c>
      <c r="F402" s="6">
        <f t="shared" si="36"/>
        <v>9.8000000000000004E-2</v>
      </c>
      <c r="G402">
        <f t="shared" si="37"/>
        <v>686.28000000000009</v>
      </c>
      <c r="H402">
        <f t="shared" si="38"/>
        <v>20.900000000000002</v>
      </c>
      <c r="I402">
        <f t="shared" si="39"/>
        <v>15874.912262000003</v>
      </c>
      <c r="J402">
        <f t="shared" si="40"/>
        <v>1531.6602619999994</v>
      </c>
      <c r="K402">
        <f t="shared" si="41"/>
        <v>14343.252000000004</v>
      </c>
    </row>
    <row r="403" spans="1:11" x14ac:dyDescent="0.25">
      <c r="A403" t="str">
        <f>Original!A398</f>
        <v>ORD-2025-677880</v>
      </c>
      <c r="B403">
        <f>Original!R398</f>
        <v>1397.67</v>
      </c>
      <c r="C403">
        <f>Original!S398</f>
        <v>3131.37</v>
      </c>
      <c r="D403" s="6">
        <f>Original!T398</f>
        <v>0.10299999999999999</v>
      </c>
      <c r="E403" s="6">
        <f>Original!V398</f>
        <v>20</v>
      </c>
      <c r="F403" s="6">
        <f t="shared" si="36"/>
        <v>0.10299999999999999</v>
      </c>
      <c r="G403">
        <f t="shared" si="37"/>
        <v>1467.5535000000002</v>
      </c>
      <c r="H403">
        <f t="shared" si="38"/>
        <v>22</v>
      </c>
      <c r="I403">
        <f t="shared" si="39"/>
        <v>61794.455580000002</v>
      </c>
      <c r="J403">
        <f t="shared" si="40"/>
        <v>29508.278579999998</v>
      </c>
      <c r="K403">
        <f t="shared" si="41"/>
        <v>32286.177000000003</v>
      </c>
    </row>
    <row r="404" spans="1:11" x14ac:dyDescent="0.25">
      <c r="A404" t="str">
        <f>Original!A399</f>
        <v>ORD-2024-102866</v>
      </c>
      <c r="B404">
        <f>Original!R399</f>
        <v>1202.47</v>
      </c>
      <c r="C404">
        <f>Original!S399</f>
        <v>1444.72</v>
      </c>
      <c r="D404" s="6">
        <f>Original!T399</f>
        <v>0.24099999999999999</v>
      </c>
      <c r="E404" s="6">
        <f>Original!V399</f>
        <v>17</v>
      </c>
      <c r="F404" s="6">
        <f t="shared" si="36"/>
        <v>0.2</v>
      </c>
      <c r="G404">
        <f t="shared" si="37"/>
        <v>1262.5935000000002</v>
      </c>
      <c r="H404">
        <f t="shared" si="38"/>
        <v>18.700000000000003</v>
      </c>
      <c r="I404">
        <f t="shared" si="39"/>
        <v>21613.011200000004</v>
      </c>
      <c r="J404">
        <f t="shared" si="40"/>
        <v>-1997.4872500000019</v>
      </c>
      <c r="K404">
        <f t="shared" si="41"/>
        <v>23610.498450000006</v>
      </c>
    </row>
    <row r="405" spans="1:11" x14ac:dyDescent="0.25">
      <c r="A405" t="str">
        <f>Original!A400</f>
        <v>ORD-2025-588029</v>
      </c>
      <c r="B405">
        <f>Original!R400</f>
        <v>1310.3</v>
      </c>
      <c r="C405">
        <f>Original!S400</f>
        <v>2875.8</v>
      </c>
      <c r="D405" s="6">
        <f>Original!T400</f>
        <v>8.3000000000000004E-2</v>
      </c>
      <c r="E405" s="6">
        <f>Original!V400</f>
        <v>5</v>
      </c>
      <c r="F405" s="6">
        <f t="shared" si="36"/>
        <v>8.3000000000000004E-2</v>
      </c>
      <c r="G405">
        <f t="shared" si="37"/>
        <v>1375.8150000000001</v>
      </c>
      <c r="H405">
        <f t="shared" si="38"/>
        <v>5.5</v>
      </c>
      <c r="I405">
        <f t="shared" si="39"/>
        <v>14504.097300000001</v>
      </c>
      <c r="J405">
        <f t="shared" si="40"/>
        <v>6937.1148000000012</v>
      </c>
      <c r="K405">
        <f t="shared" si="41"/>
        <v>7566.9825000000001</v>
      </c>
    </row>
    <row r="406" spans="1:11" x14ac:dyDescent="0.25">
      <c r="A406" t="str">
        <f>Original!A401</f>
        <v>ORD-2024-972999</v>
      </c>
      <c r="B406">
        <f>Original!R401</f>
        <v>1174.17</v>
      </c>
      <c r="C406">
        <f>Original!S401</f>
        <v>1641.61</v>
      </c>
      <c r="D406" s="6">
        <f>Original!T401</f>
        <v>0.122</v>
      </c>
      <c r="E406" s="6">
        <f>Original!V401</f>
        <v>9</v>
      </c>
      <c r="F406" s="6">
        <f t="shared" si="36"/>
        <v>0.122</v>
      </c>
      <c r="G406">
        <f t="shared" si="37"/>
        <v>1232.8785</v>
      </c>
      <c r="H406">
        <f t="shared" si="38"/>
        <v>9.9</v>
      </c>
      <c r="I406">
        <f t="shared" si="39"/>
        <v>14269.202442</v>
      </c>
      <c r="J406">
        <f t="shared" si="40"/>
        <v>2063.7052919999987</v>
      </c>
      <c r="K406">
        <f t="shared" si="41"/>
        <v>12205.497150000001</v>
      </c>
    </row>
    <row r="407" spans="1:11" x14ac:dyDescent="0.25">
      <c r="A407" t="str">
        <f>Original!A402</f>
        <v>ORD-2025-608069</v>
      </c>
      <c r="B407">
        <f>Original!R402</f>
        <v>1119.04</v>
      </c>
      <c r="C407">
        <f>Original!S402</f>
        <v>1299.02</v>
      </c>
      <c r="D407" s="6">
        <f>Original!T402</f>
        <v>2.5000000000000001E-2</v>
      </c>
      <c r="E407" s="6">
        <f>Original!V402</f>
        <v>14</v>
      </c>
      <c r="F407" s="6">
        <f t="shared" si="36"/>
        <v>2.5000000000000001E-2</v>
      </c>
      <c r="G407">
        <f t="shared" si="37"/>
        <v>1174.992</v>
      </c>
      <c r="H407">
        <f t="shared" si="38"/>
        <v>15.400000000000002</v>
      </c>
      <c r="I407">
        <f t="shared" si="39"/>
        <v>19504.785300000003</v>
      </c>
      <c r="J407">
        <f t="shared" si="40"/>
        <v>1409.9085000000014</v>
      </c>
      <c r="K407">
        <f t="shared" si="41"/>
        <v>18094.876800000002</v>
      </c>
    </row>
    <row r="408" spans="1:11" x14ac:dyDescent="0.25">
      <c r="A408" t="str">
        <f>Original!A403</f>
        <v>ORD-2024-626750</v>
      </c>
      <c r="B408">
        <f>Original!R403</f>
        <v>850.7</v>
      </c>
      <c r="C408">
        <f>Original!S403</f>
        <v>1118.56</v>
      </c>
      <c r="D408" s="6">
        <f>Original!T403</f>
        <v>0.18</v>
      </c>
      <c r="E408" s="6">
        <f>Original!V403</f>
        <v>19</v>
      </c>
      <c r="F408" s="6">
        <f t="shared" si="36"/>
        <v>0.18</v>
      </c>
      <c r="G408">
        <f t="shared" si="37"/>
        <v>893.23500000000013</v>
      </c>
      <c r="H408">
        <f t="shared" si="38"/>
        <v>20.900000000000002</v>
      </c>
      <c r="I408">
        <f t="shared" si="39"/>
        <v>19169.881280000005</v>
      </c>
      <c r="J408">
        <f t="shared" si="40"/>
        <v>501.26977999999872</v>
      </c>
      <c r="K408">
        <f t="shared" si="41"/>
        <v>18668.611500000006</v>
      </c>
    </row>
    <row r="409" spans="1:11" x14ac:dyDescent="0.25">
      <c r="A409" t="str">
        <f>Original!A404</f>
        <v>ORD-2024-170021</v>
      </c>
      <c r="B409">
        <f>Original!R404</f>
        <v>1020.4</v>
      </c>
      <c r="C409">
        <f>Original!S404</f>
        <v>1184.71</v>
      </c>
      <c r="D409" s="6">
        <f>Original!T404</f>
        <v>0.106</v>
      </c>
      <c r="E409" s="6">
        <f>Original!V404</f>
        <v>16</v>
      </c>
      <c r="F409" s="6">
        <f t="shared" si="36"/>
        <v>0.106</v>
      </c>
      <c r="G409">
        <f t="shared" si="37"/>
        <v>1071.42</v>
      </c>
      <c r="H409">
        <f t="shared" si="38"/>
        <v>17.600000000000001</v>
      </c>
      <c r="I409">
        <f t="shared" si="39"/>
        <v>18640.701024000002</v>
      </c>
      <c r="J409">
        <f t="shared" si="40"/>
        <v>-216.29097600000023</v>
      </c>
      <c r="K409">
        <f t="shared" si="41"/>
        <v>18856.992000000002</v>
      </c>
    </row>
    <row r="410" spans="1:11" x14ac:dyDescent="0.25">
      <c r="A410" t="str">
        <f>Original!A405</f>
        <v>ORD-2024-678110</v>
      </c>
      <c r="B410">
        <f>Original!R405</f>
        <v>501.5</v>
      </c>
      <c r="C410">
        <f>Original!S405</f>
        <v>1201.47</v>
      </c>
      <c r="D410" s="6">
        <f>Original!T405</f>
        <v>0.126</v>
      </c>
      <c r="E410" s="6">
        <f>Original!V405</f>
        <v>5</v>
      </c>
      <c r="F410" s="6">
        <f t="shared" si="36"/>
        <v>0.126</v>
      </c>
      <c r="G410">
        <f t="shared" si="37"/>
        <v>526.57500000000005</v>
      </c>
      <c r="H410">
        <f t="shared" si="38"/>
        <v>5.5</v>
      </c>
      <c r="I410">
        <f t="shared" si="39"/>
        <v>5775.4662900000003</v>
      </c>
      <c r="J410">
        <f t="shared" si="40"/>
        <v>2879.3037899999999</v>
      </c>
      <c r="K410">
        <f t="shared" si="41"/>
        <v>2896.1625000000004</v>
      </c>
    </row>
    <row r="411" spans="1:11" x14ac:dyDescent="0.25">
      <c r="A411" t="str">
        <f>Original!A406</f>
        <v>ORD-2025-909340</v>
      </c>
      <c r="B411">
        <f>Original!R406</f>
        <v>974.11</v>
      </c>
      <c r="C411">
        <f>Original!S406</f>
        <v>880.99</v>
      </c>
      <c r="D411" s="6">
        <f>Original!T406</f>
        <v>0.111</v>
      </c>
      <c r="E411" s="6">
        <f>Original!V406</f>
        <v>10</v>
      </c>
      <c r="F411" s="6">
        <f t="shared" si="36"/>
        <v>0.111</v>
      </c>
      <c r="G411">
        <f t="shared" si="37"/>
        <v>1022.8155</v>
      </c>
      <c r="H411">
        <f t="shared" si="38"/>
        <v>11</v>
      </c>
      <c r="I411">
        <f t="shared" si="39"/>
        <v>8615.2012099999993</v>
      </c>
      <c r="J411">
        <f t="shared" si="40"/>
        <v>-2635.769290000002</v>
      </c>
      <c r="K411">
        <f t="shared" si="41"/>
        <v>11250.970500000001</v>
      </c>
    </row>
    <row r="412" spans="1:11" x14ac:dyDescent="0.25">
      <c r="A412" t="str">
        <f>Original!A407</f>
        <v>ORD-2023-854471</v>
      </c>
      <c r="B412">
        <f>Original!R407</f>
        <v>1126.29</v>
      </c>
      <c r="C412">
        <f>Original!S407</f>
        <v>2050.87</v>
      </c>
      <c r="D412" s="6">
        <f>Original!T407</f>
        <v>6.4000000000000001E-2</v>
      </c>
      <c r="E412" s="6">
        <f>Original!V407</f>
        <v>7</v>
      </c>
      <c r="F412" s="6">
        <f t="shared" si="36"/>
        <v>6.4000000000000001E-2</v>
      </c>
      <c r="G412">
        <f t="shared" si="37"/>
        <v>1182.6044999999999</v>
      </c>
      <c r="H412">
        <f t="shared" si="38"/>
        <v>7.7000000000000011</v>
      </c>
      <c r="I412">
        <f t="shared" si="39"/>
        <v>14781.030263999999</v>
      </c>
      <c r="J412">
        <f t="shared" si="40"/>
        <v>5674.975613999999</v>
      </c>
      <c r="K412">
        <f t="shared" si="41"/>
        <v>9106.05465</v>
      </c>
    </row>
    <row r="413" spans="1:11" x14ac:dyDescent="0.25">
      <c r="A413" t="str">
        <f>Original!A408</f>
        <v>ORD-2024-390951</v>
      </c>
      <c r="B413">
        <f>Original!R408</f>
        <v>1361.34</v>
      </c>
      <c r="C413">
        <f>Original!S408</f>
        <v>1737.9</v>
      </c>
      <c r="D413" s="6">
        <f>Original!T408</f>
        <v>7.6999999999999999E-2</v>
      </c>
      <c r="E413" s="6">
        <f>Original!V408</f>
        <v>14</v>
      </c>
      <c r="F413" s="6">
        <f t="shared" si="36"/>
        <v>7.6999999999999999E-2</v>
      </c>
      <c r="G413">
        <f t="shared" si="37"/>
        <v>1429.4069999999999</v>
      </c>
      <c r="H413">
        <f t="shared" si="38"/>
        <v>15.400000000000002</v>
      </c>
      <c r="I413">
        <f t="shared" si="39"/>
        <v>24702.858180000003</v>
      </c>
      <c r="J413">
        <f t="shared" si="40"/>
        <v>2689.9903799999993</v>
      </c>
      <c r="K413">
        <f t="shared" si="41"/>
        <v>22012.867800000004</v>
      </c>
    </row>
    <row r="414" spans="1:11" x14ac:dyDescent="0.25">
      <c r="A414" t="str">
        <f>Original!A409</f>
        <v>ORD-2025-881624</v>
      </c>
      <c r="B414">
        <f>Original!R409</f>
        <v>1437.39</v>
      </c>
      <c r="C414">
        <f>Original!S409</f>
        <v>1388.31</v>
      </c>
      <c r="D414" s="6">
        <f>Original!T409</f>
        <v>0.13800000000000001</v>
      </c>
      <c r="E414" s="6">
        <f>Original!V409</f>
        <v>18</v>
      </c>
      <c r="F414" s="6">
        <f t="shared" si="36"/>
        <v>0.13800000000000001</v>
      </c>
      <c r="G414">
        <f t="shared" si="37"/>
        <v>1509.2595000000001</v>
      </c>
      <c r="H414">
        <f t="shared" si="38"/>
        <v>19.8</v>
      </c>
      <c r="I414">
        <f t="shared" si="39"/>
        <v>23695.119756</v>
      </c>
      <c r="J414">
        <f t="shared" si="40"/>
        <v>-6188.2183440000044</v>
      </c>
      <c r="K414">
        <f t="shared" si="41"/>
        <v>29883.338100000004</v>
      </c>
    </row>
    <row r="415" spans="1:11" x14ac:dyDescent="0.25">
      <c r="A415" t="str">
        <f>Original!A410</f>
        <v>ORD-2025-512310</v>
      </c>
      <c r="B415">
        <f>Original!R410</f>
        <v>475.66</v>
      </c>
      <c r="C415">
        <f>Original!S410</f>
        <v>529.14</v>
      </c>
      <c r="D415" s="6">
        <f>Original!T410</f>
        <v>0.19600000000000001</v>
      </c>
      <c r="E415" s="6">
        <f>Original!V410</f>
        <v>11</v>
      </c>
      <c r="F415" s="6">
        <f t="shared" si="36"/>
        <v>0.19600000000000001</v>
      </c>
      <c r="G415">
        <f t="shared" si="37"/>
        <v>499.44300000000004</v>
      </c>
      <c r="H415">
        <f t="shared" si="38"/>
        <v>12.100000000000001</v>
      </c>
      <c r="I415">
        <f t="shared" si="39"/>
        <v>5147.6855760000008</v>
      </c>
      <c r="J415">
        <f t="shared" si="40"/>
        <v>-895.57472400000006</v>
      </c>
      <c r="K415">
        <f t="shared" si="41"/>
        <v>6043.2603000000008</v>
      </c>
    </row>
    <row r="416" spans="1:11" x14ac:dyDescent="0.25">
      <c r="A416" t="str">
        <f>Original!A411</f>
        <v>ORD-2023-674887</v>
      </c>
      <c r="B416">
        <f>Original!R411</f>
        <v>1415.05</v>
      </c>
      <c r="C416">
        <f>Original!S411</f>
        <v>1972.38</v>
      </c>
      <c r="D416" s="6">
        <f>Original!T411</f>
        <v>0</v>
      </c>
      <c r="E416" s="6">
        <f>Original!V411</f>
        <v>12</v>
      </c>
      <c r="F416" s="6">
        <f t="shared" si="36"/>
        <v>0</v>
      </c>
      <c r="G416">
        <f t="shared" si="37"/>
        <v>1485.8025</v>
      </c>
      <c r="H416">
        <f t="shared" si="38"/>
        <v>13.200000000000001</v>
      </c>
      <c r="I416">
        <f t="shared" si="39"/>
        <v>26035.416000000005</v>
      </c>
      <c r="J416">
        <f t="shared" si="40"/>
        <v>6422.823000000004</v>
      </c>
      <c r="K416">
        <f t="shared" si="41"/>
        <v>19612.593000000001</v>
      </c>
    </row>
    <row r="417" spans="1:11" x14ac:dyDescent="0.25">
      <c r="A417" t="str">
        <f>Original!A412</f>
        <v>ORD-2024-542244</v>
      </c>
      <c r="B417">
        <f>Original!R412</f>
        <v>466.16</v>
      </c>
      <c r="C417">
        <f>Original!S412</f>
        <v>876.81</v>
      </c>
      <c r="D417" s="6">
        <f>Original!T412</f>
        <v>0.24099999999999999</v>
      </c>
      <c r="E417" s="6">
        <f>Original!V412</f>
        <v>8</v>
      </c>
      <c r="F417" s="6">
        <f t="shared" si="36"/>
        <v>0.2</v>
      </c>
      <c r="G417">
        <f t="shared" si="37"/>
        <v>489.46800000000007</v>
      </c>
      <c r="H417">
        <f t="shared" si="38"/>
        <v>8.8000000000000007</v>
      </c>
      <c r="I417">
        <f t="shared" si="39"/>
        <v>6172.7424000000001</v>
      </c>
      <c r="J417">
        <f t="shared" si="40"/>
        <v>1865.4239999999991</v>
      </c>
      <c r="K417">
        <f t="shared" si="41"/>
        <v>4307.318400000001</v>
      </c>
    </row>
    <row r="418" spans="1:11" x14ac:dyDescent="0.25">
      <c r="A418" t="str">
        <f>Original!A413</f>
        <v>ORD-2024-375848</v>
      </c>
      <c r="B418">
        <f>Original!R413</f>
        <v>663.66</v>
      </c>
      <c r="C418">
        <f>Original!S413</f>
        <v>824.26</v>
      </c>
      <c r="D418" s="6">
        <f>Original!T413</f>
        <v>0.23899999999999999</v>
      </c>
      <c r="E418" s="6">
        <f>Original!V413</f>
        <v>11</v>
      </c>
      <c r="F418" s="6">
        <f t="shared" si="36"/>
        <v>0.2</v>
      </c>
      <c r="G418">
        <f t="shared" si="37"/>
        <v>696.84299999999996</v>
      </c>
      <c r="H418">
        <f t="shared" si="38"/>
        <v>12.100000000000001</v>
      </c>
      <c r="I418">
        <f t="shared" si="39"/>
        <v>7978.8368000000009</v>
      </c>
      <c r="J418">
        <f t="shared" si="40"/>
        <v>-452.96349999999984</v>
      </c>
      <c r="K418">
        <f t="shared" si="41"/>
        <v>8431.8003000000008</v>
      </c>
    </row>
    <row r="419" spans="1:11" x14ac:dyDescent="0.25">
      <c r="A419" t="str">
        <f>Original!A414</f>
        <v>ORD-2023-933238</v>
      </c>
      <c r="B419">
        <f>Original!R414</f>
        <v>692.18</v>
      </c>
      <c r="C419">
        <f>Original!S414</f>
        <v>1159.3499999999999</v>
      </c>
      <c r="D419" s="6">
        <f>Original!T414</f>
        <v>0.112</v>
      </c>
      <c r="E419" s="6">
        <f>Original!V414</f>
        <v>2</v>
      </c>
      <c r="F419" s="6">
        <f t="shared" si="36"/>
        <v>0.112</v>
      </c>
      <c r="G419">
        <f t="shared" si="37"/>
        <v>726.78899999999999</v>
      </c>
      <c r="H419">
        <f t="shared" si="38"/>
        <v>2.2000000000000002</v>
      </c>
      <c r="I419">
        <f t="shared" si="39"/>
        <v>2264.90616</v>
      </c>
      <c r="J419">
        <f t="shared" si="40"/>
        <v>665.9703599999998</v>
      </c>
      <c r="K419">
        <f t="shared" si="41"/>
        <v>1598.9358000000002</v>
      </c>
    </row>
    <row r="420" spans="1:11" x14ac:dyDescent="0.25">
      <c r="A420" t="str">
        <f>Original!A415</f>
        <v>ORD-2023-732585</v>
      </c>
      <c r="B420">
        <f>Original!R415</f>
        <v>1196.83</v>
      </c>
      <c r="C420">
        <f>Original!S415</f>
        <v>2513.5100000000002</v>
      </c>
      <c r="D420" s="6">
        <f>Original!T415</f>
        <v>8.3000000000000004E-2</v>
      </c>
      <c r="E420" s="6">
        <f>Original!V415</f>
        <v>7</v>
      </c>
      <c r="F420" s="6">
        <f t="shared" si="36"/>
        <v>8.3000000000000004E-2</v>
      </c>
      <c r="G420">
        <f t="shared" si="37"/>
        <v>1256.6714999999999</v>
      </c>
      <c r="H420">
        <f t="shared" si="38"/>
        <v>7.7000000000000011</v>
      </c>
      <c r="I420">
        <f t="shared" si="39"/>
        <v>17747.642759000006</v>
      </c>
      <c r="J420">
        <f t="shared" si="40"/>
        <v>8071.2722090000043</v>
      </c>
      <c r="K420">
        <f t="shared" si="41"/>
        <v>9676.3705500000015</v>
      </c>
    </row>
    <row r="421" spans="1:11" x14ac:dyDescent="0.25">
      <c r="A421" t="str">
        <f>Original!A416</f>
        <v>ORD-2024-465898</v>
      </c>
      <c r="B421">
        <f>Original!R416</f>
        <v>1253.25</v>
      </c>
      <c r="C421">
        <f>Original!S416</f>
        <v>3087.13</v>
      </c>
      <c r="D421" s="6">
        <f>Original!T416</f>
        <v>7.1999999999999995E-2</v>
      </c>
      <c r="E421" s="6">
        <f>Original!V416</f>
        <v>11</v>
      </c>
      <c r="F421" s="6">
        <f t="shared" si="36"/>
        <v>7.1999999999999995E-2</v>
      </c>
      <c r="G421">
        <f t="shared" si="37"/>
        <v>1315.9125000000001</v>
      </c>
      <c r="H421">
        <f t="shared" si="38"/>
        <v>12.100000000000001</v>
      </c>
      <c r="I421">
        <f t="shared" si="39"/>
        <v>34664.765344000007</v>
      </c>
      <c r="J421">
        <f t="shared" si="40"/>
        <v>18742.224094000005</v>
      </c>
      <c r="K421">
        <f t="shared" si="41"/>
        <v>15922.541250000004</v>
      </c>
    </row>
    <row r="422" spans="1:11" x14ac:dyDescent="0.25">
      <c r="A422" t="str">
        <f>Original!A417</f>
        <v>ORD-2023-987081</v>
      </c>
      <c r="B422">
        <f>Original!R417</f>
        <v>1287.6400000000001</v>
      </c>
      <c r="C422">
        <f>Original!S417</f>
        <v>2717.15</v>
      </c>
      <c r="D422" s="6">
        <f>Original!T417</f>
        <v>3.2000000000000001E-2</v>
      </c>
      <c r="E422" s="6">
        <f>Original!V417</f>
        <v>7</v>
      </c>
      <c r="F422" s="6">
        <f t="shared" si="36"/>
        <v>3.2000000000000001E-2</v>
      </c>
      <c r="G422">
        <f t="shared" si="37"/>
        <v>1352.0220000000002</v>
      </c>
      <c r="H422">
        <f t="shared" si="38"/>
        <v>7.7000000000000011</v>
      </c>
      <c r="I422">
        <f t="shared" si="39"/>
        <v>20252.549240000004</v>
      </c>
      <c r="J422">
        <f t="shared" si="40"/>
        <v>9841.9798400000018</v>
      </c>
      <c r="K422">
        <f t="shared" si="41"/>
        <v>10410.569400000002</v>
      </c>
    </row>
    <row r="423" spans="1:11" x14ac:dyDescent="0.25">
      <c r="A423" t="str">
        <f>Original!A418</f>
        <v>ORD-2024-655710</v>
      </c>
      <c r="B423">
        <f>Original!R418</f>
        <v>851.49</v>
      </c>
      <c r="C423">
        <f>Original!S418</f>
        <v>901.79</v>
      </c>
      <c r="D423" s="6">
        <f>Original!T418</f>
        <v>0.245</v>
      </c>
      <c r="E423" s="6">
        <f>Original!V418</f>
        <v>16</v>
      </c>
      <c r="F423" s="6">
        <f t="shared" si="36"/>
        <v>0.2</v>
      </c>
      <c r="G423">
        <f t="shared" si="37"/>
        <v>894.06450000000007</v>
      </c>
      <c r="H423">
        <f t="shared" si="38"/>
        <v>17.600000000000001</v>
      </c>
      <c r="I423">
        <f t="shared" si="39"/>
        <v>12697.203200000002</v>
      </c>
      <c r="J423">
        <f t="shared" si="40"/>
        <v>-3038.3320000000003</v>
      </c>
      <c r="K423">
        <f t="shared" si="41"/>
        <v>15735.535200000002</v>
      </c>
    </row>
    <row r="424" spans="1:11" x14ac:dyDescent="0.25">
      <c r="A424" t="str">
        <f>Original!A419</f>
        <v>ORD-2025-411385</v>
      </c>
      <c r="B424">
        <f>Original!R419</f>
        <v>618.69000000000005</v>
      </c>
      <c r="C424">
        <f>Original!S419</f>
        <v>796.15</v>
      </c>
      <c r="D424" s="6">
        <f>Original!T419</f>
        <v>0.09</v>
      </c>
      <c r="E424" s="6">
        <f>Original!V419</f>
        <v>11</v>
      </c>
      <c r="F424" s="6">
        <f t="shared" si="36"/>
        <v>0.09</v>
      </c>
      <c r="G424">
        <f t="shared" si="37"/>
        <v>649.62450000000013</v>
      </c>
      <c r="H424">
        <f t="shared" si="38"/>
        <v>12.100000000000001</v>
      </c>
      <c r="I424">
        <f t="shared" si="39"/>
        <v>8766.407650000001</v>
      </c>
      <c r="J424">
        <f t="shared" si="40"/>
        <v>905.95119999999861</v>
      </c>
      <c r="K424">
        <f t="shared" si="41"/>
        <v>7860.4564500000024</v>
      </c>
    </row>
    <row r="425" spans="1:11" x14ac:dyDescent="0.25">
      <c r="A425" t="str">
        <f>Original!A420</f>
        <v>ORD-2025-222035</v>
      </c>
      <c r="B425">
        <f>Original!R420</f>
        <v>80.59</v>
      </c>
      <c r="C425">
        <f>Original!S420</f>
        <v>157.82</v>
      </c>
      <c r="D425" s="6">
        <f>Original!T420</f>
        <v>0.217</v>
      </c>
      <c r="E425" s="6">
        <f>Original!V420</f>
        <v>6</v>
      </c>
      <c r="F425" s="6">
        <f t="shared" si="36"/>
        <v>0.2</v>
      </c>
      <c r="G425">
        <f t="shared" si="37"/>
        <v>84.619500000000002</v>
      </c>
      <c r="H425">
        <f t="shared" si="38"/>
        <v>6.6000000000000005</v>
      </c>
      <c r="I425">
        <f t="shared" si="39"/>
        <v>833.28960000000006</v>
      </c>
      <c r="J425">
        <f t="shared" si="40"/>
        <v>274.80089999999996</v>
      </c>
      <c r="K425">
        <f t="shared" si="41"/>
        <v>558.48870000000011</v>
      </c>
    </row>
    <row r="426" spans="1:11" x14ac:dyDescent="0.25">
      <c r="A426" t="str">
        <f>Original!A421</f>
        <v>ORD-2024-749242</v>
      </c>
      <c r="B426">
        <f>Original!R421</f>
        <v>504.93</v>
      </c>
      <c r="C426">
        <f>Original!S421</f>
        <v>819.06</v>
      </c>
      <c r="D426" s="6">
        <f>Original!T421</f>
        <v>0.22600000000000001</v>
      </c>
      <c r="E426" s="6">
        <f>Original!V421</f>
        <v>15</v>
      </c>
      <c r="F426" s="6">
        <f t="shared" si="36"/>
        <v>0.2</v>
      </c>
      <c r="G426">
        <f t="shared" si="37"/>
        <v>530.17650000000003</v>
      </c>
      <c r="H426">
        <f t="shared" si="38"/>
        <v>16.5</v>
      </c>
      <c r="I426">
        <f t="shared" si="39"/>
        <v>10811.592000000001</v>
      </c>
      <c r="J426">
        <f t="shared" si="40"/>
        <v>2063.6797499999993</v>
      </c>
      <c r="K426">
        <f t="shared" si="41"/>
        <v>8747.9122500000012</v>
      </c>
    </row>
    <row r="427" spans="1:11" x14ac:dyDescent="0.25">
      <c r="A427" t="str">
        <f>Original!A422</f>
        <v>ORD-2023-623293</v>
      </c>
      <c r="B427">
        <f>Original!R422</f>
        <v>1102.19</v>
      </c>
      <c r="C427">
        <f>Original!S422</f>
        <v>1711.16</v>
      </c>
      <c r="D427" s="6">
        <f>Original!T422</f>
        <v>0.151</v>
      </c>
      <c r="E427" s="6">
        <f>Original!V422</f>
        <v>10</v>
      </c>
      <c r="F427" s="6">
        <f t="shared" si="36"/>
        <v>0.151</v>
      </c>
      <c r="G427">
        <f t="shared" si="37"/>
        <v>1157.2995000000001</v>
      </c>
      <c r="H427">
        <f t="shared" si="38"/>
        <v>11</v>
      </c>
      <c r="I427">
        <f t="shared" si="39"/>
        <v>15980.52324</v>
      </c>
      <c r="J427">
        <f t="shared" si="40"/>
        <v>3250.2287400000005</v>
      </c>
      <c r="K427">
        <f t="shared" si="41"/>
        <v>12730.2945</v>
      </c>
    </row>
    <row r="428" spans="1:11" x14ac:dyDescent="0.25">
      <c r="A428" t="str">
        <f>Original!A423</f>
        <v>ORD-2025-276968</v>
      </c>
      <c r="B428">
        <f>Original!R423</f>
        <v>1205.26</v>
      </c>
      <c r="C428">
        <f>Original!S423</f>
        <v>1696.35</v>
      </c>
      <c r="D428" s="6">
        <f>Original!T423</f>
        <v>1.9E-2</v>
      </c>
      <c r="E428" s="6">
        <f>Original!V423</f>
        <v>6</v>
      </c>
      <c r="F428" s="6">
        <f t="shared" si="36"/>
        <v>1.9E-2</v>
      </c>
      <c r="G428">
        <f t="shared" si="37"/>
        <v>1265.5230000000001</v>
      </c>
      <c r="H428">
        <f t="shared" si="38"/>
        <v>6.6000000000000005</v>
      </c>
      <c r="I428">
        <f t="shared" si="39"/>
        <v>10983.18771</v>
      </c>
      <c r="J428">
        <f t="shared" si="40"/>
        <v>2630.7359099999994</v>
      </c>
      <c r="K428">
        <f t="shared" si="41"/>
        <v>8352.4518000000007</v>
      </c>
    </row>
    <row r="429" spans="1:11" x14ac:dyDescent="0.25">
      <c r="A429" t="str">
        <f>Original!A424</f>
        <v>ORD-2025-650841</v>
      </c>
      <c r="B429">
        <f>Original!R424</f>
        <v>1313.3</v>
      </c>
      <c r="C429">
        <f>Original!S424</f>
        <v>2884.34</v>
      </c>
      <c r="D429" s="6">
        <f>Original!T424</f>
        <v>0.157</v>
      </c>
      <c r="E429" s="6">
        <f>Original!V424</f>
        <v>42</v>
      </c>
      <c r="F429" s="6">
        <f t="shared" si="36"/>
        <v>0.157</v>
      </c>
      <c r="G429">
        <f t="shared" si="37"/>
        <v>1378.9649999999999</v>
      </c>
      <c r="H429">
        <f t="shared" si="38"/>
        <v>46.2</v>
      </c>
      <c r="I429">
        <f t="shared" si="39"/>
        <v>112335.236244</v>
      </c>
      <c r="J429">
        <f t="shared" si="40"/>
        <v>48627.053244000002</v>
      </c>
      <c r="K429">
        <f t="shared" si="41"/>
        <v>63708.182999999997</v>
      </c>
    </row>
    <row r="430" spans="1:11" x14ac:dyDescent="0.25">
      <c r="A430" t="str">
        <f>Original!A425</f>
        <v>ORD-2025-831576</v>
      </c>
      <c r="B430">
        <f>Original!R425</f>
        <v>1488.91</v>
      </c>
      <c r="C430">
        <f>Original!S425</f>
        <v>1483.74</v>
      </c>
      <c r="D430" s="6">
        <f>Original!T425</f>
        <v>0.16800000000000001</v>
      </c>
      <c r="E430" s="6">
        <f>Original!V425</f>
        <v>24</v>
      </c>
      <c r="F430" s="6">
        <f t="shared" si="36"/>
        <v>0.16800000000000001</v>
      </c>
      <c r="G430">
        <f t="shared" si="37"/>
        <v>1563.3555000000001</v>
      </c>
      <c r="H430">
        <f t="shared" si="38"/>
        <v>26.400000000000002</v>
      </c>
      <c r="I430">
        <f t="shared" si="39"/>
        <v>32590.052352000002</v>
      </c>
      <c r="J430">
        <f t="shared" si="40"/>
        <v>-8682.5328480000062</v>
      </c>
      <c r="K430">
        <f t="shared" si="41"/>
        <v>41272.585200000009</v>
      </c>
    </row>
    <row r="431" spans="1:11" x14ac:dyDescent="0.25">
      <c r="A431" t="str">
        <f>Original!A426</f>
        <v>ORD-2024-468655</v>
      </c>
      <c r="B431">
        <f>Original!R426</f>
        <v>1477.84</v>
      </c>
      <c r="C431">
        <f>Original!S426</f>
        <v>3197.47</v>
      </c>
      <c r="D431" s="6">
        <f>Original!T426</f>
        <v>0.24299999999999999</v>
      </c>
      <c r="E431" s="6">
        <f>Original!V426</f>
        <v>24</v>
      </c>
      <c r="F431" s="6">
        <f t="shared" si="36"/>
        <v>0.2</v>
      </c>
      <c r="G431">
        <f t="shared" si="37"/>
        <v>1551.732</v>
      </c>
      <c r="H431">
        <f t="shared" si="38"/>
        <v>26.400000000000002</v>
      </c>
      <c r="I431">
        <f t="shared" si="39"/>
        <v>67530.566399999996</v>
      </c>
      <c r="J431">
        <f t="shared" si="40"/>
        <v>26564.841599999992</v>
      </c>
      <c r="K431">
        <f t="shared" si="41"/>
        <v>40965.724800000004</v>
      </c>
    </row>
    <row r="432" spans="1:11" x14ac:dyDescent="0.25">
      <c r="A432" t="str">
        <f>Original!A427</f>
        <v>ORD-2024-515105</v>
      </c>
      <c r="B432">
        <f>Original!R427</f>
        <v>1035.19</v>
      </c>
      <c r="C432">
        <f>Original!S427</f>
        <v>2322.6999999999998</v>
      </c>
      <c r="D432" s="6">
        <f>Original!T427</f>
        <v>0.17299999999999999</v>
      </c>
      <c r="E432" s="6">
        <f>Original!V427</f>
        <v>8</v>
      </c>
      <c r="F432" s="6">
        <f t="shared" si="36"/>
        <v>0.17299999999999999</v>
      </c>
      <c r="G432">
        <f t="shared" si="37"/>
        <v>1086.9495000000002</v>
      </c>
      <c r="H432">
        <f t="shared" si="38"/>
        <v>8.8000000000000007</v>
      </c>
      <c r="I432">
        <f t="shared" si="39"/>
        <v>16903.681519999998</v>
      </c>
      <c r="J432">
        <f t="shared" si="40"/>
        <v>7338.5259199999964</v>
      </c>
      <c r="K432">
        <f t="shared" si="41"/>
        <v>9565.1556000000019</v>
      </c>
    </row>
    <row r="433" spans="1:11" x14ac:dyDescent="0.25">
      <c r="A433" t="str">
        <f>Original!A428</f>
        <v>ORD-2025-803803</v>
      </c>
      <c r="B433">
        <f>Original!R428</f>
        <v>1271.0999999999999</v>
      </c>
      <c r="C433">
        <f>Original!S428</f>
        <v>1932.42</v>
      </c>
      <c r="D433" s="6">
        <f>Original!T428</f>
        <v>0.25</v>
      </c>
      <c r="E433" s="6">
        <f>Original!V428</f>
        <v>21</v>
      </c>
      <c r="F433" s="6">
        <f t="shared" si="36"/>
        <v>0.2</v>
      </c>
      <c r="G433">
        <f t="shared" si="37"/>
        <v>1334.655</v>
      </c>
      <c r="H433">
        <f t="shared" si="38"/>
        <v>23.1</v>
      </c>
      <c r="I433">
        <f t="shared" si="39"/>
        <v>35711.121600000006</v>
      </c>
      <c r="J433">
        <f t="shared" si="40"/>
        <v>4880.5911000000051</v>
      </c>
      <c r="K433">
        <f t="shared" si="41"/>
        <v>30830.530500000001</v>
      </c>
    </row>
    <row r="434" spans="1:11" x14ac:dyDescent="0.25">
      <c r="A434" t="str">
        <f>Original!A429</f>
        <v>ORD-2024-993481</v>
      </c>
      <c r="B434">
        <f>Original!R429</f>
        <v>1154.03</v>
      </c>
      <c r="C434">
        <f>Original!S429</f>
        <v>1590.36</v>
      </c>
      <c r="D434" s="6">
        <f>Original!T429</f>
        <v>0.314</v>
      </c>
      <c r="E434" s="6">
        <f>Original!V429</f>
        <v>18</v>
      </c>
      <c r="F434" s="6">
        <f t="shared" si="36"/>
        <v>0.2</v>
      </c>
      <c r="G434">
        <f t="shared" si="37"/>
        <v>1211.7315000000001</v>
      </c>
      <c r="H434">
        <f t="shared" si="38"/>
        <v>19.8</v>
      </c>
      <c r="I434">
        <f t="shared" si="39"/>
        <v>25191.3024</v>
      </c>
      <c r="J434">
        <f t="shared" si="40"/>
        <v>1199.0186999999969</v>
      </c>
      <c r="K434">
        <f t="shared" si="41"/>
        <v>23992.283700000004</v>
      </c>
    </row>
    <row r="435" spans="1:11" x14ac:dyDescent="0.25">
      <c r="A435" t="str">
        <f>Original!A430</f>
        <v>ORD-2024-811752</v>
      </c>
      <c r="B435">
        <f>Original!R430</f>
        <v>322.44</v>
      </c>
      <c r="C435">
        <f>Original!S430</f>
        <v>395.61</v>
      </c>
      <c r="D435" s="6">
        <f>Original!T430</f>
        <v>0</v>
      </c>
      <c r="E435" s="6">
        <f>Original!V430</f>
        <v>34</v>
      </c>
      <c r="F435" s="6">
        <f t="shared" si="36"/>
        <v>0</v>
      </c>
      <c r="G435">
        <f t="shared" si="37"/>
        <v>338.56200000000001</v>
      </c>
      <c r="H435">
        <f t="shared" si="38"/>
        <v>37.400000000000006</v>
      </c>
      <c r="I435">
        <f t="shared" si="39"/>
        <v>14795.814000000002</v>
      </c>
      <c r="J435">
        <f t="shared" si="40"/>
        <v>2133.5951999999997</v>
      </c>
      <c r="K435">
        <f t="shared" si="41"/>
        <v>12662.218800000002</v>
      </c>
    </row>
    <row r="436" spans="1:11" x14ac:dyDescent="0.25">
      <c r="A436" t="str">
        <f>Original!A431</f>
        <v>ORD-2025-673091</v>
      </c>
      <c r="B436">
        <f>Original!R431</f>
        <v>935.98</v>
      </c>
      <c r="C436">
        <f>Original!S431</f>
        <v>2077.69</v>
      </c>
      <c r="D436" s="6">
        <f>Original!T431</f>
        <v>0.17499999999999999</v>
      </c>
      <c r="E436" s="6">
        <f>Original!V431</f>
        <v>24</v>
      </c>
      <c r="F436" s="6">
        <f t="shared" si="36"/>
        <v>0.17499999999999999</v>
      </c>
      <c r="G436">
        <f t="shared" si="37"/>
        <v>982.77900000000011</v>
      </c>
      <c r="H436">
        <f t="shared" si="38"/>
        <v>26.400000000000002</v>
      </c>
      <c r="I436">
        <f t="shared" si="39"/>
        <v>45252.088199999998</v>
      </c>
      <c r="J436">
        <f t="shared" si="40"/>
        <v>19306.722599999994</v>
      </c>
      <c r="K436">
        <f t="shared" si="41"/>
        <v>25945.365600000005</v>
      </c>
    </row>
    <row r="437" spans="1:11" x14ac:dyDescent="0.25">
      <c r="A437" t="str">
        <f>Original!A432</f>
        <v>ORD-2024-381197</v>
      </c>
      <c r="B437">
        <f>Original!R432</f>
        <v>599.84</v>
      </c>
      <c r="C437">
        <f>Original!S432</f>
        <v>1330.85</v>
      </c>
      <c r="D437" s="6">
        <f>Original!T432</f>
        <v>0.115</v>
      </c>
      <c r="E437" s="6">
        <f>Original!V432</f>
        <v>11</v>
      </c>
      <c r="F437" s="6">
        <f t="shared" si="36"/>
        <v>0.115</v>
      </c>
      <c r="G437">
        <f t="shared" si="37"/>
        <v>629.83200000000011</v>
      </c>
      <c r="H437">
        <f t="shared" si="38"/>
        <v>12.100000000000001</v>
      </c>
      <c r="I437">
        <f t="shared" si="39"/>
        <v>14251.407225000001</v>
      </c>
      <c r="J437">
        <f t="shared" si="40"/>
        <v>6630.440024999999</v>
      </c>
      <c r="K437">
        <f t="shared" si="41"/>
        <v>7620.9672000000019</v>
      </c>
    </row>
    <row r="438" spans="1:11" x14ac:dyDescent="0.25">
      <c r="A438" t="str">
        <f>Original!A433</f>
        <v>ORD-2024-651852</v>
      </c>
      <c r="B438">
        <f>Original!R433</f>
        <v>1201.31</v>
      </c>
      <c r="C438">
        <f>Original!S433</f>
        <v>2764.65</v>
      </c>
      <c r="D438" s="6">
        <f>Original!T433</f>
        <v>0</v>
      </c>
      <c r="E438" s="6">
        <f>Original!V433</f>
        <v>21</v>
      </c>
      <c r="F438" s="6">
        <f t="shared" si="36"/>
        <v>0</v>
      </c>
      <c r="G438">
        <f t="shared" si="37"/>
        <v>1261.3755000000001</v>
      </c>
      <c r="H438">
        <f t="shared" si="38"/>
        <v>23.1</v>
      </c>
      <c r="I438">
        <f t="shared" si="39"/>
        <v>63863.415000000008</v>
      </c>
      <c r="J438">
        <f t="shared" si="40"/>
        <v>34725.640950000001</v>
      </c>
      <c r="K438">
        <f t="shared" si="41"/>
        <v>29137.774050000004</v>
      </c>
    </row>
    <row r="439" spans="1:11" x14ac:dyDescent="0.25">
      <c r="A439" t="str">
        <f>Original!A434</f>
        <v>ORD-2023-659070</v>
      </c>
      <c r="B439">
        <f>Original!R434</f>
        <v>384.19</v>
      </c>
      <c r="C439">
        <f>Original!S434</f>
        <v>278.35000000000002</v>
      </c>
      <c r="D439" s="6">
        <f>Original!T434</f>
        <v>5.6000000000000001E-2</v>
      </c>
      <c r="E439" s="6">
        <f>Original!V434</f>
        <v>10</v>
      </c>
      <c r="F439" s="6">
        <f t="shared" si="36"/>
        <v>5.6000000000000001E-2</v>
      </c>
      <c r="G439">
        <f t="shared" si="37"/>
        <v>403.39949999999999</v>
      </c>
      <c r="H439">
        <f t="shared" si="38"/>
        <v>11</v>
      </c>
      <c r="I439">
        <f t="shared" si="39"/>
        <v>2890.3864000000003</v>
      </c>
      <c r="J439">
        <f t="shared" si="40"/>
        <v>-1547.0081</v>
      </c>
      <c r="K439">
        <f t="shared" si="41"/>
        <v>4437.3945000000003</v>
      </c>
    </row>
    <row r="440" spans="1:11" x14ac:dyDescent="0.25">
      <c r="A440" t="str">
        <f>Original!A435</f>
        <v>ORD-2024-837651</v>
      </c>
      <c r="B440">
        <f>Original!R435</f>
        <v>488.68</v>
      </c>
      <c r="C440">
        <f>Original!S435</f>
        <v>984.36</v>
      </c>
      <c r="D440" s="6">
        <f>Original!T435</f>
        <v>5.8999999999999997E-2</v>
      </c>
      <c r="E440" s="6">
        <f>Original!V435</f>
        <v>14</v>
      </c>
      <c r="F440" s="6">
        <f t="shared" si="36"/>
        <v>5.8999999999999997E-2</v>
      </c>
      <c r="G440">
        <f t="shared" si="37"/>
        <v>513.11400000000003</v>
      </c>
      <c r="H440">
        <f t="shared" si="38"/>
        <v>15.400000000000002</v>
      </c>
      <c r="I440">
        <f t="shared" si="39"/>
        <v>14264.754504000002</v>
      </c>
      <c r="J440">
        <f t="shared" si="40"/>
        <v>6362.7989040000002</v>
      </c>
      <c r="K440">
        <f t="shared" si="41"/>
        <v>7901.9556000000021</v>
      </c>
    </row>
    <row r="441" spans="1:11" x14ac:dyDescent="0.25">
      <c r="A441" t="str">
        <f>Original!A436</f>
        <v>ORD-2024-581530</v>
      </c>
      <c r="B441">
        <f>Original!R436</f>
        <v>181.74</v>
      </c>
      <c r="C441">
        <f>Original!S436</f>
        <v>190.84</v>
      </c>
      <c r="D441" s="6">
        <f>Original!T436</f>
        <v>0.214</v>
      </c>
      <c r="E441" s="6">
        <f>Original!V436</f>
        <v>13</v>
      </c>
      <c r="F441" s="6">
        <f t="shared" si="36"/>
        <v>0.2</v>
      </c>
      <c r="G441">
        <f t="shared" si="37"/>
        <v>190.82700000000003</v>
      </c>
      <c r="H441">
        <f t="shared" si="38"/>
        <v>14.3</v>
      </c>
      <c r="I441">
        <f t="shared" si="39"/>
        <v>2183.2096000000001</v>
      </c>
      <c r="J441">
        <f t="shared" si="40"/>
        <v>-545.61650000000054</v>
      </c>
      <c r="K441">
        <f t="shared" si="41"/>
        <v>2728.8261000000007</v>
      </c>
    </row>
    <row r="442" spans="1:11" x14ac:dyDescent="0.25">
      <c r="A442" t="str">
        <f>Original!A437</f>
        <v>ORD-2023-378104</v>
      </c>
      <c r="B442">
        <f>Original!R437</f>
        <v>774.12</v>
      </c>
      <c r="C442">
        <f>Original!S437</f>
        <v>908.3</v>
      </c>
      <c r="D442" s="6">
        <f>Original!T437</f>
        <v>0</v>
      </c>
      <c r="E442" s="6">
        <f>Original!V437</f>
        <v>30</v>
      </c>
      <c r="F442" s="6">
        <f t="shared" si="36"/>
        <v>0</v>
      </c>
      <c r="G442">
        <f t="shared" si="37"/>
        <v>812.82600000000002</v>
      </c>
      <c r="H442">
        <f t="shared" si="38"/>
        <v>33</v>
      </c>
      <c r="I442">
        <f t="shared" si="39"/>
        <v>29973.899999999998</v>
      </c>
      <c r="J442">
        <f t="shared" si="40"/>
        <v>3150.6419999999962</v>
      </c>
      <c r="K442">
        <f t="shared" si="41"/>
        <v>26823.258000000002</v>
      </c>
    </row>
    <row r="443" spans="1:11" x14ac:dyDescent="0.25">
      <c r="A443" t="str">
        <f>Original!A438</f>
        <v>ORD-2024-972318</v>
      </c>
      <c r="B443">
        <f>Original!R438</f>
        <v>126.15</v>
      </c>
      <c r="C443">
        <f>Original!S438</f>
        <v>284.23</v>
      </c>
      <c r="D443" s="6">
        <f>Original!T438</f>
        <v>0.113</v>
      </c>
      <c r="E443" s="6">
        <f>Original!V438</f>
        <v>22</v>
      </c>
      <c r="F443" s="6">
        <f t="shared" si="36"/>
        <v>0.113</v>
      </c>
      <c r="G443">
        <f t="shared" si="37"/>
        <v>132.45750000000001</v>
      </c>
      <c r="H443">
        <f t="shared" si="38"/>
        <v>24.200000000000003</v>
      </c>
      <c r="I443">
        <f t="shared" si="39"/>
        <v>6101.1106420000006</v>
      </c>
      <c r="J443">
        <f t="shared" si="40"/>
        <v>2895.639142</v>
      </c>
      <c r="K443">
        <f t="shared" si="41"/>
        <v>3205.4715000000006</v>
      </c>
    </row>
    <row r="444" spans="1:11" x14ac:dyDescent="0.25">
      <c r="A444" t="str">
        <f>Original!A439</f>
        <v>ORD-2023-752962</v>
      </c>
      <c r="B444">
        <f>Original!R439</f>
        <v>607.04</v>
      </c>
      <c r="C444">
        <f>Original!S439</f>
        <v>1229.3399999999999</v>
      </c>
      <c r="D444" s="6">
        <f>Original!T439</f>
        <v>0.14699999999999999</v>
      </c>
      <c r="E444" s="6">
        <f>Original!V439</f>
        <v>7</v>
      </c>
      <c r="F444" s="6">
        <f t="shared" si="36"/>
        <v>0.14699999999999999</v>
      </c>
      <c r="G444">
        <f t="shared" si="37"/>
        <v>637.39199999999994</v>
      </c>
      <c r="H444">
        <f t="shared" si="38"/>
        <v>7.7000000000000011</v>
      </c>
      <c r="I444">
        <f t="shared" si="39"/>
        <v>8074.4280540000009</v>
      </c>
      <c r="J444">
        <f t="shared" si="40"/>
        <v>3166.5096540000004</v>
      </c>
      <c r="K444">
        <f t="shared" si="41"/>
        <v>4907.9184000000005</v>
      </c>
    </row>
    <row r="445" spans="1:11" x14ac:dyDescent="0.25">
      <c r="A445" t="str">
        <f>Original!A440</f>
        <v>ORD-2023-808024</v>
      </c>
      <c r="B445">
        <f>Original!R440</f>
        <v>861.1</v>
      </c>
      <c r="C445">
        <f>Original!S440</f>
        <v>1224.72</v>
      </c>
      <c r="D445" s="6">
        <f>Original!T440</f>
        <v>0.17399999999999999</v>
      </c>
      <c r="E445" s="6">
        <f>Original!V440</f>
        <v>24</v>
      </c>
      <c r="F445" s="6">
        <f t="shared" si="36"/>
        <v>0.17399999999999999</v>
      </c>
      <c r="G445">
        <f t="shared" si="37"/>
        <v>904.15500000000009</v>
      </c>
      <c r="H445">
        <f t="shared" si="38"/>
        <v>26.400000000000002</v>
      </c>
      <c r="I445">
        <f t="shared" si="39"/>
        <v>26706.734208000005</v>
      </c>
      <c r="J445">
        <f t="shared" si="40"/>
        <v>2837.0422080000026</v>
      </c>
      <c r="K445">
        <f t="shared" si="41"/>
        <v>23869.692000000003</v>
      </c>
    </row>
    <row r="446" spans="1:11" x14ac:dyDescent="0.25">
      <c r="A446" t="str">
        <f>Original!A441</f>
        <v>ORD-2023-156396</v>
      </c>
      <c r="B446">
        <f>Original!R441</f>
        <v>352.65</v>
      </c>
      <c r="C446">
        <f>Original!S441</f>
        <v>485.86</v>
      </c>
      <c r="D446" s="6">
        <f>Original!T441</f>
        <v>4.1000000000000002E-2</v>
      </c>
      <c r="E446" s="6">
        <f>Original!V441</f>
        <v>6</v>
      </c>
      <c r="F446" s="6">
        <f t="shared" si="36"/>
        <v>4.1000000000000002E-2</v>
      </c>
      <c r="G446">
        <f t="shared" si="37"/>
        <v>370.28249999999997</v>
      </c>
      <c r="H446">
        <f t="shared" si="38"/>
        <v>6.6000000000000005</v>
      </c>
      <c r="I446">
        <f t="shared" si="39"/>
        <v>3075.2022840000004</v>
      </c>
      <c r="J446">
        <f t="shared" si="40"/>
        <v>631.33778400000028</v>
      </c>
      <c r="K446">
        <f t="shared" si="41"/>
        <v>2443.8645000000001</v>
      </c>
    </row>
    <row r="447" spans="1:11" x14ac:dyDescent="0.25">
      <c r="A447" t="str">
        <f>Original!A442</f>
        <v>ORD-2023-184577</v>
      </c>
      <c r="B447">
        <f>Original!R442</f>
        <v>979.59</v>
      </c>
      <c r="C447">
        <f>Original!S442</f>
        <v>2210.94</v>
      </c>
      <c r="D447" s="6">
        <f>Original!T442</f>
        <v>0.15</v>
      </c>
      <c r="E447" s="6">
        <f>Original!V442</f>
        <v>11</v>
      </c>
      <c r="F447" s="6">
        <f t="shared" si="36"/>
        <v>0.15</v>
      </c>
      <c r="G447">
        <f t="shared" si="37"/>
        <v>1028.5695000000001</v>
      </c>
      <c r="H447">
        <f t="shared" si="38"/>
        <v>12.100000000000001</v>
      </c>
      <c r="I447">
        <f t="shared" si="39"/>
        <v>22739.517900000003</v>
      </c>
      <c r="J447">
        <f t="shared" si="40"/>
        <v>10293.826950000001</v>
      </c>
      <c r="K447">
        <f t="shared" si="41"/>
        <v>12445.690950000002</v>
      </c>
    </row>
    <row r="448" spans="1:11" x14ac:dyDescent="0.25">
      <c r="A448" t="str">
        <f>Original!A443</f>
        <v>ORD-2024-446030</v>
      </c>
      <c r="B448">
        <f>Original!R443</f>
        <v>382.21</v>
      </c>
      <c r="C448">
        <f>Original!S443</f>
        <v>571.89</v>
      </c>
      <c r="D448" s="6">
        <f>Original!T443</f>
        <v>0.14799999999999999</v>
      </c>
      <c r="E448" s="6">
        <f>Original!V443</f>
        <v>26</v>
      </c>
      <c r="F448" s="6">
        <f t="shared" si="36"/>
        <v>0.14799999999999999</v>
      </c>
      <c r="G448">
        <f t="shared" si="37"/>
        <v>401.32049999999998</v>
      </c>
      <c r="H448">
        <f t="shared" si="38"/>
        <v>28.6</v>
      </c>
      <c r="I448">
        <f t="shared" si="39"/>
        <v>13935.358007999999</v>
      </c>
      <c r="J448">
        <f t="shared" si="40"/>
        <v>2457.5917079999999</v>
      </c>
      <c r="K448">
        <f t="shared" si="41"/>
        <v>11477.766299999999</v>
      </c>
    </row>
    <row r="449" spans="1:11" x14ac:dyDescent="0.25">
      <c r="A449" t="str">
        <f>Original!A444</f>
        <v>ORD-2023-842820</v>
      </c>
      <c r="B449">
        <f>Original!R444</f>
        <v>1362.06</v>
      </c>
      <c r="C449">
        <f>Original!S444</f>
        <v>3398.37</v>
      </c>
      <c r="D449" s="6">
        <f>Original!T444</f>
        <v>0.157</v>
      </c>
      <c r="E449" s="6">
        <f>Original!V444</f>
        <v>11</v>
      </c>
      <c r="F449" s="6">
        <f t="shared" si="36"/>
        <v>0.157</v>
      </c>
      <c r="G449">
        <f t="shared" si="37"/>
        <v>1430.163</v>
      </c>
      <c r="H449">
        <f t="shared" si="38"/>
        <v>12.100000000000001</v>
      </c>
      <c r="I449">
        <f t="shared" si="39"/>
        <v>34664.393511000002</v>
      </c>
      <c r="J449">
        <f t="shared" si="40"/>
        <v>17359.421211000001</v>
      </c>
      <c r="K449">
        <f t="shared" si="41"/>
        <v>17304.972300000001</v>
      </c>
    </row>
    <row r="450" spans="1:11" x14ac:dyDescent="0.25">
      <c r="A450" t="str">
        <f>Original!A445</f>
        <v>ORD-2024-745424</v>
      </c>
      <c r="B450">
        <f>Original!R445</f>
        <v>90.04</v>
      </c>
      <c r="C450">
        <f>Original!S445</f>
        <v>194.62</v>
      </c>
      <c r="D450" s="6">
        <f>Original!T445</f>
        <v>4.2999999999999997E-2</v>
      </c>
      <c r="E450" s="6">
        <f>Original!V445</f>
        <v>32</v>
      </c>
      <c r="F450" s="6">
        <f t="shared" si="36"/>
        <v>4.2999999999999997E-2</v>
      </c>
      <c r="G450">
        <f t="shared" si="37"/>
        <v>94.542000000000016</v>
      </c>
      <c r="H450">
        <f t="shared" si="38"/>
        <v>35.200000000000003</v>
      </c>
      <c r="I450">
        <f t="shared" si="39"/>
        <v>6556.0471680000001</v>
      </c>
      <c r="J450">
        <f t="shared" si="40"/>
        <v>3228.1687679999991</v>
      </c>
      <c r="K450">
        <f t="shared" si="41"/>
        <v>3327.878400000001</v>
      </c>
    </row>
    <row r="451" spans="1:11" x14ac:dyDescent="0.25">
      <c r="A451" t="str">
        <f>Original!A446</f>
        <v>ORD-2024-510520</v>
      </c>
      <c r="B451">
        <f>Original!R446</f>
        <v>558.19000000000005</v>
      </c>
      <c r="C451">
        <f>Original!S446</f>
        <v>1031.6400000000001</v>
      </c>
      <c r="D451" s="6">
        <f>Original!T446</f>
        <v>0</v>
      </c>
      <c r="E451" s="6">
        <f>Original!V446</f>
        <v>21</v>
      </c>
      <c r="F451" s="6">
        <f t="shared" si="36"/>
        <v>0</v>
      </c>
      <c r="G451">
        <f t="shared" si="37"/>
        <v>586.09950000000003</v>
      </c>
      <c r="H451">
        <f t="shared" si="38"/>
        <v>23.1</v>
      </c>
      <c r="I451">
        <f t="shared" si="39"/>
        <v>23830.884000000005</v>
      </c>
      <c r="J451">
        <f t="shared" si="40"/>
        <v>10291.985550000003</v>
      </c>
      <c r="K451">
        <f t="shared" si="41"/>
        <v>13538.898450000002</v>
      </c>
    </row>
    <row r="452" spans="1:11" x14ac:dyDescent="0.25">
      <c r="A452" t="str">
        <f>Original!A447</f>
        <v>ORD-2023-769774</v>
      </c>
      <c r="B452">
        <f>Original!R447</f>
        <v>247.07</v>
      </c>
      <c r="C452">
        <f>Original!S447</f>
        <v>495.19</v>
      </c>
      <c r="D452" s="6">
        <f>Original!T447</f>
        <v>2.8000000000000001E-2</v>
      </c>
      <c r="E452" s="6">
        <f>Original!V447</f>
        <v>4</v>
      </c>
      <c r="F452" s="6">
        <f t="shared" si="36"/>
        <v>2.8000000000000001E-2</v>
      </c>
      <c r="G452">
        <f t="shared" si="37"/>
        <v>259.42349999999999</v>
      </c>
      <c r="H452">
        <f t="shared" si="38"/>
        <v>4.4000000000000004</v>
      </c>
      <c r="I452">
        <f t="shared" si="39"/>
        <v>2117.8285920000003</v>
      </c>
      <c r="J452">
        <f t="shared" si="40"/>
        <v>976.36519200000021</v>
      </c>
      <c r="K452">
        <f t="shared" si="41"/>
        <v>1141.4634000000001</v>
      </c>
    </row>
    <row r="453" spans="1:11" x14ac:dyDescent="0.25">
      <c r="A453" t="str">
        <f>Original!A448</f>
        <v>ORD-2023-580751</v>
      </c>
      <c r="B453">
        <f>Original!R448</f>
        <v>625.37</v>
      </c>
      <c r="C453">
        <f>Original!S448</f>
        <v>1319.04</v>
      </c>
      <c r="D453" s="6">
        <f>Original!T448</f>
        <v>7.3999999999999996E-2</v>
      </c>
      <c r="E453" s="6">
        <f>Original!V448</f>
        <v>8</v>
      </c>
      <c r="F453" s="6">
        <f t="shared" si="36"/>
        <v>7.3999999999999996E-2</v>
      </c>
      <c r="G453">
        <f t="shared" si="37"/>
        <v>656.63850000000002</v>
      </c>
      <c r="H453">
        <f t="shared" si="38"/>
        <v>8.8000000000000007</v>
      </c>
      <c r="I453">
        <f t="shared" si="39"/>
        <v>10748.593152000001</v>
      </c>
      <c r="J453">
        <f t="shared" si="40"/>
        <v>4970.1743520000009</v>
      </c>
      <c r="K453">
        <f t="shared" si="41"/>
        <v>5778.4188000000004</v>
      </c>
    </row>
    <row r="454" spans="1:11" x14ac:dyDescent="0.25">
      <c r="A454" t="str">
        <f>Original!A449</f>
        <v>ORD-2025-473192</v>
      </c>
      <c r="B454">
        <f>Original!R449</f>
        <v>194.6</v>
      </c>
      <c r="C454">
        <f>Original!S449</f>
        <v>314.87</v>
      </c>
      <c r="D454" s="6">
        <f>Original!T449</f>
        <v>0.29299999999999998</v>
      </c>
      <c r="E454" s="6">
        <f>Original!V449</f>
        <v>25</v>
      </c>
      <c r="F454" s="6">
        <f t="shared" si="36"/>
        <v>0.2</v>
      </c>
      <c r="G454">
        <f t="shared" si="37"/>
        <v>204.33</v>
      </c>
      <c r="H454">
        <f t="shared" si="38"/>
        <v>27.500000000000004</v>
      </c>
      <c r="I454">
        <f t="shared" si="39"/>
        <v>6927.1400000000012</v>
      </c>
      <c r="J454">
        <f t="shared" si="40"/>
        <v>1308.0650000000005</v>
      </c>
      <c r="K454">
        <f t="shared" si="41"/>
        <v>5619.0750000000007</v>
      </c>
    </row>
    <row r="455" spans="1:11" x14ac:dyDescent="0.25">
      <c r="A455" t="str">
        <f>Original!A450</f>
        <v>ORD-2024-886939</v>
      </c>
      <c r="B455">
        <f>Original!R450</f>
        <v>1205.5</v>
      </c>
      <c r="C455">
        <f>Original!S450</f>
        <v>2210.17</v>
      </c>
      <c r="D455" s="6">
        <f>Original!T450</f>
        <v>0.104</v>
      </c>
      <c r="E455" s="6">
        <f>Original!V450</f>
        <v>23</v>
      </c>
      <c r="F455" s="6">
        <f t="shared" si="36"/>
        <v>0.104</v>
      </c>
      <c r="G455">
        <f t="shared" si="37"/>
        <v>1265.7750000000001</v>
      </c>
      <c r="H455">
        <f t="shared" si="38"/>
        <v>25.3</v>
      </c>
      <c r="I455">
        <f t="shared" si="39"/>
        <v>50101.901696000008</v>
      </c>
      <c r="J455">
        <f t="shared" si="40"/>
        <v>18077.794196000006</v>
      </c>
      <c r="K455">
        <f t="shared" si="41"/>
        <v>32024.107500000002</v>
      </c>
    </row>
    <row r="456" spans="1:11" x14ac:dyDescent="0.25">
      <c r="A456" t="str">
        <f>Original!A451</f>
        <v>ORD-2024-566589</v>
      </c>
      <c r="B456">
        <f>Original!R451</f>
        <v>895.54</v>
      </c>
      <c r="C456">
        <f>Original!S451</f>
        <v>1045</v>
      </c>
      <c r="D456" s="6">
        <f>Original!T451</f>
        <v>0.216</v>
      </c>
      <c r="E456" s="6">
        <f>Original!V451</f>
        <v>15</v>
      </c>
      <c r="F456" s="6">
        <f t="shared" ref="F456:F519" si="42">MIN(D456,$B$2)</f>
        <v>0.2</v>
      </c>
      <c r="G456">
        <f t="shared" ref="G456:G519" si="43">B456*(1+$B$3)</f>
        <v>940.31700000000001</v>
      </c>
      <c r="H456">
        <f t="shared" ref="H456:H519" si="44">E456*(1+$B$4)</f>
        <v>16.5</v>
      </c>
      <c r="I456">
        <f t="shared" ref="I456:I519" si="45">C456*H456*(1-F456)</f>
        <v>13794</v>
      </c>
      <c r="J456">
        <f t="shared" ref="J456:J519" si="46">I456-K456</f>
        <v>-1721.2304999999997</v>
      </c>
      <c r="K456">
        <f t="shared" ref="K456:K519" si="47">G456*H456</f>
        <v>15515.2305</v>
      </c>
    </row>
    <row r="457" spans="1:11" x14ac:dyDescent="0.25">
      <c r="A457" t="str">
        <f>Original!A452</f>
        <v>ORD-2023-109927</v>
      </c>
      <c r="B457">
        <f>Original!R452</f>
        <v>946.99</v>
      </c>
      <c r="C457">
        <f>Original!S452</f>
        <v>2132.19</v>
      </c>
      <c r="D457" s="6">
        <f>Original!T452</f>
        <v>0.16500000000000001</v>
      </c>
      <c r="E457" s="6">
        <f>Original!V452</f>
        <v>7</v>
      </c>
      <c r="F457" s="6">
        <f t="shared" si="42"/>
        <v>0.16500000000000001</v>
      </c>
      <c r="G457">
        <f t="shared" si="43"/>
        <v>994.33950000000004</v>
      </c>
      <c r="H457">
        <f t="shared" si="44"/>
        <v>7.7000000000000011</v>
      </c>
      <c r="I457">
        <f t="shared" si="45"/>
        <v>13708.915605</v>
      </c>
      <c r="J457">
        <f t="shared" si="46"/>
        <v>6052.5014549999987</v>
      </c>
      <c r="K457">
        <f t="shared" si="47"/>
        <v>7656.4141500000014</v>
      </c>
    </row>
    <row r="458" spans="1:11" x14ac:dyDescent="0.25">
      <c r="A458" t="str">
        <f>Original!A453</f>
        <v>ORD-2023-780206</v>
      </c>
      <c r="B458">
        <f>Original!R453</f>
        <v>873.06</v>
      </c>
      <c r="C458">
        <f>Original!S453</f>
        <v>2101.5500000000002</v>
      </c>
      <c r="D458" s="6">
        <f>Original!T453</f>
        <v>6.6000000000000003E-2</v>
      </c>
      <c r="E458" s="6">
        <f>Original!V453</f>
        <v>10</v>
      </c>
      <c r="F458" s="6">
        <f t="shared" si="42"/>
        <v>6.6000000000000003E-2</v>
      </c>
      <c r="G458">
        <f t="shared" si="43"/>
        <v>916.71299999999997</v>
      </c>
      <c r="H458">
        <f t="shared" si="44"/>
        <v>11</v>
      </c>
      <c r="I458">
        <f t="shared" si="45"/>
        <v>21591.324700000001</v>
      </c>
      <c r="J458">
        <f t="shared" si="46"/>
        <v>11507.481700000002</v>
      </c>
      <c r="K458">
        <f t="shared" si="47"/>
        <v>10083.842999999999</v>
      </c>
    </row>
    <row r="459" spans="1:11" x14ac:dyDescent="0.25">
      <c r="A459" t="str">
        <f>Original!A454</f>
        <v>ORD-2024-851993</v>
      </c>
      <c r="B459">
        <f>Original!R454</f>
        <v>901.19</v>
      </c>
      <c r="C459">
        <f>Original!S454</f>
        <v>2125.44</v>
      </c>
      <c r="D459" s="6">
        <f>Original!T454</f>
        <v>7.0999999999999994E-2</v>
      </c>
      <c r="E459" s="6">
        <f>Original!V454</f>
        <v>12</v>
      </c>
      <c r="F459" s="6">
        <f t="shared" si="42"/>
        <v>7.0999999999999994E-2</v>
      </c>
      <c r="G459">
        <f t="shared" si="43"/>
        <v>946.24950000000013</v>
      </c>
      <c r="H459">
        <f t="shared" si="44"/>
        <v>13.200000000000001</v>
      </c>
      <c r="I459">
        <f t="shared" si="45"/>
        <v>26063.845632000004</v>
      </c>
      <c r="J459">
        <f t="shared" si="46"/>
        <v>13573.352232000001</v>
      </c>
      <c r="K459">
        <f t="shared" si="47"/>
        <v>12490.493400000003</v>
      </c>
    </row>
    <row r="460" spans="1:11" x14ac:dyDescent="0.25">
      <c r="A460" t="str">
        <f>Original!A455</f>
        <v>ORD-2025-417942</v>
      </c>
      <c r="B460">
        <f>Original!R455</f>
        <v>400.39</v>
      </c>
      <c r="C460">
        <f>Original!S455</f>
        <v>712.75</v>
      </c>
      <c r="D460" s="6">
        <f>Original!T455</f>
        <v>0.115</v>
      </c>
      <c r="E460" s="6">
        <f>Original!V455</f>
        <v>19</v>
      </c>
      <c r="F460" s="6">
        <f t="shared" si="42"/>
        <v>0.115</v>
      </c>
      <c r="G460">
        <f t="shared" si="43"/>
        <v>420.40949999999998</v>
      </c>
      <c r="H460">
        <f t="shared" si="44"/>
        <v>20.900000000000002</v>
      </c>
      <c r="I460">
        <f t="shared" si="45"/>
        <v>13183.380375000002</v>
      </c>
      <c r="J460">
        <f t="shared" si="46"/>
        <v>4396.8218250000027</v>
      </c>
      <c r="K460">
        <f t="shared" si="47"/>
        <v>8786.5585499999997</v>
      </c>
    </row>
    <row r="461" spans="1:11" x14ac:dyDescent="0.25">
      <c r="A461" t="str">
        <f>Original!A456</f>
        <v>ORD-2023-172095</v>
      </c>
      <c r="B461">
        <f>Original!R456</f>
        <v>813.97</v>
      </c>
      <c r="C461">
        <f>Original!S456</f>
        <v>1568.83</v>
      </c>
      <c r="D461" s="6">
        <f>Original!T456</f>
        <v>1.7000000000000001E-2</v>
      </c>
      <c r="E461" s="6">
        <f>Original!V456</f>
        <v>15</v>
      </c>
      <c r="F461" s="6">
        <f t="shared" si="42"/>
        <v>1.7000000000000001E-2</v>
      </c>
      <c r="G461">
        <f t="shared" si="43"/>
        <v>854.66850000000011</v>
      </c>
      <c r="H461">
        <f t="shared" si="44"/>
        <v>16.5</v>
      </c>
      <c r="I461">
        <f t="shared" si="45"/>
        <v>25445.638185</v>
      </c>
      <c r="J461">
        <f t="shared" si="46"/>
        <v>11343.607934999998</v>
      </c>
      <c r="K461">
        <f t="shared" si="47"/>
        <v>14102.030250000002</v>
      </c>
    </row>
    <row r="462" spans="1:11" x14ac:dyDescent="0.25">
      <c r="A462" t="str">
        <f>Original!A457</f>
        <v>ORD-2024-257550</v>
      </c>
      <c r="B462">
        <f>Original!R457</f>
        <v>1146.72</v>
      </c>
      <c r="C462">
        <f>Original!S457</f>
        <v>2074.34</v>
      </c>
      <c r="D462" s="6">
        <f>Original!T457</f>
        <v>0.111</v>
      </c>
      <c r="E462" s="6">
        <f>Original!V457</f>
        <v>8</v>
      </c>
      <c r="F462" s="6">
        <f t="shared" si="42"/>
        <v>0.111</v>
      </c>
      <c r="G462">
        <f t="shared" si="43"/>
        <v>1204.056</v>
      </c>
      <c r="H462">
        <f t="shared" si="44"/>
        <v>8.8000000000000007</v>
      </c>
      <c r="I462">
        <f t="shared" si="45"/>
        <v>16227.976688000002</v>
      </c>
      <c r="J462">
        <f t="shared" si="46"/>
        <v>5632.2838880000018</v>
      </c>
      <c r="K462">
        <f t="shared" si="47"/>
        <v>10595.692800000001</v>
      </c>
    </row>
    <row r="463" spans="1:11" x14ac:dyDescent="0.25">
      <c r="A463" t="str">
        <f>Original!A458</f>
        <v>ORD-2023-581799</v>
      </c>
      <c r="B463">
        <f>Original!R458</f>
        <v>307.43</v>
      </c>
      <c r="C463">
        <f>Original!S458</f>
        <v>495.19</v>
      </c>
      <c r="D463" s="6">
        <f>Original!T458</f>
        <v>0</v>
      </c>
      <c r="E463" s="6">
        <f>Original!V458</f>
        <v>42</v>
      </c>
      <c r="F463" s="6">
        <f t="shared" si="42"/>
        <v>0</v>
      </c>
      <c r="G463">
        <f t="shared" si="43"/>
        <v>322.80150000000003</v>
      </c>
      <c r="H463">
        <f t="shared" si="44"/>
        <v>46.2</v>
      </c>
      <c r="I463">
        <f t="shared" si="45"/>
        <v>22877.778000000002</v>
      </c>
      <c r="J463">
        <f t="shared" si="46"/>
        <v>7964.3487000000005</v>
      </c>
      <c r="K463">
        <f t="shared" si="47"/>
        <v>14913.429300000002</v>
      </c>
    </row>
    <row r="464" spans="1:11" x14ac:dyDescent="0.25">
      <c r="A464" t="str">
        <f>Original!A459</f>
        <v>ORD-2023-880296</v>
      </c>
      <c r="B464">
        <f>Original!R459</f>
        <v>714.28</v>
      </c>
      <c r="C464">
        <f>Original!S459</f>
        <v>757.59</v>
      </c>
      <c r="D464" s="6">
        <f>Original!T459</f>
        <v>0.13600000000000001</v>
      </c>
      <c r="E464" s="6">
        <f>Original!V459</f>
        <v>12</v>
      </c>
      <c r="F464" s="6">
        <f t="shared" si="42"/>
        <v>0.13600000000000001</v>
      </c>
      <c r="G464">
        <f t="shared" si="43"/>
        <v>749.99400000000003</v>
      </c>
      <c r="H464">
        <f t="shared" si="44"/>
        <v>13.200000000000001</v>
      </c>
      <c r="I464">
        <f t="shared" si="45"/>
        <v>8640.162432000001</v>
      </c>
      <c r="J464">
        <f t="shared" si="46"/>
        <v>-1259.7583680000007</v>
      </c>
      <c r="K464">
        <f t="shared" si="47"/>
        <v>9899.9208000000017</v>
      </c>
    </row>
    <row r="465" spans="1:11" x14ac:dyDescent="0.25">
      <c r="A465" t="str">
        <f>Original!A460</f>
        <v>ORD-2023-191563</v>
      </c>
      <c r="B465">
        <f>Original!R460</f>
        <v>174.74</v>
      </c>
      <c r="C465">
        <f>Original!S460</f>
        <v>415.96</v>
      </c>
      <c r="D465" s="6">
        <f>Original!T460</f>
        <v>0.125</v>
      </c>
      <c r="E465" s="6">
        <f>Original!V460</f>
        <v>21</v>
      </c>
      <c r="F465" s="6">
        <f t="shared" si="42"/>
        <v>0.125</v>
      </c>
      <c r="G465">
        <f t="shared" si="43"/>
        <v>183.477</v>
      </c>
      <c r="H465">
        <f t="shared" si="44"/>
        <v>23.1</v>
      </c>
      <c r="I465">
        <f t="shared" si="45"/>
        <v>8407.5914999999986</v>
      </c>
      <c r="J465">
        <f t="shared" si="46"/>
        <v>4169.2727999999979</v>
      </c>
      <c r="K465">
        <f t="shared" si="47"/>
        <v>4238.3187000000007</v>
      </c>
    </row>
    <row r="466" spans="1:11" x14ac:dyDescent="0.25">
      <c r="A466" t="str">
        <f>Original!A461</f>
        <v>ORD-2024-202166</v>
      </c>
      <c r="B466">
        <f>Original!R461</f>
        <v>1264.04</v>
      </c>
      <c r="C466">
        <f>Original!S461</f>
        <v>1870.89</v>
      </c>
      <c r="D466" s="6">
        <f>Original!T461</f>
        <v>0</v>
      </c>
      <c r="E466" s="6">
        <f>Original!V461</f>
        <v>13</v>
      </c>
      <c r="F466" s="6">
        <f t="shared" si="42"/>
        <v>0</v>
      </c>
      <c r="G466">
        <f t="shared" si="43"/>
        <v>1327.242</v>
      </c>
      <c r="H466">
        <f t="shared" si="44"/>
        <v>14.3</v>
      </c>
      <c r="I466">
        <f t="shared" si="45"/>
        <v>26753.727000000003</v>
      </c>
      <c r="J466">
        <f t="shared" si="46"/>
        <v>7774.1664000000019</v>
      </c>
      <c r="K466">
        <f t="shared" si="47"/>
        <v>18979.560600000001</v>
      </c>
    </row>
    <row r="467" spans="1:11" x14ac:dyDescent="0.25">
      <c r="A467" t="str">
        <f>Original!A462</f>
        <v>ORD-2023-539967</v>
      </c>
      <c r="B467">
        <f>Original!R462</f>
        <v>141.26</v>
      </c>
      <c r="C467">
        <f>Original!S462</f>
        <v>206.88</v>
      </c>
      <c r="D467" s="6">
        <f>Original!T462</f>
        <v>0.107</v>
      </c>
      <c r="E467" s="6">
        <f>Original!V462</f>
        <v>9</v>
      </c>
      <c r="F467" s="6">
        <f t="shared" si="42"/>
        <v>0.107</v>
      </c>
      <c r="G467">
        <f t="shared" si="43"/>
        <v>148.32300000000001</v>
      </c>
      <c r="H467">
        <f t="shared" si="44"/>
        <v>9.9</v>
      </c>
      <c r="I467">
        <f t="shared" si="45"/>
        <v>1828.9640160000001</v>
      </c>
      <c r="J467">
        <f t="shared" si="46"/>
        <v>360.56631599999992</v>
      </c>
      <c r="K467">
        <f t="shared" si="47"/>
        <v>1468.3977000000002</v>
      </c>
    </row>
    <row r="468" spans="1:11" x14ac:dyDescent="0.25">
      <c r="A468" t="str">
        <f>Original!A463</f>
        <v>ORD-2023-704111</v>
      </c>
      <c r="B468">
        <f>Original!R463</f>
        <v>40.89</v>
      </c>
      <c r="C468">
        <f>Original!S463</f>
        <v>62.82</v>
      </c>
      <c r="D468" s="6">
        <f>Original!T463</f>
        <v>0.129</v>
      </c>
      <c r="E468" s="6">
        <f>Original!V463</f>
        <v>17</v>
      </c>
      <c r="F468" s="6">
        <f t="shared" si="42"/>
        <v>0.129</v>
      </c>
      <c r="G468">
        <f t="shared" si="43"/>
        <v>42.9345</v>
      </c>
      <c r="H468">
        <f t="shared" si="44"/>
        <v>18.700000000000003</v>
      </c>
      <c r="I468">
        <f t="shared" si="45"/>
        <v>1023.1933140000001</v>
      </c>
      <c r="J468">
        <f t="shared" si="46"/>
        <v>220.31816400000002</v>
      </c>
      <c r="K468">
        <f t="shared" si="47"/>
        <v>802.87515000000008</v>
      </c>
    </row>
    <row r="469" spans="1:11" x14ac:dyDescent="0.25">
      <c r="A469" t="str">
        <f>Original!A464</f>
        <v>ORD-2024-356812</v>
      </c>
      <c r="B469">
        <f>Original!R464</f>
        <v>738.16</v>
      </c>
      <c r="C469">
        <f>Original!S464</f>
        <v>956.49</v>
      </c>
      <c r="D469" s="6">
        <f>Original!T464</f>
        <v>0.152</v>
      </c>
      <c r="E469" s="6">
        <f>Original!V464</f>
        <v>5</v>
      </c>
      <c r="F469" s="6">
        <f t="shared" si="42"/>
        <v>0.152</v>
      </c>
      <c r="G469">
        <f t="shared" si="43"/>
        <v>775.06799999999998</v>
      </c>
      <c r="H469">
        <f t="shared" si="44"/>
        <v>5.5</v>
      </c>
      <c r="I469">
        <f t="shared" si="45"/>
        <v>4461.0693599999995</v>
      </c>
      <c r="J469">
        <f t="shared" si="46"/>
        <v>198.19535999999971</v>
      </c>
      <c r="K469">
        <f t="shared" si="47"/>
        <v>4262.8739999999998</v>
      </c>
    </row>
    <row r="470" spans="1:11" x14ac:dyDescent="0.25">
      <c r="A470" t="str">
        <f>Original!A465</f>
        <v>ORD-2025-306251</v>
      </c>
      <c r="B470">
        <f>Original!R465</f>
        <v>113.74</v>
      </c>
      <c r="C470">
        <f>Original!S465</f>
        <v>165.7</v>
      </c>
      <c r="D470" s="6">
        <f>Original!T465</f>
        <v>0.124</v>
      </c>
      <c r="E470" s="6">
        <f>Original!V465</f>
        <v>13</v>
      </c>
      <c r="F470" s="6">
        <f t="shared" si="42"/>
        <v>0.124</v>
      </c>
      <c r="G470">
        <f t="shared" si="43"/>
        <v>119.42700000000001</v>
      </c>
      <c r="H470">
        <f t="shared" si="44"/>
        <v>14.3</v>
      </c>
      <c r="I470">
        <f t="shared" si="45"/>
        <v>2075.69076</v>
      </c>
      <c r="J470">
        <f t="shared" si="46"/>
        <v>367.88465999999971</v>
      </c>
      <c r="K470">
        <f t="shared" si="47"/>
        <v>1707.8061000000002</v>
      </c>
    </row>
    <row r="471" spans="1:11" x14ac:dyDescent="0.25">
      <c r="A471" t="str">
        <f>Original!A466</f>
        <v>ORD-2025-496178</v>
      </c>
      <c r="B471">
        <f>Original!R466</f>
        <v>275.43</v>
      </c>
      <c r="C471">
        <f>Original!S466</f>
        <v>608.36</v>
      </c>
      <c r="D471" s="6">
        <f>Original!T466</f>
        <v>0.25700000000000001</v>
      </c>
      <c r="E471" s="6">
        <f>Original!V466</f>
        <v>4</v>
      </c>
      <c r="F471" s="6">
        <f t="shared" si="42"/>
        <v>0.2</v>
      </c>
      <c r="G471">
        <f t="shared" si="43"/>
        <v>289.20150000000001</v>
      </c>
      <c r="H471">
        <f t="shared" si="44"/>
        <v>4.4000000000000004</v>
      </c>
      <c r="I471">
        <f t="shared" si="45"/>
        <v>2141.4272000000001</v>
      </c>
      <c r="J471">
        <f t="shared" si="46"/>
        <v>868.9405999999999</v>
      </c>
      <c r="K471">
        <f t="shared" si="47"/>
        <v>1272.4866000000002</v>
      </c>
    </row>
    <row r="472" spans="1:11" x14ac:dyDescent="0.25">
      <c r="A472" t="str">
        <f>Original!A467</f>
        <v>ORD-2024-508213</v>
      </c>
      <c r="B472">
        <f>Original!R467</f>
        <v>1335.76</v>
      </c>
      <c r="C472">
        <f>Original!S467</f>
        <v>2665.91</v>
      </c>
      <c r="D472" s="6">
        <f>Original!T467</f>
        <v>0.21099999999999999</v>
      </c>
      <c r="E472" s="6">
        <f>Original!V467</f>
        <v>40</v>
      </c>
      <c r="F472" s="6">
        <f t="shared" si="42"/>
        <v>0.2</v>
      </c>
      <c r="G472">
        <f t="shared" si="43"/>
        <v>1402.548</v>
      </c>
      <c r="H472">
        <f t="shared" si="44"/>
        <v>44</v>
      </c>
      <c r="I472">
        <f t="shared" si="45"/>
        <v>93840.032000000007</v>
      </c>
      <c r="J472">
        <f t="shared" si="46"/>
        <v>32127.920000000006</v>
      </c>
      <c r="K472">
        <f t="shared" si="47"/>
        <v>61712.112000000001</v>
      </c>
    </row>
    <row r="473" spans="1:11" x14ac:dyDescent="0.25">
      <c r="A473" t="str">
        <f>Original!A468</f>
        <v>ORD-2024-787018</v>
      </c>
      <c r="B473">
        <f>Original!R468</f>
        <v>242.31</v>
      </c>
      <c r="C473">
        <f>Original!S468</f>
        <v>587.95000000000005</v>
      </c>
      <c r="D473" s="6">
        <f>Original!T468</f>
        <v>0.22900000000000001</v>
      </c>
      <c r="E473" s="6">
        <f>Original!V468</f>
        <v>6</v>
      </c>
      <c r="F473" s="6">
        <f t="shared" si="42"/>
        <v>0.2</v>
      </c>
      <c r="G473">
        <f t="shared" si="43"/>
        <v>254.4255</v>
      </c>
      <c r="H473">
        <f t="shared" si="44"/>
        <v>6.6000000000000005</v>
      </c>
      <c r="I473">
        <f t="shared" si="45"/>
        <v>3104.3760000000007</v>
      </c>
      <c r="J473">
        <f t="shared" si="46"/>
        <v>1425.1677000000004</v>
      </c>
      <c r="K473">
        <f t="shared" si="47"/>
        <v>1679.2083000000002</v>
      </c>
    </row>
    <row r="474" spans="1:11" x14ac:dyDescent="0.25">
      <c r="A474" t="str">
        <f>Original!A469</f>
        <v>ORD-2023-728177</v>
      </c>
      <c r="B474">
        <f>Original!R469</f>
        <v>1408.3</v>
      </c>
      <c r="C474">
        <f>Original!S469</f>
        <v>2193.13</v>
      </c>
      <c r="D474" s="6">
        <f>Original!T469</f>
        <v>7.0999999999999994E-2</v>
      </c>
      <c r="E474" s="6">
        <f>Original!V469</f>
        <v>7</v>
      </c>
      <c r="F474" s="6">
        <f t="shared" si="42"/>
        <v>7.0999999999999994E-2</v>
      </c>
      <c r="G474">
        <f t="shared" si="43"/>
        <v>1478.7149999999999</v>
      </c>
      <c r="H474">
        <f t="shared" si="44"/>
        <v>7.7000000000000011</v>
      </c>
      <c r="I474">
        <f t="shared" si="45"/>
        <v>15688.116829000002</v>
      </c>
      <c r="J474">
        <f t="shared" si="46"/>
        <v>4302.0113290000008</v>
      </c>
      <c r="K474">
        <f t="shared" si="47"/>
        <v>11386.105500000001</v>
      </c>
    </row>
    <row r="475" spans="1:11" x14ac:dyDescent="0.25">
      <c r="A475" t="str">
        <f>Original!A470</f>
        <v>ORD-2025-795385</v>
      </c>
      <c r="B475">
        <f>Original!R470</f>
        <v>1171.42</v>
      </c>
      <c r="C475">
        <f>Original!S470</f>
        <v>2187.8000000000002</v>
      </c>
      <c r="D475" s="6">
        <f>Original!T470</f>
        <v>0.23</v>
      </c>
      <c r="E475" s="6">
        <f>Original!V470</f>
        <v>15</v>
      </c>
      <c r="F475" s="6">
        <f t="shared" si="42"/>
        <v>0.2</v>
      </c>
      <c r="G475">
        <f t="shared" si="43"/>
        <v>1229.9910000000002</v>
      </c>
      <c r="H475">
        <f t="shared" si="44"/>
        <v>16.5</v>
      </c>
      <c r="I475">
        <f t="shared" si="45"/>
        <v>28878.960000000006</v>
      </c>
      <c r="J475">
        <f t="shared" si="46"/>
        <v>8584.1085000000021</v>
      </c>
      <c r="K475">
        <f t="shared" si="47"/>
        <v>20294.851500000004</v>
      </c>
    </row>
    <row r="476" spans="1:11" x14ac:dyDescent="0.25">
      <c r="A476" t="str">
        <f>Original!A471</f>
        <v>ORD-2025-947929</v>
      </c>
      <c r="B476">
        <f>Original!R471</f>
        <v>663.61</v>
      </c>
      <c r="C476">
        <f>Original!S471</f>
        <v>1002.11</v>
      </c>
      <c r="D476" s="6">
        <f>Original!T471</f>
        <v>4.5999999999999999E-2</v>
      </c>
      <c r="E476" s="6">
        <f>Original!V471</f>
        <v>17</v>
      </c>
      <c r="F476" s="6">
        <f t="shared" si="42"/>
        <v>4.5999999999999999E-2</v>
      </c>
      <c r="G476">
        <f t="shared" si="43"/>
        <v>696.79050000000007</v>
      </c>
      <c r="H476">
        <f t="shared" si="44"/>
        <v>18.700000000000003</v>
      </c>
      <c r="I476">
        <f t="shared" si="45"/>
        <v>17877.441978000003</v>
      </c>
      <c r="J476">
        <f t="shared" si="46"/>
        <v>4847.4596279999987</v>
      </c>
      <c r="K476">
        <f t="shared" si="47"/>
        <v>13029.982350000004</v>
      </c>
    </row>
    <row r="477" spans="1:11" x14ac:dyDescent="0.25">
      <c r="A477" t="str">
        <f>Original!A472</f>
        <v>ORD-2023-931633</v>
      </c>
      <c r="B477">
        <f>Original!R472</f>
        <v>432.01</v>
      </c>
      <c r="C477">
        <f>Original!S472</f>
        <v>913.78</v>
      </c>
      <c r="D477" s="6">
        <f>Original!T472</f>
        <v>4.9000000000000002E-2</v>
      </c>
      <c r="E477" s="6">
        <f>Original!V472</f>
        <v>12</v>
      </c>
      <c r="F477" s="6">
        <f t="shared" si="42"/>
        <v>4.9000000000000002E-2</v>
      </c>
      <c r="G477">
        <f t="shared" si="43"/>
        <v>453.6105</v>
      </c>
      <c r="H477">
        <f t="shared" si="44"/>
        <v>13.200000000000001</v>
      </c>
      <c r="I477">
        <f t="shared" si="45"/>
        <v>11470.863096000001</v>
      </c>
      <c r="J477">
        <f t="shared" si="46"/>
        <v>5483.2044960000003</v>
      </c>
      <c r="K477">
        <f t="shared" si="47"/>
        <v>5987.6586000000007</v>
      </c>
    </row>
    <row r="478" spans="1:11" x14ac:dyDescent="0.25">
      <c r="A478" t="str">
        <f>Original!A473</f>
        <v>ORD-2023-243704</v>
      </c>
      <c r="B478">
        <f>Original!R473</f>
        <v>784.46</v>
      </c>
      <c r="C478">
        <f>Original!S473</f>
        <v>1843.51</v>
      </c>
      <c r="D478" s="6">
        <f>Original!T473</f>
        <v>0.13800000000000001</v>
      </c>
      <c r="E478" s="6">
        <f>Original!V473</f>
        <v>23</v>
      </c>
      <c r="F478" s="6">
        <f t="shared" si="42"/>
        <v>0.13800000000000001</v>
      </c>
      <c r="G478">
        <f t="shared" si="43"/>
        <v>823.68300000000011</v>
      </c>
      <c r="H478">
        <f t="shared" si="44"/>
        <v>25.3</v>
      </c>
      <c r="I478">
        <f t="shared" si="45"/>
        <v>40204.372186000001</v>
      </c>
      <c r="J478">
        <f t="shared" si="46"/>
        <v>19365.192285999998</v>
      </c>
      <c r="K478">
        <f t="shared" si="47"/>
        <v>20839.179900000003</v>
      </c>
    </row>
    <row r="479" spans="1:11" x14ac:dyDescent="0.25">
      <c r="A479" t="str">
        <f>Original!A474</f>
        <v>ORD-2025-779659</v>
      </c>
      <c r="B479">
        <f>Original!R474</f>
        <v>647.36</v>
      </c>
      <c r="C479">
        <f>Original!S474</f>
        <v>1383.6</v>
      </c>
      <c r="D479" s="6">
        <f>Original!T474</f>
        <v>7.3999999999999996E-2</v>
      </c>
      <c r="E479" s="6">
        <f>Original!V474</f>
        <v>12</v>
      </c>
      <c r="F479" s="6">
        <f t="shared" si="42"/>
        <v>7.3999999999999996E-2</v>
      </c>
      <c r="G479">
        <f t="shared" si="43"/>
        <v>679.72800000000007</v>
      </c>
      <c r="H479">
        <f t="shared" si="44"/>
        <v>13.200000000000001</v>
      </c>
      <c r="I479">
        <f t="shared" si="45"/>
        <v>16912.019520000002</v>
      </c>
      <c r="J479">
        <f t="shared" si="46"/>
        <v>7939.6099200000008</v>
      </c>
      <c r="K479">
        <f t="shared" si="47"/>
        <v>8972.4096000000009</v>
      </c>
    </row>
    <row r="480" spans="1:11" x14ac:dyDescent="0.25">
      <c r="A480" t="str">
        <f>Original!A475</f>
        <v>ORD-2024-647571</v>
      </c>
      <c r="B480">
        <f>Original!R475</f>
        <v>834.93</v>
      </c>
      <c r="C480">
        <f>Original!S475</f>
        <v>1588.53</v>
      </c>
      <c r="D480" s="6">
        <f>Original!T475</f>
        <v>0.126</v>
      </c>
      <c r="E480" s="6">
        <f>Original!V475</f>
        <v>6</v>
      </c>
      <c r="F480" s="6">
        <f t="shared" si="42"/>
        <v>0.126</v>
      </c>
      <c r="G480">
        <f t="shared" si="43"/>
        <v>876.67650000000003</v>
      </c>
      <c r="H480">
        <f t="shared" si="44"/>
        <v>6.6000000000000005</v>
      </c>
      <c r="I480">
        <f t="shared" si="45"/>
        <v>9163.2764520000001</v>
      </c>
      <c r="J480">
        <f t="shared" si="46"/>
        <v>3377.2115519999998</v>
      </c>
      <c r="K480">
        <f t="shared" si="47"/>
        <v>5786.0649000000003</v>
      </c>
    </row>
    <row r="481" spans="1:11" x14ac:dyDescent="0.25">
      <c r="A481" t="str">
        <f>Original!A476</f>
        <v>ORD-2025-683043</v>
      </c>
      <c r="B481">
        <f>Original!R476</f>
        <v>603.47</v>
      </c>
      <c r="C481">
        <f>Original!S476</f>
        <v>1344.05</v>
      </c>
      <c r="D481" s="6">
        <f>Original!T476</f>
        <v>0.20499999999999999</v>
      </c>
      <c r="E481" s="6">
        <f>Original!V476</f>
        <v>18</v>
      </c>
      <c r="F481" s="6">
        <f t="shared" si="42"/>
        <v>0.2</v>
      </c>
      <c r="G481">
        <f t="shared" si="43"/>
        <v>633.64350000000002</v>
      </c>
      <c r="H481">
        <f t="shared" si="44"/>
        <v>19.8</v>
      </c>
      <c r="I481">
        <f t="shared" si="45"/>
        <v>21289.752</v>
      </c>
      <c r="J481">
        <f t="shared" si="46"/>
        <v>8743.6106999999993</v>
      </c>
      <c r="K481">
        <f t="shared" si="47"/>
        <v>12546.141300000001</v>
      </c>
    </row>
    <row r="482" spans="1:11" x14ac:dyDescent="0.25">
      <c r="A482" t="str">
        <f>Original!A477</f>
        <v>ORD-2023-588455</v>
      </c>
      <c r="B482">
        <f>Original!R477</f>
        <v>690.49</v>
      </c>
      <c r="C482">
        <f>Original!S477</f>
        <v>1290.29</v>
      </c>
      <c r="D482" s="6">
        <f>Original!T477</f>
        <v>4.2000000000000003E-2</v>
      </c>
      <c r="E482" s="6">
        <f>Original!V477</f>
        <v>22</v>
      </c>
      <c r="F482" s="6">
        <f t="shared" si="42"/>
        <v>4.2000000000000003E-2</v>
      </c>
      <c r="G482">
        <f t="shared" si="43"/>
        <v>725.0145</v>
      </c>
      <c r="H482">
        <f t="shared" si="44"/>
        <v>24.200000000000003</v>
      </c>
      <c r="I482">
        <f t="shared" si="45"/>
        <v>29913.567244000002</v>
      </c>
      <c r="J482">
        <f t="shared" si="46"/>
        <v>12368.216344</v>
      </c>
      <c r="K482">
        <f t="shared" si="47"/>
        <v>17545.350900000001</v>
      </c>
    </row>
    <row r="483" spans="1:11" x14ac:dyDescent="0.25">
      <c r="A483" t="str">
        <f>Original!A478</f>
        <v>ORD-2024-641220</v>
      </c>
      <c r="B483">
        <f>Original!R478</f>
        <v>210.76</v>
      </c>
      <c r="C483">
        <f>Original!S478</f>
        <v>221.58</v>
      </c>
      <c r="D483" s="6">
        <f>Original!T478</f>
        <v>8.8999999999999996E-2</v>
      </c>
      <c r="E483" s="6">
        <f>Original!V478</f>
        <v>5</v>
      </c>
      <c r="F483" s="6">
        <f t="shared" si="42"/>
        <v>8.8999999999999996E-2</v>
      </c>
      <c r="G483">
        <f t="shared" si="43"/>
        <v>221.298</v>
      </c>
      <c r="H483">
        <f t="shared" si="44"/>
        <v>5.5</v>
      </c>
      <c r="I483">
        <f t="shared" si="45"/>
        <v>1110.22659</v>
      </c>
      <c r="J483">
        <f t="shared" si="46"/>
        <v>-106.91241000000014</v>
      </c>
      <c r="K483">
        <f t="shared" si="47"/>
        <v>1217.1390000000001</v>
      </c>
    </row>
    <row r="484" spans="1:11" x14ac:dyDescent="0.25">
      <c r="A484" t="str">
        <f>Original!A479</f>
        <v>ORD-2023-799597</v>
      </c>
      <c r="B484">
        <f>Original!R479</f>
        <v>472.33</v>
      </c>
      <c r="C484">
        <f>Original!S479</f>
        <v>360.34</v>
      </c>
      <c r="D484" s="6">
        <f>Original!T479</f>
        <v>0.16500000000000001</v>
      </c>
      <c r="E484" s="6">
        <f>Original!V479</f>
        <v>14</v>
      </c>
      <c r="F484" s="6">
        <f t="shared" si="42"/>
        <v>0.16500000000000001</v>
      </c>
      <c r="G484">
        <f t="shared" si="43"/>
        <v>495.94650000000001</v>
      </c>
      <c r="H484">
        <f t="shared" si="44"/>
        <v>15.400000000000002</v>
      </c>
      <c r="I484">
        <f t="shared" si="45"/>
        <v>4633.6120600000004</v>
      </c>
      <c r="J484">
        <f t="shared" si="46"/>
        <v>-3003.9640400000008</v>
      </c>
      <c r="K484">
        <f t="shared" si="47"/>
        <v>7637.5761000000011</v>
      </c>
    </row>
    <row r="485" spans="1:11" x14ac:dyDescent="0.25">
      <c r="A485" t="str">
        <f>Original!A480</f>
        <v>ORD-2023-569862</v>
      </c>
      <c r="B485">
        <f>Original!R480</f>
        <v>1039.03</v>
      </c>
      <c r="C485">
        <f>Original!S480</f>
        <v>2545.81</v>
      </c>
      <c r="D485" s="6">
        <f>Original!T480</f>
        <v>0.216</v>
      </c>
      <c r="E485" s="6">
        <f>Original!V480</f>
        <v>21</v>
      </c>
      <c r="F485" s="6">
        <f t="shared" si="42"/>
        <v>0.2</v>
      </c>
      <c r="G485">
        <f t="shared" si="43"/>
        <v>1090.9815000000001</v>
      </c>
      <c r="H485">
        <f t="shared" si="44"/>
        <v>23.1</v>
      </c>
      <c r="I485">
        <f t="shared" si="45"/>
        <v>47046.568800000008</v>
      </c>
      <c r="J485">
        <f t="shared" si="46"/>
        <v>21844.896150000004</v>
      </c>
      <c r="K485">
        <f t="shared" si="47"/>
        <v>25201.672650000004</v>
      </c>
    </row>
    <row r="486" spans="1:11" x14ac:dyDescent="0.25">
      <c r="A486" t="str">
        <f>Original!A481</f>
        <v>ORD-2023-609394</v>
      </c>
      <c r="B486">
        <f>Original!R481</f>
        <v>553.61</v>
      </c>
      <c r="C486">
        <f>Original!S481</f>
        <v>699.47</v>
      </c>
      <c r="D486" s="6">
        <f>Original!T481</f>
        <v>0.02</v>
      </c>
      <c r="E486" s="6">
        <f>Original!V481</f>
        <v>33</v>
      </c>
      <c r="F486" s="6">
        <f t="shared" si="42"/>
        <v>0.02</v>
      </c>
      <c r="G486">
        <f t="shared" si="43"/>
        <v>581.29050000000007</v>
      </c>
      <c r="H486">
        <f t="shared" si="44"/>
        <v>36.300000000000004</v>
      </c>
      <c r="I486">
        <f t="shared" si="45"/>
        <v>24882.945780000002</v>
      </c>
      <c r="J486">
        <f t="shared" si="46"/>
        <v>3782.1006299999972</v>
      </c>
      <c r="K486">
        <f t="shared" si="47"/>
        <v>21100.845150000005</v>
      </c>
    </row>
    <row r="487" spans="1:11" x14ac:dyDescent="0.25">
      <c r="A487" t="str">
        <f>Original!A482</f>
        <v>ORD-2024-105586</v>
      </c>
      <c r="B487">
        <f>Original!R482</f>
        <v>1219.06</v>
      </c>
      <c r="C487">
        <f>Original!S482</f>
        <v>2738.69</v>
      </c>
      <c r="D487" s="6">
        <f>Original!T482</f>
        <v>7.5999999999999998E-2</v>
      </c>
      <c r="E487" s="6">
        <f>Original!V482</f>
        <v>16</v>
      </c>
      <c r="F487" s="6">
        <f t="shared" si="42"/>
        <v>7.5999999999999998E-2</v>
      </c>
      <c r="G487">
        <f t="shared" si="43"/>
        <v>1280.0129999999999</v>
      </c>
      <c r="H487">
        <f t="shared" si="44"/>
        <v>17.600000000000001</v>
      </c>
      <c r="I487">
        <f t="shared" si="45"/>
        <v>44537.672256000005</v>
      </c>
      <c r="J487">
        <f t="shared" si="46"/>
        <v>22009.443456000005</v>
      </c>
      <c r="K487">
        <f t="shared" si="47"/>
        <v>22528.228800000001</v>
      </c>
    </row>
    <row r="488" spans="1:11" x14ac:dyDescent="0.25">
      <c r="A488" t="str">
        <f>Original!A483</f>
        <v>ORD-2024-207792</v>
      </c>
      <c r="B488">
        <f>Original!R483</f>
        <v>43.23</v>
      </c>
      <c r="C488">
        <f>Original!S483</f>
        <v>94.78</v>
      </c>
      <c r="D488" s="6">
        <f>Original!T483</f>
        <v>9.0999999999999998E-2</v>
      </c>
      <c r="E488" s="6">
        <f>Original!V483</f>
        <v>55</v>
      </c>
      <c r="F488" s="6">
        <f t="shared" si="42"/>
        <v>9.0999999999999998E-2</v>
      </c>
      <c r="G488">
        <f t="shared" si="43"/>
        <v>45.391500000000001</v>
      </c>
      <c r="H488">
        <f t="shared" si="44"/>
        <v>60.500000000000007</v>
      </c>
      <c r="I488">
        <f t="shared" si="45"/>
        <v>5212.3787100000009</v>
      </c>
      <c r="J488">
        <f t="shared" si="46"/>
        <v>2466.1929600000003</v>
      </c>
      <c r="K488">
        <f t="shared" si="47"/>
        <v>2746.1857500000006</v>
      </c>
    </row>
    <row r="489" spans="1:11" x14ac:dyDescent="0.25">
      <c r="A489" t="str">
        <f>Original!A484</f>
        <v>ORD-2025-417336</v>
      </c>
      <c r="B489">
        <f>Original!R484</f>
        <v>1286.56</v>
      </c>
      <c r="C489">
        <f>Original!S484</f>
        <v>2777.35</v>
      </c>
      <c r="D489" s="6">
        <f>Original!T484</f>
        <v>0.13200000000000001</v>
      </c>
      <c r="E489" s="6">
        <f>Original!V484</f>
        <v>15</v>
      </c>
      <c r="F489" s="6">
        <f t="shared" si="42"/>
        <v>0.13200000000000001</v>
      </c>
      <c r="G489">
        <f t="shared" si="43"/>
        <v>1350.8879999999999</v>
      </c>
      <c r="H489">
        <f t="shared" si="44"/>
        <v>16.5</v>
      </c>
      <c r="I489">
        <f t="shared" si="45"/>
        <v>39777.206700000002</v>
      </c>
      <c r="J489">
        <f t="shared" si="46"/>
        <v>17487.554700000004</v>
      </c>
      <c r="K489">
        <f t="shared" si="47"/>
        <v>22289.651999999998</v>
      </c>
    </row>
    <row r="490" spans="1:11" x14ac:dyDescent="0.25">
      <c r="A490" t="str">
        <f>Original!A485</f>
        <v>ORD-2025-252117</v>
      </c>
      <c r="B490">
        <f>Original!R485</f>
        <v>350.76</v>
      </c>
      <c r="C490">
        <f>Original!S485</f>
        <v>492.18</v>
      </c>
      <c r="D490" s="6">
        <f>Original!T485</f>
        <v>5.2999999999999999E-2</v>
      </c>
      <c r="E490" s="6">
        <f>Original!V485</f>
        <v>11</v>
      </c>
      <c r="F490" s="6">
        <f t="shared" si="42"/>
        <v>5.2999999999999999E-2</v>
      </c>
      <c r="G490">
        <f t="shared" si="43"/>
        <v>368.298</v>
      </c>
      <c r="H490">
        <f t="shared" si="44"/>
        <v>12.100000000000001</v>
      </c>
      <c r="I490">
        <f t="shared" si="45"/>
        <v>5639.7429660000007</v>
      </c>
      <c r="J490">
        <f t="shared" si="46"/>
        <v>1183.3371660000003</v>
      </c>
      <c r="K490">
        <f t="shared" si="47"/>
        <v>4456.4058000000005</v>
      </c>
    </row>
    <row r="491" spans="1:11" x14ac:dyDescent="0.25">
      <c r="A491" t="str">
        <f>Original!A486</f>
        <v>ORD-2023-867175</v>
      </c>
      <c r="B491">
        <f>Original!R486</f>
        <v>1307.52</v>
      </c>
      <c r="C491">
        <f>Original!S486</f>
        <v>1921.65</v>
      </c>
      <c r="D491" s="6">
        <f>Original!T486</f>
        <v>0.123</v>
      </c>
      <c r="E491" s="6">
        <f>Original!V486</f>
        <v>13</v>
      </c>
      <c r="F491" s="6">
        <f t="shared" si="42"/>
        <v>0.123</v>
      </c>
      <c r="G491">
        <f t="shared" si="43"/>
        <v>1372.896</v>
      </c>
      <c r="H491">
        <f t="shared" si="44"/>
        <v>14.3</v>
      </c>
      <c r="I491">
        <f t="shared" si="45"/>
        <v>24099.604815000002</v>
      </c>
      <c r="J491">
        <f t="shared" si="46"/>
        <v>4467.1920150000005</v>
      </c>
      <c r="K491">
        <f t="shared" si="47"/>
        <v>19632.412800000002</v>
      </c>
    </row>
    <row r="492" spans="1:11" x14ac:dyDescent="0.25">
      <c r="A492" t="str">
        <f>Original!A487</f>
        <v>ORD-2024-382152</v>
      </c>
      <c r="B492">
        <f>Original!R487</f>
        <v>257.44</v>
      </c>
      <c r="C492">
        <f>Original!S487</f>
        <v>290.33</v>
      </c>
      <c r="D492" s="6">
        <f>Original!T487</f>
        <v>9.1999999999999998E-2</v>
      </c>
      <c r="E492" s="6">
        <f>Original!V487</f>
        <v>23</v>
      </c>
      <c r="F492" s="6">
        <f t="shared" si="42"/>
        <v>9.1999999999999998E-2</v>
      </c>
      <c r="G492">
        <f t="shared" si="43"/>
        <v>270.31200000000001</v>
      </c>
      <c r="H492">
        <f t="shared" si="44"/>
        <v>25.3</v>
      </c>
      <c r="I492">
        <f t="shared" si="45"/>
        <v>6669.576892</v>
      </c>
      <c r="J492">
        <f t="shared" si="46"/>
        <v>-169.31670800000029</v>
      </c>
      <c r="K492">
        <f t="shared" si="47"/>
        <v>6838.8936000000003</v>
      </c>
    </row>
    <row r="493" spans="1:11" x14ac:dyDescent="0.25">
      <c r="A493" t="str">
        <f>Original!A488</f>
        <v>ORD-2023-597666</v>
      </c>
      <c r="B493">
        <f>Original!R488</f>
        <v>287.85000000000002</v>
      </c>
      <c r="C493">
        <f>Original!S488</f>
        <v>602.91999999999996</v>
      </c>
      <c r="D493" s="6">
        <f>Original!T488</f>
        <v>0.222</v>
      </c>
      <c r="E493" s="6">
        <f>Original!V488</f>
        <v>11</v>
      </c>
      <c r="F493" s="6">
        <f t="shared" si="42"/>
        <v>0.2</v>
      </c>
      <c r="G493">
        <f t="shared" si="43"/>
        <v>302.24250000000006</v>
      </c>
      <c r="H493">
        <f t="shared" si="44"/>
        <v>12.100000000000001</v>
      </c>
      <c r="I493">
        <f t="shared" si="45"/>
        <v>5836.2656000000006</v>
      </c>
      <c r="J493">
        <f t="shared" si="46"/>
        <v>2179.1313499999997</v>
      </c>
      <c r="K493">
        <f t="shared" si="47"/>
        <v>3657.134250000001</v>
      </c>
    </row>
    <row r="494" spans="1:11" x14ac:dyDescent="0.25">
      <c r="A494" t="str">
        <f>Original!A489</f>
        <v>ORD-2024-371409</v>
      </c>
      <c r="B494">
        <f>Original!R489</f>
        <v>1008.16</v>
      </c>
      <c r="C494">
        <f>Original!S489</f>
        <v>2077.5</v>
      </c>
      <c r="D494" s="6">
        <f>Original!T489</f>
        <v>7.3999999999999996E-2</v>
      </c>
      <c r="E494" s="6">
        <f>Original!V489</f>
        <v>15</v>
      </c>
      <c r="F494" s="6">
        <f t="shared" si="42"/>
        <v>7.3999999999999996E-2</v>
      </c>
      <c r="G494">
        <f t="shared" si="43"/>
        <v>1058.568</v>
      </c>
      <c r="H494">
        <f t="shared" si="44"/>
        <v>16.5</v>
      </c>
      <c r="I494">
        <f t="shared" si="45"/>
        <v>31742.122500000001</v>
      </c>
      <c r="J494">
        <f t="shared" si="46"/>
        <v>14275.750500000002</v>
      </c>
      <c r="K494">
        <f t="shared" si="47"/>
        <v>17466.371999999999</v>
      </c>
    </row>
    <row r="495" spans="1:11" x14ac:dyDescent="0.25">
      <c r="A495" t="str">
        <f>Original!A490</f>
        <v>ORD-2024-973420</v>
      </c>
      <c r="B495">
        <f>Original!R490</f>
        <v>111.02</v>
      </c>
      <c r="C495">
        <f>Original!S490</f>
        <v>172.88</v>
      </c>
      <c r="D495" s="6">
        <f>Original!T490</f>
        <v>0.19700000000000001</v>
      </c>
      <c r="E495" s="6">
        <f>Original!V490</f>
        <v>29</v>
      </c>
      <c r="F495" s="6">
        <f t="shared" si="42"/>
        <v>0.19700000000000001</v>
      </c>
      <c r="G495">
        <f t="shared" si="43"/>
        <v>116.571</v>
      </c>
      <c r="H495">
        <f t="shared" si="44"/>
        <v>31.900000000000002</v>
      </c>
      <c r="I495">
        <f t="shared" si="45"/>
        <v>4428.4422159999995</v>
      </c>
      <c r="J495">
        <f t="shared" si="46"/>
        <v>709.82731599999943</v>
      </c>
      <c r="K495">
        <f t="shared" si="47"/>
        <v>3718.6149</v>
      </c>
    </row>
    <row r="496" spans="1:11" x14ac:dyDescent="0.25">
      <c r="A496" t="str">
        <f>Original!A491</f>
        <v>ORD-2025-254721</v>
      </c>
      <c r="B496">
        <f>Original!R491</f>
        <v>1466.5</v>
      </c>
      <c r="C496">
        <f>Original!S491</f>
        <v>2778.74</v>
      </c>
      <c r="D496" s="6">
        <f>Original!T491</f>
        <v>0.13500000000000001</v>
      </c>
      <c r="E496" s="6">
        <f>Original!V491</f>
        <v>4</v>
      </c>
      <c r="F496" s="6">
        <f t="shared" si="42"/>
        <v>0.13500000000000001</v>
      </c>
      <c r="G496">
        <f t="shared" si="43"/>
        <v>1539.825</v>
      </c>
      <c r="H496">
        <f t="shared" si="44"/>
        <v>4.4000000000000004</v>
      </c>
      <c r="I496">
        <f t="shared" si="45"/>
        <v>10575.88444</v>
      </c>
      <c r="J496">
        <f t="shared" si="46"/>
        <v>3800.6544399999993</v>
      </c>
      <c r="K496">
        <f t="shared" si="47"/>
        <v>6775.2300000000005</v>
      </c>
    </row>
    <row r="497" spans="1:11" x14ac:dyDescent="0.25">
      <c r="A497" t="str">
        <f>Original!A492</f>
        <v>ORD-2024-247032</v>
      </c>
      <c r="B497">
        <f>Original!R492</f>
        <v>187.22</v>
      </c>
      <c r="C497">
        <f>Original!S492</f>
        <v>309.47000000000003</v>
      </c>
      <c r="D497" s="6">
        <f>Original!T492</f>
        <v>0</v>
      </c>
      <c r="E497" s="6">
        <f>Original!V492</f>
        <v>5</v>
      </c>
      <c r="F497" s="6">
        <f t="shared" si="42"/>
        <v>0</v>
      </c>
      <c r="G497">
        <f t="shared" si="43"/>
        <v>196.58100000000002</v>
      </c>
      <c r="H497">
        <f t="shared" si="44"/>
        <v>5.5</v>
      </c>
      <c r="I497">
        <f t="shared" si="45"/>
        <v>1702.085</v>
      </c>
      <c r="J497">
        <f t="shared" si="46"/>
        <v>620.8895</v>
      </c>
      <c r="K497">
        <f t="shared" si="47"/>
        <v>1081.1955</v>
      </c>
    </row>
    <row r="498" spans="1:11" x14ac:dyDescent="0.25">
      <c r="A498" t="str">
        <f>Original!A493</f>
        <v>ORD-2024-792353</v>
      </c>
      <c r="B498">
        <f>Original!R493</f>
        <v>297.58999999999997</v>
      </c>
      <c r="C498">
        <f>Original!S493</f>
        <v>666.41</v>
      </c>
      <c r="D498" s="6">
        <f>Original!T493</f>
        <v>0</v>
      </c>
      <c r="E498" s="6">
        <f>Original!V493</f>
        <v>10</v>
      </c>
      <c r="F498" s="6">
        <f t="shared" si="42"/>
        <v>0</v>
      </c>
      <c r="G498">
        <f t="shared" si="43"/>
        <v>312.46949999999998</v>
      </c>
      <c r="H498">
        <f t="shared" si="44"/>
        <v>11</v>
      </c>
      <c r="I498">
        <f t="shared" si="45"/>
        <v>7330.5099999999993</v>
      </c>
      <c r="J498">
        <f t="shared" si="46"/>
        <v>3893.3454999999994</v>
      </c>
      <c r="K498">
        <f t="shared" si="47"/>
        <v>3437.1644999999999</v>
      </c>
    </row>
    <row r="499" spans="1:11" x14ac:dyDescent="0.25">
      <c r="A499" t="str">
        <f>Original!A494</f>
        <v>ORD-2025-703623</v>
      </c>
      <c r="B499">
        <f>Original!R494</f>
        <v>896.09</v>
      </c>
      <c r="C499">
        <f>Original!S494</f>
        <v>744.27</v>
      </c>
      <c r="D499" s="6">
        <f>Original!T494</f>
        <v>8.3000000000000004E-2</v>
      </c>
      <c r="E499" s="6">
        <f>Original!V494</f>
        <v>11</v>
      </c>
      <c r="F499" s="6">
        <f t="shared" si="42"/>
        <v>8.3000000000000004E-2</v>
      </c>
      <c r="G499">
        <f t="shared" si="43"/>
        <v>940.89450000000011</v>
      </c>
      <c r="H499">
        <f t="shared" si="44"/>
        <v>12.100000000000001</v>
      </c>
      <c r="I499">
        <f t="shared" si="45"/>
        <v>8258.1966390000016</v>
      </c>
      <c r="J499">
        <f t="shared" si="46"/>
        <v>-3126.6268110000019</v>
      </c>
      <c r="K499">
        <f t="shared" si="47"/>
        <v>11384.823450000004</v>
      </c>
    </row>
    <row r="500" spans="1:11" x14ac:dyDescent="0.25">
      <c r="A500" t="str">
        <f>Original!A495</f>
        <v>ORD-2024-516704</v>
      </c>
      <c r="B500">
        <f>Original!R495</f>
        <v>5.34</v>
      </c>
      <c r="C500">
        <f>Original!S495</f>
        <v>12.69</v>
      </c>
      <c r="D500" s="6">
        <f>Original!T495</f>
        <v>0.13200000000000001</v>
      </c>
      <c r="E500" s="6">
        <f>Original!V495</f>
        <v>10</v>
      </c>
      <c r="F500" s="6">
        <f t="shared" si="42"/>
        <v>0.13200000000000001</v>
      </c>
      <c r="G500">
        <f t="shared" si="43"/>
        <v>5.6070000000000002</v>
      </c>
      <c r="H500">
        <f t="shared" si="44"/>
        <v>11</v>
      </c>
      <c r="I500">
        <f t="shared" si="45"/>
        <v>121.16412</v>
      </c>
      <c r="J500">
        <f t="shared" si="46"/>
        <v>59.487119999999997</v>
      </c>
      <c r="K500">
        <f t="shared" si="47"/>
        <v>61.677</v>
      </c>
    </row>
    <row r="501" spans="1:11" x14ac:dyDescent="0.25">
      <c r="A501" t="str">
        <f>Original!A496</f>
        <v>ORD-2024-578646</v>
      </c>
      <c r="B501">
        <f>Original!R496</f>
        <v>465.02</v>
      </c>
      <c r="C501">
        <f>Original!S496</f>
        <v>651.55999999999995</v>
      </c>
      <c r="D501" s="6">
        <f>Original!T496</f>
        <v>4.2000000000000003E-2</v>
      </c>
      <c r="E501" s="6">
        <f>Original!V496</f>
        <v>19</v>
      </c>
      <c r="F501" s="6">
        <f t="shared" si="42"/>
        <v>4.2000000000000003E-2</v>
      </c>
      <c r="G501">
        <f t="shared" si="43"/>
        <v>488.27100000000002</v>
      </c>
      <c r="H501">
        <f t="shared" si="44"/>
        <v>20.900000000000002</v>
      </c>
      <c r="I501">
        <f t="shared" si="45"/>
        <v>13045.664631999998</v>
      </c>
      <c r="J501">
        <f t="shared" si="46"/>
        <v>2840.8007319999961</v>
      </c>
      <c r="K501">
        <f t="shared" si="47"/>
        <v>10204.863900000002</v>
      </c>
    </row>
    <row r="502" spans="1:11" x14ac:dyDescent="0.25">
      <c r="A502" t="str">
        <f>Original!A497</f>
        <v>ORD-2024-433936</v>
      </c>
      <c r="B502">
        <f>Original!R497</f>
        <v>352.79</v>
      </c>
      <c r="C502">
        <f>Original!S497</f>
        <v>754.22</v>
      </c>
      <c r="D502" s="6">
        <f>Original!T497</f>
        <v>0.113</v>
      </c>
      <c r="E502" s="6">
        <f>Original!V497</f>
        <v>7</v>
      </c>
      <c r="F502" s="6">
        <f t="shared" si="42"/>
        <v>0.113</v>
      </c>
      <c r="G502">
        <f t="shared" si="43"/>
        <v>370.42950000000002</v>
      </c>
      <c r="H502">
        <f t="shared" si="44"/>
        <v>7.7000000000000011</v>
      </c>
      <c r="I502">
        <f t="shared" si="45"/>
        <v>5151.2471780000005</v>
      </c>
      <c r="J502">
        <f t="shared" si="46"/>
        <v>2298.940028</v>
      </c>
      <c r="K502">
        <f t="shared" si="47"/>
        <v>2852.3071500000005</v>
      </c>
    </row>
    <row r="503" spans="1:11" x14ac:dyDescent="0.25">
      <c r="A503" t="str">
        <f>Original!A498</f>
        <v>ORD-2023-434071</v>
      </c>
      <c r="B503">
        <f>Original!R498</f>
        <v>1292.8599999999999</v>
      </c>
      <c r="C503">
        <f>Original!S498</f>
        <v>2981.01</v>
      </c>
      <c r="D503" s="6">
        <f>Original!T498</f>
        <v>0.14199999999999999</v>
      </c>
      <c r="E503" s="6">
        <f>Original!V498</f>
        <v>12</v>
      </c>
      <c r="F503" s="6">
        <f t="shared" si="42"/>
        <v>0.14199999999999999</v>
      </c>
      <c r="G503">
        <f t="shared" si="43"/>
        <v>1357.5029999999999</v>
      </c>
      <c r="H503">
        <f t="shared" si="44"/>
        <v>13.200000000000001</v>
      </c>
      <c r="I503">
        <f t="shared" si="45"/>
        <v>33761.726856000008</v>
      </c>
      <c r="J503">
        <f t="shared" si="46"/>
        <v>15842.687256000008</v>
      </c>
      <c r="K503">
        <f t="shared" si="47"/>
        <v>17919.0396</v>
      </c>
    </row>
    <row r="504" spans="1:11" x14ac:dyDescent="0.25">
      <c r="A504" t="str">
        <f>Original!A499</f>
        <v>ORD-2024-728474</v>
      </c>
      <c r="B504">
        <f>Original!R499</f>
        <v>1133.08</v>
      </c>
      <c r="C504">
        <f>Original!S499</f>
        <v>976.17</v>
      </c>
      <c r="D504" s="6">
        <f>Original!T499</f>
        <v>4.2000000000000003E-2</v>
      </c>
      <c r="E504" s="6">
        <f>Original!V499</f>
        <v>27</v>
      </c>
      <c r="F504" s="6">
        <f t="shared" si="42"/>
        <v>4.2000000000000003E-2</v>
      </c>
      <c r="G504">
        <f t="shared" si="43"/>
        <v>1189.7339999999999</v>
      </c>
      <c r="H504">
        <f t="shared" si="44"/>
        <v>29.700000000000003</v>
      </c>
      <c r="I504">
        <f t="shared" si="45"/>
        <v>27774.574541999998</v>
      </c>
      <c r="J504">
        <f t="shared" si="46"/>
        <v>-7560.5252580000051</v>
      </c>
      <c r="K504">
        <f t="shared" si="47"/>
        <v>35335.099800000004</v>
      </c>
    </row>
    <row r="505" spans="1:11" x14ac:dyDescent="0.25">
      <c r="A505" t="str">
        <f>Original!A500</f>
        <v>ORD-2023-406606</v>
      </c>
      <c r="B505">
        <f>Original!R500</f>
        <v>509.31</v>
      </c>
      <c r="C505">
        <f>Original!S500</f>
        <v>1145.9000000000001</v>
      </c>
      <c r="D505" s="6">
        <f>Original!T500</f>
        <v>5.7000000000000002E-2</v>
      </c>
      <c r="E505" s="6">
        <f>Original!V500</f>
        <v>8</v>
      </c>
      <c r="F505" s="6">
        <f t="shared" si="42"/>
        <v>5.7000000000000002E-2</v>
      </c>
      <c r="G505">
        <f t="shared" si="43"/>
        <v>534.77550000000008</v>
      </c>
      <c r="H505">
        <f t="shared" si="44"/>
        <v>8.8000000000000007</v>
      </c>
      <c r="I505">
        <f t="shared" si="45"/>
        <v>9509.1365600000008</v>
      </c>
      <c r="J505">
        <f t="shared" si="46"/>
        <v>4803.1121599999997</v>
      </c>
      <c r="K505">
        <f t="shared" si="47"/>
        <v>4706.0244000000012</v>
      </c>
    </row>
    <row r="506" spans="1:11" x14ac:dyDescent="0.25">
      <c r="A506" t="str">
        <f>Original!A501</f>
        <v>ORD-2025-823055</v>
      </c>
      <c r="B506">
        <f>Original!R501</f>
        <v>660.78</v>
      </c>
      <c r="C506">
        <f>Original!S501</f>
        <v>1630.39</v>
      </c>
      <c r="D506" s="6">
        <f>Original!T501</f>
        <v>0.218</v>
      </c>
      <c r="E506" s="6">
        <f>Original!V501</f>
        <v>13</v>
      </c>
      <c r="F506" s="6">
        <f t="shared" si="42"/>
        <v>0.2</v>
      </c>
      <c r="G506">
        <f t="shared" si="43"/>
        <v>693.81899999999996</v>
      </c>
      <c r="H506">
        <f t="shared" si="44"/>
        <v>14.3</v>
      </c>
      <c r="I506">
        <f t="shared" si="45"/>
        <v>18651.661600000003</v>
      </c>
      <c r="J506">
        <f t="shared" si="46"/>
        <v>8730.0499000000036</v>
      </c>
      <c r="K506">
        <f t="shared" si="47"/>
        <v>9921.6116999999995</v>
      </c>
    </row>
    <row r="507" spans="1:11" x14ac:dyDescent="0.25">
      <c r="A507" t="str">
        <f>Original!A502</f>
        <v>ORD-2023-573656</v>
      </c>
      <c r="B507">
        <f>Original!R502</f>
        <v>475.37</v>
      </c>
      <c r="C507">
        <f>Original!S502</f>
        <v>963.73</v>
      </c>
      <c r="D507" s="6">
        <f>Original!T502</f>
        <v>4.1000000000000002E-2</v>
      </c>
      <c r="E507" s="6">
        <f>Original!V502</f>
        <v>22</v>
      </c>
      <c r="F507" s="6">
        <f t="shared" si="42"/>
        <v>4.1000000000000002E-2</v>
      </c>
      <c r="G507">
        <f t="shared" si="43"/>
        <v>499.13850000000002</v>
      </c>
      <c r="H507">
        <f t="shared" si="44"/>
        <v>24.200000000000003</v>
      </c>
      <c r="I507">
        <f t="shared" si="45"/>
        <v>22366.053094000003</v>
      </c>
      <c r="J507">
        <f t="shared" si="46"/>
        <v>10286.901394</v>
      </c>
      <c r="K507">
        <f t="shared" si="47"/>
        <v>12079.151700000002</v>
      </c>
    </row>
    <row r="508" spans="1:11" x14ac:dyDescent="0.25">
      <c r="A508" t="str">
        <f>Original!A503</f>
        <v>ORD-2024-567435</v>
      </c>
      <c r="B508">
        <f>Original!R503</f>
        <v>1232.77</v>
      </c>
      <c r="C508">
        <f>Original!S503</f>
        <v>891.73</v>
      </c>
      <c r="D508" s="6">
        <f>Original!T503</f>
        <v>0.16700000000000001</v>
      </c>
      <c r="E508" s="6">
        <f>Original!V503</f>
        <v>10</v>
      </c>
      <c r="F508" s="6">
        <f t="shared" si="42"/>
        <v>0.16700000000000001</v>
      </c>
      <c r="G508">
        <f t="shared" si="43"/>
        <v>1294.4085</v>
      </c>
      <c r="H508">
        <f t="shared" si="44"/>
        <v>11</v>
      </c>
      <c r="I508">
        <f t="shared" si="45"/>
        <v>8170.9219899999998</v>
      </c>
      <c r="J508">
        <f t="shared" si="46"/>
        <v>-6067.5715100000007</v>
      </c>
      <c r="K508">
        <f t="shared" si="47"/>
        <v>14238.4935</v>
      </c>
    </row>
    <row r="509" spans="1:11" x14ac:dyDescent="0.25">
      <c r="A509" t="str">
        <f>Original!A504</f>
        <v>ORD-2023-744942</v>
      </c>
      <c r="B509">
        <f>Original!R504</f>
        <v>770.11</v>
      </c>
      <c r="C509">
        <f>Original!S504</f>
        <v>1667.82</v>
      </c>
      <c r="D509" s="6">
        <f>Original!T504</f>
        <v>6.9000000000000006E-2</v>
      </c>
      <c r="E509" s="6">
        <f>Original!V504</f>
        <v>7</v>
      </c>
      <c r="F509" s="6">
        <f t="shared" si="42"/>
        <v>6.9000000000000006E-2</v>
      </c>
      <c r="G509">
        <f t="shared" si="43"/>
        <v>808.6155</v>
      </c>
      <c r="H509">
        <f t="shared" si="44"/>
        <v>7.7000000000000011</v>
      </c>
      <c r="I509">
        <f t="shared" si="45"/>
        <v>11956.101234000002</v>
      </c>
      <c r="J509">
        <f t="shared" si="46"/>
        <v>5729.7618840000005</v>
      </c>
      <c r="K509">
        <f t="shared" si="47"/>
        <v>6226.3393500000011</v>
      </c>
    </row>
    <row r="510" spans="1:11" x14ac:dyDescent="0.25">
      <c r="A510" t="str">
        <f>Original!A505</f>
        <v>ORD-2025-331237</v>
      </c>
      <c r="B510">
        <f>Original!R505</f>
        <v>1133.03</v>
      </c>
      <c r="C510">
        <f>Original!S505</f>
        <v>1921.51</v>
      </c>
      <c r="D510" s="6">
        <f>Original!T505</f>
        <v>0.10100000000000001</v>
      </c>
      <c r="E510" s="6">
        <f>Original!V505</f>
        <v>5</v>
      </c>
      <c r="F510" s="6">
        <f t="shared" si="42"/>
        <v>0.10100000000000001</v>
      </c>
      <c r="G510">
        <f t="shared" si="43"/>
        <v>1189.6814999999999</v>
      </c>
      <c r="H510">
        <f t="shared" si="44"/>
        <v>5.5</v>
      </c>
      <c r="I510">
        <f t="shared" si="45"/>
        <v>9500.9061950000014</v>
      </c>
      <c r="J510">
        <f t="shared" si="46"/>
        <v>2957.6579450000017</v>
      </c>
      <c r="K510">
        <f t="shared" si="47"/>
        <v>6543.2482499999996</v>
      </c>
    </row>
    <row r="511" spans="1:11" x14ac:dyDescent="0.25">
      <c r="A511" t="str">
        <f>Original!A506</f>
        <v>ORD-2025-680118</v>
      </c>
      <c r="B511">
        <f>Original!R506</f>
        <v>996.73</v>
      </c>
      <c r="C511">
        <f>Original!S506</f>
        <v>1217.43</v>
      </c>
      <c r="D511" s="6">
        <f>Original!T506</f>
        <v>7.0000000000000007E-2</v>
      </c>
      <c r="E511" s="6">
        <f>Original!V506</f>
        <v>9</v>
      </c>
      <c r="F511" s="6">
        <f t="shared" si="42"/>
        <v>7.0000000000000007E-2</v>
      </c>
      <c r="G511">
        <f t="shared" si="43"/>
        <v>1046.5665000000001</v>
      </c>
      <c r="H511">
        <f t="shared" si="44"/>
        <v>9.9</v>
      </c>
      <c r="I511">
        <f t="shared" si="45"/>
        <v>11208.87801</v>
      </c>
      <c r="J511">
        <f t="shared" si="46"/>
        <v>847.86965999999848</v>
      </c>
      <c r="K511">
        <f t="shared" si="47"/>
        <v>10361.008350000002</v>
      </c>
    </row>
    <row r="512" spans="1:11" x14ac:dyDescent="0.25">
      <c r="A512" t="str">
        <f>Original!A507</f>
        <v>ORD-2024-310809</v>
      </c>
      <c r="B512">
        <f>Original!R507</f>
        <v>395.07</v>
      </c>
      <c r="C512">
        <f>Original!S507</f>
        <v>970.27</v>
      </c>
      <c r="D512" s="6">
        <f>Original!T507</f>
        <v>0.123</v>
      </c>
      <c r="E512" s="6">
        <f>Original!V507</f>
        <v>38</v>
      </c>
      <c r="F512" s="6">
        <f t="shared" si="42"/>
        <v>0.123</v>
      </c>
      <c r="G512">
        <f t="shared" si="43"/>
        <v>414.82350000000002</v>
      </c>
      <c r="H512">
        <f t="shared" si="44"/>
        <v>41.800000000000004</v>
      </c>
      <c r="I512">
        <f t="shared" si="45"/>
        <v>35568.739822000003</v>
      </c>
      <c r="J512">
        <f t="shared" si="46"/>
        <v>18229.117522</v>
      </c>
      <c r="K512">
        <f t="shared" si="47"/>
        <v>17339.622300000003</v>
      </c>
    </row>
    <row r="513" spans="1:11" x14ac:dyDescent="0.25">
      <c r="A513" t="str">
        <f>Original!A508</f>
        <v>ORD-2025-474368</v>
      </c>
      <c r="B513">
        <f>Original!R508</f>
        <v>932.26</v>
      </c>
      <c r="C513">
        <f>Original!S508</f>
        <v>1624.67</v>
      </c>
      <c r="D513" s="6">
        <f>Original!T508</f>
        <v>0.23499999999999999</v>
      </c>
      <c r="E513" s="6">
        <f>Original!V508</f>
        <v>28</v>
      </c>
      <c r="F513" s="6">
        <f t="shared" si="42"/>
        <v>0.2</v>
      </c>
      <c r="G513">
        <f t="shared" si="43"/>
        <v>978.87300000000005</v>
      </c>
      <c r="H513">
        <f t="shared" si="44"/>
        <v>30.800000000000004</v>
      </c>
      <c r="I513">
        <f t="shared" si="45"/>
        <v>40031.868800000011</v>
      </c>
      <c r="J513">
        <f t="shared" si="46"/>
        <v>9882.5804000000062</v>
      </c>
      <c r="K513">
        <f t="shared" si="47"/>
        <v>30149.288400000005</v>
      </c>
    </row>
    <row r="514" spans="1:11" x14ac:dyDescent="0.25">
      <c r="A514" t="str">
        <f>Original!A509</f>
        <v>ORD-2024-732543</v>
      </c>
      <c r="B514">
        <f>Original!R509</f>
        <v>1331.77</v>
      </c>
      <c r="C514">
        <f>Original!S509</f>
        <v>2606.11</v>
      </c>
      <c r="D514" s="6">
        <f>Original!T509</f>
        <v>0.02</v>
      </c>
      <c r="E514" s="6">
        <f>Original!V509</f>
        <v>6</v>
      </c>
      <c r="F514" s="6">
        <f t="shared" si="42"/>
        <v>0.02</v>
      </c>
      <c r="G514">
        <f t="shared" si="43"/>
        <v>1398.3585</v>
      </c>
      <c r="H514">
        <f t="shared" si="44"/>
        <v>6.6000000000000005</v>
      </c>
      <c r="I514">
        <f t="shared" si="45"/>
        <v>16856.319480000002</v>
      </c>
      <c r="J514">
        <f t="shared" si="46"/>
        <v>7627.1533800000016</v>
      </c>
      <c r="K514">
        <f t="shared" si="47"/>
        <v>9229.1661000000004</v>
      </c>
    </row>
    <row r="515" spans="1:11" x14ac:dyDescent="0.25">
      <c r="A515" t="str">
        <f>Original!A510</f>
        <v>ORD-2023-867166</v>
      </c>
      <c r="B515">
        <f>Original!R510</f>
        <v>227.02</v>
      </c>
      <c r="C515">
        <f>Original!S510</f>
        <v>434.72</v>
      </c>
      <c r="D515" s="6">
        <f>Original!T510</f>
        <v>9.8000000000000004E-2</v>
      </c>
      <c r="E515" s="6">
        <f>Original!V510</f>
        <v>10</v>
      </c>
      <c r="F515" s="6">
        <f t="shared" si="42"/>
        <v>9.8000000000000004E-2</v>
      </c>
      <c r="G515">
        <f t="shared" si="43"/>
        <v>238.37100000000001</v>
      </c>
      <c r="H515">
        <f t="shared" si="44"/>
        <v>11</v>
      </c>
      <c r="I515">
        <f t="shared" si="45"/>
        <v>4313.2918399999999</v>
      </c>
      <c r="J515">
        <f t="shared" si="46"/>
        <v>1691.2108399999997</v>
      </c>
      <c r="K515">
        <f t="shared" si="47"/>
        <v>2622.0810000000001</v>
      </c>
    </row>
    <row r="516" spans="1:11" x14ac:dyDescent="0.25">
      <c r="A516" t="str">
        <f>Original!A511</f>
        <v>ORD-2024-776337</v>
      </c>
      <c r="B516">
        <f>Original!R511</f>
        <v>903.41</v>
      </c>
      <c r="C516">
        <f>Original!S511</f>
        <v>1860.41</v>
      </c>
      <c r="D516" s="6">
        <f>Original!T511</f>
        <v>0.108</v>
      </c>
      <c r="E516" s="6">
        <f>Original!V511</f>
        <v>5</v>
      </c>
      <c r="F516" s="6">
        <f t="shared" si="42"/>
        <v>0.108</v>
      </c>
      <c r="G516">
        <f t="shared" si="43"/>
        <v>948.58050000000003</v>
      </c>
      <c r="H516">
        <f t="shared" si="44"/>
        <v>5.5</v>
      </c>
      <c r="I516">
        <f t="shared" si="45"/>
        <v>9127.1714600000014</v>
      </c>
      <c r="J516">
        <f t="shared" si="46"/>
        <v>3909.9787100000012</v>
      </c>
      <c r="K516">
        <f t="shared" si="47"/>
        <v>5217.1927500000002</v>
      </c>
    </row>
    <row r="517" spans="1:11" x14ac:dyDescent="0.25">
      <c r="A517" t="str">
        <f>Original!A512</f>
        <v>ORD-2023-913592</v>
      </c>
      <c r="B517">
        <f>Original!R512</f>
        <v>622.6</v>
      </c>
      <c r="C517">
        <f>Original!S512</f>
        <v>833.69</v>
      </c>
      <c r="D517" s="6">
        <f>Original!T512</f>
        <v>0.20899999999999999</v>
      </c>
      <c r="E517" s="6">
        <f>Original!V512</f>
        <v>14</v>
      </c>
      <c r="F517" s="6">
        <f t="shared" si="42"/>
        <v>0.2</v>
      </c>
      <c r="G517">
        <f t="shared" si="43"/>
        <v>653.73</v>
      </c>
      <c r="H517">
        <f t="shared" si="44"/>
        <v>15.400000000000002</v>
      </c>
      <c r="I517">
        <f t="shared" si="45"/>
        <v>10271.060800000003</v>
      </c>
      <c r="J517">
        <f t="shared" si="46"/>
        <v>203.61880000000201</v>
      </c>
      <c r="K517">
        <f t="shared" si="47"/>
        <v>10067.442000000001</v>
      </c>
    </row>
    <row r="518" spans="1:11" x14ac:dyDescent="0.25">
      <c r="A518" t="str">
        <f>Original!A513</f>
        <v>ORD-2024-961501</v>
      </c>
      <c r="B518">
        <f>Original!R513</f>
        <v>225.01</v>
      </c>
      <c r="C518">
        <f>Original!S513</f>
        <v>333.48</v>
      </c>
      <c r="D518" s="6">
        <f>Original!T513</f>
        <v>0.11899999999999999</v>
      </c>
      <c r="E518" s="6">
        <f>Original!V513</f>
        <v>12</v>
      </c>
      <c r="F518" s="6">
        <f t="shared" si="42"/>
        <v>0.11899999999999999</v>
      </c>
      <c r="G518">
        <f t="shared" si="43"/>
        <v>236.26050000000001</v>
      </c>
      <c r="H518">
        <f t="shared" si="44"/>
        <v>13.200000000000001</v>
      </c>
      <c r="I518">
        <f t="shared" si="45"/>
        <v>3878.1056160000007</v>
      </c>
      <c r="J518">
        <f t="shared" si="46"/>
        <v>759.46701600000051</v>
      </c>
      <c r="K518">
        <f t="shared" si="47"/>
        <v>3118.6386000000002</v>
      </c>
    </row>
    <row r="519" spans="1:11" x14ac:dyDescent="0.25">
      <c r="A519" t="str">
        <f>Original!A514</f>
        <v>ORD-2024-964950</v>
      </c>
      <c r="B519">
        <f>Original!R514</f>
        <v>1389.46</v>
      </c>
      <c r="C519">
        <f>Original!S514</f>
        <v>1784.7</v>
      </c>
      <c r="D519" s="6">
        <f>Original!T514</f>
        <v>0.14599999999999999</v>
      </c>
      <c r="E519" s="6">
        <f>Original!V514</f>
        <v>33</v>
      </c>
      <c r="F519" s="6">
        <f t="shared" si="42"/>
        <v>0.14599999999999999</v>
      </c>
      <c r="G519">
        <f t="shared" si="43"/>
        <v>1458.933</v>
      </c>
      <c r="H519">
        <f t="shared" si="44"/>
        <v>36.300000000000004</v>
      </c>
      <c r="I519">
        <f t="shared" si="45"/>
        <v>55326.056940000002</v>
      </c>
      <c r="J519">
        <f t="shared" si="46"/>
        <v>2366.789039999996</v>
      </c>
      <c r="K519">
        <f t="shared" si="47"/>
        <v>52959.267900000006</v>
      </c>
    </row>
    <row r="520" spans="1:11" x14ac:dyDescent="0.25">
      <c r="A520" t="str">
        <f>Original!A515</f>
        <v>ORD-2023-349264</v>
      </c>
      <c r="B520">
        <f>Original!R515</f>
        <v>804.17</v>
      </c>
      <c r="C520">
        <f>Original!S515</f>
        <v>1072.29</v>
      </c>
      <c r="D520" s="6">
        <f>Original!T515</f>
        <v>3.2000000000000001E-2</v>
      </c>
      <c r="E520" s="6">
        <f>Original!V515</f>
        <v>5</v>
      </c>
      <c r="F520" s="6">
        <f t="shared" ref="F520:F583" si="48">MIN(D520,$B$2)</f>
        <v>3.2000000000000001E-2</v>
      </c>
      <c r="G520">
        <f t="shared" ref="G520:G583" si="49">B520*(1+$B$3)</f>
        <v>844.37850000000003</v>
      </c>
      <c r="H520">
        <f t="shared" ref="H520:H583" si="50">E520*(1+$B$4)</f>
        <v>5.5</v>
      </c>
      <c r="I520">
        <f t="shared" ref="I520:I583" si="51">C520*H520*(1-F520)</f>
        <v>5708.8719599999995</v>
      </c>
      <c r="J520">
        <f t="shared" ref="J520:J583" si="52">I520-K520</f>
        <v>1064.7902099999992</v>
      </c>
      <c r="K520">
        <f t="shared" ref="K520:K583" si="53">G520*H520</f>
        <v>4644.0817500000003</v>
      </c>
    </row>
    <row r="521" spans="1:11" x14ac:dyDescent="0.25">
      <c r="A521" t="str">
        <f>Original!A516</f>
        <v>ORD-2025-137394</v>
      </c>
      <c r="B521">
        <f>Original!R516</f>
        <v>1428.33</v>
      </c>
      <c r="C521">
        <f>Original!S516</f>
        <v>3028.05</v>
      </c>
      <c r="D521" s="6">
        <f>Original!T516</f>
        <v>0</v>
      </c>
      <c r="E521" s="6">
        <f>Original!V516</f>
        <v>11</v>
      </c>
      <c r="F521" s="6">
        <f t="shared" si="48"/>
        <v>0</v>
      </c>
      <c r="G521">
        <f t="shared" si="49"/>
        <v>1499.7465</v>
      </c>
      <c r="H521">
        <f t="shared" si="50"/>
        <v>12.100000000000001</v>
      </c>
      <c r="I521">
        <f t="shared" si="51"/>
        <v>36639.405000000006</v>
      </c>
      <c r="J521">
        <f t="shared" si="52"/>
        <v>18492.472350000004</v>
      </c>
      <c r="K521">
        <f t="shared" si="53"/>
        <v>18146.932650000002</v>
      </c>
    </row>
    <row r="522" spans="1:11" x14ac:dyDescent="0.25">
      <c r="A522" t="str">
        <f>Original!A517</f>
        <v>ORD-2025-635337</v>
      </c>
      <c r="B522">
        <f>Original!R517</f>
        <v>638.54</v>
      </c>
      <c r="C522">
        <f>Original!S517</f>
        <v>987.24</v>
      </c>
      <c r="D522" s="6">
        <f>Original!T517</f>
        <v>0</v>
      </c>
      <c r="E522" s="6">
        <f>Original!V517</f>
        <v>11</v>
      </c>
      <c r="F522" s="6">
        <f t="shared" si="48"/>
        <v>0</v>
      </c>
      <c r="G522">
        <f t="shared" si="49"/>
        <v>670.46699999999998</v>
      </c>
      <c r="H522">
        <f t="shared" si="50"/>
        <v>12.100000000000001</v>
      </c>
      <c r="I522">
        <f t="shared" si="51"/>
        <v>11945.604000000001</v>
      </c>
      <c r="J522">
        <f t="shared" si="52"/>
        <v>3832.9533000000001</v>
      </c>
      <c r="K522">
        <f t="shared" si="53"/>
        <v>8112.6507000000011</v>
      </c>
    </row>
    <row r="523" spans="1:11" x14ac:dyDescent="0.25">
      <c r="A523" t="str">
        <f>Original!A518</f>
        <v>ORD-2023-568013</v>
      </c>
      <c r="B523">
        <f>Original!R518</f>
        <v>649.13</v>
      </c>
      <c r="C523">
        <f>Original!S518</f>
        <v>975.43</v>
      </c>
      <c r="D523" s="6">
        <f>Original!T518</f>
        <v>0.157</v>
      </c>
      <c r="E523" s="6">
        <f>Original!V518</f>
        <v>27</v>
      </c>
      <c r="F523" s="6">
        <f t="shared" si="48"/>
        <v>0.157</v>
      </c>
      <c r="G523">
        <f t="shared" si="49"/>
        <v>681.5865</v>
      </c>
      <c r="H523">
        <f t="shared" si="50"/>
        <v>29.700000000000003</v>
      </c>
      <c r="I523">
        <f t="shared" si="51"/>
        <v>24421.938452999999</v>
      </c>
      <c r="J523">
        <f t="shared" si="52"/>
        <v>4178.8194029999977</v>
      </c>
      <c r="K523">
        <f t="shared" si="53"/>
        <v>20243.119050000001</v>
      </c>
    </row>
    <row r="524" spans="1:11" x14ac:dyDescent="0.25">
      <c r="A524" t="str">
        <f>Original!A519</f>
        <v>ORD-2025-828263</v>
      </c>
      <c r="B524">
        <f>Original!R519</f>
        <v>66.400000000000006</v>
      </c>
      <c r="C524">
        <f>Original!S519</f>
        <v>141.43</v>
      </c>
      <c r="D524" s="6">
        <f>Original!T519</f>
        <v>0.107</v>
      </c>
      <c r="E524" s="6">
        <f>Original!V519</f>
        <v>8</v>
      </c>
      <c r="F524" s="6">
        <f t="shared" si="48"/>
        <v>0.107</v>
      </c>
      <c r="G524">
        <f t="shared" si="49"/>
        <v>69.720000000000013</v>
      </c>
      <c r="H524">
        <f t="shared" si="50"/>
        <v>8.8000000000000007</v>
      </c>
      <c r="I524">
        <f t="shared" si="51"/>
        <v>1111.4135120000001</v>
      </c>
      <c r="J524">
        <f t="shared" si="52"/>
        <v>497.87751199999991</v>
      </c>
      <c r="K524">
        <f t="shared" si="53"/>
        <v>613.53600000000017</v>
      </c>
    </row>
    <row r="525" spans="1:11" x14ac:dyDescent="0.25">
      <c r="A525" t="str">
        <f>Original!A520</f>
        <v>ORD-2024-402240</v>
      </c>
      <c r="B525">
        <f>Original!R520</f>
        <v>930.71</v>
      </c>
      <c r="C525">
        <f>Original!S520</f>
        <v>1625.42</v>
      </c>
      <c r="D525" s="6">
        <f>Original!T520</f>
        <v>0.13800000000000001</v>
      </c>
      <c r="E525" s="6">
        <f>Original!V520</f>
        <v>7</v>
      </c>
      <c r="F525" s="6">
        <f t="shared" si="48"/>
        <v>0.13800000000000001</v>
      </c>
      <c r="G525">
        <f t="shared" si="49"/>
        <v>977.24550000000011</v>
      </c>
      <c r="H525">
        <f t="shared" si="50"/>
        <v>7.7000000000000011</v>
      </c>
      <c r="I525">
        <f t="shared" si="51"/>
        <v>10788.562708000001</v>
      </c>
      <c r="J525">
        <f t="shared" si="52"/>
        <v>3263.7723579999993</v>
      </c>
      <c r="K525">
        <f t="shared" si="53"/>
        <v>7524.790350000002</v>
      </c>
    </row>
    <row r="526" spans="1:11" x14ac:dyDescent="0.25">
      <c r="A526" t="str">
        <f>Original!A521</f>
        <v>ORD-2023-125739</v>
      </c>
      <c r="B526">
        <f>Original!R521</f>
        <v>327.97</v>
      </c>
      <c r="C526">
        <f>Original!S521</f>
        <v>299.94</v>
      </c>
      <c r="D526" s="6">
        <f>Original!T521</f>
        <v>4.9000000000000002E-2</v>
      </c>
      <c r="E526" s="6">
        <f>Original!V521</f>
        <v>3</v>
      </c>
      <c r="F526" s="6">
        <f t="shared" si="48"/>
        <v>4.9000000000000002E-2</v>
      </c>
      <c r="G526">
        <f t="shared" si="49"/>
        <v>344.36850000000004</v>
      </c>
      <c r="H526">
        <f t="shared" si="50"/>
        <v>3.3000000000000003</v>
      </c>
      <c r="I526">
        <f t="shared" si="51"/>
        <v>941.30170199999998</v>
      </c>
      <c r="J526">
        <f t="shared" si="52"/>
        <v>-195.11434800000029</v>
      </c>
      <c r="K526">
        <f t="shared" si="53"/>
        <v>1136.4160500000003</v>
      </c>
    </row>
    <row r="527" spans="1:11" x14ac:dyDescent="0.25">
      <c r="A527" t="str">
        <f>Original!A522</f>
        <v>ORD-2024-892879</v>
      </c>
      <c r="B527">
        <f>Original!R522</f>
        <v>1062.3800000000001</v>
      </c>
      <c r="C527">
        <f>Original!S522</f>
        <v>1503.96</v>
      </c>
      <c r="D527" s="6">
        <f>Original!T522</f>
        <v>0.18</v>
      </c>
      <c r="E527" s="6">
        <f>Original!V522</f>
        <v>6</v>
      </c>
      <c r="F527" s="6">
        <f t="shared" si="48"/>
        <v>0.18</v>
      </c>
      <c r="G527">
        <f t="shared" si="49"/>
        <v>1115.4990000000003</v>
      </c>
      <c r="H527">
        <f t="shared" si="50"/>
        <v>6.6000000000000005</v>
      </c>
      <c r="I527">
        <f t="shared" si="51"/>
        <v>8139.431520000001</v>
      </c>
      <c r="J527">
        <f t="shared" si="52"/>
        <v>777.13811999999871</v>
      </c>
      <c r="K527">
        <f t="shared" si="53"/>
        <v>7362.2934000000023</v>
      </c>
    </row>
    <row r="528" spans="1:11" x14ac:dyDescent="0.25">
      <c r="A528" t="str">
        <f>Original!A523</f>
        <v>ORD-2023-472050</v>
      </c>
      <c r="B528">
        <f>Original!R523</f>
        <v>1286.1600000000001</v>
      </c>
      <c r="C528">
        <f>Original!S523</f>
        <v>3101.11</v>
      </c>
      <c r="D528" s="6">
        <f>Original!T523</f>
        <v>0.1</v>
      </c>
      <c r="E528" s="6">
        <f>Original!V523</f>
        <v>23</v>
      </c>
      <c r="F528" s="6">
        <f t="shared" si="48"/>
        <v>0.1</v>
      </c>
      <c r="G528">
        <f t="shared" si="49"/>
        <v>1350.4680000000001</v>
      </c>
      <c r="H528">
        <f t="shared" si="50"/>
        <v>25.3</v>
      </c>
      <c r="I528">
        <f t="shared" si="51"/>
        <v>70612.274699999994</v>
      </c>
      <c r="J528">
        <f t="shared" si="52"/>
        <v>36445.434299999994</v>
      </c>
      <c r="K528">
        <f t="shared" si="53"/>
        <v>34166.840400000001</v>
      </c>
    </row>
    <row r="529" spans="1:11" x14ac:dyDescent="0.25">
      <c r="A529" t="str">
        <f>Original!A524</f>
        <v>ORD-2024-468615</v>
      </c>
      <c r="B529">
        <f>Original!R524</f>
        <v>748.39</v>
      </c>
      <c r="C529">
        <f>Original!S524</f>
        <v>979.42</v>
      </c>
      <c r="D529" s="6">
        <f>Original!T524</f>
        <v>0</v>
      </c>
      <c r="E529" s="6">
        <f>Original!V524</f>
        <v>23</v>
      </c>
      <c r="F529" s="6">
        <f t="shared" si="48"/>
        <v>0</v>
      </c>
      <c r="G529">
        <f t="shared" si="49"/>
        <v>785.80950000000007</v>
      </c>
      <c r="H529">
        <f t="shared" si="50"/>
        <v>25.3</v>
      </c>
      <c r="I529">
        <f t="shared" si="51"/>
        <v>24779.326000000001</v>
      </c>
      <c r="J529">
        <f t="shared" si="52"/>
        <v>4898.3456499999993</v>
      </c>
      <c r="K529">
        <f t="shared" si="53"/>
        <v>19880.980350000002</v>
      </c>
    </row>
    <row r="530" spans="1:11" x14ac:dyDescent="0.25">
      <c r="A530" t="str">
        <f>Original!A525</f>
        <v>ORD-2024-833375</v>
      </c>
      <c r="B530">
        <f>Original!R525</f>
        <v>513.30999999999995</v>
      </c>
      <c r="C530">
        <f>Original!S525</f>
        <v>1186.26</v>
      </c>
      <c r="D530" s="6">
        <f>Original!T525</f>
        <v>9.4E-2</v>
      </c>
      <c r="E530" s="6">
        <f>Original!V525</f>
        <v>15</v>
      </c>
      <c r="F530" s="6">
        <f t="shared" si="48"/>
        <v>9.4E-2</v>
      </c>
      <c r="G530">
        <f t="shared" si="49"/>
        <v>538.97550000000001</v>
      </c>
      <c r="H530">
        <f t="shared" si="50"/>
        <v>16.5</v>
      </c>
      <c r="I530">
        <f t="shared" si="51"/>
        <v>17733.400740000001</v>
      </c>
      <c r="J530">
        <f t="shared" si="52"/>
        <v>8840.3049900000005</v>
      </c>
      <c r="K530">
        <f t="shared" si="53"/>
        <v>8893.0957500000004</v>
      </c>
    </row>
    <row r="531" spans="1:11" x14ac:dyDescent="0.25">
      <c r="A531" t="str">
        <f>Original!A526</f>
        <v>ORD-2024-206311</v>
      </c>
      <c r="B531">
        <f>Original!R526</f>
        <v>1061.3699999999999</v>
      </c>
      <c r="C531">
        <f>Original!S526</f>
        <v>1938.33</v>
      </c>
      <c r="D531" s="6">
        <f>Original!T526</f>
        <v>0.17</v>
      </c>
      <c r="E531" s="6">
        <f>Original!V526</f>
        <v>4</v>
      </c>
      <c r="F531" s="6">
        <f t="shared" si="48"/>
        <v>0.17</v>
      </c>
      <c r="G531">
        <f t="shared" si="49"/>
        <v>1114.4385</v>
      </c>
      <c r="H531">
        <f t="shared" si="50"/>
        <v>4.4000000000000004</v>
      </c>
      <c r="I531">
        <f t="shared" si="51"/>
        <v>7078.7811599999995</v>
      </c>
      <c r="J531">
        <f t="shared" si="52"/>
        <v>2175.2517599999992</v>
      </c>
      <c r="K531">
        <f t="shared" si="53"/>
        <v>4903.5294000000004</v>
      </c>
    </row>
    <row r="532" spans="1:11" x14ac:dyDescent="0.25">
      <c r="A532" t="str">
        <f>Original!A527</f>
        <v>ORD-2024-364080</v>
      </c>
      <c r="B532">
        <f>Original!R527</f>
        <v>401.3</v>
      </c>
      <c r="C532">
        <f>Original!S527</f>
        <v>826.47</v>
      </c>
      <c r="D532" s="6">
        <f>Original!T527</f>
        <v>0.22500000000000001</v>
      </c>
      <c r="E532" s="6">
        <f>Original!V527</f>
        <v>13</v>
      </c>
      <c r="F532" s="6">
        <f t="shared" si="48"/>
        <v>0.2</v>
      </c>
      <c r="G532">
        <f t="shared" si="49"/>
        <v>421.36500000000001</v>
      </c>
      <c r="H532">
        <f t="shared" si="50"/>
        <v>14.3</v>
      </c>
      <c r="I532">
        <f t="shared" si="51"/>
        <v>9454.8168000000005</v>
      </c>
      <c r="J532">
        <f t="shared" si="52"/>
        <v>3429.2973000000002</v>
      </c>
      <c r="K532">
        <f t="shared" si="53"/>
        <v>6025.5195000000003</v>
      </c>
    </row>
    <row r="533" spans="1:11" x14ac:dyDescent="0.25">
      <c r="A533" t="str">
        <f>Original!A528</f>
        <v>ORD-2025-460466</v>
      </c>
      <c r="B533">
        <f>Original!R528</f>
        <v>90.68</v>
      </c>
      <c r="C533">
        <f>Original!S528</f>
        <v>118.17</v>
      </c>
      <c r="D533" s="6">
        <f>Original!T528</f>
        <v>0.13500000000000001</v>
      </c>
      <c r="E533" s="6">
        <f>Original!V528</f>
        <v>21</v>
      </c>
      <c r="F533" s="6">
        <f t="shared" si="48"/>
        <v>0.13500000000000001</v>
      </c>
      <c r="G533">
        <f t="shared" si="49"/>
        <v>95.214000000000013</v>
      </c>
      <c r="H533">
        <f t="shared" si="50"/>
        <v>23.1</v>
      </c>
      <c r="I533">
        <f t="shared" si="51"/>
        <v>2361.2138550000004</v>
      </c>
      <c r="J533">
        <f t="shared" si="52"/>
        <v>161.77045499999986</v>
      </c>
      <c r="K533">
        <f t="shared" si="53"/>
        <v>2199.4434000000006</v>
      </c>
    </row>
    <row r="534" spans="1:11" x14ac:dyDescent="0.25">
      <c r="A534" t="str">
        <f>Original!A529</f>
        <v>ORD-2023-700699</v>
      </c>
      <c r="B534">
        <f>Original!R529</f>
        <v>1083.0899999999999</v>
      </c>
      <c r="C534">
        <f>Original!S529</f>
        <v>1425.87</v>
      </c>
      <c r="D534" s="6">
        <f>Original!T529</f>
        <v>0</v>
      </c>
      <c r="E534" s="6">
        <f>Original!V529</f>
        <v>8</v>
      </c>
      <c r="F534" s="6">
        <f t="shared" si="48"/>
        <v>0</v>
      </c>
      <c r="G534">
        <f t="shared" si="49"/>
        <v>1137.2445</v>
      </c>
      <c r="H534">
        <f t="shared" si="50"/>
        <v>8.8000000000000007</v>
      </c>
      <c r="I534">
        <f t="shared" si="51"/>
        <v>12547.656000000001</v>
      </c>
      <c r="J534">
        <f t="shared" si="52"/>
        <v>2539.9043999999994</v>
      </c>
      <c r="K534">
        <f t="shared" si="53"/>
        <v>10007.751600000001</v>
      </c>
    </row>
    <row r="535" spans="1:11" x14ac:dyDescent="0.25">
      <c r="A535" t="str">
        <f>Original!A530</f>
        <v>ORD-2024-713332</v>
      </c>
      <c r="B535">
        <f>Original!R530</f>
        <v>1208.74</v>
      </c>
      <c r="C535">
        <f>Original!S530</f>
        <v>1594.78</v>
      </c>
      <c r="D535" s="6">
        <f>Original!T530</f>
        <v>5.8999999999999997E-2</v>
      </c>
      <c r="E535" s="6">
        <f>Original!V530</f>
        <v>39</v>
      </c>
      <c r="F535" s="6">
        <f t="shared" si="48"/>
        <v>5.8999999999999997E-2</v>
      </c>
      <c r="G535">
        <f t="shared" si="49"/>
        <v>1269.1770000000001</v>
      </c>
      <c r="H535">
        <f t="shared" si="50"/>
        <v>42.900000000000006</v>
      </c>
      <c r="I535">
        <f t="shared" si="51"/>
        <v>64379.514342000009</v>
      </c>
      <c r="J535">
        <f t="shared" si="52"/>
        <v>9931.8210419999959</v>
      </c>
      <c r="K535">
        <f t="shared" si="53"/>
        <v>54447.693300000014</v>
      </c>
    </row>
    <row r="536" spans="1:11" x14ac:dyDescent="0.25">
      <c r="A536" t="str">
        <f>Original!A531</f>
        <v>ORD-2023-640022</v>
      </c>
      <c r="B536">
        <f>Original!R531</f>
        <v>1399.64</v>
      </c>
      <c r="C536">
        <f>Original!S531</f>
        <v>3342.11</v>
      </c>
      <c r="D536" s="6">
        <f>Original!T531</f>
        <v>0</v>
      </c>
      <c r="E536" s="6">
        <f>Original!V531</f>
        <v>10</v>
      </c>
      <c r="F536" s="6">
        <f t="shared" si="48"/>
        <v>0</v>
      </c>
      <c r="G536">
        <f t="shared" si="49"/>
        <v>1469.6220000000001</v>
      </c>
      <c r="H536">
        <f t="shared" si="50"/>
        <v>11</v>
      </c>
      <c r="I536">
        <f t="shared" si="51"/>
        <v>36763.21</v>
      </c>
      <c r="J536">
        <f t="shared" si="52"/>
        <v>20597.367999999999</v>
      </c>
      <c r="K536">
        <f t="shared" si="53"/>
        <v>16165.842000000001</v>
      </c>
    </row>
    <row r="537" spans="1:11" x14ac:dyDescent="0.25">
      <c r="A537" t="str">
        <f>Original!A532</f>
        <v>ORD-2024-532184</v>
      </c>
      <c r="B537">
        <f>Original!R532</f>
        <v>937.16</v>
      </c>
      <c r="C537">
        <f>Original!S532</f>
        <v>1069.77</v>
      </c>
      <c r="D537" s="6">
        <f>Original!T532</f>
        <v>3.7999999999999999E-2</v>
      </c>
      <c r="E537" s="6">
        <f>Original!V532</f>
        <v>9</v>
      </c>
      <c r="F537" s="6">
        <f t="shared" si="48"/>
        <v>3.7999999999999999E-2</v>
      </c>
      <c r="G537">
        <f t="shared" si="49"/>
        <v>984.01800000000003</v>
      </c>
      <c r="H537">
        <f t="shared" si="50"/>
        <v>9.9</v>
      </c>
      <c r="I537">
        <f t="shared" si="51"/>
        <v>10188.275525999999</v>
      </c>
      <c r="J537">
        <f t="shared" si="52"/>
        <v>446.49732599999879</v>
      </c>
      <c r="K537">
        <f t="shared" si="53"/>
        <v>9741.7782000000007</v>
      </c>
    </row>
    <row r="538" spans="1:11" x14ac:dyDescent="0.25">
      <c r="A538" t="str">
        <f>Original!A533</f>
        <v>ORD-2025-926547</v>
      </c>
      <c r="B538">
        <f>Original!R533</f>
        <v>116.97</v>
      </c>
      <c r="C538">
        <f>Original!S533</f>
        <v>140.82</v>
      </c>
      <c r="D538" s="6">
        <f>Original!T533</f>
        <v>0.122</v>
      </c>
      <c r="E538" s="6">
        <f>Original!V533</f>
        <v>5</v>
      </c>
      <c r="F538" s="6">
        <f t="shared" si="48"/>
        <v>0.122</v>
      </c>
      <c r="G538">
        <f t="shared" si="49"/>
        <v>122.8185</v>
      </c>
      <c r="H538">
        <f t="shared" si="50"/>
        <v>5.5</v>
      </c>
      <c r="I538">
        <f t="shared" si="51"/>
        <v>680.01977999999997</v>
      </c>
      <c r="J538">
        <f t="shared" si="52"/>
        <v>4.5180299999999534</v>
      </c>
      <c r="K538">
        <f t="shared" si="53"/>
        <v>675.50175000000002</v>
      </c>
    </row>
    <row r="539" spans="1:11" x14ac:dyDescent="0.25">
      <c r="A539" t="str">
        <f>Original!A534</f>
        <v>ORD-2025-778145</v>
      </c>
      <c r="B539">
        <f>Original!R534</f>
        <v>59.51</v>
      </c>
      <c r="C539">
        <f>Original!S534</f>
        <v>67.040000000000006</v>
      </c>
      <c r="D539" s="6">
        <f>Original!T534</f>
        <v>0.114</v>
      </c>
      <c r="E539" s="6">
        <f>Original!V534</f>
        <v>9</v>
      </c>
      <c r="F539" s="6">
        <f t="shared" si="48"/>
        <v>0.114</v>
      </c>
      <c r="G539">
        <f t="shared" si="49"/>
        <v>62.485500000000002</v>
      </c>
      <c r="H539">
        <f t="shared" si="50"/>
        <v>9.9</v>
      </c>
      <c r="I539">
        <f t="shared" si="51"/>
        <v>588.03465600000015</v>
      </c>
      <c r="J539">
        <f t="shared" si="52"/>
        <v>-30.571793999999841</v>
      </c>
      <c r="K539">
        <f t="shared" si="53"/>
        <v>618.60645</v>
      </c>
    </row>
    <row r="540" spans="1:11" x14ac:dyDescent="0.25">
      <c r="A540" t="str">
        <f>Original!A535</f>
        <v>ORD-2023-525643</v>
      </c>
      <c r="B540">
        <f>Original!R535</f>
        <v>676.37</v>
      </c>
      <c r="C540">
        <f>Original!S535</f>
        <v>1276.67</v>
      </c>
      <c r="D540" s="6">
        <f>Original!T535</f>
        <v>6.6000000000000003E-2</v>
      </c>
      <c r="E540" s="6">
        <f>Original!V535</f>
        <v>10</v>
      </c>
      <c r="F540" s="6">
        <f t="shared" si="48"/>
        <v>6.6000000000000003E-2</v>
      </c>
      <c r="G540">
        <f t="shared" si="49"/>
        <v>710.18850000000009</v>
      </c>
      <c r="H540">
        <f t="shared" si="50"/>
        <v>11</v>
      </c>
      <c r="I540">
        <f t="shared" si="51"/>
        <v>13116.50758</v>
      </c>
      <c r="J540">
        <f t="shared" si="52"/>
        <v>5304.4340799999982</v>
      </c>
      <c r="K540">
        <f t="shared" si="53"/>
        <v>7812.0735000000013</v>
      </c>
    </row>
    <row r="541" spans="1:11" x14ac:dyDescent="0.25">
      <c r="A541" t="str">
        <f>Original!A536</f>
        <v>ORD-2025-312803</v>
      </c>
      <c r="B541">
        <f>Original!R536</f>
        <v>1151.06</v>
      </c>
      <c r="C541">
        <f>Original!S536</f>
        <v>2821.36</v>
      </c>
      <c r="D541" s="6">
        <f>Original!T536</f>
        <v>0.248</v>
      </c>
      <c r="E541" s="6">
        <f>Original!V536</f>
        <v>20</v>
      </c>
      <c r="F541" s="6">
        <f t="shared" si="48"/>
        <v>0.2</v>
      </c>
      <c r="G541">
        <f t="shared" si="49"/>
        <v>1208.6130000000001</v>
      </c>
      <c r="H541">
        <f t="shared" si="50"/>
        <v>22</v>
      </c>
      <c r="I541">
        <f t="shared" si="51"/>
        <v>49655.936000000009</v>
      </c>
      <c r="J541">
        <f t="shared" si="52"/>
        <v>23066.450000000008</v>
      </c>
      <c r="K541">
        <f t="shared" si="53"/>
        <v>26589.486000000001</v>
      </c>
    </row>
    <row r="542" spans="1:11" x14ac:dyDescent="0.25">
      <c r="A542" t="str">
        <f>Original!A537</f>
        <v>ORD-2025-149156</v>
      </c>
      <c r="B542">
        <f>Original!R537</f>
        <v>725.62</v>
      </c>
      <c r="C542">
        <f>Original!S537</f>
        <v>1559.19</v>
      </c>
      <c r="D542" s="6">
        <f>Original!T537</f>
        <v>0.19</v>
      </c>
      <c r="E542" s="6">
        <f>Original!V537</f>
        <v>12</v>
      </c>
      <c r="F542" s="6">
        <f t="shared" si="48"/>
        <v>0.19</v>
      </c>
      <c r="G542">
        <f t="shared" si="49"/>
        <v>761.90100000000007</v>
      </c>
      <c r="H542">
        <f t="shared" si="50"/>
        <v>13.200000000000001</v>
      </c>
      <c r="I542">
        <f t="shared" si="51"/>
        <v>16670.859480000003</v>
      </c>
      <c r="J542">
        <f t="shared" si="52"/>
        <v>6613.7662800000016</v>
      </c>
      <c r="K542">
        <f t="shared" si="53"/>
        <v>10057.093200000001</v>
      </c>
    </row>
    <row r="543" spans="1:11" x14ac:dyDescent="0.25">
      <c r="A543" t="str">
        <f>Original!A538</f>
        <v>ORD-2023-215819</v>
      </c>
      <c r="B543">
        <f>Original!R538</f>
        <v>479.5</v>
      </c>
      <c r="C543">
        <f>Original!S538</f>
        <v>656.66</v>
      </c>
      <c r="D543" s="6">
        <f>Original!T538</f>
        <v>0.14899999999999999</v>
      </c>
      <c r="E543" s="6">
        <f>Original!V538</f>
        <v>14</v>
      </c>
      <c r="F543" s="6">
        <f t="shared" si="48"/>
        <v>0.14899999999999999</v>
      </c>
      <c r="G543">
        <f t="shared" si="49"/>
        <v>503.47500000000002</v>
      </c>
      <c r="H543">
        <f t="shared" si="50"/>
        <v>15.400000000000002</v>
      </c>
      <c r="I543">
        <f t="shared" si="51"/>
        <v>8605.791964</v>
      </c>
      <c r="J543">
        <f t="shared" si="52"/>
        <v>852.27696399999877</v>
      </c>
      <c r="K543">
        <f t="shared" si="53"/>
        <v>7753.5150000000012</v>
      </c>
    </row>
    <row r="544" spans="1:11" x14ac:dyDescent="0.25">
      <c r="A544" t="str">
        <f>Original!A539</f>
        <v>ORD-2024-353078</v>
      </c>
      <c r="B544">
        <f>Original!R539</f>
        <v>1291.7</v>
      </c>
      <c r="C544">
        <f>Original!S539</f>
        <v>2657.84</v>
      </c>
      <c r="D544" s="6">
        <f>Original!T539</f>
        <v>8.6999999999999994E-2</v>
      </c>
      <c r="E544" s="6">
        <f>Original!V539</f>
        <v>21</v>
      </c>
      <c r="F544" s="6">
        <f t="shared" si="48"/>
        <v>8.6999999999999994E-2</v>
      </c>
      <c r="G544">
        <f t="shared" si="49"/>
        <v>1356.2850000000001</v>
      </c>
      <c r="H544">
        <f t="shared" si="50"/>
        <v>23.1</v>
      </c>
      <c r="I544">
        <f t="shared" si="51"/>
        <v>56054.642952000009</v>
      </c>
      <c r="J544">
        <f t="shared" si="52"/>
        <v>24724.459452000006</v>
      </c>
      <c r="K544">
        <f t="shared" si="53"/>
        <v>31330.183500000003</v>
      </c>
    </row>
    <row r="545" spans="1:11" x14ac:dyDescent="0.25">
      <c r="A545" t="str">
        <f>Original!A540</f>
        <v>ORD-2023-621393</v>
      </c>
      <c r="B545">
        <f>Original!R540</f>
        <v>612.59</v>
      </c>
      <c r="C545">
        <f>Original!S540</f>
        <v>1424.74</v>
      </c>
      <c r="D545" s="6">
        <f>Original!T540</f>
        <v>4.3999999999999997E-2</v>
      </c>
      <c r="E545" s="6">
        <f>Original!V540</f>
        <v>15</v>
      </c>
      <c r="F545" s="6">
        <f t="shared" si="48"/>
        <v>4.3999999999999997E-2</v>
      </c>
      <c r="G545">
        <f t="shared" si="49"/>
        <v>643.21950000000004</v>
      </c>
      <c r="H545">
        <f t="shared" si="50"/>
        <v>16.5</v>
      </c>
      <c r="I545">
        <f t="shared" si="51"/>
        <v>22473.848759999997</v>
      </c>
      <c r="J545">
        <f t="shared" si="52"/>
        <v>11860.727009999997</v>
      </c>
      <c r="K545">
        <f t="shared" si="53"/>
        <v>10613.12175</v>
      </c>
    </row>
    <row r="546" spans="1:11" x14ac:dyDescent="0.25">
      <c r="A546" t="str">
        <f>Original!A541</f>
        <v>ORD-2023-974506</v>
      </c>
      <c r="B546">
        <f>Original!R541</f>
        <v>1141.8</v>
      </c>
      <c r="C546">
        <f>Original!S541</f>
        <v>2318.7399999999998</v>
      </c>
      <c r="D546" s="6">
        <f>Original!T541</f>
        <v>0.107</v>
      </c>
      <c r="E546" s="6">
        <f>Original!V541</f>
        <v>32</v>
      </c>
      <c r="F546" s="6">
        <f t="shared" si="48"/>
        <v>0.107</v>
      </c>
      <c r="G546">
        <f t="shared" si="49"/>
        <v>1198.8900000000001</v>
      </c>
      <c r="H546">
        <f t="shared" si="50"/>
        <v>35.200000000000003</v>
      </c>
      <c r="I546">
        <f t="shared" si="51"/>
        <v>72886.345664000008</v>
      </c>
      <c r="J546">
        <f t="shared" si="52"/>
        <v>30685.417664000001</v>
      </c>
      <c r="K546">
        <f t="shared" si="53"/>
        <v>42200.928000000007</v>
      </c>
    </row>
    <row r="547" spans="1:11" x14ac:dyDescent="0.25">
      <c r="A547" t="str">
        <f>Original!A542</f>
        <v>ORD-2023-811823</v>
      </c>
      <c r="B547">
        <f>Original!R542</f>
        <v>492.62</v>
      </c>
      <c r="C547">
        <f>Original!S542</f>
        <v>366.7</v>
      </c>
      <c r="D547" s="6">
        <f>Original!T542</f>
        <v>8.8999999999999996E-2</v>
      </c>
      <c r="E547" s="6">
        <f>Original!V542</f>
        <v>10</v>
      </c>
      <c r="F547" s="6">
        <f t="shared" si="48"/>
        <v>8.8999999999999996E-2</v>
      </c>
      <c r="G547">
        <f t="shared" si="49"/>
        <v>517.25099999999998</v>
      </c>
      <c r="H547">
        <f t="shared" si="50"/>
        <v>11</v>
      </c>
      <c r="I547">
        <f t="shared" si="51"/>
        <v>3674.7006999999999</v>
      </c>
      <c r="J547">
        <f t="shared" si="52"/>
        <v>-2015.0602999999996</v>
      </c>
      <c r="K547">
        <f t="shared" si="53"/>
        <v>5689.7609999999995</v>
      </c>
    </row>
    <row r="548" spans="1:11" x14ac:dyDescent="0.25">
      <c r="A548" t="str">
        <f>Original!A543</f>
        <v>ORD-2023-286720</v>
      </c>
      <c r="B548">
        <f>Original!R543</f>
        <v>1258.72</v>
      </c>
      <c r="C548">
        <f>Original!S543</f>
        <v>2797.41</v>
      </c>
      <c r="D548" s="6">
        <f>Original!T543</f>
        <v>0</v>
      </c>
      <c r="E548" s="6">
        <f>Original!V543</f>
        <v>7</v>
      </c>
      <c r="F548" s="6">
        <f t="shared" si="48"/>
        <v>0</v>
      </c>
      <c r="G548">
        <f t="shared" si="49"/>
        <v>1321.6560000000002</v>
      </c>
      <c r="H548">
        <f t="shared" si="50"/>
        <v>7.7000000000000011</v>
      </c>
      <c r="I548">
        <f t="shared" si="51"/>
        <v>21540.057000000001</v>
      </c>
      <c r="J548">
        <f t="shared" si="52"/>
        <v>11363.305799999998</v>
      </c>
      <c r="K548">
        <f t="shared" si="53"/>
        <v>10176.751200000002</v>
      </c>
    </row>
    <row r="549" spans="1:11" x14ac:dyDescent="0.25">
      <c r="A549" t="str">
        <f>Original!A544</f>
        <v>ORD-2024-626925</v>
      </c>
      <c r="B549">
        <f>Original!R544</f>
        <v>1370.28</v>
      </c>
      <c r="C549">
        <f>Original!S544</f>
        <v>2209.66</v>
      </c>
      <c r="D549" s="6">
        <f>Original!T544</f>
        <v>0.13300000000000001</v>
      </c>
      <c r="E549" s="6">
        <f>Original!V544</f>
        <v>16</v>
      </c>
      <c r="F549" s="6">
        <f t="shared" si="48"/>
        <v>0.13300000000000001</v>
      </c>
      <c r="G549">
        <f t="shared" si="49"/>
        <v>1438.7940000000001</v>
      </c>
      <c r="H549">
        <f t="shared" si="50"/>
        <v>17.600000000000001</v>
      </c>
      <c r="I549">
        <f t="shared" si="51"/>
        <v>33717.643872000001</v>
      </c>
      <c r="J549">
        <f t="shared" si="52"/>
        <v>8394.8694719999985</v>
      </c>
      <c r="K549">
        <f t="shared" si="53"/>
        <v>25322.774400000002</v>
      </c>
    </row>
    <row r="550" spans="1:11" x14ac:dyDescent="0.25">
      <c r="A550" t="str">
        <f>Original!A545</f>
        <v>ORD-2023-960380</v>
      </c>
      <c r="B550">
        <f>Original!R545</f>
        <v>944.61</v>
      </c>
      <c r="C550">
        <f>Original!S545</f>
        <v>839.04</v>
      </c>
      <c r="D550" s="6">
        <f>Original!T545</f>
        <v>5.8999999999999997E-2</v>
      </c>
      <c r="E550" s="6">
        <f>Original!V545</f>
        <v>6</v>
      </c>
      <c r="F550" s="6">
        <f t="shared" si="48"/>
        <v>5.8999999999999997E-2</v>
      </c>
      <c r="G550">
        <f t="shared" si="49"/>
        <v>991.84050000000002</v>
      </c>
      <c r="H550">
        <f t="shared" si="50"/>
        <v>6.6000000000000005</v>
      </c>
      <c r="I550">
        <f t="shared" si="51"/>
        <v>5210.9418240000005</v>
      </c>
      <c r="J550">
        <f t="shared" si="52"/>
        <v>-1335.2054760000001</v>
      </c>
      <c r="K550">
        <f t="shared" si="53"/>
        <v>6546.1473000000005</v>
      </c>
    </row>
    <row r="551" spans="1:11" x14ac:dyDescent="0.25">
      <c r="A551" t="str">
        <f>Original!A546</f>
        <v>ORD-2023-453699</v>
      </c>
      <c r="B551">
        <f>Original!R546</f>
        <v>460.21</v>
      </c>
      <c r="C551">
        <f>Original!S546</f>
        <v>1139.1500000000001</v>
      </c>
      <c r="D551" s="6">
        <f>Original!T546</f>
        <v>0.115</v>
      </c>
      <c r="E551" s="6">
        <f>Original!V546</f>
        <v>14</v>
      </c>
      <c r="F551" s="6">
        <f t="shared" si="48"/>
        <v>0.115</v>
      </c>
      <c r="G551">
        <f t="shared" si="49"/>
        <v>483.22050000000002</v>
      </c>
      <c r="H551">
        <f t="shared" si="50"/>
        <v>15.400000000000002</v>
      </c>
      <c r="I551">
        <f t="shared" si="51"/>
        <v>15525.475350000002</v>
      </c>
      <c r="J551">
        <f t="shared" si="52"/>
        <v>8083.8796500000008</v>
      </c>
      <c r="K551">
        <f t="shared" si="53"/>
        <v>7441.5957000000017</v>
      </c>
    </row>
    <row r="552" spans="1:11" x14ac:dyDescent="0.25">
      <c r="A552" t="str">
        <f>Original!A547</f>
        <v>ORD-2025-960931</v>
      </c>
      <c r="B552">
        <f>Original!R547</f>
        <v>1304.95</v>
      </c>
      <c r="C552">
        <f>Original!S547</f>
        <v>1712.03</v>
      </c>
      <c r="D552" s="6">
        <f>Original!T547</f>
        <v>0.21199999999999999</v>
      </c>
      <c r="E552" s="6">
        <f>Original!V547</f>
        <v>8</v>
      </c>
      <c r="F552" s="6">
        <f t="shared" si="48"/>
        <v>0.2</v>
      </c>
      <c r="G552">
        <f t="shared" si="49"/>
        <v>1370.1975000000002</v>
      </c>
      <c r="H552">
        <f t="shared" si="50"/>
        <v>8.8000000000000007</v>
      </c>
      <c r="I552">
        <f t="shared" si="51"/>
        <v>12052.691200000001</v>
      </c>
      <c r="J552">
        <f t="shared" si="52"/>
        <v>-5.0468000000018947</v>
      </c>
      <c r="K552">
        <f t="shared" si="53"/>
        <v>12057.738000000003</v>
      </c>
    </row>
    <row r="553" spans="1:11" x14ac:dyDescent="0.25">
      <c r="A553" t="str">
        <f>Original!A548</f>
        <v>ORD-2024-419248</v>
      </c>
      <c r="B553">
        <f>Original!R548</f>
        <v>441.08</v>
      </c>
      <c r="C553">
        <f>Original!S548</f>
        <v>1054.29</v>
      </c>
      <c r="D553" s="6">
        <f>Original!T548</f>
        <v>0.23699999999999999</v>
      </c>
      <c r="E553" s="6">
        <f>Original!V548</f>
        <v>6</v>
      </c>
      <c r="F553" s="6">
        <f t="shared" si="48"/>
        <v>0.2</v>
      </c>
      <c r="G553">
        <f t="shared" si="49"/>
        <v>463.13400000000001</v>
      </c>
      <c r="H553">
        <f t="shared" si="50"/>
        <v>6.6000000000000005</v>
      </c>
      <c r="I553">
        <f t="shared" si="51"/>
        <v>5566.6512000000002</v>
      </c>
      <c r="J553">
        <f t="shared" si="52"/>
        <v>2509.9667999999997</v>
      </c>
      <c r="K553">
        <f t="shared" si="53"/>
        <v>3056.6844000000006</v>
      </c>
    </row>
    <row r="554" spans="1:11" x14ac:dyDescent="0.25">
      <c r="A554" t="str">
        <f>Original!A549</f>
        <v>ORD-2023-488227</v>
      </c>
      <c r="B554">
        <f>Original!R549</f>
        <v>1299.03</v>
      </c>
      <c r="C554">
        <f>Original!S549</f>
        <v>2451.2199999999998</v>
      </c>
      <c r="D554" s="6">
        <f>Original!T549</f>
        <v>0.20799999999999999</v>
      </c>
      <c r="E554" s="6">
        <f>Original!V549</f>
        <v>8</v>
      </c>
      <c r="F554" s="6">
        <f t="shared" si="48"/>
        <v>0.2</v>
      </c>
      <c r="G554">
        <f t="shared" si="49"/>
        <v>1363.9815000000001</v>
      </c>
      <c r="H554">
        <f t="shared" si="50"/>
        <v>8.8000000000000007</v>
      </c>
      <c r="I554">
        <f t="shared" si="51"/>
        <v>17256.588800000001</v>
      </c>
      <c r="J554">
        <f t="shared" si="52"/>
        <v>5253.5515999999989</v>
      </c>
      <c r="K554">
        <f t="shared" si="53"/>
        <v>12003.037200000002</v>
      </c>
    </row>
    <row r="555" spans="1:11" x14ac:dyDescent="0.25">
      <c r="A555" t="str">
        <f>Original!A550</f>
        <v>ORD-2023-472078</v>
      </c>
      <c r="B555">
        <f>Original!R550</f>
        <v>880.02</v>
      </c>
      <c r="C555">
        <f>Original!S550</f>
        <v>1251.21</v>
      </c>
      <c r="D555" s="6">
        <f>Original!T550</f>
        <v>0.123</v>
      </c>
      <c r="E555" s="6">
        <f>Original!V550</f>
        <v>29</v>
      </c>
      <c r="F555" s="6">
        <f t="shared" si="48"/>
        <v>0.123</v>
      </c>
      <c r="G555">
        <f t="shared" si="49"/>
        <v>924.02100000000007</v>
      </c>
      <c r="H555">
        <f t="shared" si="50"/>
        <v>31.900000000000002</v>
      </c>
      <c r="I555">
        <f t="shared" si="51"/>
        <v>35004.226323000003</v>
      </c>
      <c r="J555">
        <f t="shared" si="52"/>
        <v>5527.9564229999996</v>
      </c>
      <c r="K555">
        <f t="shared" si="53"/>
        <v>29476.269900000003</v>
      </c>
    </row>
    <row r="556" spans="1:11" x14ac:dyDescent="0.25">
      <c r="A556" t="str">
        <f>Original!A551</f>
        <v>ORD-2024-202877</v>
      </c>
      <c r="B556">
        <f>Original!R551</f>
        <v>702.98</v>
      </c>
      <c r="C556">
        <f>Original!S551</f>
        <v>1104.8</v>
      </c>
      <c r="D556" s="6">
        <f>Original!T551</f>
        <v>0.17499999999999999</v>
      </c>
      <c r="E556" s="6">
        <f>Original!V551</f>
        <v>12</v>
      </c>
      <c r="F556" s="6">
        <f t="shared" si="48"/>
        <v>0.17499999999999999</v>
      </c>
      <c r="G556">
        <f t="shared" si="49"/>
        <v>738.12900000000002</v>
      </c>
      <c r="H556">
        <f t="shared" si="50"/>
        <v>13.200000000000001</v>
      </c>
      <c r="I556">
        <f t="shared" si="51"/>
        <v>12031.271999999999</v>
      </c>
      <c r="J556">
        <f t="shared" si="52"/>
        <v>2287.9691999999977</v>
      </c>
      <c r="K556">
        <f t="shared" si="53"/>
        <v>9743.3028000000013</v>
      </c>
    </row>
    <row r="557" spans="1:11" x14ac:dyDescent="0.25">
      <c r="A557" t="str">
        <f>Original!A552</f>
        <v>ORD-2024-140633</v>
      </c>
      <c r="B557">
        <f>Original!R552</f>
        <v>1035.24</v>
      </c>
      <c r="C557">
        <f>Original!S552</f>
        <v>2383.41</v>
      </c>
      <c r="D557" s="6">
        <f>Original!T552</f>
        <v>0.17</v>
      </c>
      <c r="E557" s="6">
        <f>Original!V552</f>
        <v>15</v>
      </c>
      <c r="F557" s="6">
        <f t="shared" si="48"/>
        <v>0.17</v>
      </c>
      <c r="G557">
        <f t="shared" si="49"/>
        <v>1087.002</v>
      </c>
      <c r="H557">
        <f t="shared" si="50"/>
        <v>16.5</v>
      </c>
      <c r="I557">
        <f t="shared" si="51"/>
        <v>32640.799949999997</v>
      </c>
      <c r="J557">
        <f t="shared" si="52"/>
        <v>14705.266949999997</v>
      </c>
      <c r="K557">
        <f t="shared" si="53"/>
        <v>17935.532999999999</v>
      </c>
    </row>
    <row r="558" spans="1:11" x14ac:dyDescent="0.25">
      <c r="A558" t="str">
        <f>Original!A553</f>
        <v>ORD-2025-419532</v>
      </c>
      <c r="B558">
        <f>Original!R553</f>
        <v>86.64</v>
      </c>
      <c r="C558">
        <f>Original!S553</f>
        <v>213.06</v>
      </c>
      <c r="D558" s="6">
        <f>Original!T553</f>
        <v>0.21199999999999999</v>
      </c>
      <c r="E558" s="6">
        <f>Original!V553</f>
        <v>11</v>
      </c>
      <c r="F558" s="6">
        <f t="shared" si="48"/>
        <v>0.2</v>
      </c>
      <c r="G558">
        <f t="shared" si="49"/>
        <v>90.972000000000008</v>
      </c>
      <c r="H558">
        <f t="shared" si="50"/>
        <v>12.100000000000001</v>
      </c>
      <c r="I558">
        <f t="shared" si="51"/>
        <v>2062.4208000000003</v>
      </c>
      <c r="J558">
        <f t="shared" si="52"/>
        <v>961.65960000000018</v>
      </c>
      <c r="K558">
        <f t="shared" si="53"/>
        <v>1100.7612000000001</v>
      </c>
    </row>
    <row r="559" spans="1:11" x14ac:dyDescent="0.25">
      <c r="A559" t="str">
        <f>Original!A554</f>
        <v>ORD-2023-139236</v>
      </c>
      <c r="B559">
        <f>Original!R554</f>
        <v>1171.17</v>
      </c>
      <c r="C559">
        <f>Original!S554</f>
        <v>2030.64</v>
      </c>
      <c r="D559" s="6">
        <f>Original!T554</f>
        <v>0.157</v>
      </c>
      <c r="E559" s="6">
        <f>Original!V554</f>
        <v>11</v>
      </c>
      <c r="F559" s="6">
        <f t="shared" si="48"/>
        <v>0.157</v>
      </c>
      <c r="G559">
        <f t="shared" si="49"/>
        <v>1229.7285000000002</v>
      </c>
      <c r="H559">
        <f t="shared" si="50"/>
        <v>12.100000000000001</v>
      </c>
      <c r="I559">
        <f t="shared" si="51"/>
        <v>20713.137192000002</v>
      </c>
      <c r="J559">
        <f t="shared" si="52"/>
        <v>5833.422341999998</v>
      </c>
      <c r="K559">
        <f t="shared" si="53"/>
        <v>14879.714850000004</v>
      </c>
    </row>
    <row r="560" spans="1:11" x14ac:dyDescent="0.25">
      <c r="A560" t="str">
        <f>Original!A555</f>
        <v>ORD-2025-337268</v>
      </c>
      <c r="B560">
        <f>Original!R555</f>
        <v>730.42</v>
      </c>
      <c r="C560">
        <f>Original!S555</f>
        <v>956.7</v>
      </c>
      <c r="D560" s="6">
        <f>Original!T555</f>
        <v>4.2000000000000003E-2</v>
      </c>
      <c r="E560" s="6">
        <f>Original!V555</f>
        <v>22</v>
      </c>
      <c r="F560" s="6">
        <f t="shared" si="48"/>
        <v>4.2000000000000003E-2</v>
      </c>
      <c r="G560">
        <f t="shared" si="49"/>
        <v>766.94100000000003</v>
      </c>
      <c r="H560">
        <f t="shared" si="50"/>
        <v>24.200000000000003</v>
      </c>
      <c r="I560">
        <f t="shared" si="51"/>
        <v>22179.750120000001</v>
      </c>
      <c r="J560">
        <f t="shared" si="52"/>
        <v>3619.7779199999968</v>
      </c>
      <c r="K560">
        <f t="shared" si="53"/>
        <v>18559.972200000004</v>
      </c>
    </row>
    <row r="561" spans="1:11" x14ac:dyDescent="0.25">
      <c r="A561" t="str">
        <f>Original!A556</f>
        <v>ORD-2025-332931</v>
      </c>
      <c r="B561">
        <f>Original!R556</f>
        <v>1162.8599999999999</v>
      </c>
      <c r="C561">
        <f>Original!S556</f>
        <v>1447.68</v>
      </c>
      <c r="D561" s="6">
        <f>Original!T556</f>
        <v>8.6999999999999994E-2</v>
      </c>
      <c r="E561" s="6">
        <f>Original!V556</f>
        <v>12</v>
      </c>
      <c r="F561" s="6">
        <f t="shared" si="48"/>
        <v>8.6999999999999994E-2</v>
      </c>
      <c r="G561">
        <f t="shared" si="49"/>
        <v>1221.0029999999999</v>
      </c>
      <c r="H561">
        <f t="shared" si="50"/>
        <v>13.200000000000001</v>
      </c>
      <c r="I561">
        <f t="shared" si="51"/>
        <v>17446.860288000003</v>
      </c>
      <c r="J561">
        <f t="shared" si="52"/>
        <v>1329.6206880000027</v>
      </c>
      <c r="K561">
        <f t="shared" si="53"/>
        <v>16117.239600000001</v>
      </c>
    </row>
    <row r="562" spans="1:11" x14ac:dyDescent="0.25">
      <c r="A562" t="str">
        <f>Original!A557</f>
        <v>ORD-2024-536442</v>
      </c>
      <c r="B562">
        <f>Original!R557</f>
        <v>1189.03</v>
      </c>
      <c r="C562">
        <f>Original!S557</f>
        <v>2949.62</v>
      </c>
      <c r="D562" s="6">
        <f>Original!T557</f>
        <v>0.125</v>
      </c>
      <c r="E562" s="6">
        <f>Original!V557</f>
        <v>13</v>
      </c>
      <c r="F562" s="6">
        <f t="shared" si="48"/>
        <v>0.125</v>
      </c>
      <c r="G562">
        <f t="shared" si="49"/>
        <v>1248.4815000000001</v>
      </c>
      <c r="H562">
        <f t="shared" si="50"/>
        <v>14.3</v>
      </c>
      <c r="I562">
        <f t="shared" si="51"/>
        <v>36907.12025</v>
      </c>
      <c r="J562">
        <f t="shared" si="52"/>
        <v>19053.834799999997</v>
      </c>
      <c r="K562">
        <f t="shared" si="53"/>
        <v>17853.285450000003</v>
      </c>
    </row>
    <row r="563" spans="1:11" x14ac:dyDescent="0.25">
      <c r="A563" t="str">
        <f>Original!A558</f>
        <v>ORD-2023-957692</v>
      </c>
      <c r="B563">
        <f>Original!R558</f>
        <v>1443.28</v>
      </c>
      <c r="C563">
        <f>Original!S558</f>
        <v>2580.5700000000002</v>
      </c>
      <c r="D563" s="6">
        <f>Original!T558</f>
        <v>0</v>
      </c>
      <c r="E563" s="6">
        <f>Original!V558</f>
        <v>18</v>
      </c>
      <c r="F563" s="6">
        <f t="shared" si="48"/>
        <v>0</v>
      </c>
      <c r="G563">
        <f t="shared" si="49"/>
        <v>1515.444</v>
      </c>
      <c r="H563">
        <f t="shared" si="50"/>
        <v>19.8</v>
      </c>
      <c r="I563">
        <f t="shared" si="51"/>
        <v>51095.286000000007</v>
      </c>
      <c r="J563">
        <f t="shared" si="52"/>
        <v>21089.494800000008</v>
      </c>
      <c r="K563">
        <f t="shared" si="53"/>
        <v>30005.7912</v>
      </c>
    </row>
    <row r="564" spans="1:11" x14ac:dyDescent="0.25">
      <c r="A564" t="str">
        <f>Original!A559</f>
        <v>ORD-2025-874124</v>
      </c>
      <c r="B564">
        <f>Original!R559</f>
        <v>883.5</v>
      </c>
      <c r="C564">
        <f>Original!S559</f>
        <v>1978.91</v>
      </c>
      <c r="D564" s="6">
        <f>Original!T559</f>
        <v>5.3999999999999999E-2</v>
      </c>
      <c r="E564" s="6">
        <f>Original!V559</f>
        <v>27</v>
      </c>
      <c r="F564" s="6">
        <f t="shared" si="48"/>
        <v>5.3999999999999999E-2</v>
      </c>
      <c r="G564">
        <f t="shared" si="49"/>
        <v>927.67500000000007</v>
      </c>
      <c r="H564">
        <f t="shared" si="50"/>
        <v>29.700000000000003</v>
      </c>
      <c r="I564">
        <f t="shared" si="51"/>
        <v>55599.851142000007</v>
      </c>
      <c r="J564">
        <f t="shared" si="52"/>
        <v>28047.903642000001</v>
      </c>
      <c r="K564">
        <f t="shared" si="53"/>
        <v>27551.947500000006</v>
      </c>
    </row>
    <row r="565" spans="1:11" x14ac:dyDescent="0.25">
      <c r="A565" t="str">
        <f>Original!A560</f>
        <v>ORD-2024-687073</v>
      </c>
      <c r="B565">
        <f>Original!R560</f>
        <v>710.98</v>
      </c>
      <c r="C565">
        <f>Original!S560</f>
        <v>1481.45</v>
      </c>
      <c r="D565" s="6">
        <f>Original!T560</f>
        <v>0.21099999999999999</v>
      </c>
      <c r="E565" s="6">
        <f>Original!V560</f>
        <v>9</v>
      </c>
      <c r="F565" s="6">
        <f t="shared" si="48"/>
        <v>0.2</v>
      </c>
      <c r="G565">
        <f t="shared" si="49"/>
        <v>746.529</v>
      </c>
      <c r="H565">
        <f t="shared" si="50"/>
        <v>9.9</v>
      </c>
      <c r="I565">
        <f t="shared" si="51"/>
        <v>11733.084000000003</v>
      </c>
      <c r="J565">
        <f t="shared" si="52"/>
        <v>4342.4469000000026</v>
      </c>
      <c r="K565">
        <f t="shared" si="53"/>
        <v>7390.6370999999999</v>
      </c>
    </row>
    <row r="566" spans="1:11" x14ac:dyDescent="0.25">
      <c r="A566" t="str">
        <f>Original!A561</f>
        <v>ORD-2024-555229</v>
      </c>
      <c r="B566">
        <f>Original!R561</f>
        <v>857.42</v>
      </c>
      <c r="C566">
        <f>Original!S561</f>
        <v>1658.92</v>
      </c>
      <c r="D566" s="6">
        <f>Original!T561</f>
        <v>0.122</v>
      </c>
      <c r="E566" s="6">
        <f>Original!V561</f>
        <v>9</v>
      </c>
      <c r="F566" s="6">
        <f t="shared" si="48"/>
        <v>0.122</v>
      </c>
      <c r="G566">
        <f t="shared" si="49"/>
        <v>900.29099999999994</v>
      </c>
      <c r="H566">
        <f t="shared" si="50"/>
        <v>9.9</v>
      </c>
      <c r="I566">
        <f t="shared" si="51"/>
        <v>14419.664424000001</v>
      </c>
      <c r="J566">
        <f t="shared" si="52"/>
        <v>5506.7835240000004</v>
      </c>
      <c r="K566">
        <f t="shared" si="53"/>
        <v>8912.8809000000001</v>
      </c>
    </row>
    <row r="567" spans="1:11" x14ac:dyDescent="0.25">
      <c r="A567" t="str">
        <f>Original!A562</f>
        <v>ORD-2024-872291</v>
      </c>
      <c r="B567">
        <f>Original!R562</f>
        <v>802.32</v>
      </c>
      <c r="C567">
        <f>Original!S562</f>
        <v>602.34</v>
      </c>
      <c r="D567" s="6">
        <f>Original!T562</f>
        <v>0.12</v>
      </c>
      <c r="E567" s="6">
        <f>Original!V562</f>
        <v>25</v>
      </c>
      <c r="F567" s="6">
        <f t="shared" si="48"/>
        <v>0.12</v>
      </c>
      <c r="G567">
        <f t="shared" si="49"/>
        <v>842.43600000000004</v>
      </c>
      <c r="H567">
        <f t="shared" si="50"/>
        <v>27.500000000000004</v>
      </c>
      <c r="I567">
        <f t="shared" si="51"/>
        <v>14576.628000000002</v>
      </c>
      <c r="J567">
        <f t="shared" si="52"/>
        <v>-8590.3620000000028</v>
      </c>
      <c r="K567">
        <f t="shared" si="53"/>
        <v>23166.990000000005</v>
      </c>
    </row>
    <row r="568" spans="1:11" x14ac:dyDescent="0.25">
      <c r="A568" t="str">
        <f>Original!A563</f>
        <v>ORD-2024-250862</v>
      </c>
      <c r="B568">
        <f>Original!R563</f>
        <v>446.66</v>
      </c>
      <c r="C568">
        <f>Original!S563</f>
        <v>527.64</v>
      </c>
      <c r="D568" s="6">
        <f>Original!T563</f>
        <v>0.14499999999999999</v>
      </c>
      <c r="E568" s="6">
        <f>Original!V563</f>
        <v>15</v>
      </c>
      <c r="F568" s="6">
        <f t="shared" si="48"/>
        <v>0.14499999999999999</v>
      </c>
      <c r="G568">
        <f t="shared" si="49"/>
        <v>468.99300000000005</v>
      </c>
      <c r="H568">
        <f t="shared" si="50"/>
        <v>16.5</v>
      </c>
      <c r="I568">
        <f t="shared" si="51"/>
        <v>7443.6812999999993</v>
      </c>
      <c r="J568">
        <f t="shared" si="52"/>
        <v>-294.70320000000174</v>
      </c>
      <c r="K568">
        <f t="shared" si="53"/>
        <v>7738.384500000001</v>
      </c>
    </row>
    <row r="569" spans="1:11" x14ac:dyDescent="0.25">
      <c r="A569" t="str">
        <f>Original!A564</f>
        <v>ORD-2024-331226</v>
      </c>
      <c r="B569">
        <f>Original!R564</f>
        <v>1195.98</v>
      </c>
      <c r="C569">
        <f>Original!S564</f>
        <v>1841.9</v>
      </c>
      <c r="D569" s="6">
        <f>Original!T564</f>
        <v>5.5E-2</v>
      </c>
      <c r="E569" s="6">
        <f>Original!V564</f>
        <v>19</v>
      </c>
      <c r="F569" s="6">
        <f t="shared" si="48"/>
        <v>5.5E-2</v>
      </c>
      <c r="G569">
        <f t="shared" si="49"/>
        <v>1255.779</v>
      </c>
      <c r="H569">
        <f t="shared" si="50"/>
        <v>20.900000000000002</v>
      </c>
      <c r="I569">
        <f t="shared" si="51"/>
        <v>36378.445950000001</v>
      </c>
      <c r="J569">
        <f t="shared" si="52"/>
        <v>10132.664849999997</v>
      </c>
      <c r="K569">
        <f t="shared" si="53"/>
        <v>26245.781100000004</v>
      </c>
    </row>
    <row r="570" spans="1:11" x14ac:dyDescent="0.25">
      <c r="A570" t="str">
        <f>Original!A565</f>
        <v>ORD-2023-356427</v>
      </c>
      <c r="B570">
        <f>Original!R565</f>
        <v>671.05</v>
      </c>
      <c r="C570">
        <f>Original!S565</f>
        <v>1645.48</v>
      </c>
      <c r="D570" s="6">
        <f>Original!T565</f>
        <v>0.13700000000000001</v>
      </c>
      <c r="E570" s="6">
        <f>Original!V565</f>
        <v>6</v>
      </c>
      <c r="F570" s="6">
        <f t="shared" si="48"/>
        <v>0.13700000000000001</v>
      </c>
      <c r="G570">
        <f t="shared" si="49"/>
        <v>704.60249999999996</v>
      </c>
      <c r="H570">
        <f t="shared" si="50"/>
        <v>6.6000000000000005</v>
      </c>
      <c r="I570">
        <f t="shared" si="51"/>
        <v>9372.3249840000008</v>
      </c>
      <c r="J570">
        <f t="shared" si="52"/>
        <v>4721.9484840000005</v>
      </c>
      <c r="K570">
        <f t="shared" si="53"/>
        <v>4650.3765000000003</v>
      </c>
    </row>
    <row r="571" spans="1:11" x14ac:dyDescent="0.25">
      <c r="A571" t="str">
        <f>Original!A566</f>
        <v>ORD-2025-659650</v>
      </c>
      <c r="B571">
        <f>Original!R566</f>
        <v>586.21</v>
      </c>
      <c r="C571">
        <f>Original!S566</f>
        <v>727.22</v>
      </c>
      <c r="D571" s="6">
        <f>Original!T566</f>
        <v>6.8000000000000005E-2</v>
      </c>
      <c r="E571" s="6">
        <f>Original!V566</f>
        <v>15</v>
      </c>
      <c r="F571" s="6">
        <f t="shared" si="48"/>
        <v>6.8000000000000005E-2</v>
      </c>
      <c r="G571">
        <f t="shared" si="49"/>
        <v>615.52050000000008</v>
      </c>
      <c r="H571">
        <f t="shared" si="50"/>
        <v>16.5</v>
      </c>
      <c r="I571">
        <f t="shared" si="51"/>
        <v>11183.18916</v>
      </c>
      <c r="J571">
        <f t="shared" si="52"/>
        <v>1027.1009099999992</v>
      </c>
      <c r="K571">
        <f t="shared" si="53"/>
        <v>10156.088250000001</v>
      </c>
    </row>
    <row r="572" spans="1:11" x14ac:dyDescent="0.25">
      <c r="A572" t="str">
        <f>Original!A567</f>
        <v>ORD-2024-207669</v>
      </c>
      <c r="B572">
        <f>Original!R567</f>
        <v>525.34</v>
      </c>
      <c r="C572">
        <f>Original!S567</f>
        <v>1233.79</v>
      </c>
      <c r="D572" s="6">
        <f>Original!T567</f>
        <v>0.14299999999999999</v>
      </c>
      <c r="E572" s="6">
        <f>Original!V567</f>
        <v>4</v>
      </c>
      <c r="F572" s="6">
        <f t="shared" si="48"/>
        <v>0.14299999999999999</v>
      </c>
      <c r="G572">
        <f t="shared" si="49"/>
        <v>551.60700000000008</v>
      </c>
      <c r="H572">
        <f t="shared" si="50"/>
        <v>4.4000000000000004</v>
      </c>
      <c r="I572">
        <f t="shared" si="51"/>
        <v>4652.3753320000005</v>
      </c>
      <c r="J572">
        <f t="shared" si="52"/>
        <v>2225.3045320000001</v>
      </c>
      <c r="K572">
        <f t="shared" si="53"/>
        <v>2427.0708000000004</v>
      </c>
    </row>
    <row r="573" spans="1:11" x14ac:dyDescent="0.25">
      <c r="A573" t="str">
        <f>Original!A568</f>
        <v>ORD-2024-979401</v>
      </c>
      <c r="B573">
        <f>Original!R568</f>
        <v>1233.52</v>
      </c>
      <c r="C573">
        <f>Original!S568</f>
        <v>1543.76</v>
      </c>
      <c r="D573" s="6">
        <f>Original!T568</f>
        <v>0.126</v>
      </c>
      <c r="E573" s="6">
        <f>Original!V568</f>
        <v>13</v>
      </c>
      <c r="F573" s="6">
        <f t="shared" si="48"/>
        <v>0.126</v>
      </c>
      <c r="G573">
        <f t="shared" si="49"/>
        <v>1295.1960000000001</v>
      </c>
      <c r="H573">
        <f t="shared" si="50"/>
        <v>14.3</v>
      </c>
      <c r="I573">
        <f t="shared" si="51"/>
        <v>19294.221232</v>
      </c>
      <c r="J573">
        <f t="shared" si="52"/>
        <v>772.91843199999857</v>
      </c>
      <c r="K573">
        <f t="shared" si="53"/>
        <v>18521.302800000001</v>
      </c>
    </row>
    <row r="574" spans="1:11" x14ac:dyDescent="0.25">
      <c r="A574" t="str">
        <f>Original!A569</f>
        <v>ORD-2025-929414</v>
      </c>
      <c r="B574">
        <f>Original!R569</f>
        <v>1170.1500000000001</v>
      </c>
      <c r="C574">
        <f>Original!S569</f>
        <v>2115.19</v>
      </c>
      <c r="D574" s="6">
        <f>Original!T569</f>
        <v>9.1999999999999998E-2</v>
      </c>
      <c r="E574" s="6">
        <f>Original!V569</f>
        <v>23</v>
      </c>
      <c r="F574" s="6">
        <f t="shared" si="48"/>
        <v>9.1999999999999998E-2</v>
      </c>
      <c r="G574">
        <f t="shared" si="49"/>
        <v>1228.6575000000003</v>
      </c>
      <c r="H574">
        <f t="shared" si="50"/>
        <v>25.3</v>
      </c>
      <c r="I574">
        <f t="shared" si="51"/>
        <v>48590.990755999999</v>
      </c>
      <c r="J574">
        <f t="shared" si="52"/>
        <v>17505.956005999993</v>
      </c>
      <c r="K574">
        <f t="shared" si="53"/>
        <v>31085.034750000006</v>
      </c>
    </row>
    <row r="575" spans="1:11" x14ac:dyDescent="0.25">
      <c r="A575" t="str">
        <f>Original!A570</f>
        <v>ORD-2024-766980</v>
      </c>
      <c r="B575">
        <f>Original!R570</f>
        <v>740.68</v>
      </c>
      <c r="C575">
        <f>Original!S570</f>
        <v>1837.19</v>
      </c>
      <c r="D575" s="6">
        <f>Original!T570</f>
        <v>0.19700000000000001</v>
      </c>
      <c r="E575" s="6">
        <f>Original!V570</f>
        <v>17</v>
      </c>
      <c r="F575" s="6">
        <f t="shared" si="48"/>
        <v>0.19700000000000001</v>
      </c>
      <c r="G575">
        <f t="shared" si="49"/>
        <v>777.71399999999994</v>
      </c>
      <c r="H575">
        <f t="shared" si="50"/>
        <v>18.700000000000003</v>
      </c>
      <c r="I575">
        <f t="shared" si="51"/>
        <v>27587.428759000006</v>
      </c>
      <c r="J575">
        <f t="shared" si="52"/>
        <v>13044.176959000004</v>
      </c>
      <c r="K575">
        <f t="shared" si="53"/>
        <v>14543.251800000002</v>
      </c>
    </row>
    <row r="576" spans="1:11" x14ac:dyDescent="0.25">
      <c r="A576" t="str">
        <f>Original!A571</f>
        <v>ORD-2024-437164</v>
      </c>
      <c r="B576">
        <f>Original!R571</f>
        <v>1407.05</v>
      </c>
      <c r="C576">
        <f>Original!S571</f>
        <v>2858.93</v>
      </c>
      <c r="D576" s="6">
        <f>Original!T571</f>
        <v>0</v>
      </c>
      <c r="E576" s="6">
        <f>Original!V571</f>
        <v>12</v>
      </c>
      <c r="F576" s="6">
        <f t="shared" si="48"/>
        <v>0</v>
      </c>
      <c r="G576">
        <f t="shared" si="49"/>
        <v>1477.4024999999999</v>
      </c>
      <c r="H576">
        <f t="shared" si="50"/>
        <v>13.200000000000001</v>
      </c>
      <c r="I576">
        <f t="shared" si="51"/>
        <v>37737.876000000004</v>
      </c>
      <c r="J576">
        <f t="shared" si="52"/>
        <v>18236.163000000004</v>
      </c>
      <c r="K576">
        <f t="shared" si="53"/>
        <v>19501.713</v>
      </c>
    </row>
    <row r="577" spans="1:11" x14ac:dyDescent="0.25">
      <c r="A577" t="str">
        <f>Original!A572</f>
        <v>ORD-2025-169093</v>
      </c>
      <c r="B577">
        <f>Original!R572</f>
        <v>138.9</v>
      </c>
      <c r="C577">
        <f>Original!S572</f>
        <v>289.92</v>
      </c>
      <c r="D577" s="6">
        <f>Original!T572</f>
        <v>2.9000000000000001E-2</v>
      </c>
      <c r="E577" s="6">
        <f>Original!V572</f>
        <v>12</v>
      </c>
      <c r="F577" s="6">
        <f t="shared" si="48"/>
        <v>2.9000000000000001E-2</v>
      </c>
      <c r="G577">
        <f t="shared" si="49"/>
        <v>145.845</v>
      </c>
      <c r="H577">
        <f t="shared" si="50"/>
        <v>13.200000000000001</v>
      </c>
      <c r="I577">
        <f t="shared" si="51"/>
        <v>3715.9626240000002</v>
      </c>
      <c r="J577">
        <f t="shared" si="52"/>
        <v>1790.808624</v>
      </c>
      <c r="K577">
        <f t="shared" si="53"/>
        <v>1925.1540000000002</v>
      </c>
    </row>
    <row r="578" spans="1:11" x14ac:dyDescent="0.25">
      <c r="A578" t="str">
        <f>Original!A573</f>
        <v>ORD-2023-868460</v>
      </c>
      <c r="B578">
        <f>Original!R573</f>
        <v>669.37</v>
      </c>
      <c r="C578">
        <f>Original!S573</f>
        <v>997.2</v>
      </c>
      <c r="D578" s="6">
        <f>Original!T573</f>
        <v>8.2000000000000003E-2</v>
      </c>
      <c r="E578" s="6">
        <f>Original!V573</f>
        <v>5</v>
      </c>
      <c r="F578" s="6">
        <f t="shared" si="48"/>
        <v>8.2000000000000003E-2</v>
      </c>
      <c r="G578">
        <f t="shared" si="49"/>
        <v>702.83850000000007</v>
      </c>
      <c r="H578">
        <f t="shared" si="50"/>
        <v>5.5</v>
      </c>
      <c r="I578">
        <f t="shared" si="51"/>
        <v>5034.8628000000008</v>
      </c>
      <c r="J578">
        <f t="shared" si="52"/>
        <v>1169.2510500000003</v>
      </c>
      <c r="K578">
        <f t="shared" si="53"/>
        <v>3865.6117500000005</v>
      </c>
    </row>
    <row r="579" spans="1:11" x14ac:dyDescent="0.25">
      <c r="A579" t="str">
        <f>Original!A574</f>
        <v>ORD-2025-177994</v>
      </c>
      <c r="B579">
        <f>Original!R574</f>
        <v>23.83</v>
      </c>
      <c r="C579">
        <f>Original!S574</f>
        <v>47.29</v>
      </c>
      <c r="D579" s="6">
        <f>Original!T574</f>
        <v>6.4000000000000001E-2</v>
      </c>
      <c r="E579" s="6">
        <f>Original!V574</f>
        <v>19</v>
      </c>
      <c r="F579" s="6">
        <f t="shared" si="48"/>
        <v>6.4000000000000001E-2</v>
      </c>
      <c r="G579">
        <f t="shared" si="49"/>
        <v>25.0215</v>
      </c>
      <c r="H579">
        <f t="shared" si="50"/>
        <v>20.900000000000002</v>
      </c>
      <c r="I579">
        <f t="shared" si="51"/>
        <v>925.10589600000003</v>
      </c>
      <c r="J579">
        <f t="shared" si="52"/>
        <v>402.15654599999993</v>
      </c>
      <c r="K579">
        <f t="shared" si="53"/>
        <v>522.94935000000009</v>
      </c>
    </row>
    <row r="580" spans="1:11" x14ac:dyDescent="0.25">
      <c r="A580" t="str">
        <f>Original!A575</f>
        <v>ORD-2024-355095</v>
      </c>
      <c r="B580">
        <f>Original!R575</f>
        <v>444.41</v>
      </c>
      <c r="C580">
        <f>Original!S575</f>
        <v>754.24</v>
      </c>
      <c r="D580" s="6">
        <f>Original!T575</f>
        <v>0.20699999999999999</v>
      </c>
      <c r="E580" s="6">
        <f>Original!V575</f>
        <v>32</v>
      </c>
      <c r="F580" s="6">
        <f t="shared" si="48"/>
        <v>0.2</v>
      </c>
      <c r="G580">
        <f t="shared" si="49"/>
        <v>466.63050000000004</v>
      </c>
      <c r="H580">
        <f t="shared" si="50"/>
        <v>35.200000000000003</v>
      </c>
      <c r="I580">
        <f t="shared" si="51"/>
        <v>21239.398400000005</v>
      </c>
      <c r="J580">
        <f t="shared" si="52"/>
        <v>4814.0048000000024</v>
      </c>
      <c r="K580">
        <f t="shared" si="53"/>
        <v>16425.393600000003</v>
      </c>
    </row>
    <row r="581" spans="1:11" x14ac:dyDescent="0.25">
      <c r="A581" t="str">
        <f>Original!A576</f>
        <v>ORD-2023-126505</v>
      </c>
      <c r="B581">
        <f>Original!R576</f>
        <v>856.1</v>
      </c>
      <c r="C581">
        <f>Original!S576</f>
        <v>901.48</v>
      </c>
      <c r="D581" s="6">
        <f>Original!T576</f>
        <v>5.6000000000000001E-2</v>
      </c>
      <c r="E581" s="6">
        <f>Original!V576</f>
        <v>17</v>
      </c>
      <c r="F581" s="6">
        <f t="shared" si="48"/>
        <v>5.6000000000000001E-2</v>
      </c>
      <c r="G581">
        <f t="shared" si="49"/>
        <v>898.90500000000009</v>
      </c>
      <c r="H581">
        <f t="shared" si="50"/>
        <v>18.700000000000003</v>
      </c>
      <c r="I581">
        <f t="shared" si="51"/>
        <v>15913.646144000002</v>
      </c>
      <c r="J581">
        <f t="shared" si="52"/>
        <v>-895.87735600000087</v>
      </c>
      <c r="K581">
        <f t="shared" si="53"/>
        <v>16809.523500000003</v>
      </c>
    </row>
    <row r="582" spans="1:11" x14ac:dyDescent="0.25">
      <c r="A582" t="str">
        <f>Original!A577</f>
        <v>ORD-2023-340056</v>
      </c>
      <c r="B582">
        <f>Original!R577</f>
        <v>81.489999999999995</v>
      </c>
      <c r="C582">
        <f>Original!S577</f>
        <v>113.08</v>
      </c>
      <c r="D582" s="6">
        <f>Original!T577</f>
        <v>0.121</v>
      </c>
      <c r="E582" s="6">
        <f>Original!V577</f>
        <v>5</v>
      </c>
      <c r="F582" s="6">
        <f t="shared" si="48"/>
        <v>0.121</v>
      </c>
      <c r="G582">
        <f t="shared" si="49"/>
        <v>85.564499999999995</v>
      </c>
      <c r="H582">
        <f t="shared" si="50"/>
        <v>5.5</v>
      </c>
      <c r="I582">
        <f t="shared" si="51"/>
        <v>546.68525999999997</v>
      </c>
      <c r="J582">
        <f t="shared" si="52"/>
        <v>76.080510000000004</v>
      </c>
      <c r="K582">
        <f t="shared" si="53"/>
        <v>470.60474999999997</v>
      </c>
    </row>
    <row r="583" spans="1:11" x14ac:dyDescent="0.25">
      <c r="A583" t="str">
        <f>Original!A578</f>
        <v>ORD-2025-281413</v>
      </c>
      <c r="B583">
        <f>Original!R578</f>
        <v>698.66</v>
      </c>
      <c r="C583">
        <f>Original!S578</f>
        <v>868.62</v>
      </c>
      <c r="D583" s="6">
        <f>Original!T578</f>
        <v>7.1999999999999995E-2</v>
      </c>
      <c r="E583" s="6">
        <f>Original!V578</f>
        <v>15</v>
      </c>
      <c r="F583" s="6">
        <f t="shared" si="48"/>
        <v>7.1999999999999995E-2</v>
      </c>
      <c r="G583">
        <f t="shared" si="49"/>
        <v>733.59299999999996</v>
      </c>
      <c r="H583">
        <f t="shared" si="50"/>
        <v>16.5</v>
      </c>
      <c r="I583">
        <f t="shared" si="51"/>
        <v>13300.309440000001</v>
      </c>
      <c r="J583">
        <f t="shared" si="52"/>
        <v>1196.0249400000012</v>
      </c>
      <c r="K583">
        <f t="shared" si="53"/>
        <v>12104.2845</v>
      </c>
    </row>
    <row r="584" spans="1:11" x14ac:dyDescent="0.25">
      <c r="A584" t="str">
        <f>Original!A579</f>
        <v>ORD-2023-713614</v>
      </c>
      <c r="B584">
        <f>Original!R579</f>
        <v>175.38</v>
      </c>
      <c r="C584">
        <f>Original!S579</f>
        <v>347.9</v>
      </c>
      <c r="D584" s="6">
        <f>Original!T579</f>
        <v>7.1999999999999995E-2</v>
      </c>
      <c r="E584" s="6">
        <f>Original!V579</f>
        <v>43</v>
      </c>
      <c r="F584" s="6">
        <f t="shared" ref="F584:F638" si="54">MIN(D584,$B$2)</f>
        <v>7.1999999999999995E-2</v>
      </c>
      <c r="G584">
        <f t="shared" ref="G584:G638" si="55">B584*(1+$B$3)</f>
        <v>184.149</v>
      </c>
      <c r="H584">
        <f t="shared" ref="H584:H638" si="56">E584*(1+$B$4)</f>
        <v>47.300000000000004</v>
      </c>
      <c r="I584">
        <f t="shared" ref="I584:I638" si="57">C584*H584*(1-F584)</f>
        <v>15270.861760000003</v>
      </c>
      <c r="J584">
        <f t="shared" ref="J584:J638" si="58">I584-K584</f>
        <v>6560.6140600000017</v>
      </c>
      <c r="K584">
        <f t="shared" ref="K584:K638" si="59">G584*H584</f>
        <v>8710.2477000000017</v>
      </c>
    </row>
    <row r="585" spans="1:11" x14ac:dyDescent="0.25">
      <c r="A585" t="str">
        <f>Original!A580</f>
        <v>ORD-2023-173313</v>
      </c>
      <c r="B585">
        <f>Original!R580</f>
        <v>751.28</v>
      </c>
      <c r="C585">
        <f>Original!S580</f>
        <v>1111.8800000000001</v>
      </c>
      <c r="D585" s="6">
        <f>Original!T580</f>
        <v>0.13500000000000001</v>
      </c>
      <c r="E585" s="6">
        <f>Original!V580</f>
        <v>7</v>
      </c>
      <c r="F585" s="6">
        <f t="shared" si="54"/>
        <v>0.13500000000000001</v>
      </c>
      <c r="G585">
        <f t="shared" si="55"/>
        <v>788.84400000000005</v>
      </c>
      <c r="H585">
        <f t="shared" si="56"/>
        <v>7.7000000000000011</v>
      </c>
      <c r="I585">
        <f t="shared" si="57"/>
        <v>7405.6767400000017</v>
      </c>
      <c r="J585">
        <f t="shared" si="58"/>
        <v>1331.5779400000001</v>
      </c>
      <c r="K585">
        <f t="shared" si="59"/>
        <v>6074.0988000000016</v>
      </c>
    </row>
    <row r="586" spans="1:11" x14ac:dyDescent="0.25">
      <c r="A586" t="str">
        <f>Original!A581</f>
        <v>ORD-2024-496601</v>
      </c>
      <c r="B586">
        <f>Original!R581</f>
        <v>164.53</v>
      </c>
      <c r="C586">
        <f>Original!S581</f>
        <v>327.72</v>
      </c>
      <c r="D586" s="6">
        <f>Original!T581</f>
        <v>6.7000000000000004E-2</v>
      </c>
      <c r="E586" s="6">
        <f>Original!V581</f>
        <v>14</v>
      </c>
      <c r="F586" s="6">
        <f t="shared" si="54"/>
        <v>6.7000000000000004E-2</v>
      </c>
      <c r="G586">
        <f t="shared" si="55"/>
        <v>172.75650000000002</v>
      </c>
      <c r="H586">
        <f t="shared" si="56"/>
        <v>15.400000000000002</v>
      </c>
      <c r="I586">
        <f t="shared" si="57"/>
        <v>4708.7465040000006</v>
      </c>
      <c r="J586">
        <f t="shared" si="58"/>
        <v>2048.2964040000002</v>
      </c>
      <c r="K586">
        <f t="shared" si="59"/>
        <v>2660.4501000000005</v>
      </c>
    </row>
    <row r="587" spans="1:11" x14ac:dyDescent="0.25">
      <c r="A587" t="str">
        <f>Original!A582</f>
        <v>ORD-2025-155182</v>
      </c>
      <c r="B587">
        <f>Original!R582</f>
        <v>389.93</v>
      </c>
      <c r="C587">
        <f>Original!S582</f>
        <v>486.13</v>
      </c>
      <c r="D587" s="6">
        <f>Original!T582</f>
        <v>0.13200000000000001</v>
      </c>
      <c r="E587" s="6">
        <f>Original!V582</f>
        <v>17</v>
      </c>
      <c r="F587" s="6">
        <f t="shared" si="54"/>
        <v>0.13200000000000001</v>
      </c>
      <c r="G587">
        <f t="shared" si="55"/>
        <v>409.42650000000003</v>
      </c>
      <c r="H587">
        <f t="shared" si="56"/>
        <v>18.700000000000003</v>
      </c>
      <c r="I587">
        <f t="shared" si="57"/>
        <v>7890.6677080000009</v>
      </c>
      <c r="J587">
        <f t="shared" si="58"/>
        <v>234.39215799999874</v>
      </c>
      <c r="K587">
        <f t="shared" si="59"/>
        <v>7656.2755500000021</v>
      </c>
    </row>
    <row r="588" spans="1:11" x14ac:dyDescent="0.25">
      <c r="A588" t="str">
        <f>Original!A583</f>
        <v>ORD-2023-244375</v>
      </c>
      <c r="B588">
        <f>Original!R583</f>
        <v>860.4</v>
      </c>
      <c r="C588">
        <f>Original!S583</f>
        <v>2066.6</v>
      </c>
      <c r="D588" s="6">
        <f>Original!T583</f>
        <v>0.01</v>
      </c>
      <c r="E588" s="6">
        <f>Original!V583</f>
        <v>3</v>
      </c>
      <c r="F588" s="6">
        <f t="shared" si="54"/>
        <v>0.01</v>
      </c>
      <c r="G588">
        <f t="shared" si="55"/>
        <v>903.42</v>
      </c>
      <c r="H588">
        <f t="shared" si="56"/>
        <v>3.3000000000000003</v>
      </c>
      <c r="I588">
        <f t="shared" si="57"/>
        <v>6751.5822000000007</v>
      </c>
      <c r="J588">
        <f t="shared" si="58"/>
        <v>3770.2962000000007</v>
      </c>
      <c r="K588">
        <f t="shared" si="59"/>
        <v>2981.2860000000001</v>
      </c>
    </row>
    <row r="589" spans="1:11" x14ac:dyDescent="0.25">
      <c r="A589" t="str">
        <f>Original!A584</f>
        <v>ORD-2023-856322</v>
      </c>
      <c r="B589">
        <f>Original!R584</f>
        <v>41.84</v>
      </c>
      <c r="C589">
        <f>Original!S584</f>
        <v>86.2</v>
      </c>
      <c r="D589" s="6">
        <f>Original!T584</f>
        <v>0.22600000000000001</v>
      </c>
      <c r="E589" s="6">
        <f>Original!V584</f>
        <v>27</v>
      </c>
      <c r="F589" s="6">
        <f t="shared" si="54"/>
        <v>0.2</v>
      </c>
      <c r="G589">
        <f t="shared" si="55"/>
        <v>43.932000000000002</v>
      </c>
      <c r="H589">
        <f t="shared" si="56"/>
        <v>29.700000000000003</v>
      </c>
      <c r="I589">
        <f t="shared" si="57"/>
        <v>2048.1120000000005</v>
      </c>
      <c r="J589">
        <f t="shared" si="58"/>
        <v>743.33160000000044</v>
      </c>
      <c r="K589">
        <f t="shared" si="59"/>
        <v>1304.7804000000001</v>
      </c>
    </row>
    <row r="590" spans="1:11" x14ac:dyDescent="0.25">
      <c r="A590" t="str">
        <f>Original!A585</f>
        <v>ORD-2024-594527</v>
      </c>
      <c r="B590">
        <f>Original!R585</f>
        <v>1368.17</v>
      </c>
      <c r="C590">
        <f>Original!S585</f>
        <v>2307.75</v>
      </c>
      <c r="D590" s="6">
        <f>Original!T585</f>
        <v>0.16300000000000001</v>
      </c>
      <c r="E590" s="6">
        <f>Original!V585</f>
        <v>21</v>
      </c>
      <c r="F590" s="6">
        <f t="shared" si="54"/>
        <v>0.16300000000000001</v>
      </c>
      <c r="G590">
        <f t="shared" si="55"/>
        <v>1436.5785000000001</v>
      </c>
      <c r="H590">
        <f t="shared" si="56"/>
        <v>23.1</v>
      </c>
      <c r="I590">
        <f t="shared" si="57"/>
        <v>44619.653924999999</v>
      </c>
      <c r="J590">
        <f t="shared" si="58"/>
        <v>11434.690574999993</v>
      </c>
      <c r="K590">
        <f t="shared" si="59"/>
        <v>33184.963350000005</v>
      </c>
    </row>
    <row r="591" spans="1:11" x14ac:dyDescent="0.25">
      <c r="A591" t="str">
        <f>Original!A586</f>
        <v>ORD-2024-689872</v>
      </c>
      <c r="B591">
        <f>Original!R586</f>
        <v>643.21</v>
      </c>
      <c r="C591">
        <f>Original!S586</f>
        <v>1112.81</v>
      </c>
      <c r="D591" s="6">
        <f>Original!T586</f>
        <v>0.14099999999999999</v>
      </c>
      <c r="E591" s="6">
        <f>Original!V586</f>
        <v>4</v>
      </c>
      <c r="F591" s="6">
        <f t="shared" si="54"/>
        <v>0.14099999999999999</v>
      </c>
      <c r="G591">
        <f t="shared" si="55"/>
        <v>675.37050000000011</v>
      </c>
      <c r="H591">
        <f t="shared" si="56"/>
        <v>4.4000000000000004</v>
      </c>
      <c r="I591">
        <f t="shared" si="57"/>
        <v>4205.9766760000002</v>
      </c>
      <c r="J591">
        <f t="shared" si="58"/>
        <v>1234.3464759999997</v>
      </c>
      <c r="K591">
        <f t="shared" si="59"/>
        <v>2971.6302000000005</v>
      </c>
    </row>
    <row r="592" spans="1:11" x14ac:dyDescent="0.25">
      <c r="A592" t="str">
        <f>Original!A587</f>
        <v>ORD-2025-246692</v>
      </c>
      <c r="B592">
        <f>Original!R587</f>
        <v>719.41</v>
      </c>
      <c r="C592">
        <f>Original!S587</f>
        <v>1125.99</v>
      </c>
      <c r="D592" s="6">
        <f>Original!T587</f>
        <v>4.1000000000000002E-2</v>
      </c>
      <c r="E592" s="6">
        <f>Original!V587</f>
        <v>21</v>
      </c>
      <c r="F592" s="6">
        <f t="shared" si="54"/>
        <v>4.1000000000000002E-2</v>
      </c>
      <c r="G592">
        <f t="shared" si="55"/>
        <v>755.38049999999998</v>
      </c>
      <c r="H592">
        <f t="shared" si="56"/>
        <v>23.1</v>
      </c>
      <c r="I592">
        <f t="shared" si="57"/>
        <v>24943.943871000003</v>
      </c>
      <c r="J592">
        <f t="shared" si="58"/>
        <v>7494.6543210000018</v>
      </c>
      <c r="K592">
        <f t="shared" si="59"/>
        <v>17449.289550000001</v>
      </c>
    </row>
    <row r="593" spans="1:11" x14ac:dyDescent="0.25">
      <c r="A593" t="str">
        <f>Original!A588</f>
        <v>ORD-2023-378676</v>
      </c>
      <c r="B593">
        <f>Original!R588</f>
        <v>64.5</v>
      </c>
      <c r="C593">
        <f>Original!S588</f>
        <v>123.62</v>
      </c>
      <c r="D593" s="6">
        <f>Original!T588</f>
        <v>0</v>
      </c>
      <c r="E593" s="6">
        <f>Original!V588</f>
        <v>3</v>
      </c>
      <c r="F593" s="6">
        <f t="shared" si="54"/>
        <v>0</v>
      </c>
      <c r="G593">
        <f t="shared" si="55"/>
        <v>67.725000000000009</v>
      </c>
      <c r="H593">
        <f t="shared" si="56"/>
        <v>3.3000000000000003</v>
      </c>
      <c r="I593">
        <f t="shared" si="57"/>
        <v>407.94600000000003</v>
      </c>
      <c r="J593">
        <f t="shared" si="58"/>
        <v>184.45349999999999</v>
      </c>
      <c r="K593">
        <f t="shared" si="59"/>
        <v>223.49250000000004</v>
      </c>
    </row>
    <row r="594" spans="1:11" x14ac:dyDescent="0.25">
      <c r="A594" t="str">
        <f>Original!A589</f>
        <v>ORD-2024-243988</v>
      </c>
      <c r="B594">
        <f>Original!R589</f>
        <v>1232.78</v>
      </c>
      <c r="C594">
        <f>Original!S589</f>
        <v>1731.75</v>
      </c>
      <c r="D594" s="6">
        <f>Original!T589</f>
        <v>9.2999999999999999E-2</v>
      </c>
      <c r="E594" s="6">
        <f>Original!V589</f>
        <v>16</v>
      </c>
      <c r="F594" s="6">
        <f t="shared" si="54"/>
        <v>9.2999999999999999E-2</v>
      </c>
      <c r="G594">
        <f t="shared" si="55"/>
        <v>1294.4190000000001</v>
      </c>
      <c r="H594">
        <f t="shared" si="56"/>
        <v>17.600000000000001</v>
      </c>
      <c r="I594">
        <f t="shared" si="57"/>
        <v>27644.271600000004</v>
      </c>
      <c r="J594">
        <f t="shared" si="58"/>
        <v>4862.4972000000016</v>
      </c>
      <c r="K594">
        <f t="shared" si="59"/>
        <v>22781.774400000002</v>
      </c>
    </row>
    <row r="595" spans="1:11" x14ac:dyDescent="0.25">
      <c r="A595" t="str">
        <f>Original!A590</f>
        <v>ORD-2024-572312</v>
      </c>
      <c r="B595">
        <f>Original!R590</f>
        <v>1367.13</v>
      </c>
      <c r="C595">
        <f>Original!S590</f>
        <v>3062.01</v>
      </c>
      <c r="D595" s="6">
        <f>Original!T590</f>
        <v>0.10299999999999999</v>
      </c>
      <c r="E595" s="6">
        <f>Original!V590</f>
        <v>25</v>
      </c>
      <c r="F595" s="6">
        <f t="shared" si="54"/>
        <v>0.10299999999999999</v>
      </c>
      <c r="G595">
        <f t="shared" si="55"/>
        <v>1435.4865000000002</v>
      </c>
      <c r="H595">
        <f t="shared" si="56"/>
        <v>27.500000000000004</v>
      </c>
      <c r="I595">
        <f t="shared" si="57"/>
        <v>75532.131675000026</v>
      </c>
      <c r="J595">
        <f t="shared" si="58"/>
        <v>36056.252925000015</v>
      </c>
      <c r="K595">
        <f t="shared" si="59"/>
        <v>39475.878750000011</v>
      </c>
    </row>
    <row r="596" spans="1:11" x14ac:dyDescent="0.25">
      <c r="A596" t="str">
        <f>Original!A591</f>
        <v>ORD-2025-281062</v>
      </c>
      <c r="B596">
        <f>Original!R591</f>
        <v>1027.26</v>
      </c>
      <c r="C596">
        <f>Original!S591</f>
        <v>2200.41</v>
      </c>
      <c r="D596" s="6">
        <f>Original!T591</f>
        <v>8.7999999999999995E-2</v>
      </c>
      <c r="E596" s="6">
        <f>Original!V591</f>
        <v>6</v>
      </c>
      <c r="F596" s="6">
        <f t="shared" si="54"/>
        <v>8.7999999999999995E-2</v>
      </c>
      <c r="G596">
        <f t="shared" si="55"/>
        <v>1078.623</v>
      </c>
      <c r="H596">
        <f t="shared" si="56"/>
        <v>6.6000000000000005</v>
      </c>
      <c r="I596">
        <f t="shared" si="57"/>
        <v>13244.707872000001</v>
      </c>
      <c r="J596">
        <f t="shared" si="58"/>
        <v>6125.7960720000001</v>
      </c>
      <c r="K596">
        <f t="shared" si="59"/>
        <v>7118.9118000000008</v>
      </c>
    </row>
    <row r="597" spans="1:11" x14ac:dyDescent="0.25">
      <c r="A597" t="str">
        <f>Original!A592</f>
        <v>ORD-2023-727290</v>
      </c>
      <c r="B597">
        <f>Original!R592</f>
        <v>790.54</v>
      </c>
      <c r="C597">
        <f>Original!S592</f>
        <v>601.49</v>
      </c>
      <c r="D597" s="6">
        <f>Original!T592</f>
        <v>0</v>
      </c>
      <c r="E597" s="6">
        <f>Original!V592</f>
        <v>15</v>
      </c>
      <c r="F597" s="6">
        <f t="shared" si="54"/>
        <v>0</v>
      </c>
      <c r="G597">
        <f t="shared" si="55"/>
        <v>830.06700000000001</v>
      </c>
      <c r="H597">
        <f t="shared" si="56"/>
        <v>16.5</v>
      </c>
      <c r="I597">
        <f t="shared" si="57"/>
        <v>9924.5850000000009</v>
      </c>
      <c r="J597">
        <f t="shared" si="58"/>
        <v>-3771.5204999999987</v>
      </c>
      <c r="K597">
        <f t="shared" si="59"/>
        <v>13696.1055</v>
      </c>
    </row>
    <row r="598" spans="1:11" x14ac:dyDescent="0.25">
      <c r="A598" t="str">
        <f>Original!A593</f>
        <v>ORD-2025-993993</v>
      </c>
      <c r="B598">
        <f>Original!R593</f>
        <v>663.9</v>
      </c>
      <c r="C598">
        <f>Original!S593</f>
        <v>947.77</v>
      </c>
      <c r="D598" s="6">
        <f>Original!T593</f>
        <v>0.17399999999999999</v>
      </c>
      <c r="E598" s="6">
        <f>Original!V593</f>
        <v>15</v>
      </c>
      <c r="F598" s="6">
        <f t="shared" si="54"/>
        <v>0.17399999999999999</v>
      </c>
      <c r="G598">
        <f t="shared" si="55"/>
        <v>697.09500000000003</v>
      </c>
      <c r="H598">
        <f t="shared" si="56"/>
        <v>16.5</v>
      </c>
      <c r="I598">
        <f t="shared" si="57"/>
        <v>12917.157330000002</v>
      </c>
      <c r="J598">
        <f t="shared" si="58"/>
        <v>1415.0898300000008</v>
      </c>
      <c r="K598">
        <f t="shared" si="59"/>
        <v>11502.067500000001</v>
      </c>
    </row>
    <row r="599" spans="1:11" x14ac:dyDescent="0.25">
      <c r="A599" t="str">
        <f>Original!A594</f>
        <v>ORD-2023-619493</v>
      </c>
      <c r="B599">
        <f>Original!R594</f>
        <v>1015.91</v>
      </c>
      <c r="C599">
        <f>Original!S594</f>
        <v>2331.48</v>
      </c>
      <c r="D599" s="6">
        <f>Original!T594</f>
        <v>0.14599999999999999</v>
      </c>
      <c r="E599" s="6">
        <f>Original!V594</f>
        <v>26</v>
      </c>
      <c r="F599" s="6">
        <f t="shared" si="54"/>
        <v>0.14599999999999999</v>
      </c>
      <c r="G599">
        <f t="shared" si="55"/>
        <v>1066.7055</v>
      </c>
      <c r="H599">
        <f t="shared" si="56"/>
        <v>28.6</v>
      </c>
      <c r="I599">
        <f t="shared" si="57"/>
        <v>56945.000112000009</v>
      </c>
      <c r="J599">
        <f t="shared" si="58"/>
        <v>26437.222812000007</v>
      </c>
      <c r="K599">
        <f t="shared" si="59"/>
        <v>30507.777300000002</v>
      </c>
    </row>
    <row r="600" spans="1:11" x14ac:dyDescent="0.25">
      <c r="A600" t="str">
        <f>Original!A595</f>
        <v>ORD-2024-947056</v>
      </c>
      <c r="B600">
        <f>Original!R595</f>
        <v>1252.52</v>
      </c>
      <c r="C600">
        <f>Original!S595</f>
        <v>1417.24</v>
      </c>
      <c r="D600" s="6">
        <f>Original!T595</f>
        <v>0.192</v>
      </c>
      <c r="E600" s="6">
        <f>Original!V595</f>
        <v>5</v>
      </c>
      <c r="F600" s="6">
        <f t="shared" si="54"/>
        <v>0.192</v>
      </c>
      <c r="G600">
        <f t="shared" si="55"/>
        <v>1315.146</v>
      </c>
      <c r="H600">
        <f t="shared" si="56"/>
        <v>5.5</v>
      </c>
      <c r="I600">
        <f t="shared" si="57"/>
        <v>6298.2145600000003</v>
      </c>
      <c r="J600">
        <f t="shared" si="58"/>
        <v>-935.08843999999954</v>
      </c>
      <c r="K600">
        <f t="shared" si="59"/>
        <v>7233.3029999999999</v>
      </c>
    </row>
    <row r="601" spans="1:11" x14ac:dyDescent="0.25">
      <c r="A601" t="str">
        <f>Original!A596</f>
        <v>ORD-2025-856556</v>
      </c>
      <c r="B601">
        <f>Original!R596</f>
        <v>318.83</v>
      </c>
      <c r="C601">
        <f>Original!S596</f>
        <v>699.5</v>
      </c>
      <c r="D601" s="6">
        <f>Original!T596</f>
        <v>0.08</v>
      </c>
      <c r="E601" s="6">
        <f>Original!V596</f>
        <v>13</v>
      </c>
      <c r="F601" s="6">
        <f t="shared" si="54"/>
        <v>0.08</v>
      </c>
      <c r="G601">
        <f t="shared" si="55"/>
        <v>334.7715</v>
      </c>
      <c r="H601">
        <f t="shared" si="56"/>
        <v>14.3</v>
      </c>
      <c r="I601">
        <f t="shared" si="57"/>
        <v>9202.6220000000012</v>
      </c>
      <c r="J601">
        <f t="shared" si="58"/>
        <v>4415.3895500000008</v>
      </c>
      <c r="K601">
        <f t="shared" si="59"/>
        <v>4787.2324500000004</v>
      </c>
    </row>
    <row r="602" spans="1:11" x14ac:dyDescent="0.25">
      <c r="A602" t="str">
        <f>Original!A597</f>
        <v>ORD-2024-442776</v>
      </c>
      <c r="B602">
        <f>Original!R597</f>
        <v>753.43</v>
      </c>
      <c r="C602">
        <f>Original!S597</f>
        <v>1787.2</v>
      </c>
      <c r="D602" s="6">
        <f>Original!T597</f>
        <v>7.2999999999999995E-2</v>
      </c>
      <c r="E602" s="6">
        <f>Original!V597</f>
        <v>9</v>
      </c>
      <c r="F602" s="6">
        <f t="shared" si="54"/>
        <v>7.2999999999999995E-2</v>
      </c>
      <c r="G602">
        <f t="shared" si="55"/>
        <v>791.10149999999999</v>
      </c>
      <c r="H602">
        <f t="shared" si="56"/>
        <v>9.9</v>
      </c>
      <c r="I602">
        <f t="shared" si="57"/>
        <v>16401.670560000002</v>
      </c>
      <c r="J602">
        <f t="shared" si="58"/>
        <v>8569.7657100000033</v>
      </c>
      <c r="K602">
        <f t="shared" si="59"/>
        <v>7831.9048499999999</v>
      </c>
    </row>
    <row r="603" spans="1:11" x14ac:dyDescent="0.25">
      <c r="A603" t="str">
        <f>Original!A598</f>
        <v>ORD-2025-705398</v>
      </c>
      <c r="B603">
        <f>Original!R598</f>
        <v>1133.47</v>
      </c>
      <c r="C603">
        <f>Original!S598</f>
        <v>1698.75</v>
      </c>
      <c r="D603" s="6">
        <f>Original!T598</f>
        <v>4.2999999999999997E-2</v>
      </c>
      <c r="E603" s="6">
        <f>Original!V598</f>
        <v>5</v>
      </c>
      <c r="F603" s="6">
        <f t="shared" si="54"/>
        <v>4.2999999999999997E-2</v>
      </c>
      <c r="G603">
        <f t="shared" si="55"/>
        <v>1190.1435000000001</v>
      </c>
      <c r="H603">
        <f t="shared" si="56"/>
        <v>5.5</v>
      </c>
      <c r="I603">
        <f t="shared" si="57"/>
        <v>8941.3706249999996</v>
      </c>
      <c r="J603">
        <f t="shared" si="58"/>
        <v>2395.5813749999988</v>
      </c>
      <c r="K603">
        <f t="shared" si="59"/>
        <v>6545.7892500000007</v>
      </c>
    </row>
    <row r="604" spans="1:11" x14ac:dyDescent="0.25">
      <c r="A604" t="str">
        <f>Original!A599</f>
        <v>ORD-2023-689428</v>
      </c>
      <c r="B604">
        <f>Original!R599</f>
        <v>299.02</v>
      </c>
      <c r="C604">
        <f>Original!S599</f>
        <v>724.7</v>
      </c>
      <c r="D604" s="6">
        <f>Original!T599</f>
        <v>0.14000000000000001</v>
      </c>
      <c r="E604" s="6">
        <f>Original!V599</f>
        <v>5</v>
      </c>
      <c r="F604" s="6">
        <f t="shared" si="54"/>
        <v>0.14000000000000001</v>
      </c>
      <c r="G604">
        <f t="shared" si="55"/>
        <v>313.971</v>
      </c>
      <c r="H604">
        <f t="shared" si="56"/>
        <v>5.5</v>
      </c>
      <c r="I604">
        <f t="shared" si="57"/>
        <v>3427.8310000000001</v>
      </c>
      <c r="J604">
        <f t="shared" si="58"/>
        <v>1700.9905000000001</v>
      </c>
      <c r="K604">
        <f t="shared" si="59"/>
        <v>1726.8405</v>
      </c>
    </row>
    <row r="605" spans="1:11" x14ac:dyDescent="0.25">
      <c r="A605" t="str">
        <f>Original!A600</f>
        <v>ORD-2025-683247</v>
      </c>
      <c r="B605">
        <f>Original!R600</f>
        <v>783.72</v>
      </c>
      <c r="C605">
        <f>Original!S600</f>
        <v>1355.94</v>
      </c>
      <c r="D605" s="6">
        <f>Original!T600</f>
        <v>0.187</v>
      </c>
      <c r="E605" s="6">
        <f>Original!V600</f>
        <v>4</v>
      </c>
      <c r="F605" s="6">
        <f t="shared" si="54"/>
        <v>0.187</v>
      </c>
      <c r="G605">
        <f t="shared" si="55"/>
        <v>822.90600000000006</v>
      </c>
      <c r="H605">
        <f t="shared" si="56"/>
        <v>4.4000000000000004</v>
      </c>
      <c r="I605">
        <f t="shared" si="57"/>
        <v>4850.4685680000002</v>
      </c>
      <c r="J605">
        <f t="shared" si="58"/>
        <v>1229.6821679999998</v>
      </c>
      <c r="K605">
        <f t="shared" si="59"/>
        <v>3620.7864000000004</v>
      </c>
    </row>
    <row r="606" spans="1:11" x14ac:dyDescent="0.25">
      <c r="A606" t="str">
        <f>Original!A601</f>
        <v>ORD-2024-585443</v>
      </c>
      <c r="B606">
        <f>Original!R601</f>
        <v>165.3</v>
      </c>
      <c r="C606">
        <f>Original!S601</f>
        <v>275.07</v>
      </c>
      <c r="D606" s="6">
        <f>Original!T601</f>
        <v>0.13300000000000001</v>
      </c>
      <c r="E606" s="6">
        <f>Original!V601</f>
        <v>25</v>
      </c>
      <c r="F606" s="6">
        <f t="shared" si="54"/>
        <v>0.13300000000000001</v>
      </c>
      <c r="G606">
        <f t="shared" si="55"/>
        <v>173.56500000000003</v>
      </c>
      <c r="H606">
        <f t="shared" si="56"/>
        <v>27.500000000000004</v>
      </c>
      <c r="I606">
        <f t="shared" si="57"/>
        <v>6558.3564750000005</v>
      </c>
      <c r="J606">
        <f t="shared" si="58"/>
        <v>1785.3189749999992</v>
      </c>
      <c r="K606">
        <f t="shared" si="59"/>
        <v>4773.0375000000013</v>
      </c>
    </row>
    <row r="607" spans="1:11" x14ac:dyDescent="0.25">
      <c r="A607" t="str">
        <f>Original!A602</f>
        <v>ORD-2024-907733</v>
      </c>
      <c r="B607">
        <f>Original!R602</f>
        <v>985.45</v>
      </c>
      <c r="C607">
        <f>Original!S602</f>
        <v>1802.44</v>
      </c>
      <c r="D607" s="6">
        <f>Original!T602</f>
        <v>8.9999999999999993E-3</v>
      </c>
      <c r="E607" s="6">
        <f>Original!V602</f>
        <v>19</v>
      </c>
      <c r="F607" s="6">
        <f t="shared" si="54"/>
        <v>8.9999999999999993E-3</v>
      </c>
      <c r="G607">
        <f t="shared" si="55"/>
        <v>1034.7225000000001</v>
      </c>
      <c r="H607">
        <f t="shared" si="56"/>
        <v>20.900000000000002</v>
      </c>
      <c r="I607">
        <f t="shared" si="57"/>
        <v>37331.957036000007</v>
      </c>
      <c r="J607">
        <f t="shared" si="58"/>
        <v>15706.256786000002</v>
      </c>
      <c r="K607">
        <f t="shared" si="59"/>
        <v>21625.700250000005</v>
      </c>
    </row>
    <row r="608" spans="1:11" x14ac:dyDescent="0.25">
      <c r="A608" t="str">
        <f>Original!A603</f>
        <v>ORD-2024-550400</v>
      </c>
      <c r="B608">
        <f>Original!R603</f>
        <v>1337.01</v>
      </c>
      <c r="C608">
        <f>Original!S603</f>
        <v>1269.78</v>
      </c>
      <c r="D608" s="6">
        <f>Original!T603</f>
        <v>0.16</v>
      </c>
      <c r="E608" s="6">
        <f>Original!V603</f>
        <v>7</v>
      </c>
      <c r="F608" s="6">
        <f t="shared" si="54"/>
        <v>0.16</v>
      </c>
      <c r="G608">
        <f t="shared" si="55"/>
        <v>1403.8605</v>
      </c>
      <c r="H608">
        <f t="shared" si="56"/>
        <v>7.7000000000000011</v>
      </c>
      <c r="I608">
        <f t="shared" si="57"/>
        <v>8212.9370400000007</v>
      </c>
      <c r="J608">
        <f t="shared" si="58"/>
        <v>-2596.78881</v>
      </c>
      <c r="K608">
        <f t="shared" si="59"/>
        <v>10809.725850000001</v>
      </c>
    </row>
    <row r="609" spans="1:11" x14ac:dyDescent="0.25">
      <c r="A609" t="str">
        <f>Original!A604</f>
        <v>ORD-2025-189846</v>
      </c>
      <c r="B609">
        <f>Original!R604</f>
        <v>416.16</v>
      </c>
      <c r="C609">
        <f>Original!S604</f>
        <v>571.9</v>
      </c>
      <c r="D609" s="6">
        <f>Original!T604</f>
        <v>7.0999999999999994E-2</v>
      </c>
      <c r="E609" s="6">
        <f>Original!V604</f>
        <v>2</v>
      </c>
      <c r="F609" s="6">
        <f t="shared" si="54"/>
        <v>7.0999999999999994E-2</v>
      </c>
      <c r="G609">
        <f t="shared" si="55"/>
        <v>436.96800000000002</v>
      </c>
      <c r="H609">
        <f t="shared" si="56"/>
        <v>2.2000000000000002</v>
      </c>
      <c r="I609">
        <f t="shared" si="57"/>
        <v>1168.8492200000001</v>
      </c>
      <c r="J609">
        <f t="shared" si="58"/>
        <v>207.51961999999992</v>
      </c>
      <c r="K609">
        <f t="shared" si="59"/>
        <v>961.32960000000014</v>
      </c>
    </row>
    <row r="610" spans="1:11" x14ac:dyDescent="0.25">
      <c r="A610" t="str">
        <f>Original!A605</f>
        <v>ORD-2025-752192</v>
      </c>
      <c r="B610">
        <f>Original!R605</f>
        <v>1144.3800000000001</v>
      </c>
      <c r="C610">
        <f>Original!S605</f>
        <v>2755.04</v>
      </c>
      <c r="D610" s="6">
        <f>Original!T605</f>
        <v>0.15</v>
      </c>
      <c r="E610" s="6">
        <f>Original!V605</f>
        <v>17</v>
      </c>
      <c r="F610" s="6">
        <f t="shared" si="54"/>
        <v>0.15</v>
      </c>
      <c r="G610">
        <f t="shared" si="55"/>
        <v>1201.5990000000002</v>
      </c>
      <c r="H610">
        <f t="shared" si="56"/>
        <v>18.700000000000003</v>
      </c>
      <c r="I610">
        <f t="shared" si="57"/>
        <v>43791.360800000002</v>
      </c>
      <c r="J610">
        <f t="shared" si="58"/>
        <v>21321.459499999997</v>
      </c>
      <c r="K610">
        <f t="shared" si="59"/>
        <v>22469.901300000005</v>
      </c>
    </row>
    <row r="611" spans="1:11" x14ac:dyDescent="0.25">
      <c r="A611" t="str">
        <f>Original!A606</f>
        <v>ORD-2023-294716</v>
      </c>
      <c r="B611">
        <f>Original!R606</f>
        <v>405.66</v>
      </c>
      <c r="C611">
        <f>Original!S606</f>
        <v>962.51</v>
      </c>
      <c r="D611" s="6">
        <f>Original!T606</f>
        <v>0.19</v>
      </c>
      <c r="E611" s="6">
        <f>Original!V606</f>
        <v>7</v>
      </c>
      <c r="F611" s="6">
        <f t="shared" si="54"/>
        <v>0.19</v>
      </c>
      <c r="G611">
        <f t="shared" si="55"/>
        <v>425.94300000000004</v>
      </c>
      <c r="H611">
        <f t="shared" si="56"/>
        <v>7.7000000000000011</v>
      </c>
      <c r="I611">
        <f t="shared" si="57"/>
        <v>6003.1748700000016</v>
      </c>
      <c r="J611">
        <f t="shared" si="58"/>
        <v>2723.413770000001</v>
      </c>
      <c r="K611">
        <f t="shared" si="59"/>
        <v>3279.7611000000006</v>
      </c>
    </row>
    <row r="612" spans="1:11" x14ac:dyDescent="0.25">
      <c r="A612" t="str">
        <f>Original!A607</f>
        <v>ORD-2023-552115</v>
      </c>
      <c r="B612">
        <f>Original!R607</f>
        <v>689.33</v>
      </c>
      <c r="C612">
        <f>Original!S607</f>
        <v>668.27</v>
      </c>
      <c r="D612" s="6">
        <f>Original!T607</f>
        <v>0.186</v>
      </c>
      <c r="E612" s="6">
        <f>Original!V607</f>
        <v>13</v>
      </c>
      <c r="F612" s="6">
        <f t="shared" si="54"/>
        <v>0.186</v>
      </c>
      <c r="G612">
        <f t="shared" si="55"/>
        <v>723.79650000000004</v>
      </c>
      <c r="H612">
        <f t="shared" si="56"/>
        <v>14.3</v>
      </c>
      <c r="I612">
        <f t="shared" si="57"/>
        <v>7778.7964540000012</v>
      </c>
      <c r="J612">
        <f t="shared" si="58"/>
        <v>-2571.4934959999991</v>
      </c>
      <c r="K612">
        <f t="shared" si="59"/>
        <v>10350.28995</v>
      </c>
    </row>
    <row r="613" spans="1:11" x14ac:dyDescent="0.25">
      <c r="A613" t="str">
        <f>Original!A608</f>
        <v>ORD-2023-107265</v>
      </c>
      <c r="B613">
        <f>Original!R608</f>
        <v>1209.22</v>
      </c>
      <c r="C613">
        <f>Original!S608</f>
        <v>1404.33</v>
      </c>
      <c r="D613" s="6">
        <f>Original!T608</f>
        <v>0.10299999999999999</v>
      </c>
      <c r="E613" s="6">
        <f>Original!V608</f>
        <v>11</v>
      </c>
      <c r="F613" s="6">
        <f t="shared" si="54"/>
        <v>0.10299999999999999</v>
      </c>
      <c r="G613">
        <f t="shared" si="55"/>
        <v>1269.681</v>
      </c>
      <c r="H613">
        <f t="shared" si="56"/>
        <v>12.100000000000001</v>
      </c>
      <c r="I613">
        <f t="shared" si="57"/>
        <v>15242.176521000001</v>
      </c>
      <c r="J613">
        <f t="shared" si="58"/>
        <v>-120.96357900000112</v>
      </c>
      <c r="K613">
        <f t="shared" si="59"/>
        <v>15363.140100000002</v>
      </c>
    </row>
    <row r="614" spans="1:11" x14ac:dyDescent="0.25">
      <c r="A614" t="str">
        <f>Original!A609</f>
        <v>ORD-2025-262434</v>
      </c>
      <c r="B614">
        <f>Original!R609</f>
        <v>1466.27</v>
      </c>
      <c r="C614">
        <f>Original!S609</f>
        <v>3589.89</v>
      </c>
      <c r="D614" s="6">
        <f>Original!T609</f>
        <v>9.7000000000000003E-2</v>
      </c>
      <c r="E614" s="6">
        <f>Original!V609</f>
        <v>9</v>
      </c>
      <c r="F614" s="6">
        <f t="shared" si="54"/>
        <v>9.7000000000000003E-2</v>
      </c>
      <c r="G614">
        <f t="shared" si="55"/>
        <v>1539.5835</v>
      </c>
      <c r="H614">
        <f t="shared" si="56"/>
        <v>9.9</v>
      </c>
      <c r="I614">
        <f t="shared" si="57"/>
        <v>32092.539633</v>
      </c>
      <c r="J614">
        <f t="shared" si="58"/>
        <v>16850.662983000002</v>
      </c>
      <c r="K614">
        <f t="shared" si="59"/>
        <v>15241.87665</v>
      </c>
    </row>
    <row r="615" spans="1:11" x14ac:dyDescent="0.25">
      <c r="A615" t="str">
        <f>Original!A610</f>
        <v>ORD-2024-266562</v>
      </c>
      <c r="B615">
        <f>Original!R610</f>
        <v>143.33000000000001</v>
      </c>
      <c r="C615">
        <f>Original!S610</f>
        <v>233.51</v>
      </c>
      <c r="D615" s="6">
        <f>Original!T610</f>
        <v>0.16300000000000001</v>
      </c>
      <c r="E615" s="6">
        <f>Original!V610</f>
        <v>14</v>
      </c>
      <c r="F615" s="6">
        <f t="shared" si="54"/>
        <v>0.16300000000000001</v>
      </c>
      <c r="G615">
        <f t="shared" si="55"/>
        <v>150.49650000000003</v>
      </c>
      <c r="H615">
        <f t="shared" si="56"/>
        <v>15.400000000000002</v>
      </c>
      <c r="I615">
        <f t="shared" si="57"/>
        <v>3009.8971980000001</v>
      </c>
      <c r="J615">
        <f t="shared" si="58"/>
        <v>692.25109799999927</v>
      </c>
      <c r="K615">
        <f t="shared" si="59"/>
        <v>2317.6461000000008</v>
      </c>
    </row>
    <row r="616" spans="1:11" x14ac:dyDescent="0.25">
      <c r="A616" t="str">
        <f>Original!A611</f>
        <v>ORD-2024-838925</v>
      </c>
      <c r="B616">
        <f>Original!R611</f>
        <v>109.75</v>
      </c>
      <c r="C616">
        <f>Original!S611</f>
        <v>124.25</v>
      </c>
      <c r="D616" s="6">
        <f>Original!T611</f>
        <v>0.12</v>
      </c>
      <c r="E616" s="6">
        <f>Original!V611</f>
        <v>19</v>
      </c>
      <c r="F616" s="6">
        <f t="shared" si="54"/>
        <v>0.12</v>
      </c>
      <c r="G616">
        <f t="shared" si="55"/>
        <v>115.23750000000001</v>
      </c>
      <c r="H616">
        <f t="shared" si="56"/>
        <v>20.900000000000002</v>
      </c>
      <c r="I616">
        <f t="shared" si="57"/>
        <v>2285.2060000000001</v>
      </c>
      <c r="J616">
        <f t="shared" si="58"/>
        <v>-123.25775000000021</v>
      </c>
      <c r="K616">
        <f t="shared" si="59"/>
        <v>2408.4637500000003</v>
      </c>
    </row>
    <row r="617" spans="1:11" x14ac:dyDescent="0.25">
      <c r="A617" t="str">
        <f>Original!A612</f>
        <v>ORD-2023-664790</v>
      </c>
      <c r="B617">
        <f>Original!R612</f>
        <v>1099.1500000000001</v>
      </c>
      <c r="C617">
        <f>Original!S612</f>
        <v>1431.37</v>
      </c>
      <c r="D617" s="6">
        <f>Original!T612</f>
        <v>0.104</v>
      </c>
      <c r="E617" s="6">
        <f>Original!V612</f>
        <v>8</v>
      </c>
      <c r="F617" s="6">
        <f t="shared" si="54"/>
        <v>0.104</v>
      </c>
      <c r="G617">
        <f t="shared" si="55"/>
        <v>1154.1075000000001</v>
      </c>
      <c r="H617">
        <f t="shared" si="56"/>
        <v>8.8000000000000007</v>
      </c>
      <c r="I617">
        <f t="shared" si="57"/>
        <v>11286.066176</v>
      </c>
      <c r="J617">
        <f t="shared" si="58"/>
        <v>1129.9201759999996</v>
      </c>
      <c r="K617">
        <f t="shared" si="59"/>
        <v>10156.146000000001</v>
      </c>
    </row>
    <row r="618" spans="1:11" x14ac:dyDescent="0.25">
      <c r="A618" t="str">
        <f>Original!A613</f>
        <v>ORD-2024-331408</v>
      </c>
      <c r="B618">
        <f>Original!R613</f>
        <v>714.43</v>
      </c>
      <c r="C618">
        <f>Original!S613</f>
        <v>1595.52</v>
      </c>
      <c r="D618" s="6">
        <f>Original!T613</f>
        <v>0.19400000000000001</v>
      </c>
      <c r="E618" s="6">
        <f>Original!V613</f>
        <v>14</v>
      </c>
      <c r="F618" s="6">
        <f t="shared" si="54"/>
        <v>0.19400000000000001</v>
      </c>
      <c r="G618">
        <f t="shared" si="55"/>
        <v>750.15149999999994</v>
      </c>
      <c r="H618">
        <f t="shared" si="56"/>
        <v>15.400000000000002</v>
      </c>
      <c r="I618">
        <f t="shared" si="57"/>
        <v>19804.232448000002</v>
      </c>
      <c r="J618">
        <f t="shared" si="58"/>
        <v>8251.8993480000026</v>
      </c>
      <c r="K618">
        <f t="shared" si="59"/>
        <v>11552.3331</v>
      </c>
    </row>
    <row r="619" spans="1:11" x14ac:dyDescent="0.25">
      <c r="A619" t="str">
        <f>Original!A614</f>
        <v>ORD-2024-741404</v>
      </c>
      <c r="B619">
        <f>Original!R614</f>
        <v>942.02</v>
      </c>
      <c r="C619">
        <f>Original!S614</f>
        <v>1028.46</v>
      </c>
      <c r="D619" s="6">
        <f>Original!T614</f>
        <v>0</v>
      </c>
      <c r="E619" s="6">
        <f>Original!V614</f>
        <v>9</v>
      </c>
      <c r="F619" s="6">
        <f t="shared" si="54"/>
        <v>0</v>
      </c>
      <c r="G619">
        <f t="shared" si="55"/>
        <v>989.12099999999998</v>
      </c>
      <c r="H619">
        <f t="shared" si="56"/>
        <v>9.9</v>
      </c>
      <c r="I619">
        <f t="shared" si="57"/>
        <v>10181.754000000001</v>
      </c>
      <c r="J619">
        <f t="shared" si="58"/>
        <v>389.45610000000124</v>
      </c>
      <c r="K619">
        <f t="shared" si="59"/>
        <v>9792.2978999999996</v>
      </c>
    </row>
    <row r="620" spans="1:11" x14ac:dyDescent="0.25">
      <c r="A620" t="str">
        <f>Original!A615</f>
        <v>ORD-2024-341535</v>
      </c>
      <c r="B620">
        <f>Original!R615</f>
        <v>1323.55</v>
      </c>
      <c r="C620">
        <f>Original!S615</f>
        <v>3230.35</v>
      </c>
      <c r="D620" s="6">
        <f>Original!T615</f>
        <v>2.1999999999999999E-2</v>
      </c>
      <c r="E620" s="6">
        <f>Original!V615</f>
        <v>26</v>
      </c>
      <c r="F620" s="6">
        <f t="shared" si="54"/>
        <v>2.1999999999999999E-2</v>
      </c>
      <c r="G620">
        <f t="shared" si="55"/>
        <v>1389.7275</v>
      </c>
      <c r="H620">
        <f t="shared" si="56"/>
        <v>28.6</v>
      </c>
      <c r="I620">
        <f t="shared" si="57"/>
        <v>90355.47378</v>
      </c>
      <c r="J620">
        <f t="shared" si="58"/>
        <v>50609.26728</v>
      </c>
      <c r="K620">
        <f t="shared" si="59"/>
        <v>39746.2065</v>
      </c>
    </row>
    <row r="621" spans="1:11" x14ac:dyDescent="0.25">
      <c r="A621" t="str">
        <f>Original!A616</f>
        <v>ORD-2023-451931</v>
      </c>
      <c r="B621">
        <f>Original!R616</f>
        <v>1418.51</v>
      </c>
      <c r="C621">
        <f>Original!S616</f>
        <v>2789.61</v>
      </c>
      <c r="D621" s="6">
        <f>Original!T616</f>
        <v>0.17100000000000001</v>
      </c>
      <c r="E621" s="6">
        <f>Original!V616</f>
        <v>8</v>
      </c>
      <c r="F621" s="6">
        <f t="shared" si="54"/>
        <v>0.17100000000000001</v>
      </c>
      <c r="G621">
        <f t="shared" si="55"/>
        <v>1489.4355</v>
      </c>
      <c r="H621">
        <f t="shared" si="56"/>
        <v>8.8000000000000007</v>
      </c>
      <c r="I621">
        <f t="shared" si="57"/>
        <v>20350.762872000003</v>
      </c>
      <c r="J621">
        <f t="shared" si="58"/>
        <v>7243.7304720000011</v>
      </c>
      <c r="K621">
        <f t="shared" si="59"/>
        <v>13107.032400000002</v>
      </c>
    </row>
    <row r="622" spans="1:11" x14ac:dyDescent="0.25">
      <c r="A622" t="str">
        <f>Original!A617</f>
        <v>ORD-2025-532859</v>
      </c>
      <c r="B622">
        <f>Original!R617</f>
        <v>1317.58</v>
      </c>
      <c r="C622">
        <f>Original!S617</f>
        <v>1897.74</v>
      </c>
      <c r="D622" s="6">
        <f>Original!T617</f>
        <v>8.1000000000000003E-2</v>
      </c>
      <c r="E622" s="6">
        <f>Original!V617</f>
        <v>6</v>
      </c>
      <c r="F622" s="6">
        <f t="shared" si="54"/>
        <v>8.1000000000000003E-2</v>
      </c>
      <c r="G622">
        <f t="shared" si="55"/>
        <v>1383.4590000000001</v>
      </c>
      <c r="H622">
        <f t="shared" si="56"/>
        <v>6.6000000000000005</v>
      </c>
      <c r="I622">
        <f t="shared" si="57"/>
        <v>11510.552196000001</v>
      </c>
      <c r="J622">
        <f t="shared" si="58"/>
        <v>2379.722796</v>
      </c>
      <c r="K622">
        <f t="shared" si="59"/>
        <v>9130.8294000000005</v>
      </c>
    </row>
    <row r="623" spans="1:11" x14ac:dyDescent="0.25">
      <c r="A623" t="str">
        <f>Original!A618</f>
        <v>ORD-2023-502205</v>
      </c>
      <c r="B623">
        <f>Original!R618</f>
        <v>391.16</v>
      </c>
      <c r="C623">
        <f>Original!S618</f>
        <v>902.47</v>
      </c>
      <c r="D623" s="6">
        <f>Original!T618</f>
        <v>4.0000000000000001E-3</v>
      </c>
      <c r="E623" s="6">
        <f>Original!V618</f>
        <v>12</v>
      </c>
      <c r="F623" s="6">
        <f t="shared" si="54"/>
        <v>4.0000000000000001E-3</v>
      </c>
      <c r="G623">
        <f t="shared" si="55"/>
        <v>410.71800000000002</v>
      </c>
      <c r="H623">
        <f t="shared" si="56"/>
        <v>13.200000000000001</v>
      </c>
      <c r="I623">
        <f t="shared" si="57"/>
        <v>11864.953584000001</v>
      </c>
      <c r="J623">
        <f t="shared" si="58"/>
        <v>6443.4759839999997</v>
      </c>
      <c r="K623">
        <f t="shared" si="59"/>
        <v>5421.4776000000011</v>
      </c>
    </row>
    <row r="624" spans="1:11" x14ac:dyDescent="0.25">
      <c r="A624" t="str">
        <f>Original!A619</f>
        <v>ORD-2024-930679</v>
      </c>
      <c r="B624">
        <f>Original!R619</f>
        <v>722.87</v>
      </c>
      <c r="C624">
        <f>Original!S619</f>
        <v>33.659999999999997</v>
      </c>
      <c r="D624" s="6">
        <f>Original!T619</f>
        <v>0.10199999999999999</v>
      </c>
      <c r="E624" s="6">
        <f>Original!V619</f>
        <v>28</v>
      </c>
      <c r="F624" s="6">
        <f t="shared" si="54"/>
        <v>0.10199999999999999</v>
      </c>
      <c r="G624">
        <f t="shared" si="55"/>
        <v>759.01350000000002</v>
      </c>
      <c r="H624">
        <f t="shared" si="56"/>
        <v>30.800000000000004</v>
      </c>
      <c r="I624">
        <f t="shared" si="57"/>
        <v>930.98174400000005</v>
      </c>
      <c r="J624">
        <f t="shared" si="58"/>
        <v>-22446.634056000003</v>
      </c>
      <c r="K624">
        <f t="shared" si="59"/>
        <v>23377.615800000003</v>
      </c>
    </row>
    <row r="625" spans="1:11" x14ac:dyDescent="0.25">
      <c r="A625" t="str">
        <f>Original!A620</f>
        <v>ORD-2025-150713</v>
      </c>
      <c r="B625">
        <f>Original!R620</f>
        <v>930.03</v>
      </c>
      <c r="C625">
        <f>Original!S620</f>
        <v>1086.68</v>
      </c>
      <c r="D625" s="6">
        <f>Original!T620</f>
        <v>0.109</v>
      </c>
      <c r="E625" s="6">
        <f>Original!V620</f>
        <v>26</v>
      </c>
      <c r="F625" s="6">
        <f t="shared" si="54"/>
        <v>0.109</v>
      </c>
      <c r="G625">
        <f t="shared" si="55"/>
        <v>976.53150000000005</v>
      </c>
      <c r="H625">
        <f t="shared" si="56"/>
        <v>28.6</v>
      </c>
      <c r="I625">
        <f t="shared" si="57"/>
        <v>27691.431768000002</v>
      </c>
      <c r="J625">
        <f t="shared" si="58"/>
        <v>-237.36913199999981</v>
      </c>
      <c r="K625">
        <f t="shared" si="59"/>
        <v>27928.800900000002</v>
      </c>
    </row>
    <row r="626" spans="1:11" x14ac:dyDescent="0.25">
      <c r="A626" t="str">
        <f>Original!A621</f>
        <v>ORD-2024-756884</v>
      </c>
      <c r="B626">
        <f>Original!R621</f>
        <v>816.7</v>
      </c>
      <c r="C626">
        <f>Original!S621</f>
        <v>1010.75</v>
      </c>
      <c r="D626" s="6">
        <f>Original!T621</f>
        <v>4.7E-2</v>
      </c>
      <c r="E626" s="6">
        <f>Original!V621</f>
        <v>43</v>
      </c>
      <c r="F626" s="6">
        <f t="shared" si="54"/>
        <v>4.7E-2</v>
      </c>
      <c r="G626">
        <f t="shared" si="55"/>
        <v>857.53500000000008</v>
      </c>
      <c r="H626">
        <f t="shared" si="56"/>
        <v>47.300000000000004</v>
      </c>
      <c r="I626">
        <f t="shared" si="57"/>
        <v>45561.476675000005</v>
      </c>
      <c r="J626">
        <f t="shared" si="58"/>
        <v>5000.0711749999973</v>
      </c>
      <c r="K626">
        <f t="shared" si="59"/>
        <v>40561.405500000008</v>
      </c>
    </row>
    <row r="627" spans="1:11" x14ac:dyDescent="0.25">
      <c r="A627" t="str">
        <f>Original!A622</f>
        <v>ORD-2023-755337</v>
      </c>
      <c r="B627">
        <f>Original!R622</f>
        <v>251.03</v>
      </c>
      <c r="C627">
        <f>Original!S622</f>
        <v>411.48</v>
      </c>
      <c r="D627" s="6">
        <f>Original!T622</f>
        <v>0.16500000000000001</v>
      </c>
      <c r="E627" s="6">
        <f>Original!V622</f>
        <v>3</v>
      </c>
      <c r="F627" s="6">
        <f t="shared" si="54"/>
        <v>0.16500000000000001</v>
      </c>
      <c r="G627">
        <f t="shared" si="55"/>
        <v>263.58150000000001</v>
      </c>
      <c r="H627">
        <f t="shared" si="56"/>
        <v>3.3000000000000003</v>
      </c>
      <c r="I627">
        <f t="shared" si="57"/>
        <v>1133.8331400000002</v>
      </c>
      <c r="J627">
        <f t="shared" si="58"/>
        <v>264.0141900000001</v>
      </c>
      <c r="K627">
        <f t="shared" si="59"/>
        <v>869.81895000000009</v>
      </c>
    </row>
    <row r="628" spans="1:11" x14ac:dyDescent="0.25">
      <c r="A628" t="str">
        <f>Original!A623</f>
        <v>ORD-2025-907040</v>
      </c>
      <c r="B628">
        <f>Original!R623</f>
        <v>168.68</v>
      </c>
      <c r="C628">
        <f>Original!S623</f>
        <v>413.34</v>
      </c>
      <c r="D628" s="6">
        <f>Original!T623</f>
        <v>0.186</v>
      </c>
      <c r="E628" s="6">
        <f>Original!V623</f>
        <v>7</v>
      </c>
      <c r="F628" s="6">
        <f t="shared" si="54"/>
        <v>0.186</v>
      </c>
      <c r="G628">
        <f t="shared" si="55"/>
        <v>177.114</v>
      </c>
      <c r="H628">
        <f t="shared" si="56"/>
        <v>7.7000000000000011</v>
      </c>
      <c r="I628">
        <f t="shared" si="57"/>
        <v>2590.7324520000006</v>
      </c>
      <c r="J628">
        <f t="shared" si="58"/>
        <v>1226.9546520000004</v>
      </c>
      <c r="K628">
        <f t="shared" si="59"/>
        <v>1363.7778000000003</v>
      </c>
    </row>
    <row r="629" spans="1:11" x14ac:dyDescent="0.25">
      <c r="A629" t="str">
        <f>Original!A624</f>
        <v>ORD-2024-817997</v>
      </c>
      <c r="B629">
        <f>Original!R624</f>
        <v>1339.24</v>
      </c>
      <c r="C629">
        <f>Original!S624</f>
        <v>1558.89</v>
      </c>
      <c r="D629" s="6">
        <f>Original!T624</f>
        <v>0.192</v>
      </c>
      <c r="E629" s="6">
        <f>Original!V624</f>
        <v>24</v>
      </c>
      <c r="F629" s="6">
        <f t="shared" si="54"/>
        <v>0.192</v>
      </c>
      <c r="G629">
        <f t="shared" si="55"/>
        <v>1406.202</v>
      </c>
      <c r="H629">
        <f t="shared" si="56"/>
        <v>26.400000000000002</v>
      </c>
      <c r="I629">
        <f t="shared" si="57"/>
        <v>33252.994368000007</v>
      </c>
      <c r="J629">
        <f t="shared" si="58"/>
        <v>-3870.7384319999983</v>
      </c>
      <c r="K629">
        <f t="shared" si="59"/>
        <v>37123.732800000005</v>
      </c>
    </row>
    <row r="630" spans="1:11" x14ac:dyDescent="0.25">
      <c r="A630" t="str">
        <f>Original!A625</f>
        <v>ORD-2025-649633</v>
      </c>
      <c r="B630">
        <f>Original!R625</f>
        <v>619.64</v>
      </c>
      <c r="C630">
        <f>Original!S625</f>
        <v>861.16</v>
      </c>
      <c r="D630" s="6">
        <f>Original!T625</f>
        <v>0.113</v>
      </c>
      <c r="E630" s="6">
        <f>Original!V625</f>
        <v>14</v>
      </c>
      <c r="F630" s="6">
        <f t="shared" si="54"/>
        <v>0.113</v>
      </c>
      <c r="G630">
        <f t="shared" si="55"/>
        <v>650.62199999999996</v>
      </c>
      <c r="H630">
        <f t="shared" si="56"/>
        <v>15.400000000000002</v>
      </c>
      <c r="I630">
        <f t="shared" si="57"/>
        <v>11763.273368000002</v>
      </c>
      <c r="J630">
        <f t="shared" si="58"/>
        <v>1743.6945680000008</v>
      </c>
      <c r="K630">
        <f t="shared" si="59"/>
        <v>10019.578800000001</v>
      </c>
    </row>
    <row r="631" spans="1:11" x14ac:dyDescent="0.25">
      <c r="A631" t="str">
        <f>Original!A626</f>
        <v>ORD-2023-885216</v>
      </c>
      <c r="B631">
        <f>Original!R626</f>
        <v>1021.97</v>
      </c>
      <c r="C631">
        <f>Original!S626</f>
        <v>2296.25</v>
      </c>
      <c r="D631" s="6">
        <f>Original!T626</f>
        <v>0.161</v>
      </c>
      <c r="E631" s="6">
        <f>Original!V626</f>
        <v>26</v>
      </c>
      <c r="F631" s="6">
        <f t="shared" si="54"/>
        <v>0.161</v>
      </c>
      <c r="G631">
        <f t="shared" si="55"/>
        <v>1073.0685000000001</v>
      </c>
      <c r="H631">
        <f t="shared" si="56"/>
        <v>28.6</v>
      </c>
      <c r="I631">
        <f t="shared" si="57"/>
        <v>55099.437249999995</v>
      </c>
      <c r="J631">
        <f t="shared" si="58"/>
        <v>24409.678149999992</v>
      </c>
      <c r="K631">
        <f t="shared" si="59"/>
        <v>30689.759100000003</v>
      </c>
    </row>
    <row r="632" spans="1:11" x14ac:dyDescent="0.25">
      <c r="A632" t="str">
        <f>Original!A627</f>
        <v>ORD-2023-561823</v>
      </c>
      <c r="B632">
        <f>Original!R627</f>
        <v>1349.04</v>
      </c>
      <c r="C632">
        <f>Original!S627</f>
        <v>2636.6</v>
      </c>
      <c r="D632" s="6">
        <f>Original!T627</f>
        <v>0.114</v>
      </c>
      <c r="E632" s="6">
        <f>Original!V627</f>
        <v>14</v>
      </c>
      <c r="F632" s="6">
        <f t="shared" si="54"/>
        <v>0.114</v>
      </c>
      <c r="G632">
        <f t="shared" si="55"/>
        <v>1416.492</v>
      </c>
      <c r="H632">
        <f t="shared" si="56"/>
        <v>15.400000000000002</v>
      </c>
      <c r="I632">
        <f t="shared" si="57"/>
        <v>35974.825040000003</v>
      </c>
      <c r="J632">
        <f t="shared" si="58"/>
        <v>14160.848239999999</v>
      </c>
      <c r="K632">
        <f t="shared" si="59"/>
        <v>21813.976800000004</v>
      </c>
    </row>
    <row r="633" spans="1:11" x14ac:dyDescent="0.25">
      <c r="A633" t="str">
        <f>Original!A628</f>
        <v>ORD-2023-249805</v>
      </c>
      <c r="B633">
        <f>Original!R628</f>
        <v>1346.81</v>
      </c>
      <c r="C633">
        <f>Original!S628</f>
        <v>978.09</v>
      </c>
      <c r="D633" s="6">
        <f>Original!T628</f>
        <v>0.159</v>
      </c>
      <c r="E633" s="6">
        <f>Original!V628</f>
        <v>17</v>
      </c>
      <c r="F633" s="6">
        <f t="shared" si="54"/>
        <v>0.159</v>
      </c>
      <c r="G633">
        <f t="shared" si="55"/>
        <v>1414.1505</v>
      </c>
      <c r="H633">
        <f t="shared" si="56"/>
        <v>18.700000000000003</v>
      </c>
      <c r="I633">
        <f t="shared" si="57"/>
        <v>15382.128003000002</v>
      </c>
      <c r="J633">
        <f t="shared" si="58"/>
        <v>-11062.486347000002</v>
      </c>
      <c r="K633">
        <f t="shared" si="59"/>
        <v>26444.614350000003</v>
      </c>
    </row>
    <row r="634" spans="1:11" x14ac:dyDescent="0.25">
      <c r="A634" t="str">
        <f>Original!A629</f>
        <v>ORD-2023-548934</v>
      </c>
      <c r="B634">
        <f>Original!R629</f>
        <v>226.04</v>
      </c>
      <c r="C634">
        <f>Original!S629</f>
        <v>545.72</v>
      </c>
      <c r="D634" s="6">
        <f>Original!T629</f>
        <v>0.151</v>
      </c>
      <c r="E634" s="6">
        <f>Original!V629</f>
        <v>11</v>
      </c>
      <c r="F634" s="6">
        <f t="shared" si="54"/>
        <v>0.151</v>
      </c>
      <c r="G634">
        <f t="shared" si="55"/>
        <v>237.34200000000001</v>
      </c>
      <c r="H634">
        <f t="shared" si="56"/>
        <v>12.100000000000001</v>
      </c>
      <c r="I634">
        <f t="shared" si="57"/>
        <v>5606.1269880000009</v>
      </c>
      <c r="J634">
        <f t="shared" si="58"/>
        <v>2734.2887880000003</v>
      </c>
      <c r="K634">
        <f t="shared" si="59"/>
        <v>2871.8382000000006</v>
      </c>
    </row>
    <row r="635" spans="1:11" x14ac:dyDescent="0.25">
      <c r="A635" t="str">
        <f>Original!A630</f>
        <v>ORD-2023-921939</v>
      </c>
      <c r="B635">
        <f>Original!R630</f>
        <v>807.02</v>
      </c>
      <c r="C635">
        <f>Original!S630</f>
        <v>1435.54</v>
      </c>
      <c r="D635" s="6">
        <f>Original!T630</f>
        <v>0</v>
      </c>
      <c r="E635" s="6">
        <f>Original!V630</f>
        <v>23</v>
      </c>
      <c r="F635" s="6">
        <f t="shared" si="54"/>
        <v>0</v>
      </c>
      <c r="G635">
        <f t="shared" si="55"/>
        <v>847.37099999999998</v>
      </c>
      <c r="H635">
        <f t="shared" si="56"/>
        <v>25.3</v>
      </c>
      <c r="I635">
        <f t="shared" si="57"/>
        <v>36319.161999999997</v>
      </c>
      <c r="J635">
        <f t="shared" si="58"/>
        <v>14880.675699999996</v>
      </c>
      <c r="K635">
        <f t="shared" si="59"/>
        <v>21438.4863</v>
      </c>
    </row>
    <row r="636" spans="1:11" x14ac:dyDescent="0.25">
      <c r="A636" t="str">
        <f>Original!A631</f>
        <v>ORD-2023-961864</v>
      </c>
      <c r="B636">
        <f>Original!R631</f>
        <v>1071.99</v>
      </c>
      <c r="C636">
        <f>Original!S631</f>
        <v>2397.3000000000002</v>
      </c>
      <c r="D636" s="6">
        <f>Original!T631</f>
        <v>6.2E-2</v>
      </c>
      <c r="E636" s="6">
        <f>Original!V631</f>
        <v>18</v>
      </c>
      <c r="F636" s="6">
        <f t="shared" si="54"/>
        <v>6.2E-2</v>
      </c>
      <c r="G636">
        <f t="shared" si="55"/>
        <v>1125.5895</v>
      </c>
      <c r="H636">
        <f t="shared" si="56"/>
        <v>19.8</v>
      </c>
      <c r="I636">
        <f t="shared" si="57"/>
        <v>44523.614520000003</v>
      </c>
      <c r="J636">
        <f t="shared" si="58"/>
        <v>22236.942419999999</v>
      </c>
      <c r="K636">
        <f t="shared" si="59"/>
        <v>22286.672100000003</v>
      </c>
    </row>
    <row r="637" spans="1:11" x14ac:dyDescent="0.25">
      <c r="A637" t="str">
        <f>Original!A632</f>
        <v>ORD-2023-455933</v>
      </c>
      <c r="B637">
        <f>Original!R632</f>
        <v>807.11</v>
      </c>
      <c r="C637">
        <f>Original!S632</f>
        <v>1853.86</v>
      </c>
      <c r="D637" s="6">
        <f>Original!T632</f>
        <v>0.13900000000000001</v>
      </c>
      <c r="E637" s="6">
        <f>Original!V632</f>
        <v>8</v>
      </c>
      <c r="F637" s="6">
        <f t="shared" si="54"/>
        <v>0.13900000000000001</v>
      </c>
      <c r="G637">
        <f t="shared" si="55"/>
        <v>847.46550000000002</v>
      </c>
      <c r="H637">
        <f t="shared" si="56"/>
        <v>8.8000000000000007</v>
      </c>
      <c r="I637">
        <f t="shared" si="57"/>
        <v>14046.326448</v>
      </c>
      <c r="J637">
        <f t="shared" si="58"/>
        <v>6588.6300479999991</v>
      </c>
      <c r="K637">
        <f t="shared" si="59"/>
        <v>7457.6964000000007</v>
      </c>
    </row>
    <row r="638" spans="1:11" x14ac:dyDescent="0.25">
      <c r="A638" t="str">
        <f>Original!A633</f>
        <v>ORD-2025-728935</v>
      </c>
      <c r="B638">
        <f>Original!R633</f>
        <v>51.86</v>
      </c>
      <c r="C638">
        <f>Original!S633</f>
        <v>45.98</v>
      </c>
      <c r="D638" s="6">
        <f>Original!T633</f>
        <v>0.17299999999999999</v>
      </c>
      <c r="E638" s="6">
        <f>Original!V633</f>
        <v>7</v>
      </c>
      <c r="F638" s="6">
        <f t="shared" si="54"/>
        <v>0.17299999999999999</v>
      </c>
      <c r="G638">
        <f t="shared" si="55"/>
        <v>54.453000000000003</v>
      </c>
      <c r="H638">
        <f t="shared" si="56"/>
        <v>7.7000000000000011</v>
      </c>
      <c r="I638">
        <f t="shared" si="57"/>
        <v>292.796042</v>
      </c>
      <c r="J638">
        <f t="shared" si="58"/>
        <v>-126.4920580000001</v>
      </c>
      <c r="K638">
        <f t="shared" si="59"/>
        <v>419.2881000000001</v>
      </c>
    </row>
  </sheetData>
  <scenarios current="0" show="0" sqref="J7">
    <scenario name="Scenario1" locked="1" count="3" user="Admin" comment="Created by Admin on 6/20/2026">
      <inputCells r="B2" val="0.2" numFmtId="10"/>
      <inputCells r="B3" val="0.05" numFmtId="10"/>
      <inputCells r="B4" val="0.1" numFmtId="10"/>
    </scenario>
    <scenario name="Scenario2" locked="1" count="3" user="Admin" comment="Created by Admin on 6/20/2026">
      <inputCells r="B2" val="0.1" numFmtId="10"/>
      <inputCells r="B3" val="0.1" numFmtId="10"/>
      <inputCells r="B4" val="0.5" numFmtId="10"/>
    </scenario>
  </scenarios>
  <mergeCells count="1">
    <mergeCell ref="A1:B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383BE-2DD7-4EC6-8CAC-7E9181072F71}">
  <sheetPr>
    <outlinePr summaryBelow="0"/>
  </sheetPr>
  <dimension ref="B1:G12"/>
  <sheetViews>
    <sheetView showGridLines="0" workbookViewId="0">
      <selection activeCell="A16" sqref="A16"/>
    </sheetView>
  </sheetViews>
  <sheetFormatPr defaultRowHeight="15" outlineLevelRow="1" outlineLevelCol="1" x14ac:dyDescent="0.25"/>
  <cols>
    <col min="3" max="3" width="5.140625" bestFit="1" customWidth="1"/>
    <col min="4" max="7" width="15.140625" customWidth="1" outlineLevel="1"/>
  </cols>
  <sheetData>
    <row r="1" spans="2:7" ht="15.75" thickBot="1" x14ac:dyDescent="0.3"/>
    <row r="2" spans="2:7" ht="15.75" x14ac:dyDescent="0.25">
      <c r="B2" s="29" t="s">
        <v>1522</v>
      </c>
      <c r="C2" s="29"/>
      <c r="D2" s="33"/>
      <c r="E2" s="33"/>
      <c r="F2" s="33"/>
      <c r="G2" s="33"/>
    </row>
    <row r="3" spans="2:7" ht="15.75" collapsed="1" x14ac:dyDescent="0.25">
      <c r="B3" s="28"/>
      <c r="C3" s="28"/>
      <c r="D3" s="34" t="s">
        <v>1524</v>
      </c>
      <c r="E3" s="34" t="s">
        <v>1517</v>
      </c>
      <c r="F3" s="34" t="s">
        <v>1519</v>
      </c>
      <c r="G3" s="34" t="s">
        <v>1520</v>
      </c>
    </row>
    <row r="4" spans="2:7" ht="45" hidden="1" outlineLevel="1" x14ac:dyDescent="0.25">
      <c r="B4" s="31"/>
      <c r="C4" s="31"/>
      <c r="E4" s="38" t="s">
        <v>1518</v>
      </c>
      <c r="F4" s="38" t="s">
        <v>1518</v>
      </c>
      <c r="G4" s="38" t="s">
        <v>1521</v>
      </c>
    </row>
    <row r="5" spans="2:7" x14ac:dyDescent="0.25">
      <c r="B5" s="32" t="s">
        <v>1523</v>
      </c>
      <c r="C5" s="32"/>
      <c r="D5" s="30"/>
      <c r="E5" s="30"/>
      <c r="F5" s="30"/>
      <c r="G5" s="30"/>
    </row>
    <row r="6" spans="2:7" outlineLevel="1" x14ac:dyDescent="0.25">
      <c r="B6" s="31"/>
      <c r="C6" s="31" t="s">
        <v>1514</v>
      </c>
      <c r="D6" s="8">
        <v>0.2</v>
      </c>
      <c r="E6" s="37">
        <v>0.1</v>
      </c>
      <c r="F6" s="37">
        <v>0.15</v>
      </c>
      <c r="G6" s="37">
        <v>0.2</v>
      </c>
    </row>
    <row r="7" spans="2:7" outlineLevel="1" x14ac:dyDescent="0.25">
      <c r="B7" s="31"/>
      <c r="C7" s="31" t="s">
        <v>1515</v>
      </c>
      <c r="D7" s="8">
        <v>0.05</v>
      </c>
      <c r="E7" s="37">
        <v>0.1</v>
      </c>
      <c r="F7" s="37">
        <v>0.05</v>
      </c>
      <c r="G7" s="37">
        <v>0</v>
      </c>
    </row>
    <row r="8" spans="2:7" outlineLevel="1" x14ac:dyDescent="0.25">
      <c r="B8" s="31"/>
      <c r="C8" s="31" t="s">
        <v>1516</v>
      </c>
      <c r="D8" s="8">
        <v>0.1</v>
      </c>
      <c r="E8" s="37">
        <v>0</v>
      </c>
      <c r="F8" s="37">
        <v>0.1</v>
      </c>
      <c r="G8" s="37">
        <v>0.2</v>
      </c>
    </row>
    <row r="9" spans="2:7" ht="15.75" thickBot="1" x14ac:dyDescent="0.3">
      <c r="B9" s="35"/>
      <c r="C9" s="35"/>
      <c r="D9" s="36"/>
      <c r="E9" s="36"/>
      <c r="F9" s="36"/>
      <c r="G9" s="36"/>
    </row>
    <row r="10" spans="2:7" x14ac:dyDescent="0.25">
      <c r="B10" t="s">
        <v>1525</v>
      </c>
    </row>
    <row r="11" spans="2:7" x14ac:dyDescent="0.25">
      <c r="B11" t="s">
        <v>1526</v>
      </c>
    </row>
    <row r="12" spans="2:7" x14ac:dyDescent="0.25">
      <c r="B12" t="s">
        <v>1527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F7FCD-2DAE-49D0-8024-48C51C1AD30D}">
  <dimension ref="A1:K662"/>
  <sheetViews>
    <sheetView workbookViewId="0">
      <selection activeCell="D8" sqref="D8:H12"/>
    </sheetView>
  </sheetViews>
  <sheetFormatPr defaultRowHeight="15" x14ac:dyDescent="0.25"/>
  <cols>
    <col min="1" max="1" width="13.140625" bestFit="1" customWidth="1"/>
    <col min="2" max="2" width="7" bestFit="1" customWidth="1"/>
    <col min="3" max="3" width="12" bestFit="1" customWidth="1"/>
    <col min="4" max="4" width="14.140625" style="8" customWidth="1"/>
    <col min="5" max="8" width="12" bestFit="1" customWidth="1"/>
    <col min="9" max="9" width="15.140625" bestFit="1" customWidth="1"/>
    <col min="10" max="11" width="12.5703125" bestFit="1" customWidth="1"/>
  </cols>
  <sheetData>
    <row r="1" spans="1:8" x14ac:dyDescent="0.25">
      <c r="A1" t="s">
        <v>1501</v>
      </c>
      <c r="B1" s="8">
        <v>0.2</v>
      </c>
    </row>
    <row r="2" spans="1:8" x14ac:dyDescent="0.25">
      <c r="A2" t="s">
        <v>1502</v>
      </c>
      <c r="B2" s="8">
        <v>0.05</v>
      </c>
    </row>
    <row r="3" spans="1:8" x14ac:dyDescent="0.25">
      <c r="A3" t="s">
        <v>1503</v>
      </c>
      <c r="B3" s="8">
        <v>0.1</v>
      </c>
    </row>
    <row r="6" spans="1:8" x14ac:dyDescent="0.25">
      <c r="D6" s="43" t="s">
        <v>1528</v>
      </c>
      <c r="E6" s="43"/>
      <c r="F6" s="43"/>
      <c r="G6" s="43"/>
      <c r="H6" s="43"/>
    </row>
    <row r="7" spans="1:8" x14ac:dyDescent="0.25">
      <c r="C7">
        <f>J31</f>
        <v>18046.858919999991</v>
      </c>
      <c r="D7" s="8">
        <v>0</v>
      </c>
      <c r="E7" s="8">
        <v>0.05</v>
      </c>
      <c r="F7" s="8">
        <v>0.1</v>
      </c>
      <c r="G7" s="8">
        <v>0.15000000000000002</v>
      </c>
      <c r="H7" s="8">
        <v>0.2</v>
      </c>
    </row>
    <row r="8" spans="1:8" x14ac:dyDescent="0.25">
      <c r="B8" s="41" t="s">
        <v>1529</v>
      </c>
      <c r="C8" s="8">
        <v>0</v>
      </c>
      <c r="D8" s="8">
        <f t="dataTable" ref="D8:H12" dt2D="1" dtr="1" r1="B1" r2="B3"/>
        <v>19975.662919999995</v>
      </c>
      <c r="E8">
        <v>19975.662919999995</v>
      </c>
      <c r="F8">
        <v>19975.662919999995</v>
      </c>
      <c r="G8">
        <v>19975.662919999995</v>
      </c>
      <c r="H8">
        <v>19975.662919999995</v>
      </c>
    </row>
    <row r="9" spans="1:8" ht="28.9" customHeight="1" x14ac:dyDescent="0.25">
      <c r="B9" s="41"/>
      <c r="C9" s="8">
        <v>0.05</v>
      </c>
      <c r="D9" s="8">
        <v>19011.260919999993</v>
      </c>
      <c r="E9">
        <v>19011.260919999993</v>
      </c>
      <c r="F9">
        <v>19011.260919999993</v>
      </c>
      <c r="G9">
        <v>19011.260919999993</v>
      </c>
      <c r="H9">
        <v>19011.260919999993</v>
      </c>
    </row>
    <row r="10" spans="1:8" x14ac:dyDescent="0.25">
      <c r="B10" s="41"/>
      <c r="C10" s="8">
        <v>0.1</v>
      </c>
      <c r="D10" s="8">
        <v>18046.858919999991</v>
      </c>
      <c r="E10">
        <v>18046.858919999991</v>
      </c>
      <c r="F10">
        <v>18046.858919999991</v>
      </c>
      <c r="G10">
        <v>18046.858919999991</v>
      </c>
      <c r="H10">
        <v>18046.858919999991</v>
      </c>
    </row>
    <row r="11" spans="1:8" x14ac:dyDescent="0.25">
      <c r="B11" s="41"/>
      <c r="C11" s="8">
        <v>0.15000000000000002</v>
      </c>
      <c r="D11" s="8">
        <v>17082.456919999997</v>
      </c>
      <c r="E11">
        <v>17082.456919999997</v>
      </c>
      <c r="F11">
        <v>17082.456919999997</v>
      </c>
      <c r="G11">
        <v>17082.456919999997</v>
      </c>
      <c r="H11">
        <v>17082.456919999997</v>
      </c>
    </row>
    <row r="12" spans="1:8" x14ac:dyDescent="0.25">
      <c r="B12" s="41"/>
      <c r="C12" s="8">
        <v>0.2</v>
      </c>
      <c r="D12" s="8">
        <v>16118.054919999995</v>
      </c>
      <c r="E12">
        <v>16118.054919999995</v>
      </c>
      <c r="F12">
        <v>16118.054919999995</v>
      </c>
      <c r="G12">
        <v>16118.054919999995</v>
      </c>
      <c r="H12">
        <v>16118.054919999995</v>
      </c>
    </row>
    <row r="26" spans="1:11" x14ac:dyDescent="0.25">
      <c r="H26" t="s">
        <v>1530</v>
      </c>
    </row>
    <row r="30" spans="1:11" s="27" customFormat="1" x14ac:dyDescent="0.25">
      <c r="A30" s="27" t="s">
        <v>1504</v>
      </c>
      <c r="B30" s="27" t="s">
        <v>1505</v>
      </c>
      <c r="C30" s="27" t="s">
        <v>1506</v>
      </c>
      <c r="D30" s="27" t="s">
        <v>1507</v>
      </c>
      <c r="E30" s="27" t="s">
        <v>14</v>
      </c>
      <c r="F30" s="27" t="s">
        <v>1509</v>
      </c>
      <c r="G30" s="27" t="s">
        <v>1510</v>
      </c>
      <c r="H30" s="27" t="s">
        <v>1511</v>
      </c>
      <c r="I30" s="27" t="s">
        <v>1508</v>
      </c>
      <c r="J30" s="27" t="s">
        <v>1512</v>
      </c>
      <c r="K30" s="27" t="s">
        <v>1513</v>
      </c>
    </row>
    <row r="31" spans="1:11" x14ac:dyDescent="0.25">
      <c r="A31" t="str">
        <f>Original!A21</f>
        <v>ORD-2025-745263</v>
      </c>
      <c r="B31">
        <f>Original!R21</f>
        <v>1015.16</v>
      </c>
      <c r="C31">
        <f>Original!S21</f>
        <v>2148.14</v>
      </c>
      <c r="D31" s="6">
        <f>Original!T21</f>
        <v>3.7999999999999999E-2</v>
      </c>
      <c r="E31" s="6">
        <f>Original!V21</f>
        <v>19</v>
      </c>
      <c r="F31" s="6">
        <f>MIN(D31,$B$2)</f>
        <v>3.7999999999999999E-2</v>
      </c>
      <c r="G31">
        <f>B31*(1+$B$3)</f>
        <v>1116.6760000000002</v>
      </c>
      <c r="H31">
        <f>E31*(1+$B$4)</f>
        <v>19</v>
      </c>
      <c r="I31">
        <f>C31*H31*(1-F31)</f>
        <v>39263.702919999996</v>
      </c>
      <c r="J31">
        <f>I31-K31</f>
        <v>18046.858919999991</v>
      </c>
      <c r="K31">
        <f>G31*H31</f>
        <v>21216.844000000005</v>
      </c>
    </row>
    <row r="32" spans="1:11" x14ac:dyDescent="0.25">
      <c r="A32" t="str">
        <f>Original!A22</f>
        <v>ORD-2024-798002</v>
      </c>
      <c r="B32">
        <f>Original!R22</f>
        <v>1494.4</v>
      </c>
      <c r="C32">
        <f>Original!S22</f>
        <v>3661.07</v>
      </c>
      <c r="D32" s="6">
        <f>Original!T22</f>
        <v>7.1999999999999995E-2</v>
      </c>
      <c r="E32" s="6">
        <f>Original!V22</f>
        <v>7</v>
      </c>
      <c r="F32" s="6">
        <f t="shared" ref="F32:F95" si="0">MIN(D32,$B$2)</f>
        <v>0.05</v>
      </c>
      <c r="G32">
        <f t="shared" ref="G32:G95" si="1">B32*(1+$B$3)</f>
        <v>1643.8400000000001</v>
      </c>
      <c r="H32">
        <f t="shared" ref="H32:H95" si="2">E32*(1+$B$4)</f>
        <v>7</v>
      </c>
      <c r="I32">
        <f t="shared" ref="I32:I95" si="3">C32*H32*(1-F32)</f>
        <v>24346.1155</v>
      </c>
      <c r="J32">
        <f t="shared" ref="J32:J95" si="4">I32-K32</f>
        <v>12839.235499999999</v>
      </c>
      <c r="K32">
        <f t="shared" ref="K32:K95" si="5">G32*H32</f>
        <v>11506.880000000001</v>
      </c>
    </row>
    <row r="33" spans="1:11" x14ac:dyDescent="0.25">
      <c r="A33" t="str">
        <f>Original!A23</f>
        <v>ORD-2023-867836</v>
      </c>
      <c r="B33">
        <f>Original!R23</f>
        <v>1331.19</v>
      </c>
      <c r="C33">
        <f>Original!S23</f>
        <v>2903.09</v>
      </c>
      <c r="D33" s="6">
        <f>Original!T23</f>
        <v>0.14299999999999999</v>
      </c>
      <c r="E33" s="6">
        <f>Original!V23</f>
        <v>8</v>
      </c>
      <c r="F33" s="6">
        <f t="shared" si="0"/>
        <v>0.05</v>
      </c>
      <c r="G33">
        <f t="shared" si="1"/>
        <v>1464.3090000000002</v>
      </c>
      <c r="H33">
        <f t="shared" si="2"/>
        <v>8</v>
      </c>
      <c r="I33">
        <f t="shared" si="3"/>
        <v>22063.484</v>
      </c>
      <c r="J33">
        <f t="shared" si="4"/>
        <v>10349.011999999999</v>
      </c>
      <c r="K33">
        <f t="shared" si="5"/>
        <v>11714.472000000002</v>
      </c>
    </row>
    <row r="34" spans="1:11" x14ac:dyDescent="0.25">
      <c r="A34" t="str">
        <f>Original!A24</f>
        <v>ORD-2025-580047</v>
      </c>
      <c r="B34">
        <f>Original!R24</f>
        <v>730.99</v>
      </c>
      <c r="C34">
        <f>Original!S24</f>
        <v>1242.8399999999999</v>
      </c>
      <c r="D34" s="6">
        <f>Original!T24</f>
        <v>0.12</v>
      </c>
      <c r="E34" s="6">
        <f>Original!V24</f>
        <v>10</v>
      </c>
      <c r="F34" s="6">
        <f t="shared" si="0"/>
        <v>0.05</v>
      </c>
      <c r="G34">
        <f t="shared" si="1"/>
        <v>804.08900000000006</v>
      </c>
      <c r="H34">
        <f t="shared" si="2"/>
        <v>10</v>
      </c>
      <c r="I34">
        <f t="shared" si="3"/>
        <v>11806.98</v>
      </c>
      <c r="J34">
        <f t="shared" si="4"/>
        <v>3766.0899999999992</v>
      </c>
      <c r="K34">
        <f t="shared" si="5"/>
        <v>8040.89</v>
      </c>
    </row>
    <row r="35" spans="1:11" x14ac:dyDescent="0.25">
      <c r="A35" t="str">
        <f>Original!A25</f>
        <v>ORD-2024-500109</v>
      </c>
      <c r="B35">
        <f>Original!R25</f>
        <v>1274.5899999999999</v>
      </c>
      <c r="C35">
        <f>Original!S25</f>
        <v>2553.69</v>
      </c>
      <c r="D35" s="6">
        <f>Original!T25</f>
        <v>0.01</v>
      </c>
      <c r="E35" s="6">
        <f>Original!V25</f>
        <v>8</v>
      </c>
      <c r="F35" s="6">
        <f t="shared" si="0"/>
        <v>0.01</v>
      </c>
      <c r="G35">
        <f t="shared" si="1"/>
        <v>1402.049</v>
      </c>
      <c r="H35">
        <f t="shared" si="2"/>
        <v>8</v>
      </c>
      <c r="I35">
        <f t="shared" si="3"/>
        <v>20225.2248</v>
      </c>
      <c r="J35">
        <f t="shared" si="4"/>
        <v>9008.8328000000001</v>
      </c>
      <c r="K35">
        <f t="shared" si="5"/>
        <v>11216.392</v>
      </c>
    </row>
    <row r="36" spans="1:11" x14ac:dyDescent="0.25">
      <c r="A36" t="str">
        <f>Original!A26</f>
        <v>ORD-2023-271836</v>
      </c>
      <c r="B36">
        <f>Original!R26</f>
        <v>948.55</v>
      </c>
      <c r="C36">
        <f>Original!S26</f>
        <v>2089.16</v>
      </c>
      <c r="D36" s="6">
        <f>Original!T26</f>
        <v>7.0000000000000001E-3</v>
      </c>
      <c r="E36" s="6">
        <f>Original!V26</f>
        <v>12</v>
      </c>
      <c r="F36" s="6">
        <f t="shared" si="0"/>
        <v>7.0000000000000001E-3</v>
      </c>
      <c r="G36">
        <f t="shared" si="1"/>
        <v>1043.405</v>
      </c>
      <c r="H36">
        <f t="shared" si="2"/>
        <v>12</v>
      </c>
      <c r="I36">
        <f t="shared" si="3"/>
        <v>24894.430559999997</v>
      </c>
      <c r="J36">
        <f t="shared" si="4"/>
        <v>12373.570559999996</v>
      </c>
      <c r="K36">
        <f t="shared" si="5"/>
        <v>12520.86</v>
      </c>
    </row>
    <row r="37" spans="1:11" x14ac:dyDescent="0.25">
      <c r="A37" t="str">
        <f>Original!A27</f>
        <v>ORD-2024-215294</v>
      </c>
      <c r="B37">
        <f>Original!R27</f>
        <v>1491.85</v>
      </c>
      <c r="C37">
        <f>Original!S27</f>
        <v>2583.02</v>
      </c>
      <c r="D37" s="6">
        <f>Original!T27</f>
        <v>0.16800000000000001</v>
      </c>
      <c r="E37" s="6">
        <f>Original!V27</f>
        <v>4</v>
      </c>
      <c r="F37" s="6">
        <f t="shared" si="0"/>
        <v>0.05</v>
      </c>
      <c r="G37">
        <f t="shared" si="1"/>
        <v>1641.0350000000001</v>
      </c>
      <c r="H37">
        <f t="shared" si="2"/>
        <v>4</v>
      </c>
      <c r="I37">
        <f t="shared" si="3"/>
        <v>9815.4759999999987</v>
      </c>
      <c r="J37">
        <f t="shared" si="4"/>
        <v>3251.3359999999984</v>
      </c>
      <c r="K37">
        <f t="shared" si="5"/>
        <v>6564.14</v>
      </c>
    </row>
    <row r="38" spans="1:11" x14ac:dyDescent="0.25">
      <c r="A38" t="str">
        <f>Original!A28</f>
        <v>ORD-2024-788105</v>
      </c>
      <c r="B38">
        <f>Original!R28</f>
        <v>117.64</v>
      </c>
      <c r="C38">
        <f>Original!S28</f>
        <v>175.67</v>
      </c>
      <c r="D38" s="6">
        <f>Original!T28</f>
        <v>0</v>
      </c>
      <c r="E38" s="6">
        <f>Original!V28</f>
        <v>10</v>
      </c>
      <c r="F38" s="6">
        <f t="shared" si="0"/>
        <v>0</v>
      </c>
      <c r="G38">
        <f t="shared" si="1"/>
        <v>129.40400000000002</v>
      </c>
      <c r="H38">
        <f t="shared" si="2"/>
        <v>10</v>
      </c>
      <c r="I38">
        <f t="shared" si="3"/>
        <v>1756.6999999999998</v>
      </c>
      <c r="J38">
        <f t="shared" si="4"/>
        <v>462.65999999999963</v>
      </c>
      <c r="K38">
        <f t="shared" si="5"/>
        <v>1294.0400000000002</v>
      </c>
    </row>
    <row r="39" spans="1:11" x14ac:dyDescent="0.25">
      <c r="A39" t="str">
        <f>Original!A29</f>
        <v>ORD-2024-855073</v>
      </c>
      <c r="B39">
        <f>Original!R29</f>
        <v>857.24</v>
      </c>
      <c r="C39">
        <f>Original!S29</f>
        <v>758.23</v>
      </c>
      <c r="D39" s="6">
        <f>Original!T29</f>
        <v>0.125</v>
      </c>
      <c r="E39" s="6">
        <f>Original!V29</f>
        <v>6</v>
      </c>
      <c r="F39" s="6">
        <f t="shared" si="0"/>
        <v>0.05</v>
      </c>
      <c r="G39">
        <f t="shared" si="1"/>
        <v>942.96400000000006</v>
      </c>
      <c r="H39">
        <f t="shared" si="2"/>
        <v>6</v>
      </c>
      <c r="I39">
        <f t="shared" si="3"/>
        <v>4321.9110000000001</v>
      </c>
      <c r="J39">
        <f t="shared" si="4"/>
        <v>-1335.8730000000005</v>
      </c>
      <c r="K39">
        <f t="shared" si="5"/>
        <v>5657.7840000000006</v>
      </c>
    </row>
    <row r="40" spans="1:11" x14ac:dyDescent="0.25">
      <c r="A40" t="str">
        <f>Original!A30</f>
        <v>ORD-2023-897079</v>
      </c>
      <c r="B40">
        <f>Original!R30</f>
        <v>209.25</v>
      </c>
      <c r="C40">
        <f>Original!S30</f>
        <v>434.8</v>
      </c>
      <c r="D40" s="6">
        <f>Original!T30</f>
        <v>0</v>
      </c>
      <c r="E40" s="6">
        <f>Original!V30</f>
        <v>9</v>
      </c>
      <c r="F40" s="6">
        <f t="shared" si="0"/>
        <v>0</v>
      </c>
      <c r="G40">
        <f t="shared" si="1"/>
        <v>230.17500000000001</v>
      </c>
      <c r="H40">
        <f t="shared" si="2"/>
        <v>9</v>
      </c>
      <c r="I40">
        <f t="shared" si="3"/>
        <v>3913.2000000000003</v>
      </c>
      <c r="J40">
        <f t="shared" si="4"/>
        <v>1841.625</v>
      </c>
      <c r="K40">
        <f t="shared" si="5"/>
        <v>2071.5750000000003</v>
      </c>
    </row>
    <row r="41" spans="1:11" x14ac:dyDescent="0.25">
      <c r="A41" t="str">
        <f>Original!A31</f>
        <v>ORD-2025-548982</v>
      </c>
      <c r="B41">
        <f>Original!R31</f>
        <v>754.77</v>
      </c>
      <c r="C41">
        <f>Original!S31</f>
        <v>1666.18</v>
      </c>
      <c r="D41" s="6">
        <f>Original!T31</f>
        <v>0.13900000000000001</v>
      </c>
      <c r="E41" s="6">
        <f>Original!V31</f>
        <v>14</v>
      </c>
      <c r="F41" s="6">
        <f t="shared" si="0"/>
        <v>0.05</v>
      </c>
      <c r="G41">
        <f t="shared" si="1"/>
        <v>830.24700000000007</v>
      </c>
      <c r="H41">
        <f t="shared" si="2"/>
        <v>14</v>
      </c>
      <c r="I41">
        <f t="shared" si="3"/>
        <v>22160.194</v>
      </c>
      <c r="J41">
        <f t="shared" si="4"/>
        <v>10536.735999999999</v>
      </c>
      <c r="K41">
        <f t="shared" si="5"/>
        <v>11623.458000000001</v>
      </c>
    </row>
    <row r="42" spans="1:11" x14ac:dyDescent="0.25">
      <c r="A42" t="str">
        <f>Original!A32</f>
        <v>ORD-2024-170313</v>
      </c>
      <c r="B42">
        <f>Original!R32</f>
        <v>495.59</v>
      </c>
      <c r="C42">
        <f>Original!S32</f>
        <v>631.78</v>
      </c>
      <c r="D42" s="6">
        <f>Original!T32</f>
        <v>8.6999999999999994E-2</v>
      </c>
      <c r="E42" s="6">
        <f>Original!V32</f>
        <v>17</v>
      </c>
      <c r="F42" s="6">
        <f t="shared" si="0"/>
        <v>0.05</v>
      </c>
      <c r="G42">
        <f t="shared" si="1"/>
        <v>545.149</v>
      </c>
      <c r="H42">
        <f t="shared" si="2"/>
        <v>17</v>
      </c>
      <c r="I42">
        <f t="shared" si="3"/>
        <v>10203.246999999999</v>
      </c>
      <c r="J42">
        <f t="shared" si="4"/>
        <v>935.71399999999994</v>
      </c>
      <c r="K42">
        <f t="shared" si="5"/>
        <v>9267.5329999999994</v>
      </c>
    </row>
    <row r="43" spans="1:11" x14ac:dyDescent="0.25">
      <c r="A43" t="str">
        <f>Original!A33</f>
        <v>ORD-2023-562894</v>
      </c>
      <c r="B43">
        <f>Original!R33</f>
        <v>1242.6600000000001</v>
      </c>
      <c r="C43">
        <f>Original!S33</f>
        <v>1794.07</v>
      </c>
      <c r="D43" s="6">
        <f>Original!T33</f>
        <v>8.8999999999999996E-2</v>
      </c>
      <c r="E43" s="6">
        <f>Original!V33</f>
        <v>16</v>
      </c>
      <c r="F43" s="6">
        <f t="shared" si="0"/>
        <v>0.05</v>
      </c>
      <c r="G43">
        <f t="shared" si="1"/>
        <v>1366.9260000000002</v>
      </c>
      <c r="H43">
        <f t="shared" si="2"/>
        <v>16</v>
      </c>
      <c r="I43">
        <f t="shared" si="3"/>
        <v>27269.863999999998</v>
      </c>
      <c r="J43">
        <f t="shared" si="4"/>
        <v>5399.0479999999952</v>
      </c>
      <c r="K43">
        <f t="shared" si="5"/>
        <v>21870.816000000003</v>
      </c>
    </row>
    <row r="44" spans="1:11" x14ac:dyDescent="0.25">
      <c r="A44" t="str">
        <f>Original!A34</f>
        <v>ORD-2025-474710</v>
      </c>
      <c r="B44">
        <f>Original!R34</f>
        <v>1463.9</v>
      </c>
      <c r="C44">
        <f>Original!S34</f>
        <v>2633.02</v>
      </c>
      <c r="D44" s="6">
        <f>Original!T34</f>
        <v>8.4000000000000005E-2</v>
      </c>
      <c r="E44" s="6">
        <f>Original!V34</f>
        <v>4</v>
      </c>
      <c r="F44" s="6">
        <f t="shared" si="0"/>
        <v>0.05</v>
      </c>
      <c r="G44">
        <f t="shared" si="1"/>
        <v>1610.2900000000002</v>
      </c>
      <c r="H44">
        <f t="shared" si="2"/>
        <v>4</v>
      </c>
      <c r="I44">
        <f t="shared" si="3"/>
        <v>10005.475999999999</v>
      </c>
      <c r="J44">
        <f t="shared" si="4"/>
        <v>3564.315999999998</v>
      </c>
      <c r="K44">
        <f t="shared" si="5"/>
        <v>6441.1600000000008</v>
      </c>
    </row>
    <row r="45" spans="1:11" x14ac:dyDescent="0.25">
      <c r="A45" t="str">
        <f>Original!A35</f>
        <v>ORD-2024-629525</v>
      </c>
      <c r="B45">
        <f>Original!R35</f>
        <v>645.33000000000004</v>
      </c>
      <c r="C45">
        <f>Original!S35</f>
        <v>1321.85</v>
      </c>
      <c r="D45" s="6">
        <f>Original!T35</f>
        <v>0</v>
      </c>
      <c r="E45" s="6">
        <f>Original!V35</f>
        <v>10</v>
      </c>
      <c r="F45" s="6">
        <f t="shared" si="0"/>
        <v>0</v>
      </c>
      <c r="G45">
        <f t="shared" si="1"/>
        <v>709.86300000000006</v>
      </c>
      <c r="H45">
        <f t="shared" si="2"/>
        <v>10</v>
      </c>
      <c r="I45">
        <f t="shared" si="3"/>
        <v>13218.5</v>
      </c>
      <c r="J45">
        <f t="shared" si="4"/>
        <v>6119.869999999999</v>
      </c>
      <c r="K45">
        <f t="shared" si="5"/>
        <v>7098.630000000001</v>
      </c>
    </row>
    <row r="46" spans="1:11" x14ac:dyDescent="0.25">
      <c r="A46" t="str">
        <f>Original!A36</f>
        <v>ORD-2024-167215</v>
      </c>
      <c r="B46">
        <f>Original!R36</f>
        <v>1432.52</v>
      </c>
      <c r="C46">
        <f>Original!S36</f>
        <v>3036.87</v>
      </c>
      <c r="D46" s="6">
        <f>Original!T36</f>
        <v>0</v>
      </c>
      <c r="E46" s="6">
        <f>Original!V36</f>
        <v>9</v>
      </c>
      <c r="F46" s="6">
        <f t="shared" si="0"/>
        <v>0</v>
      </c>
      <c r="G46">
        <f t="shared" si="1"/>
        <v>1575.7720000000002</v>
      </c>
      <c r="H46">
        <f t="shared" si="2"/>
        <v>9</v>
      </c>
      <c r="I46">
        <f t="shared" si="3"/>
        <v>27331.829999999998</v>
      </c>
      <c r="J46">
        <f t="shared" si="4"/>
        <v>13149.881999999996</v>
      </c>
      <c r="K46">
        <f t="shared" si="5"/>
        <v>14181.948000000002</v>
      </c>
    </row>
    <row r="47" spans="1:11" x14ac:dyDescent="0.25">
      <c r="A47" t="str">
        <f>Original!A37</f>
        <v>ORD-2023-864121</v>
      </c>
      <c r="B47">
        <f>Original!R37</f>
        <v>178.53</v>
      </c>
      <c r="C47">
        <f>Original!S37</f>
        <v>199.37</v>
      </c>
      <c r="D47" s="6">
        <f>Original!T37</f>
        <v>0.10100000000000001</v>
      </c>
      <c r="E47" s="6">
        <f>Original!V37</f>
        <v>37</v>
      </c>
      <c r="F47" s="6">
        <f t="shared" si="0"/>
        <v>0.05</v>
      </c>
      <c r="G47">
        <f t="shared" si="1"/>
        <v>196.38300000000001</v>
      </c>
      <c r="H47">
        <f t="shared" si="2"/>
        <v>37</v>
      </c>
      <c r="I47">
        <f t="shared" si="3"/>
        <v>7007.8555000000006</v>
      </c>
      <c r="J47">
        <f t="shared" si="4"/>
        <v>-258.3154999999997</v>
      </c>
      <c r="K47">
        <f t="shared" si="5"/>
        <v>7266.1710000000003</v>
      </c>
    </row>
    <row r="48" spans="1:11" x14ac:dyDescent="0.25">
      <c r="A48" t="str">
        <f>Original!A38</f>
        <v>ORD-2024-692673</v>
      </c>
      <c r="B48">
        <f>Original!R38</f>
        <v>712.84</v>
      </c>
      <c r="C48">
        <f>Original!S38</f>
        <v>927.51</v>
      </c>
      <c r="D48" s="6">
        <f>Original!T38</f>
        <v>0.24299999999999999</v>
      </c>
      <c r="E48" s="6">
        <f>Original!V38</f>
        <v>27</v>
      </c>
      <c r="F48" s="6">
        <f t="shared" si="0"/>
        <v>0.05</v>
      </c>
      <c r="G48">
        <f t="shared" si="1"/>
        <v>784.12400000000014</v>
      </c>
      <c r="H48">
        <f t="shared" si="2"/>
        <v>27</v>
      </c>
      <c r="I48">
        <f t="shared" si="3"/>
        <v>23790.6315</v>
      </c>
      <c r="J48">
        <f t="shared" si="4"/>
        <v>2619.2834999999941</v>
      </c>
      <c r="K48">
        <f t="shared" si="5"/>
        <v>21171.348000000005</v>
      </c>
    </row>
    <row r="49" spans="1:11" x14ac:dyDescent="0.25">
      <c r="A49" t="str">
        <f>Original!A39</f>
        <v>ORD-2025-718992</v>
      </c>
      <c r="B49">
        <f>Original!R39</f>
        <v>757.19</v>
      </c>
      <c r="C49">
        <f>Original!S39</f>
        <v>1735.41</v>
      </c>
      <c r="D49" s="6">
        <f>Original!T39</f>
        <v>0.13600000000000001</v>
      </c>
      <c r="E49" s="6">
        <f>Original!V39</f>
        <v>8</v>
      </c>
      <c r="F49" s="6">
        <f t="shared" si="0"/>
        <v>0.05</v>
      </c>
      <c r="G49">
        <f t="shared" si="1"/>
        <v>832.90900000000011</v>
      </c>
      <c r="H49">
        <f t="shared" si="2"/>
        <v>8</v>
      </c>
      <c r="I49">
        <f t="shared" si="3"/>
        <v>13189.116</v>
      </c>
      <c r="J49">
        <f t="shared" si="4"/>
        <v>6525.8439999999991</v>
      </c>
      <c r="K49">
        <f t="shared" si="5"/>
        <v>6663.2720000000008</v>
      </c>
    </row>
    <row r="50" spans="1:11" x14ac:dyDescent="0.25">
      <c r="A50" t="str">
        <f>Original!A40</f>
        <v>ORD-2024-599522</v>
      </c>
      <c r="B50">
        <f>Original!R40</f>
        <v>865.33</v>
      </c>
      <c r="C50">
        <f>Original!S40</f>
        <v>1395.64</v>
      </c>
      <c r="D50" s="6">
        <f>Original!T40</f>
        <v>0.17499999999999999</v>
      </c>
      <c r="E50" s="6">
        <f>Original!V40</f>
        <v>13</v>
      </c>
      <c r="F50" s="6">
        <f t="shared" si="0"/>
        <v>0.05</v>
      </c>
      <c r="G50">
        <f t="shared" si="1"/>
        <v>951.86300000000017</v>
      </c>
      <c r="H50">
        <f t="shared" si="2"/>
        <v>13</v>
      </c>
      <c r="I50">
        <f t="shared" si="3"/>
        <v>17236.153999999999</v>
      </c>
      <c r="J50">
        <f t="shared" si="4"/>
        <v>4861.9349999999959</v>
      </c>
      <c r="K50">
        <f t="shared" si="5"/>
        <v>12374.219000000003</v>
      </c>
    </row>
    <row r="51" spans="1:11" x14ac:dyDescent="0.25">
      <c r="A51" t="str">
        <f>Original!A41</f>
        <v>ORD-2023-651638</v>
      </c>
      <c r="B51">
        <f>Original!R41</f>
        <v>313.99</v>
      </c>
      <c r="C51">
        <f>Original!S41</f>
        <v>454.42</v>
      </c>
      <c r="D51" s="6">
        <f>Original!T41</f>
        <v>0.129</v>
      </c>
      <c r="E51" s="6">
        <f>Original!V41</f>
        <v>9</v>
      </c>
      <c r="F51" s="6">
        <f t="shared" si="0"/>
        <v>0.05</v>
      </c>
      <c r="G51">
        <f t="shared" si="1"/>
        <v>345.38900000000001</v>
      </c>
      <c r="H51">
        <f t="shared" si="2"/>
        <v>9</v>
      </c>
      <c r="I51">
        <f t="shared" si="3"/>
        <v>3885.2910000000002</v>
      </c>
      <c r="J51">
        <f t="shared" si="4"/>
        <v>776.79</v>
      </c>
      <c r="K51">
        <f t="shared" si="5"/>
        <v>3108.5010000000002</v>
      </c>
    </row>
    <row r="52" spans="1:11" x14ac:dyDescent="0.25">
      <c r="A52" t="str">
        <f>Original!A42</f>
        <v>ORD-2024-635626</v>
      </c>
      <c r="B52">
        <f>Original!R42</f>
        <v>1024.01</v>
      </c>
      <c r="C52">
        <f>Original!S42</f>
        <v>1580.97</v>
      </c>
      <c r="D52" s="6">
        <f>Original!T42</f>
        <v>3.6999999999999998E-2</v>
      </c>
      <c r="E52" s="6">
        <f>Original!V42</f>
        <v>27</v>
      </c>
      <c r="F52" s="6">
        <f t="shared" si="0"/>
        <v>3.6999999999999998E-2</v>
      </c>
      <c r="G52">
        <f t="shared" si="1"/>
        <v>1126.4110000000001</v>
      </c>
      <c r="H52">
        <f t="shared" si="2"/>
        <v>27</v>
      </c>
      <c r="I52">
        <f t="shared" si="3"/>
        <v>41106.800970000004</v>
      </c>
      <c r="J52">
        <f t="shared" si="4"/>
        <v>10693.703970000002</v>
      </c>
      <c r="K52">
        <f t="shared" si="5"/>
        <v>30413.097000000002</v>
      </c>
    </row>
    <row r="53" spans="1:11" x14ac:dyDescent="0.25">
      <c r="A53" t="str">
        <f>Original!A43</f>
        <v>ORD-2024-296582</v>
      </c>
      <c r="B53">
        <f>Original!R43</f>
        <v>1206.2</v>
      </c>
      <c r="C53">
        <f>Original!S43</f>
        <v>1759.79</v>
      </c>
      <c r="D53" s="6">
        <f>Original!T43</f>
        <v>0</v>
      </c>
      <c r="E53" s="6">
        <f>Original!V43</f>
        <v>6</v>
      </c>
      <c r="F53" s="6">
        <f t="shared" si="0"/>
        <v>0</v>
      </c>
      <c r="G53">
        <f t="shared" si="1"/>
        <v>1326.8200000000002</v>
      </c>
      <c r="H53">
        <f t="shared" si="2"/>
        <v>6</v>
      </c>
      <c r="I53">
        <f t="shared" si="3"/>
        <v>10558.74</v>
      </c>
      <c r="J53">
        <f t="shared" si="4"/>
        <v>2597.8199999999988</v>
      </c>
      <c r="K53">
        <f t="shared" si="5"/>
        <v>7960.920000000001</v>
      </c>
    </row>
    <row r="54" spans="1:11" x14ac:dyDescent="0.25">
      <c r="A54" t="str">
        <f>Original!A44</f>
        <v>ORD-2024-998320</v>
      </c>
      <c r="B54">
        <f>Original!R44</f>
        <v>1396.48</v>
      </c>
      <c r="C54">
        <f>Original!S44</f>
        <v>3204.5</v>
      </c>
      <c r="D54" s="6">
        <f>Original!T44</f>
        <v>0.318</v>
      </c>
      <c r="E54" s="6">
        <f>Original!V44</f>
        <v>14</v>
      </c>
      <c r="F54" s="6">
        <f t="shared" si="0"/>
        <v>0.05</v>
      </c>
      <c r="G54">
        <f t="shared" si="1"/>
        <v>1536.1280000000002</v>
      </c>
      <c r="H54">
        <f t="shared" si="2"/>
        <v>14</v>
      </c>
      <c r="I54">
        <f t="shared" si="3"/>
        <v>42619.85</v>
      </c>
      <c r="J54">
        <f t="shared" si="4"/>
        <v>21114.057999999997</v>
      </c>
      <c r="K54">
        <f t="shared" si="5"/>
        <v>21505.792000000001</v>
      </c>
    </row>
    <row r="55" spans="1:11" x14ac:dyDescent="0.25">
      <c r="A55" t="str">
        <f>Original!A45</f>
        <v>ORD-2025-820255</v>
      </c>
      <c r="B55">
        <f>Original!R45</f>
        <v>483.47</v>
      </c>
      <c r="C55">
        <f>Original!S45</f>
        <v>1135.43</v>
      </c>
      <c r="D55" s="6">
        <f>Original!T45</f>
        <v>0.14599999999999999</v>
      </c>
      <c r="E55" s="6">
        <f>Original!V45</f>
        <v>11</v>
      </c>
      <c r="F55" s="6">
        <f t="shared" si="0"/>
        <v>0.05</v>
      </c>
      <c r="G55">
        <f t="shared" si="1"/>
        <v>531.81700000000012</v>
      </c>
      <c r="H55">
        <f t="shared" si="2"/>
        <v>11</v>
      </c>
      <c r="I55">
        <f t="shared" si="3"/>
        <v>11865.2435</v>
      </c>
      <c r="J55">
        <f t="shared" si="4"/>
        <v>6015.2564999999995</v>
      </c>
      <c r="K55">
        <f t="shared" si="5"/>
        <v>5849.987000000001</v>
      </c>
    </row>
    <row r="56" spans="1:11" x14ac:dyDescent="0.25">
      <c r="A56" t="str">
        <f>Original!A46</f>
        <v>ORD-2024-389336</v>
      </c>
      <c r="B56">
        <f>Original!R46</f>
        <v>675.43</v>
      </c>
      <c r="C56">
        <f>Original!S46</f>
        <v>996.36</v>
      </c>
      <c r="D56" s="6">
        <f>Original!T46</f>
        <v>0.182</v>
      </c>
      <c r="E56" s="6">
        <f>Original!V46</f>
        <v>22</v>
      </c>
      <c r="F56" s="6">
        <f t="shared" si="0"/>
        <v>0.05</v>
      </c>
      <c r="G56">
        <f t="shared" si="1"/>
        <v>742.97299999999996</v>
      </c>
      <c r="H56">
        <f t="shared" si="2"/>
        <v>22</v>
      </c>
      <c r="I56">
        <f t="shared" si="3"/>
        <v>20823.923999999999</v>
      </c>
      <c r="J56">
        <f t="shared" si="4"/>
        <v>4478.518</v>
      </c>
      <c r="K56">
        <f t="shared" si="5"/>
        <v>16345.405999999999</v>
      </c>
    </row>
    <row r="57" spans="1:11" x14ac:dyDescent="0.25">
      <c r="A57" t="str">
        <f>Original!A47</f>
        <v>ORD-2023-308124</v>
      </c>
      <c r="B57">
        <f>Original!R47</f>
        <v>826.55</v>
      </c>
      <c r="C57">
        <f>Original!S47</f>
        <v>1397.05</v>
      </c>
      <c r="D57" s="6">
        <f>Original!T47</f>
        <v>0.16900000000000001</v>
      </c>
      <c r="E57" s="6">
        <f>Original!V47</f>
        <v>28</v>
      </c>
      <c r="F57" s="6">
        <f t="shared" si="0"/>
        <v>0.05</v>
      </c>
      <c r="G57">
        <f t="shared" si="1"/>
        <v>909.20500000000004</v>
      </c>
      <c r="H57">
        <f t="shared" si="2"/>
        <v>28</v>
      </c>
      <c r="I57">
        <f t="shared" si="3"/>
        <v>37161.53</v>
      </c>
      <c r="J57">
        <f t="shared" si="4"/>
        <v>11703.789999999997</v>
      </c>
      <c r="K57">
        <f t="shared" si="5"/>
        <v>25457.74</v>
      </c>
    </row>
    <row r="58" spans="1:11" x14ac:dyDescent="0.25">
      <c r="A58" t="str">
        <f>Original!A48</f>
        <v>ORD-2023-128295</v>
      </c>
      <c r="B58">
        <f>Original!R48</f>
        <v>337.75</v>
      </c>
      <c r="C58">
        <f>Original!S48</f>
        <v>548.89</v>
      </c>
      <c r="D58" s="6">
        <f>Original!T48</f>
        <v>0</v>
      </c>
      <c r="E58" s="6">
        <f>Original!V48</f>
        <v>13</v>
      </c>
      <c r="F58" s="6">
        <f t="shared" si="0"/>
        <v>0</v>
      </c>
      <c r="G58">
        <f t="shared" si="1"/>
        <v>371.52500000000003</v>
      </c>
      <c r="H58">
        <f t="shared" si="2"/>
        <v>13</v>
      </c>
      <c r="I58">
        <f t="shared" si="3"/>
        <v>7135.57</v>
      </c>
      <c r="J58">
        <f t="shared" si="4"/>
        <v>2305.744999999999</v>
      </c>
      <c r="K58">
        <f t="shared" si="5"/>
        <v>4829.8250000000007</v>
      </c>
    </row>
    <row r="59" spans="1:11" x14ac:dyDescent="0.25">
      <c r="A59" t="str">
        <f>Original!A49</f>
        <v>ORD-2024-548345</v>
      </c>
      <c r="B59">
        <f>Original!R49</f>
        <v>1421.14</v>
      </c>
      <c r="C59">
        <f>Original!S49</f>
        <v>3524</v>
      </c>
      <c r="D59" s="6">
        <f>Original!T49</f>
        <v>0</v>
      </c>
      <c r="E59" s="6">
        <f>Original!V49</f>
        <v>31</v>
      </c>
      <c r="F59" s="6">
        <f t="shared" si="0"/>
        <v>0</v>
      </c>
      <c r="G59">
        <f t="shared" si="1"/>
        <v>1563.2540000000001</v>
      </c>
      <c r="H59">
        <f t="shared" si="2"/>
        <v>31</v>
      </c>
      <c r="I59">
        <f t="shared" si="3"/>
        <v>109244</v>
      </c>
      <c r="J59">
        <f t="shared" si="4"/>
        <v>60783.125999999997</v>
      </c>
      <c r="K59">
        <f t="shared" si="5"/>
        <v>48460.874000000003</v>
      </c>
    </row>
    <row r="60" spans="1:11" x14ac:dyDescent="0.25">
      <c r="A60" t="str">
        <f>Original!A50</f>
        <v>ORD-2024-966651</v>
      </c>
      <c r="B60">
        <f>Original!R50</f>
        <v>859.35</v>
      </c>
      <c r="C60">
        <f>Original!S50</f>
        <v>1825.61</v>
      </c>
      <c r="D60" s="6">
        <f>Original!T50</f>
        <v>0.187</v>
      </c>
      <c r="E60" s="6">
        <f>Original!V50</f>
        <v>24</v>
      </c>
      <c r="F60" s="6">
        <f t="shared" si="0"/>
        <v>0.05</v>
      </c>
      <c r="G60">
        <f t="shared" si="1"/>
        <v>945.28500000000008</v>
      </c>
      <c r="H60">
        <f t="shared" si="2"/>
        <v>24</v>
      </c>
      <c r="I60">
        <f t="shared" si="3"/>
        <v>41623.907999999996</v>
      </c>
      <c r="J60">
        <f t="shared" si="4"/>
        <v>18937.067999999992</v>
      </c>
      <c r="K60">
        <f t="shared" si="5"/>
        <v>22686.840000000004</v>
      </c>
    </row>
    <row r="61" spans="1:11" x14ac:dyDescent="0.25">
      <c r="A61" t="str">
        <f>Original!A51</f>
        <v>ORD-2023-292714</v>
      </c>
      <c r="B61">
        <f>Original!R51</f>
        <v>1303.56</v>
      </c>
      <c r="C61">
        <f>Original!S51</f>
        <v>1791.37</v>
      </c>
      <c r="D61" s="6">
        <f>Original!T51</f>
        <v>0.126</v>
      </c>
      <c r="E61" s="6">
        <f>Original!V51</f>
        <v>22</v>
      </c>
      <c r="F61" s="6">
        <f t="shared" si="0"/>
        <v>0.05</v>
      </c>
      <c r="G61">
        <f t="shared" si="1"/>
        <v>1433.9160000000002</v>
      </c>
      <c r="H61">
        <f t="shared" si="2"/>
        <v>22</v>
      </c>
      <c r="I61">
        <f t="shared" si="3"/>
        <v>37439.632999999994</v>
      </c>
      <c r="J61">
        <f t="shared" si="4"/>
        <v>5893.4809999999925</v>
      </c>
      <c r="K61">
        <f t="shared" si="5"/>
        <v>31546.152000000002</v>
      </c>
    </row>
    <row r="62" spans="1:11" x14ac:dyDescent="0.25">
      <c r="A62" t="str">
        <f>Original!A52</f>
        <v>ORD-2024-468501</v>
      </c>
      <c r="B62">
        <f>Original!R52</f>
        <v>1454.11</v>
      </c>
      <c r="C62">
        <f>Original!S52</f>
        <v>2629.75</v>
      </c>
      <c r="D62" s="6">
        <f>Original!T52</f>
        <v>0.29199999999999998</v>
      </c>
      <c r="E62" s="6">
        <f>Original!V52</f>
        <v>8</v>
      </c>
      <c r="F62" s="6">
        <f t="shared" si="0"/>
        <v>0.05</v>
      </c>
      <c r="G62">
        <f t="shared" si="1"/>
        <v>1599.521</v>
      </c>
      <c r="H62">
        <f t="shared" si="2"/>
        <v>8</v>
      </c>
      <c r="I62">
        <f t="shared" si="3"/>
        <v>19986.099999999999</v>
      </c>
      <c r="J62">
        <f t="shared" si="4"/>
        <v>7189.9319999999989</v>
      </c>
      <c r="K62">
        <f t="shared" si="5"/>
        <v>12796.168</v>
      </c>
    </row>
    <row r="63" spans="1:11" x14ac:dyDescent="0.25">
      <c r="A63" t="str">
        <f>Original!A53</f>
        <v>ORD-2024-260775</v>
      </c>
      <c r="B63">
        <f>Original!R53</f>
        <v>72.94</v>
      </c>
      <c r="C63">
        <f>Original!S53</f>
        <v>106.3</v>
      </c>
      <c r="D63" s="6">
        <f>Original!T53</f>
        <v>0.29499999999999998</v>
      </c>
      <c r="E63" s="6">
        <f>Original!V53</f>
        <v>8</v>
      </c>
      <c r="F63" s="6">
        <f t="shared" si="0"/>
        <v>0.05</v>
      </c>
      <c r="G63">
        <f t="shared" si="1"/>
        <v>80.234000000000009</v>
      </c>
      <c r="H63">
        <f t="shared" si="2"/>
        <v>8</v>
      </c>
      <c r="I63">
        <f t="shared" si="3"/>
        <v>807.88</v>
      </c>
      <c r="J63">
        <f t="shared" si="4"/>
        <v>166.00799999999992</v>
      </c>
      <c r="K63">
        <f t="shared" si="5"/>
        <v>641.87200000000007</v>
      </c>
    </row>
    <row r="64" spans="1:11" x14ac:dyDescent="0.25">
      <c r="A64" t="str">
        <f>Original!A54</f>
        <v>ORD-2023-419187</v>
      </c>
      <c r="B64">
        <f>Original!R54</f>
        <v>533.26</v>
      </c>
      <c r="C64">
        <f>Original!S54</f>
        <v>385.72</v>
      </c>
      <c r="D64" s="6">
        <f>Original!T54</f>
        <v>0</v>
      </c>
      <c r="E64" s="6">
        <f>Original!V54</f>
        <v>15</v>
      </c>
      <c r="F64" s="6">
        <f t="shared" si="0"/>
        <v>0</v>
      </c>
      <c r="G64">
        <f t="shared" si="1"/>
        <v>586.58600000000001</v>
      </c>
      <c r="H64">
        <f t="shared" si="2"/>
        <v>15</v>
      </c>
      <c r="I64">
        <f t="shared" si="3"/>
        <v>5785.8</v>
      </c>
      <c r="J64">
        <f t="shared" si="4"/>
        <v>-3012.9900000000007</v>
      </c>
      <c r="K64">
        <f t="shared" si="5"/>
        <v>8798.7900000000009</v>
      </c>
    </row>
    <row r="65" spans="1:11" x14ac:dyDescent="0.25">
      <c r="A65" t="str">
        <f>Original!A55</f>
        <v>ORD-2025-578007</v>
      </c>
      <c r="B65">
        <f>Original!R55</f>
        <v>204.11</v>
      </c>
      <c r="C65">
        <f>Original!S55</f>
        <v>236.87</v>
      </c>
      <c r="D65" s="6">
        <f>Original!T55</f>
        <v>0.182</v>
      </c>
      <c r="E65" s="6">
        <f>Original!V55</f>
        <v>13</v>
      </c>
      <c r="F65" s="6">
        <f t="shared" si="0"/>
        <v>0.05</v>
      </c>
      <c r="G65">
        <f t="shared" si="1"/>
        <v>224.52100000000004</v>
      </c>
      <c r="H65">
        <f t="shared" si="2"/>
        <v>13</v>
      </c>
      <c r="I65">
        <f t="shared" si="3"/>
        <v>2925.3444999999997</v>
      </c>
      <c r="J65">
        <f t="shared" si="4"/>
        <v>6.5714999999991051</v>
      </c>
      <c r="K65">
        <f t="shared" si="5"/>
        <v>2918.7730000000006</v>
      </c>
    </row>
    <row r="66" spans="1:11" x14ac:dyDescent="0.25">
      <c r="A66" t="str">
        <f>Original!A56</f>
        <v>ORD-2023-235230</v>
      </c>
      <c r="B66">
        <f>Original!R56</f>
        <v>44.42</v>
      </c>
      <c r="C66">
        <f>Original!S56</f>
        <v>41.9</v>
      </c>
      <c r="D66" s="6">
        <f>Original!T56</f>
        <v>0.14399999999999999</v>
      </c>
      <c r="E66" s="6">
        <f>Original!V56</f>
        <v>6</v>
      </c>
      <c r="F66" s="6">
        <f t="shared" si="0"/>
        <v>0.05</v>
      </c>
      <c r="G66">
        <f t="shared" si="1"/>
        <v>48.862000000000009</v>
      </c>
      <c r="H66">
        <f t="shared" si="2"/>
        <v>6</v>
      </c>
      <c r="I66">
        <f t="shared" si="3"/>
        <v>238.82999999999996</v>
      </c>
      <c r="J66">
        <f t="shared" si="4"/>
        <v>-54.34200000000007</v>
      </c>
      <c r="K66">
        <f t="shared" si="5"/>
        <v>293.17200000000003</v>
      </c>
    </row>
    <row r="67" spans="1:11" x14ac:dyDescent="0.25">
      <c r="A67" t="str">
        <f>Original!A57</f>
        <v>ORD-2025-765220</v>
      </c>
      <c r="B67">
        <f>Original!R57</f>
        <v>855.78</v>
      </c>
      <c r="C67">
        <f>Original!S57</f>
        <v>977.38</v>
      </c>
      <c r="D67" s="6">
        <f>Original!T57</f>
        <v>0.14699999999999999</v>
      </c>
      <c r="E67" s="6">
        <f>Original!V57</f>
        <v>38</v>
      </c>
      <c r="F67" s="6">
        <f t="shared" si="0"/>
        <v>0.05</v>
      </c>
      <c r="G67">
        <f t="shared" si="1"/>
        <v>941.35800000000006</v>
      </c>
      <c r="H67">
        <f t="shared" si="2"/>
        <v>38</v>
      </c>
      <c r="I67">
        <f t="shared" si="3"/>
        <v>35283.417999999998</v>
      </c>
      <c r="J67">
        <f t="shared" si="4"/>
        <v>-488.18600000000151</v>
      </c>
      <c r="K67">
        <f t="shared" si="5"/>
        <v>35771.603999999999</v>
      </c>
    </row>
    <row r="68" spans="1:11" x14ac:dyDescent="0.25">
      <c r="A68" t="str">
        <f>Original!A58</f>
        <v>ORD-2025-931538</v>
      </c>
      <c r="B68">
        <f>Original!R58</f>
        <v>1154.6400000000001</v>
      </c>
      <c r="C68">
        <f>Original!S58</f>
        <v>2794.13</v>
      </c>
      <c r="D68" s="6">
        <f>Original!T58</f>
        <v>3.5000000000000003E-2</v>
      </c>
      <c r="E68" s="6">
        <f>Original!V58</f>
        <v>11</v>
      </c>
      <c r="F68" s="6">
        <f t="shared" si="0"/>
        <v>3.5000000000000003E-2</v>
      </c>
      <c r="G68">
        <f t="shared" si="1"/>
        <v>1270.1040000000003</v>
      </c>
      <c r="H68">
        <f t="shared" si="2"/>
        <v>11</v>
      </c>
      <c r="I68">
        <f t="shared" si="3"/>
        <v>29659.68995</v>
      </c>
      <c r="J68">
        <f t="shared" si="4"/>
        <v>15688.545949999996</v>
      </c>
      <c r="K68">
        <f t="shared" si="5"/>
        <v>13971.144000000004</v>
      </c>
    </row>
    <row r="69" spans="1:11" x14ac:dyDescent="0.25">
      <c r="A69" t="str">
        <f>Original!A59</f>
        <v>ORD-2024-289089</v>
      </c>
      <c r="B69">
        <f>Original!R59</f>
        <v>346.82</v>
      </c>
      <c r="C69">
        <f>Original!S59</f>
        <v>701.95</v>
      </c>
      <c r="D69" s="6">
        <f>Original!T59</f>
        <v>0.14699999999999999</v>
      </c>
      <c r="E69" s="6">
        <f>Original!V59</f>
        <v>8</v>
      </c>
      <c r="F69" s="6">
        <f t="shared" si="0"/>
        <v>0.05</v>
      </c>
      <c r="G69">
        <f t="shared" si="1"/>
        <v>381.50200000000001</v>
      </c>
      <c r="H69">
        <f t="shared" si="2"/>
        <v>8</v>
      </c>
      <c r="I69">
        <f t="shared" si="3"/>
        <v>5334.82</v>
      </c>
      <c r="J69">
        <f t="shared" si="4"/>
        <v>2282.8039999999996</v>
      </c>
      <c r="K69">
        <f t="shared" si="5"/>
        <v>3052.0160000000001</v>
      </c>
    </row>
    <row r="70" spans="1:11" x14ac:dyDescent="0.25">
      <c r="A70" t="str">
        <f>Original!A60</f>
        <v>ORD-2025-639542</v>
      </c>
      <c r="B70">
        <f>Original!R60</f>
        <v>1225.5</v>
      </c>
      <c r="C70">
        <f>Original!S60</f>
        <v>5.27</v>
      </c>
      <c r="D70" s="6">
        <f>Original!T60</f>
        <v>7.4999999999999997E-2</v>
      </c>
      <c r="E70" s="6">
        <f>Original!V60</f>
        <v>56</v>
      </c>
      <c r="F70" s="6">
        <f t="shared" si="0"/>
        <v>0.05</v>
      </c>
      <c r="G70">
        <f t="shared" si="1"/>
        <v>1348.0500000000002</v>
      </c>
      <c r="H70">
        <f t="shared" si="2"/>
        <v>56</v>
      </c>
      <c r="I70">
        <f t="shared" si="3"/>
        <v>280.36399999999998</v>
      </c>
      <c r="J70">
        <f t="shared" si="4"/>
        <v>-75210.436000000016</v>
      </c>
      <c r="K70">
        <f t="shared" si="5"/>
        <v>75490.800000000017</v>
      </c>
    </row>
    <row r="71" spans="1:11" x14ac:dyDescent="0.25">
      <c r="A71" t="str">
        <f>Original!A61</f>
        <v>ORD-2025-762301</v>
      </c>
      <c r="B71">
        <f>Original!R61</f>
        <v>1057.5999999999999</v>
      </c>
      <c r="C71">
        <f>Original!S61</f>
        <v>1437.06</v>
      </c>
      <c r="D71" s="6">
        <f>Original!T61</f>
        <v>0.20499999999999999</v>
      </c>
      <c r="E71" s="6">
        <f>Original!V61</f>
        <v>4</v>
      </c>
      <c r="F71" s="6">
        <f t="shared" si="0"/>
        <v>0.05</v>
      </c>
      <c r="G71">
        <f t="shared" si="1"/>
        <v>1163.3599999999999</v>
      </c>
      <c r="H71">
        <f t="shared" si="2"/>
        <v>4</v>
      </c>
      <c r="I71">
        <f t="shared" si="3"/>
        <v>5460.8279999999995</v>
      </c>
      <c r="J71">
        <f t="shared" si="4"/>
        <v>807.38799999999992</v>
      </c>
      <c r="K71">
        <f t="shared" si="5"/>
        <v>4653.4399999999996</v>
      </c>
    </row>
    <row r="72" spans="1:11" x14ac:dyDescent="0.25">
      <c r="A72" t="str">
        <f>Original!A62</f>
        <v>ORD-2024-906395</v>
      </c>
      <c r="B72">
        <f>Original!R62</f>
        <v>1176.56</v>
      </c>
      <c r="C72">
        <f>Original!S62</f>
        <v>1911.89</v>
      </c>
      <c r="D72" s="6">
        <f>Original!T62</f>
        <v>0.11899999999999999</v>
      </c>
      <c r="E72" s="6">
        <f>Original!V62</f>
        <v>20</v>
      </c>
      <c r="F72" s="6">
        <f t="shared" si="0"/>
        <v>0.05</v>
      </c>
      <c r="G72">
        <f t="shared" si="1"/>
        <v>1294.2160000000001</v>
      </c>
      <c r="H72">
        <f t="shared" si="2"/>
        <v>20</v>
      </c>
      <c r="I72">
        <f t="shared" si="3"/>
        <v>36325.910000000003</v>
      </c>
      <c r="J72">
        <f t="shared" si="4"/>
        <v>10441.59</v>
      </c>
      <c r="K72">
        <f t="shared" si="5"/>
        <v>25884.320000000003</v>
      </c>
    </row>
    <row r="73" spans="1:11" x14ac:dyDescent="0.25">
      <c r="A73" t="str">
        <f>Original!A63</f>
        <v>ORD-2025-779574</v>
      </c>
      <c r="B73">
        <f>Original!R63</f>
        <v>1470.15</v>
      </c>
      <c r="C73">
        <f>Original!S63</f>
        <v>2593.7800000000002</v>
      </c>
      <c r="D73" s="6">
        <f>Original!T63</f>
        <v>0.11</v>
      </c>
      <c r="E73" s="6">
        <f>Original!V63</f>
        <v>12</v>
      </c>
      <c r="F73" s="6">
        <f t="shared" si="0"/>
        <v>0.05</v>
      </c>
      <c r="G73">
        <f t="shared" si="1"/>
        <v>1617.1650000000002</v>
      </c>
      <c r="H73">
        <f t="shared" si="2"/>
        <v>12</v>
      </c>
      <c r="I73">
        <f t="shared" si="3"/>
        <v>29569.092000000001</v>
      </c>
      <c r="J73">
        <f t="shared" si="4"/>
        <v>10163.111999999997</v>
      </c>
      <c r="K73">
        <f t="shared" si="5"/>
        <v>19405.980000000003</v>
      </c>
    </row>
    <row r="74" spans="1:11" x14ac:dyDescent="0.25">
      <c r="A74" t="str">
        <f>Original!A64</f>
        <v>ORD-2025-526650</v>
      </c>
      <c r="B74">
        <f>Original!R64</f>
        <v>603.45000000000005</v>
      </c>
      <c r="C74">
        <f>Original!S64</f>
        <v>1244.08</v>
      </c>
      <c r="D74" s="6">
        <f>Original!T64</f>
        <v>0.2</v>
      </c>
      <c r="E74" s="6">
        <f>Original!V64</f>
        <v>11</v>
      </c>
      <c r="F74" s="6">
        <f t="shared" si="0"/>
        <v>0.05</v>
      </c>
      <c r="G74">
        <f t="shared" si="1"/>
        <v>663.79500000000007</v>
      </c>
      <c r="H74">
        <f t="shared" si="2"/>
        <v>11</v>
      </c>
      <c r="I74">
        <f t="shared" si="3"/>
        <v>13000.635999999999</v>
      </c>
      <c r="J74">
        <f t="shared" si="4"/>
        <v>5698.8909999999978</v>
      </c>
      <c r="K74">
        <f t="shared" si="5"/>
        <v>7301.7450000000008</v>
      </c>
    </row>
    <row r="75" spans="1:11" x14ac:dyDescent="0.25">
      <c r="A75" t="str">
        <f>Original!A65</f>
        <v>ORD-2024-247979</v>
      </c>
      <c r="B75">
        <f>Original!R65</f>
        <v>1233.58</v>
      </c>
      <c r="C75">
        <f>Original!S65</f>
        <v>1912.51</v>
      </c>
      <c r="D75" s="6">
        <f>Original!T65</f>
        <v>0.255</v>
      </c>
      <c r="E75" s="6">
        <f>Original!V65</f>
        <v>51</v>
      </c>
      <c r="F75" s="6">
        <f t="shared" si="0"/>
        <v>0.05</v>
      </c>
      <c r="G75">
        <f t="shared" si="1"/>
        <v>1356.9380000000001</v>
      </c>
      <c r="H75">
        <f t="shared" si="2"/>
        <v>51</v>
      </c>
      <c r="I75">
        <f t="shared" si="3"/>
        <v>92661.109499999991</v>
      </c>
      <c r="J75">
        <f t="shared" si="4"/>
        <v>23457.271499999988</v>
      </c>
      <c r="K75">
        <f t="shared" si="5"/>
        <v>69203.838000000003</v>
      </c>
    </row>
    <row r="76" spans="1:11" x14ac:dyDescent="0.25">
      <c r="A76" t="str">
        <f>Original!A66</f>
        <v>ORD-2023-480975</v>
      </c>
      <c r="B76">
        <f>Original!R66</f>
        <v>498.5</v>
      </c>
      <c r="C76">
        <f>Original!S66</f>
        <v>755.87</v>
      </c>
      <c r="D76" s="6">
        <f>Original!T66</f>
        <v>0.13</v>
      </c>
      <c r="E76" s="6">
        <f>Original!V66</f>
        <v>40</v>
      </c>
      <c r="F76" s="6">
        <f t="shared" si="0"/>
        <v>0.05</v>
      </c>
      <c r="G76">
        <f t="shared" si="1"/>
        <v>548.35</v>
      </c>
      <c r="H76">
        <f t="shared" si="2"/>
        <v>40</v>
      </c>
      <c r="I76">
        <f t="shared" si="3"/>
        <v>28723.059999999998</v>
      </c>
      <c r="J76">
        <f t="shared" si="4"/>
        <v>6789.0599999999977</v>
      </c>
      <c r="K76">
        <f t="shared" si="5"/>
        <v>21934</v>
      </c>
    </row>
    <row r="77" spans="1:11" x14ac:dyDescent="0.25">
      <c r="A77" t="str">
        <f>Original!A67</f>
        <v>ORD-2023-239789</v>
      </c>
      <c r="B77">
        <f>Original!R67</f>
        <v>1303.1099999999999</v>
      </c>
      <c r="C77">
        <f>Original!S67</f>
        <v>1145.67</v>
      </c>
      <c r="D77" s="6">
        <f>Original!T67</f>
        <v>0.184</v>
      </c>
      <c r="E77" s="6">
        <f>Original!V67</f>
        <v>13</v>
      </c>
      <c r="F77" s="6">
        <f t="shared" si="0"/>
        <v>0.05</v>
      </c>
      <c r="G77">
        <f t="shared" si="1"/>
        <v>1433.421</v>
      </c>
      <c r="H77">
        <f t="shared" si="2"/>
        <v>13</v>
      </c>
      <c r="I77">
        <f t="shared" si="3"/>
        <v>14149.0245</v>
      </c>
      <c r="J77">
        <f t="shared" si="4"/>
        <v>-4485.4485000000022</v>
      </c>
      <c r="K77">
        <f t="shared" si="5"/>
        <v>18634.473000000002</v>
      </c>
    </row>
    <row r="78" spans="1:11" x14ac:dyDescent="0.25">
      <c r="A78" t="str">
        <f>Original!A68</f>
        <v>ORD-2023-548874</v>
      </c>
      <c r="B78">
        <f>Original!R68</f>
        <v>1082.17</v>
      </c>
      <c r="C78">
        <f>Original!S68</f>
        <v>1234.0999999999999</v>
      </c>
      <c r="D78" s="6">
        <f>Original!T68</f>
        <v>0.189</v>
      </c>
      <c r="E78" s="6">
        <f>Original!V68</f>
        <v>16</v>
      </c>
      <c r="F78" s="6">
        <f t="shared" si="0"/>
        <v>0.05</v>
      </c>
      <c r="G78">
        <f t="shared" si="1"/>
        <v>1190.3870000000002</v>
      </c>
      <c r="H78">
        <f t="shared" si="2"/>
        <v>16</v>
      </c>
      <c r="I78">
        <f t="shared" si="3"/>
        <v>18758.319999999996</v>
      </c>
      <c r="J78">
        <f t="shared" si="4"/>
        <v>-287.87200000000666</v>
      </c>
      <c r="K78">
        <f t="shared" si="5"/>
        <v>19046.192000000003</v>
      </c>
    </row>
    <row r="79" spans="1:11" x14ac:dyDescent="0.25">
      <c r="A79" t="str">
        <f>Original!A69</f>
        <v>ORD-2024-347736</v>
      </c>
      <c r="B79">
        <f>Original!R69</f>
        <v>673.88</v>
      </c>
      <c r="C79">
        <f>Original!S69</f>
        <v>1228.01</v>
      </c>
      <c r="D79" s="6">
        <f>Original!T69</f>
        <v>0.105</v>
      </c>
      <c r="E79" s="6">
        <f>Original!V69</f>
        <v>13</v>
      </c>
      <c r="F79" s="6">
        <f t="shared" si="0"/>
        <v>0.05</v>
      </c>
      <c r="G79">
        <f t="shared" si="1"/>
        <v>741.26800000000003</v>
      </c>
      <c r="H79">
        <f t="shared" si="2"/>
        <v>13</v>
      </c>
      <c r="I79">
        <f t="shared" si="3"/>
        <v>15165.923499999999</v>
      </c>
      <c r="J79">
        <f t="shared" si="4"/>
        <v>5529.4394999999986</v>
      </c>
      <c r="K79">
        <f t="shared" si="5"/>
        <v>9636.4840000000004</v>
      </c>
    </row>
    <row r="80" spans="1:11" x14ac:dyDescent="0.25">
      <c r="A80" t="str">
        <f>Original!A70</f>
        <v>ORD-2023-749324</v>
      </c>
      <c r="B80">
        <f>Original!R70</f>
        <v>494.61</v>
      </c>
      <c r="C80">
        <f>Original!S70</f>
        <v>605.23</v>
      </c>
      <c r="D80" s="6">
        <f>Original!T70</f>
        <v>0.20399999999999999</v>
      </c>
      <c r="E80" s="6">
        <f>Original!V70</f>
        <v>18</v>
      </c>
      <c r="F80" s="6">
        <f t="shared" si="0"/>
        <v>0.05</v>
      </c>
      <c r="G80">
        <f t="shared" si="1"/>
        <v>544.07100000000003</v>
      </c>
      <c r="H80">
        <f t="shared" si="2"/>
        <v>18</v>
      </c>
      <c r="I80">
        <f t="shared" si="3"/>
        <v>10349.432999999999</v>
      </c>
      <c r="J80">
        <f t="shared" si="4"/>
        <v>556.15499999999884</v>
      </c>
      <c r="K80">
        <f t="shared" si="5"/>
        <v>9793.2780000000002</v>
      </c>
    </row>
    <row r="81" spans="1:11" x14ac:dyDescent="0.25">
      <c r="A81" t="str">
        <f>Original!A71</f>
        <v>ORD-2023-809913</v>
      </c>
      <c r="B81">
        <f>Original!R71</f>
        <v>882.33</v>
      </c>
      <c r="C81">
        <f>Original!S71</f>
        <v>1880.15</v>
      </c>
      <c r="D81" s="6">
        <f>Original!T71</f>
        <v>0.05</v>
      </c>
      <c r="E81" s="6">
        <f>Original!V71</f>
        <v>5</v>
      </c>
      <c r="F81" s="6">
        <f t="shared" si="0"/>
        <v>0.05</v>
      </c>
      <c r="G81">
        <f t="shared" si="1"/>
        <v>970.5630000000001</v>
      </c>
      <c r="H81">
        <f t="shared" si="2"/>
        <v>5</v>
      </c>
      <c r="I81">
        <f t="shared" si="3"/>
        <v>8930.7124999999996</v>
      </c>
      <c r="J81">
        <f t="shared" si="4"/>
        <v>4077.8974999999991</v>
      </c>
      <c r="K81">
        <f t="shared" si="5"/>
        <v>4852.8150000000005</v>
      </c>
    </row>
    <row r="82" spans="1:11" x14ac:dyDescent="0.25">
      <c r="A82" t="str">
        <f>Original!A72</f>
        <v>ORD-2024-287210</v>
      </c>
      <c r="B82">
        <f>Original!R72</f>
        <v>910.63</v>
      </c>
      <c r="C82">
        <f>Original!S72</f>
        <v>1269.4000000000001</v>
      </c>
      <c r="D82" s="6">
        <f>Original!T72</f>
        <v>6.8000000000000005E-2</v>
      </c>
      <c r="E82" s="6">
        <f>Original!V72</f>
        <v>9</v>
      </c>
      <c r="F82" s="6">
        <f t="shared" si="0"/>
        <v>0.05</v>
      </c>
      <c r="G82">
        <f t="shared" si="1"/>
        <v>1001.6930000000001</v>
      </c>
      <c r="H82">
        <f t="shared" si="2"/>
        <v>9</v>
      </c>
      <c r="I82">
        <f t="shared" si="3"/>
        <v>10853.369999999999</v>
      </c>
      <c r="J82">
        <f t="shared" si="4"/>
        <v>1838.132999999998</v>
      </c>
      <c r="K82">
        <f t="shared" si="5"/>
        <v>9015.237000000001</v>
      </c>
    </row>
    <row r="83" spans="1:11" x14ac:dyDescent="0.25">
      <c r="A83" t="str">
        <f>Original!A73</f>
        <v>ORD-2025-640677</v>
      </c>
      <c r="B83">
        <f>Original!R73</f>
        <v>264.19</v>
      </c>
      <c r="C83">
        <f>Original!S73</f>
        <v>620.92999999999995</v>
      </c>
      <c r="D83" s="6">
        <f>Original!T73</f>
        <v>0.14199999999999999</v>
      </c>
      <c r="E83" s="6">
        <f>Original!V73</f>
        <v>12</v>
      </c>
      <c r="F83" s="6">
        <f t="shared" si="0"/>
        <v>0.05</v>
      </c>
      <c r="G83">
        <f t="shared" si="1"/>
        <v>290.60900000000004</v>
      </c>
      <c r="H83">
        <f t="shared" si="2"/>
        <v>12</v>
      </c>
      <c r="I83">
        <f t="shared" si="3"/>
        <v>7078.6019999999999</v>
      </c>
      <c r="J83">
        <f t="shared" si="4"/>
        <v>3591.2939999999994</v>
      </c>
      <c r="K83">
        <f t="shared" si="5"/>
        <v>3487.3080000000004</v>
      </c>
    </row>
    <row r="84" spans="1:11" x14ac:dyDescent="0.25">
      <c r="A84" t="str">
        <f>Original!A74</f>
        <v>ORD-2024-939873</v>
      </c>
      <c r="B84">
        <f>Original!R74</f>
        <v>1376.51</v>
      </c>
      <c r="C84">
        <f>Original!S74</f>
        <v>1455.91</v>
      </c>
      <c r="D84" s="6">
        <f>Original!T74</f>
        <v>0.185</v>
      </c>
      <c r="E84" s="6">
        <f>Original!V74</f>
        <v>17</v>
      </c>
      <c r="F84" s="6">
        <f t="shared" si="0"/>
        <v>0.05</v>
      </c>
      <c r="G84">
        <f t="shared" si="1"/>
        <v>1514.1610000000001</v>
      </c>
      <c r="H84">
        <f t="shared" si="2"/>
        <v>17</v>
      </c>
      <c r="I84">
        <f t="shared" si="3"/>
        <v>23512.946499999998</v>
      </c>
      <c r="J84">
        <f t="shared" si="4"/>
        <v>-2227.7905000000028</v>
      </c>
      <c r="K84">
        <f t="shared" si="5"/>
        <v>25740.737000000001</v>
      </c>
    </row>
    <row r="85" spans="1:11" x14ac:dyDescent="0.25">
      <c r="A85" t="str">
        <f>Original!A75</f>
        <v>ORD-2024-800947</v>
      </c>
      <c r="B85">
        <f>Original!R75</f>
        <v>717.55</v>
      </c>
      <c r="C85">
        <f>Original!S75</f>
        <v>546.42999999999995</v>
      </c>
      <c r="D85" s="6">
        <f>Original!T75</f>
        <v>4.7E-2</v>
      </c>
      <c r="E85" s="6">
        <f>Original!V75</f>
        <v>18</v>
      </c>
      <c r="F85" s="6">
        <f t="shared" si="0"/>
        <v>4.7E-2</v>
      </c>
      <c r="G85">
        <f t="shared" si="1"/>
        <v>789.30500000000006</v>
      </c>
      <c r="H85">
        <f t="shared" si="2"/>
        <v>18</v>
      </c>
      <c r="I85">
        <f t="shared" si="3"/>
        <v>9373.460219999999</v>
      </c>
      <c r="J85">
        <f t="shared" si="4"/>
        <v>-4834.0297800000026</v>
      </c>
      <c r="K85">
        <f t="shared" si="5"/>
        <v>14207.490000000002</v>
      </c>
    </row>
    <row r="86" spans="1:11" x14ac:dyDescent="0.25">
      <c r="A86" t="str">
        <f>Original!A76</f>
        <v>ORD-2023-382272</v>
      </c>
      <c r="B86">
        <f>Original!R76</f>
        <v>917.88</v>
      </c>
      <c r="C86">
        <f>Original!S76</f>
        <v>1347.92</v>
      </c>
      <c r="D86" s="6">
        <f>Original!T76</f>
        <v>0.34300000000000003</v>
      </c>
      <c r="E86" s="6">
        <f>Original!V76</f>
        <v>5</v>
      </c>
      <c r="F86" s="6">
        <f t="shared" si="0"/>
        <v>0.05</v>
      </c>
      <c r="G86">
        <f t="shared" si="1"/>
        <v>1009.6680000000001</v>
      </c>
      <c r="H86">
        <f t="shared" si="2"/>
        <v>5</v>
      </c>
      <c r="I86">
        <f t="shared" si="3"/>
        <v>6402.62</v>
      </c>
      <c r="J86">
        <f t="shared" si="4"/>
        <v>1354.2799999999997</v>
      </c>
      <c r="K86">
        <f t="shared" si="5"/>
        <v>5048.34</v>
      </c>
    </row>
    <row r="87" spans="1:11" x14ac:dyDescent="0.25">
      <c r="A87" t="str">
        <f>Original!A77</f>
        <v>ORD-2023-722117</v>
      </c>
      <c r="B87">
        <f>Original!R77</f>
        <v>825.64</v>
      </c>
      <c r="C87">
        <f>Original!S77</f>
        <v>1108.43</v>
      </c>
      <c r="D87" s="6">
        <f>Original!T77</f>
        <v>0.114</v>
      </c>
      <c r="E87" s="6">
        <f>Original!V77</f>
        <v>7</v>
      </c>
      <c r="F87" s="6">
        <f t="shared" si="0"/>
        <v>0.05</v>
      </c>
      <c r="G87">
        <f t="shared" si="1"/>
        <v>908.20400000000006</v>
      </c>
      <c r="H87">
        <f t="shared" si="2"/>
        <v>7</v>
      </c>
      <c r="I87">
        <f t="shared" si="3"/>
        <v>7371.0595000000003</v>
      </c>
      <c r="J87">
        <f t="shared" si="4"/>
        <v>1013.6314999999995</v>
      </c>
      <c r="K87">
        <f t="shared" si="5"/>
        <v>6357.4280000000008</v>
      </c>
    </row>
    <row r="88" spans="1:11" x14ac:dyDescent="0.25">
      <c r="A88" t="str">
        <f>Original!A78</f>
        <v>ORD-2024-446699</v>
      </c>
      <c r="B88">
        <f>Original!R78</f>
        <v>1394.65</v>
      </c>
      <c r="C88">
        <f>Original!S78</f>
        <v>3144.1</v>
      </c>
      <c r="D88" s="6">
        <f>Original!T78</f>
        <v>0.13400000000000001</v>
      </c>
      <c r="E88" s="6">
        <f>Original!V78</f>
        <v>13</v>
      </c>
      <c r="F88" s="6">
        <f t="shared" si="0"/>
        <v>0.05</v>
      </c>
      <c r="G88">
        <f t="shared" si="1"/>
        <v>1534.1150000000002</v>
      </c>
      <c r="H88">
        <f t="shared" si="2"/>
        <v>13</v>
      </c>
      <c r="I88">
        <f t="shared" si="3"/>
        <v>38829.634999999995</v>
      </c>
      <c r="J88">
        <f t="shared" si="4"/>
        <v>18886.139999999992</v>
      </c>
      <c r="K88">
        <f t="shared" si="5"/>
        <v>19943.495000000003</v>
      </c>
    </row>
    <row r="89" spans="1:11" x14ac:dyDescent="0.25">
      <c r="A89" t="str">
        <f>Original!A79</f>
        <v>ORD-2024-451005</v>
      </c>
      <c r="B89">
        <f>Original!R79</f>
        <v>1112.98</v>
      </c>
      <c r="C89">
        <f>Original!S79</f>
        <v>2095.73</v>
      </c>
      <c r="D89" s="6">
        <f>Original!T79</f>
        <v>7.1999999999999995E-2</v>
      </c>
      <c r="E89" s="6">
        <f>Original!V79</f>
        <v>17</v>
      </c>
      <c r="F89" s="6">
        <f t="shared" si="0"/>
        <v>0.05</v>
      </c>
      <c r="G89">
        <f t="shared" si="1"/>
        <v>1224.278</v>
      </c>
      <c r="H89">
        <f t="shared" si="2"/>
        <v>17</v>
      </c>
      <c r="I89">
        <f t="shared" si="3"/>
        <v>33846.039499999999</v>
      </c>
      <c r="J89">
        <f t="shared" si="4"/>
        <v>13033.3135</v>
      </c>
      <c r="K89">
        <f t="shared" si="5"/>
        <v>20812.725999999999</v>
      </c>
    </row>
    <row r="90" spans="1:11" x14ac:dyDescent="0.25">
      <c r="A90" t="str">
        <f>Original!A80</f>
        <v>ORD-2023-290279</v>
      </c>
      <c r="B90">
        <f>Original!R80</f>
        <v>357.36</v>
      </c>
      <c r="C90">
        <f>Original!S80</f>
        <v>703.62</v>
      </c>
      <c r="D90" s="6">
        <f>Original!T80</f>
        <v>0.25700000000000001</v>
      </c>
      <c r="E90" s="6">
        <f>Original!V80</f>
        <v>20</v>
      </c>
      <c r="F90" s="6">
        <f t="shared" si="0"/>
        <v>0.05</v>
      </c>
      <c r="G90">
        <f t="shared" si="1"/>
        <v>393.09600000000006</v>
      </c>
      <c r="H90">
        <f t="shared" si="2"/>
        <v>20</v>
      </c>
      <c r="I90">
        <f t="shared" si="3"/>
        <v>13368.779999999999</v>
      </c>
      <c r="J90">
        <f t="shared" si="4"/>
        <v>5506.8599999999979</v>
      </c>
      <c r="K90">
        <f t="shared" si="5"/>
        <v>7861.920000000001</v>
      </c>
    </row>
    <row r="91" spans="1:11" x14ac:dyDescent="0.25">
      <c r="A91" t="str">
        <f>Original!A81</f>
        <v>ORD-2024-192263</v>
      </c>
      <c r="B91">
        <f>Original!R81</f>
        <v>1122.68</v>
      </c>
      <c r="C91">
        <f>Original!S81</f>
        <v>1997.19</v>
      </c>
      <c r="D91" s="6">
        <f>Original!T81</f>
        <v>0.186</v>
      </c>
      <c r="E91" s="6">
        <f>Original!V81</f>
        <v>3</v>
      </c>
      <c r="F91" s="6">
        <f t="shared" si="0"/>
        <v>0.05</v>
      </c>
      <c r="G91">
        <f t="shared" si="1"/>
        <v>1234.9480000000001</v>
      </c>
      <c r="H91">
        <f t="shared" si="2"/>
        <v>3</v>
      </c>
      <c r="I91">
        <f t="shared" si="3"/>
        <v>5691.9914999999992</v>
      </c>
      <c r="J91">
        <f t="shared" si="4"/>
        <v>1987.1474999999991</v>
      </c>
      <c r="K91">
        <f t="shared" si="5"/>
        <v>3704.8440000000001</v>
      </c>
    </row>
    <row r="92" spans="1:11" x14ac:dyDescent="0.25">
      <c r="A92" t="str">
        <f>Original!A82</f>
        <v>ORD-2023-159379</v>
      </c>
      <c r="B92">
        <f>Original!R82</f>
        <v>1410.05</v>
      </c>
      <c r="C92">
        <f>Original!S82</f>
        <v>2763.95</v>
      </c>
      <c r="D92" s="6">
        <f>Original!T82</f>
        <v>0.161</v>
      </c>
      <c r="E92" s="6">
        <f>Original!V82</f>
        <v>26</v>
      </c>
      <c r="F92" s="6">
        <f t="shared" si="0"/>
        <v>0.05</v>
      </c>
      <c r="G92">
        <f t="shared" si="1"/>
        <v>1551.0550000000001</v>
      </c>
      <c r="H92">
        <f t="shared" si="2"/>
        <v>26</v>
      </c>
      <c r="I92">
        <f t="shared" si="3"/>
        <v>68269.564999999988</v>
      </c>
      <c r="J92">
        <f t="shared" si="4"/>
        <v>27942.134999999987</v>
      </c>
      <c r="K92">
        <f t="shared" si="5"/>
        <v>40327.43</v>
      </c>
    </row>
    <row r="93" spans="1:11" x14ac:dyDescent="0.25">
      <c r="A93" t="str">
        <f>Original!A83</f>
        <v>ORD-2023-343322</v>
      </c>
      <c r="B93">
        <f>Original!R83</f>
        <v>1183.95</v>
      </c>
      <c r="C93">
        <f>Original!S83</f>
        <v>1503.53</v>
      </c>
      <c r="D93" s="6">
        <f>Original!T83</f>
        <v>0.24099999999999999</v>
      </c>
      <c r="E93" s="6">
        <f>Original!V83</f>
        <v>16</v>
      </c>
      <c r="F93" s="6">
        <f t="shared" si="0"/>
        <v>0.05</v>
      </c>
      <c r="G93">
        <f t="shared" si="1"/>
        <v>1302.3450000000003</v>
      </c>
      <c r="H93">
        <f t="shared" si="2"/>
        <v>16</v>
      </c>
      <c r="I93">
        <f t="shared" si="3"/>
        <v>22853.655999999999</v>
      </c>
      <c r="J93">
        <f t="shared" si="4"/>
        <v>2016.135999999995</v>
      </c>
      <c r="K93">
        <f t="shared" si="5"/>
        <v>20837.520000000004</v>
      </c>
    </row>
    <row r="94" spans="1:11" x14ac:dyDescent="0.25">
      <c r="A94" t="str">
        <f>Original!A84</f>
        <v>ORD-2025-114382</v>
      </c>
      <c r="B94">
        <f>Original!R84</f>
        <v>170.39</v>
      </c>
      <c r="C94">
        <f>Original!S84</f>
        <v>388.04</v>
      </c>
      <c r="D94" s="6">
        <f>Original!T84</f>
        <v>8.4000000000000005E-2</v>
      </c>
      <c r="E94" s="6">
        <f>Original!V84</f>
        <v>15</v>
      </c>
      <c r="F94" s="6">
        <f t="shared" si="0"/>
        <v>0.05</v>
      </c>
      <c r="G94">
        <f t="shared" si="1"/>
        <v>187.429</v>
      </c>
      <c r="H94">
        <f t="shared" si="2"/>
        <v>15</v>
      </c>
      <c r="I94">
        <f t="shared" si="3"/>
        <v>5529.57</v>
      </c>
      <c r="J94">
        <f t="shared" si="4"/>
        <v>2718.1349999999998</v>
      </c>
      <c r="K94">
        <f t="shared" si="5"/>
        <v>2811.4349999999999</v>
      </c>
    </row>
    <row r="95" spans="1:11" x14ac:dyDescent="0.25">
      <c r="A95" t="str">
        <f>Original!A85</f>
        <v>ORD-2025-488349</v>
      </c>
      <c r="B95">
        <f>Original!R85</f>
        <v>23.24</v>
      </c>
      <c r="C95">
        <f>Original!S85</f>
        <v>44.57</v>
      </c>
      <c r="D95" s="6">
        <f>Original!T85</f>
        <v>0.215</v>
      </c>
      <c r="E95" s="6">
        <f>Original!V85</f>
        <v>15</v>
      </c>
      <c r="F95" s="6">
        <f t="shared" si="0"/>
        <v>0.05</v>
      </c>
      <c r="G95">
        <f t="shared" si="1"/>
        <v>25.564</v>
      </c>
      <c r="H95">
        <f t="shared" si="2"/>
        <v>15</v>
      </c>
      <c r="I95">
        <f t="shared" si="3"/>
        <v>635.12249999999995</v>
      </c>
      <c r="J95">
        <f t="shared" si="4"/>
        <v>251.66249999999997</v>
      </c>
      <c r="K95">
        <f t="shared" si="5"/>
        <v>383.46</v>
      </c>
    </row>
    <row r="96" spans="1:11" x14ac:dyDescent="0.25">
      <c r="A96" t="str">
        <f>Original!A86</f>
        <v>ORD-2025-330203</v>
      </c>
      <c r="B96">
        <f>Original!R86</f>
        <v>1421.19</v>
      </c>
      <c r="C96">
        <f>Original!S86</f>
        <v>1808.26</v>
      </c>
      <c r="D96" s="6">
        <f>Original!T86</f>
        <v>0.104</v>
      </c>
      <c r="E96" s="6">
        <f>Original!V86</f>
        <v>13</v>
      </c>
      <c r="F96" s="6">
        <f t="shared" ref="F96:F159" si="6">MIN(D96,$B$2)</f>
        <v>0.05</v>
      </c>
      <c r="G96">
        <f t="shared" ref="G96:G159" si="7">B96*(1+$B$3)</f>
        <v>1563.3090000000002</v>
      </c>
      <c r="H96">
        <f t="shared" ref="H96:H159" si="8">E96*(1+$B$4)</f>
        <v>13</v>
      </c>
      <c r="I96">
        <f t="shared" ref="I96:I159" si="9">C96*H96*(1-F96)</f>
        <v>22332.010999999999</v>
      </c>
      <c r="J96">
        <f t="shared" ref="J96:J159" si="10">I96-K96</f>
        <v>2008.9939999999951</v>
      </c>
      <c r="K96">
        <f t="shared" ref="K96:K159" si="11">G96*H96</f>
        <v>20323.017000000003</v>
      </c>
    </row>
    <row r="97" spans="1:11" x14ac:dyDescent="0.25">
      <c r="A97" t="str">
        <f>Original!A87</f>
        <v>ORD-2023-841426</v>
      </c>
      <c r="B97">
        <f>Original!R87</f>
        <v>1186.18</v>
      </c>
      <c r="C97">
        <f>Original!S87</f>
        <v>1285.0899999999999</v>
      </c>
      <c r="D97" s="6">
        <f>Original!T87</f>
        <v>7.0000000000000007E-2</v>
      </c>
      <c r="E97" s="6">
        <f>Original!V87</f>
        <v>11</v>
      </c>
      <c r="F97" s="6">
        <f t="shared" si="6"/>
        <v>0.05</v>
      </c>
      <c r="G97">
        <f t="shared" si="7"/>
        <v>1304.7980000000002</v>
      </c>
      <c r="H97">
        <f t="shared" si="8"/>
        <v>11</v>
      </c>
      <c r="I97">
        <f t="shared" si="9"/>
        <v>13429.190499999999</v>
      </c>
      <c r="J97">
        <f t="shared" si="10"/>
        <v>-923.58750000000327</v>
      </c>
      <c r="K97">
        <f t="shared" si="11"/>
        <v>14352.778000000002</v>
      </c>
    </row>
    <row r="98" spans="1:11" x14ac:dyDescent="0.25">
      <c r="A98" t="str">
        <f>Original!A88</f>
        <v>ORD-2024-594592</v>
      </c>
      <c r="B98">
        <f>Original!R88</f>
        <v>1366.48</v>
      </c>
      <c r="C98">
        <f>Original!S88</f>
        <v>1678.14</v>
      </c>
      <c r="D98" s="6">
        <f>Original!T88</f>
        <v>0.154</v>
      </c>
      <c r="E98" s="6">
        <f>Original!V88</f>
        <v>10</v>
      </c>
      <c r="F98" s="6">
        <f t="shared" si="6"/>
        <v>0.05</v>
      </c>
      <c r="G98">
        <f t="shared" si="7"/>
        <v>1503.1280000000002</v>
      </c>
      <c r="H98">
        <f t="shared" si="8"/>
        <v>10</v>
      </c>
      <c r="I98">
        <f t="shared" si="9"/>
        <v>15942.33</v>
      </c>
      <c r="J98">
        <f t="shared" si="10"/>
        <v>911.04999999999745</v>
      </c>
      <c r="K98">
        <f t="shared" si="11"/>
        <v>15031.280000000002</v>
      </c>
    </row>
    <row r="99" spans="1:11" x14ac:dyDescent="0.25">
      <c r="A99" t="str">
        <f>Original!A89</f>
        <v>ORD-2025-863978</v>
      </c>
      <c r="B99">
        <f>Original!R89</f>
        <v>601.51</v>
      </c>
      <c r="C99">
        <f>Original!S89</f>
        <v>679.35</v>
      </c>
      <c r="D99" s="6">
        <f>Original!T89</f>
        <v>0.188</v>
      </c>
      <c r="E99" s="6">
        <f>Original!V89</f>
        <v>3</v>
      </c>
      <c r="F99" s="6">
        <f t="shared" si="6"/>
        <v>0.05</v>
      </c>
      <c r="G99">
        <f t="shared" si="7"/>
        <v>661.66100000000006</v>
      </c>
      <c r="H99">
        <f t="shared" si="8"/>
        <v>3</v>
      </c>
      <c r="I99">
        <f t="shared" si="9"/>
        <v>1936.1475</v>
      </c>
      <c r="J99">
        <f t="shared" si="10"/>
        <v>-48.835500000000138</v>
      </c>
      <c r="K99">
        <f t="shared" si="11"/>
        <v>1984.9830000000002</v>
      </c>
    </row>
    <row r="100" spans="1:11" x14ac:dyDescent="0.25">
      <c r="A100" t="str">
        <f>Original!A90</f>
        <v>ORD-2024-604471</v>
      </c>
      <c r="B100">
        <f>Original!R90</f>
        <v>523.70000000000005</v>
      </c>
      <c r="C100">
        <f>Original!S90</f>
        <v>1109.92</v>
      </c>
      <c r="D100" s="6">
        <f>Original!T90</f>
        <v>0.03</v>
      </c>
      <c r="E100" s="6">
        <f>Original!V90</f>
        <v>11</v>
      </c>
      <c r="F100" s="6">
        <f t="shared" si="6"/>
        <v>0.03</v>
      </c>
      <c r="G100">
        <f t="shared" si="7"/>
        <v>576.07000000000005</v>
      </c>
      <c r="H100">
        <f t="shared" si="8"/>
        <v>11</v>
      </c>
      <c r="I100">
        <f t="shared" si="9"/>
        <v>11842.8464</v>
      </c>
      <c r="J100">
        <f t="shared" si="10"/>
        <v>5506.0763999999999</v>
      </c>
      <c r="K100">
        <f t="shared" si="11"/>
        <v>6336.77</v>
      </c>
    </row>
    <row r="101" spans="1:11" x14ac:dyDescent="0.25">
      <c r="A101" t="str">
        <f>Original!A91</f>
        <v>ORD-2023-258768</v>
      </c>
      <c r="B101">
        <f>Original!R91</f>
        <v>55.65</v>
      </c>
      <c r="C101">
        <f>Original!S91</f>
        <v>83.57</v>
      </c>
      <c r="D101" s="6">
        <f>Original!T91</f>
        <v>6.6000000000000003E-2</v>
      </c>
      <c r="E101" s="6">
        <f>Original!V91</f>
        <v>8</v>
      </c>
      <c r="F101" s="6">
        <f t="shared" si="6"/>
        <v>0.05</v>
      </c>
      <c r="G101">
        <f t="shared" si="7"/>
        <v>61.215000000000003</v>
      </c>
      <c r="H101">
        <f t="shared" si="8"/>
        <v>8</v>
      </c>
      <c r="I101">
        <f t="shared" si="9"/>
        <v>635.13199999999995</v>
      </c>
      <c r="J101">
        <f t="shared" si="10"/>
        <v>145.41199999999992</v>
      </c>
      <c r="K101">
        <f t="shared" si="11"/>
        <v>489.72</v>
      </c>
    </row>
    <row r="102" spans="1:11" x14ac:dyDescent="0.25">
      <c r="A102" t="str">
        <f>Original!A92</f>
        <v>ORD-2025-626047</v>
      </c>
      <c r="B102">
        <f>Original!R92</f>
        <v>691.19</v>
      </c>
      <c r="C102">
        <f>Original!S92</f>
        <v>1284.3</v>
      </c>
      <c r="D102" s="6">
        <f>Original!T92</f>
        <v>7.3999999999999996E-2</v>
      </c>
      <c r="E102" s="6">
        <f>Original!V92</f>
        <v>7</v>
      </c>
      <c r="F102" s="6">
        <f t="shared" si="6"/>
        <v>0.05</v>
      </c>
      <c r="G102">
        <f t="shared" si="7"/>
        <v>760.30900000000008</v>
      </c>
      <c r="H102">
        <f t="shared" si="8"/>
        <v>7</v>
      </c>
      <c r="I102">
        <f t="shared" si="9"/>
        <v>8540.5949999999993</v>
      </c>
      <c r="J102">
        <f t="shared" si="10"/>
        <v>3218.4319999999989</v>
      </c>
      <c r="K102">
        <f t="shared" si="11"/>
        <v>5322.1630000000005</v>
      </c>
    </row>
    <row r="103" spans="1:11" x14ac:dyDescent="0.25">
      <c r="A103" t="str">
        <f>Original!A93</f>
        <v>ORD-2025-526752</v>
      </c>
      <c r="B103">
        <f>Original!R93</f>
        <v>527.33000000000004</v>
      </c>
      <c r="C103">
        <f>Original!S93</f>
        <v>911.72</v>
      </c>
      <c r="D103" s="6">
        <f>Original!T93</f>
        <v>0.14399999999999999</v>
      </c>
      <c r="E103" s="6">
        <f>Original!V93</f>
        <v>25</v>
      </c>
      <c r="F103" s="6">
        <f t="shared" si="6"/>
        <v>0.05</v>
      </c>
      <c r="G103">
        <f t="shared" si="7"/>
        <v>580.0630000000001</v>
      </c>
      <c r="H103">
        <f t="shared" si="8"/>
        <v>25</v>
      </c>
      <c r="I103">
        <f t="shared" si="9"/>
        <v>21653.35</v>
      </c>
      <c r="J103">
        <f t="shared" si="10"/>
        <v>7151.774999999996</v>
      </c>
      <c r="K103">
        <f t="shared" si="11"/>
        <v>14501.575000000003</v>
      </c>
    </row>
    <row r="104" spans="1:11" x14ac:dyDescent="0.25">
      <c r="A104" t="str">
        <f>Original!A94</f>
        <v>ORD-2023-374486</v>
      </c>
      <c r="B104">
        <f>Original!R94</f>
        <v>804.01</v>
      </c>
      <c r="C104">
        <f>Original!S94</f>
        <v>1405.07</v>
      </c>
      <c r="D104" s="6">
        <f>Original!T94</f>
        <v>9.6000000000000002E-2</v>
      </c>
      <c r="E104" s="6">
        <f>Original!V94</f>
        <v>8</v>
      </c>
      <c r="F104" s="6">
        <f t="shared" si="6"/>
        <v>0.05</v>
      </c>
      <c r="G104">
        <f t="shared" si="7"/>
        <v>884.41100000000006</v>
      </c>
      <c r="H104">
        <f t="shared" si="8"/>
        <v>8</v>
      </c>
      <c r="I104">
        <f t="shared" si="9"/>
        <v>10678.531999999999</v>
      </c>
      <c r="J104">
        <f t="shared" si="10"/>
        <v>3603.2439999999988</v>
      </c>
      <c r="K104">
        <f t="shared" si="11"/>
        <v>7075.2880000000005</v>
      </c>
    </row>
    <row r="105" spans="1:11" x14ac:dyDescent="0.25">
      <c r="A105" t="str">
        <f>Original!A95</f>
        <v>ORD-2024-997336</v>
      </c>
      <c r="B105">
        <f>Original!R95</f>
        <v>412.09</v>
      </c>
      <c r="C105">
        <f>Original!S95</f>
        <v>968.94</v>
      </c>
      <c r="D105" s="6">
        <f>Original!T95</f>
        <v>9.9000000000000005E-2</v>
      </c>
      <c r="E105" s="6">
        <f>Original!V95</f>
        <v>23</v>
      </c>
      <c r="F105" s="6">
        <f t="shared" si="6"/>
        <v>0.05</v>
      </c>
      <c r="G105">
        <f t="shared" si="7"/>
        <v>453.29900000000004</v>
      </c>
      <c r="H105">
        <f t="shared" si="8"/>
        <v>23</v>
      </c>
      <c r="I105">
        <f t="shared" si="9"/>
        <v>21171.339</v>
      </c>
      <c r="J105">
        <f t="shared" si="10"/>
        <v>10745.462</v>
      </c>
      <c r="K105">
        <f t="shared" si="11"/>
        <v>10425.877</v>
      </c>
    </row>
    <row r="106" spans="1:11" x14ac:dyDescent="0.25">
      <c r="A106" t="str">
        <f>Original!A96</f>
        <v>ORD-2025-725646</v>
      </c>
      <c r="B106">
        <f>Original!R96</f>
        <v>1009.48</v>
      </c>
      <c r="C106">
        <f>Original!S96</f>
        <v>1088.81</v>
      </c>
      <c r="D106" s="6">
        <f>Original!T96</f>
        <v>0.16</v>
      </c>
      <c r="E106" s="6">
        <f>Original!V96</f>
        <v>6</v>
      </c>
      <c r="F106" s="6">
        <f t="shared" si="6"/>
        <v>0.05</v>
      </c>
      <c r="G106">
        <f t="shared" si="7"/>
        <v>1110.4280000000001</v>
      </c>
      <c r="H106">
        <f t="shared" si="8"/>
        <v>6</v>
      </c>
      <c r="I106">
        <f t="shared" si="9"/>
        <v>6206.2169999999996</v>
      </c>
      <c r="J106">
        <f t="shared" si="10"/>
        <v>-456.35100000000148</v>
      </c>
      <c r="K106">
        <f t="shared" si="11"/>
        <v>6662.5680000000011</v>
      </c>
    </row>
    <row r="107" spans="1:11" x14ac:dyDescent="0.25">
      <c r="A107" t="str">
        <f>Original!A97</f>
        <v>ORD-2023-868734</v>
      </c>
      <c r="B107">
        <f>Original!R97</f>
        <v>1084.79</v>
      </c>
      <c r="C107">
        <f>Original!S97</f>
        <v>2484.9899999999998</v>
      </c>
      <c r="D107" s="6">
        <f>Original!T97</f>
        <v>3.4000000000000002E-2</v>
      </c>
      <c r="E107" s="6">
        <f>Original!V97</f>
        <v>18</v>
      </c>
      <c r="F107" s="6">
        <f t="shared" si="6"/>
        <v>3.4000000000000002E-2</v>
      </c>
      <c r="G107">
        <f t="shared" si="7"/>
        <v>1193.269</v>
      </c>
      <c r="H107">
        <f t="shared" si="8"/>
        <v>18</v>
      </c>
      <c r="I107">
        <f t="shared" si="9"/>
        <v>43209.006119999991</v>
      </c>
      <c r="J107">
        <f t="shared" si="10"/>
        <v>21730.16411999999</v>
      </c>
      <c r="K107">
        <f t="shared" si="11"/>
        <v>21478.842000000001</v>
      </c>
    </row>
    <row r="108" spans="1:11" x14ac:dyDescent="0.25">
      <c r="A108" t="str">
        <f>Original!A98</f>
        <v>ORD-2025-262491</v>
      </c>
      <c r="B108">
        <f>Original!R98</f>
        <v>24.44</v>
      </c>
      <c r="C108">
        <f>Original!S98</f>
        <v>28.69</v>
      </c>
      <c r="D108" s="6">
        <f>Original!T98</f>
        <v>0.14599999999999999</v>
      </c>
      <c r="E108" s="6">
        <f>Original!V98</f>
        <v>6</v>
      </c>
      <c r="F108" s="6">
        <f t="shared" si="6"/>
        <v>0.05</v>
      </c>
      <c r="G108">
        <f t="shared" si="7"/>
        <v>26.884000000000004</v>
      </c>
      <c r="H108">
        <f t="shared" si="8"/>
        <v>6</v>
      </c>
      <c r="I108">
        <f t="shared" si="9"/>
        <v>163.53300000000002</v>
      </c>
      <c r="J108">
        <f t="shared" si="10"/>
        <v>2.228999999999985</v>
      </c>
      <c r="K108">
        <f t="shared" si="11"/>
        <v>161.30400000000003</v>
      </c>
    </row>
    <row r="109" spans="1:11" x14ac:dyDescent="0.25">
      <c r="A109" t="str">
        <f>Original!A99</f>
        <v>ORD-2024-638884</v>
      </c>
      <c r="B109">
        <f>Original!R99</f>
        <v>1227.08</v>
      </c>
      <c r="C109">
        <f>Original!S99</f>
        <v>1896.62</v>
      </c>
      <c r="D109" s="6">
        <f>Original!T99</f>
        <v>0</v>
      </c>
      <c r="E109" s="6">
        <f>Original!V99</f>
        <v>18</v>
      </c>
      <c r="F109" s="6">
        <f t="shared" si="6"/>
        <v>0</v>
      </c>
      <c r="G109">
        <f t="shared" si="7"/>
        <v>1349.788</v>
      </c>
      <c r="H109">
        <f t="shared" si="8"/>
        <v>18</v>
      </c>
      <c r="I109">
        <f t="shared" si="9"/>
        <v>34139.159999999996</v>
      </c>
      <c r="J109">
        <f t="shared" si="10"/>
        <v>9842.9759999999951</v>
      </c>
      <c r="K109">
        <f t="shared" si="11"/>
        <v>24296.184000000001</v>
      </c>
    </row>
    <row r="110" spans="1:11" x14ac:dyDescent="0.25">
      <c r="A110" t="str">
        <f>Original!A100</f>
        <v>ORD-2025-541501</v>
      </c>
      <c r="B110">
        <f>Original!R100</f>
        <v>547.32000000000005</v>
      </c>
      <c r="C110">
        <f>Original!S100</f>
        <v>419.17</v>
      </c>
      <c r="D110" s="6">
        <f>Original!T100</f>
        <v>9.1999999999999998E-2</v>
      </c>
      <c r="E110" s="6">
        <f>Original!V100</f>
        <v>14</v>
      </c>
      <c r="F110" s="6">
        <f t="shared" si="6"/>
        <v>0.05</v>
      </c>
      <c r="G110">
        <f t="shared" si="7"/>
        <v>602.05200000000013</v>
      </c>
      <c r="H110">
        <f t="shared" si="8"/>
        <v>14</v>
      </c>
      <c r="I110">
        <f t="shared" si="9"/>
        <v>5574.9610000000002</v>
      </c>
      <c r="J110">
        <f t="shared" si="10"/>
        <v>-2853.7670000000026</v>
      </c>
      <c r="K110">
        <f t="shared" si="11"/>
        <v>8428.7280000000028</v>
      </c>
    </row>
    <row r="111" spans="1:11" x14ac:dyDescent="0.25">
      <c r="A111" t="str">
        <f>Original!A101</f>
        <v>ORD-2023-422918</v>
      </c>
      <c r="B111">
        <f>Original!R101</f>
        <v>1200.78</v>
      </c>
      <c r="C111">
        <f>Original!S101</f>
        <v>2001.17</v>
      </c>
      <c r="D111" s="6">
        <f>Original!T101</f>
        <v>0.29199999999999998</v>
      </c>
      <c r="E111" s="6">
        <f>Original!V101</f>
        <v>18</v>
      </c>
      <c r="F111" s="6">
        <f t="shared" si="6"/>
        <v>0.05</v>
      </c>
      <c r="G111">
        <f t="shared" si="7"/>
        <v>1320.8580000000002</v>
      </c>
      <c r="H111">
        <f t="shared" si="8"/>
        <v>18</v>
      </c>
      <c r="I111">
        <f t="shared" si="9"/>
        <v>34220.006999999998</v>
      </c>
      <c r="J111">
        <f t="shared" si="10"/>
        <v>10444.562999999995</v>
      </c>
      <c r="K111">
        <f t="shared" si="11"/>
        <v>23775.444000000003</v>
      </c>
    </row>
    <row r="112" spans="1:11" x14ac:dyDescent="0.25">
      <c r="A112" t="str">
        <f>Original!A102</f>
        <v>ORD-2025-328504</v>
      </c>
      <c r="B112">
        <f>Original!R102</f>
        <v>1253.22</v>
      </c>
      <c r="C112">
        <f>Original!S102</f>
        <v>3104.71</v>
      </c>
      <c r="D112" s="6">
        <f>Original!T102</f>
        <v>0</v>
      </c>
      <c r="E112" s="6">
        <f>Original!V102</f>
        <v>17</v>
      </c>
      <c r="F112" s="6">
        <f t="shared" si="6"/>
        <v>0</v>
      </c>
      <c r="G112">
        <f t="shared" si="7"/>
        <v>1378.5420000000001</v>
      </c>
      <c r="H112">
        <f t="shared" si="8"/>
        <v>17</v>
      </c>
      <c r="I112">
        <f t="shared" si="9"/>
        <v>52780.07</v>
      </c>
      <c r="J112">
        <f t="shared" si="10"/>
        <v>29344.855999999996</v>
      </c>
      <c r="K112">
        <f t="shared" si="11"/>
        <v>23435.214000000004</v>
      </c>
    </row>
    <row r="113" spans="1:11" x14ac:dyDescent="0.25">
      <c r="A113" t="str">
        <f>Original!A103</f>
        <v>ORD-2024-851883</v>
      </c>
      <c r="B113">
        <f>Original!R103</f>
        <v>313.60000000000002</v>
      </c>
      <c r="C113">
        <f>Original!S103</f>
        <v>334.28</v>
      </c>
      <c r="D113" s="6">
        <f>Original!T103</f>
        <v>0.14000000000000001</v>
      </c>
      <c r="E113" s="6">
        <f>Original!V103</f>
        <v>22</v>
      </c>
      <c r="F113" s="6">
        <f t="shared" si="6"/>
        <v>0.05</v>
      </c>
      <c r="G113">
        <f t="shared" si="7"/>
        <v>344.96000000000004</v>
      </c>
      <c r="H113">
        <f t="shared" si="8"/>
        <v>22</v>
      </c>
      <c r="I113">
        <f t="shared" si="9"/>
        <v>6986.4519999999993</v>
      </c>
      <c r="J113">
        <f t="shared" si="10"/>
        <v>-602.66800000000148</v>
      </c>
      <c r="K113">
        <f t="shared" si="11"/>
        <v>7589.1200000000008</v>
      </c>
    </row>
    <row r="114" spans="1:11" x14ac:dyDescent="0.25">
      <c r="A114" t="str">
        <f>Original!A104</f>
        <v>ORD-2025-662997</v>
      </c>
      <c r="B114">
        <f>Original!R104</f>
        <v>862.08</v>
      </c>
      <c r="C114">
        <f>Original!S104</f>
        <v>1952.83</v>
      </c>
      <c r="D114" s="6">
        <f>Original!T104</f>
        <v>0</v>
      </c>
      <c r="E114" s="6">
        <f>Original!V104</f>
        <v>7</v>
      </c>
      <c r="F114" s="6">
        <f t="shared" si="6"/>
        <v>0</v>
      </c>
      <c r="G114">
        <f t="shared" si="7"/>
        <v>948.28800000000012</v>
      </c>
      <c r="H114">
        <f t="shared" si="8"/>
        <v>7</v>
      </c>
      <c r="I114">
        <f t="shared" si="9"/>
        <v>13669.81</v>
      </c>
      <c r="J114">
        <f t="shared" si="10"/>
        <v>7031.793999999999</v>
      </c>
      <c r="K114">
        <f t="shared" si="11"/>
        <v>6638.0160000000005</v>
      </c>
    </row>
    <row r="115" spans="1:11" x14ac:dyDescent="0.25">
      <c r="A115" t="str">
        <f>Original!A105</f>
        <v>ORD-2024-478165</v>
      </c>
      <c r="B115">
        <f>Original!R105</f>
        <v>107.03</v>
      </c>
      <c r="C115">
        <f>Original!S105</f>
        <v>242.29</v>
      </c>
      <c r="D115" s="6">
        <f>Original!T105</f>
        <v>0.18</v>
      </c>
      <c r="E115" s="6">
        <f>Original!V105</f>
        <v>30</v>
      </c>
      <c r="F115" s="6">
        <f t="shared" si="6"/>
        <v>0.05</v>
      </c>
      <c r="G115">
        <f t="shared" si="7"/>
        <v>117.733</v>
      </c>
      <c r="H115">
        <f t="shared" si="8"/>
        <v>30</v>
      </c>
      <c r="I115">
        <f t="shared" si="9"/>
        <v>6905.2649999999994</v>
      </c>
      <c r="J115">
        <f t="shared" si="10"/>
        <v>3373.2749999999992</v>
      </c>
      <c r="K115">
        <f t="shared" si="11"/>
        <v>3531.9900000000002</v>
      </c>
    </row>
    <row r="116" spans="1:11" x14ac:dyDescent="0.25">
      <c r="A116" t="str">
        <f>Original!A106</f>
        <v>ORD-2024-771210</v>
      </c>
      <c r="B116">
        <f>Original!R106</f>
        <v>1405.56</v>
      </c>
      <c r="C116">
        <f>Original!S106</f>
        <v>2968.87</v>
      </c>
      <c r="D116" s="6">
        <f>Original!T106</f>
        <v>0.16900000000000001</v>
      </c>
      <c r="E116" s="6">
        <f>Original!V106</f>
        <v>5</v>
      </c>
      <c r="F116" s="6">
        <f t="shared" si="6"/>
        <v>0.05</v>
      </c>
      <c r="G116">
        <f t="shared" si="7"/>
        <v>1546.116</v>
      </c>
      <c r="H116">
        <f t="shared" si="8"/>
        <v>5</v>
      </c>
      <c r="I116">
        <f t="shared" si="9"/>
        <v>14102.132499999998</v>
      </c>
      <c r="J116">
        <f t="shared" si="10"/>
        <v>6371.552499999998</v>
      </c>
      <c r="K116">
        <f t="shared" si="11"/>
        <v>7730.58</v>
      </c>
    </row>
    <row r="117" spans="1:11" x14ac:dyDescent="0.25">
      <c r="A117" t="str">
        <f>Original!A107</f>
        <v>ORD-2024-155337</v>
      </c>
      <c r="B117">
        <f>Original!R107</f>
        <v>1157.51</v>
      </c>
      <c r="C117">
        <f>Original!S107</f>
        <v>1394.3</v>
      </c>
      <c r="D117" s="6">
        <f>Original!T107</f>
        <v>0.27800000000000002</v>
      </c>
      <c r="E117" s="6">
        <f>Original!V107</f>
        <v>12</v>
      </c>
      <c r="F117" s="6">
        <f t="shared" si="6"/>
        <v>0.05</v>
      </c>
      <c r="G117">
        <f t="shared" si="7"/>
        <v>1273.2610000000002</v>
      </c>
      <c r="H117">
        <f t="shared" si="8"/>
        <v>12</v>
      </c>
      <c r="I117">
        <f t="shared" si="9"/>
        <v>15895.019999999999</v>
      </c>
      <c r="J117">
        <f t="shared" si="10"/>
        <v>615.88799999999719</v>
      </c>
      <c r="K117">
        <f t="shared" si="11"/>
        <v>15279.132000000001</v>
      </c>
    </row>
    <row r="118" spans="1:11" x14ac:dyDescent="0.25">
      <c r="A118" t="str">
        <f>Original!A108</f>
        <v>ORD-2023-251563</v>
      </c>
      <c r="B118">
        <f>Original!R108</f>
        <v>12.85</v>
      </c>
      <c r="C118">
        <f>Original!S108</f>
        <v>15.41</v>
      </c>
      <c r="D118" s="6">
        <f>Original!T108</f>
        <v>0.13700000000000001</v>
      </c>
      <c r="E118" s="6">
        <f>Original!V108</f>
        <v>39</v>
      </c>
      <c r="F118" s="6">
        <f t="shared" si="6"/>
        <v>0.05</v>
      </c>
      <c r="G118">
        <f t="shared" si="7"/>
        <v>14.135000000000002</v>
      </c>
      <c r="H118">
        <f t="shared" si="8"/>
        <v>39</v>
      </c>
      <c r="I118">
        <f t="shared" si="9"/>
        <v>570.94049999999993</v>
      </c>
      <c r="J118">
        <f t="shared" si="10"/>
        <v>19.675499999999829</v>
      </c>
      <c r="K118">
        <f t="shared" si="11"/>
        <v>551.2650000000001</v>
      </c>
    </row>
    <row r="119" spans="1:11" x14ac:dyDescent="0.25">
      <c r="A119" t="str">
        <f>Original!A109</f>
        <v>ORD-2024-286833</v>
      </c>
      <c r="B119">
        <f>Original!R109</f>
        <v>1138.8</v>
      </c>
      <c r="C119">
        <f>Original!S109</f>
        <v>2250.81</v>
      </c>
      <c r="D119" s="6">
        <f>Original!T109</f>
        <v>0.123</v>
      </c>
      <c r="E119" s="6">
        <f>Original!V109</f>
        <v>12</v>
      </c>
      <c r="F119" s="6">
        <f t="shared" si="6"/>
        <v>0.05</v>
      </c>
      <c r="G119">
        <f t="shared" si="7"/>
        <v>1252.68</v>
      </c>
      <c r="H119">
        <f t="shared" si="8"/>
        <v>12</v>
      </c>
      <c r="I119">
        <f t="shared" si="9"/>
        <v>25659.234</v>
      </c>
      <c r="J119">
        <f t="shared" si="10"/>
        <v>10627.074000000001</v>
      </c>
      <c r="K119">
        <f t="shared" si="11"/>
        <v>15032.16</v>
      </c>
    </row>
    <row r="120" spans="1:11" x14ac:dyDescent="0.25">
      <c r="A120" t="str">
        <f>Original!A110</f>
        <v>ORD-2024-792558</v>
      </c>
      <c r="B120">
        <f>Original!R110</f>
        <v>82.14</v>
      </c>
      <c r="C120">
        <f>Original!S110</f>
        <v>166.04</v>
      </c>
      <c r="D120" s="6">
        <f>Original!T110</f>
        <v>0</v>
      </c>
      <c r="E120" s="6">
        <f>Original!V110</f>
        <v>10</v>
      </c>
      <c r="F120" s="6">
        <f t="shared" si="6"/>
        <v>0</v>
      </c>
      <c r="G120">
        <f t="shared" si="7"/>
        <v>90.354000000000013</v>
      </c>
      <c r="H120">
        <f t="shared" si="8"/>
        <v>10</v>
      </c>
      <c r="I120">
        <f t="shared" si="9"/>
        <v>1660.3999999999999</v>
      </c>
      <c r="J120">
        <f t="shared" si="10"/>
        <v>756.85999999999967</v>
      </c>
      <c r="K120">
        <f t="shared" si="11"/>
        <v>903.54000000000019</v>
      </c>
    </row>
    <row r="121" spans="1:11" x14ac:dyDescent="0.25">
      <c r="A121" t="str">
        <f>Original!A111</f>
        <v>ORD-2024-166150</v>
      </c>
      <c r="B121">
        <f>Original!R111</f>
        <v>292.94</v>
      </c>
      <c r="C121">
        <f>Original!S111</f>
        <v>356.55</v>
      </c>
      <c r="D121" s="6">
        <f>Original!T111</f>
        <v>0.22900000000000001</v>
      </c>
      <c r="E121" s="6">
        <f>Original!V111</f>
        <v>2</v>
      </c>
      <c r="F121" s="6">
        <f t="shared" si="6"/>
        <v>0.05</v>
      </c>
      <c r="G121">
        <f t="shared" si="7"/>
        <v>322.23400000000004</v>
      </c>
      <c r="H121">
        <f t="shared" si="8"/>
        <v>2</v>
      </c>
      <c r="I121">
        <f t="shared" si="9"/>
        <v>677.44499999999994</v>
      </c>
      <c r="J121">
        <f t="shared" si="10"/>
        <v>32.976999999999862</v>
      </c>
      <c r="K121">
        <f t="shared" si="11"/>
        <v>644.46800000000007</v>
      </c>
    </row>
    <row r="122" spans="1:11" x14ac:dyDescent="0.25">
      <c r="A122" t="str">
        <f>Original!A112</f>
        <v>ORD-2024-909942</v>
      </c>
      <c r="B122">
        <f>Original!R112</f>
        <v>550.22</v>
      </c>
      <c r="C122">
        <f>Original!S112</f>
        <v>1025.05</v>
      </c>
      <c r="D122" s="6">
        <f>Original!T112</f>
        <v>0</v>
      </c>
      <c r="E122" s="6">
        <f>Original!V112</f>
        <v>27</v>
      </c>
      <c r="F122" s="6">
        <f t="shared" si="6"/>
        <v>0</v>
      </c>
      <c r="G122">
        <f t="shared" si="7"/>
        <v>605.24200000000008</v>
      </c>
      <c r="H122">
        <f t="shared" si="8"/>
        <v>27</v>
      </c>
      <c r="I122">
        <f t="shared" si="9"/>
        <v>27676.35</v>
      </c>
      <c r="J122">
        <f t="shared" si="10"/>
        <v>11334.815999999997</v>
      </c>
      <c r="K122">
        <f t="shared" si="11"/>
        <v>16341.534000000001</v>
      </c>
    </row>
    <row r="123" spans="1:11" x14ac:dyDescent="0.25">
      <c r="A123" t="str">
        <f>Original!A113</f>
        <v>ORD-2024-223618</v>
      </c>
      <c r="B123">
        <f>Original!R113</f>
        <v>1187.1300000000001</v>
      </c>
      <c r="C123">
        <f>Original!S113</f>
        <v>1795.17</v>
      </c>
      <c r="D123" s="6">
        <f>Original!T113</f>
        <v>1.2E-2</v>
      </c>
      <c r="E123" s="6">
        <f>Original!V113</f>
        <v>17</v>
      </c>
      <c r="F123" s="6">
        <f t="shared" si="6"/>
        <v>1.2E-2</v>
      </c>
      <c r="G123">
        <f t="shared" si="7"/>
        <v>1305.8430000000003</v>
      </c>
      <c r="H123">
        <f t="shared" si="8"/>
        <v>17</v>
      </c>
      <c r="I123">
        <f t="shared" si="9"/>
        <v>30151.675319999998</v>
      </c>
      <c r="J123">
        <f t="shared" si="10"/>
        <v>7952.3443199999929</v>
      </c>
      <c r="K123">
        <f t="shared" si="11"/>
        <v>22199.331000000006</v>
      </c>
    </row>
    <row r="124" spans="1:11" x14ac:dyDescent="0.25">
      <c r="A124" t="str">
        <f>Original!A114</f>
        <v>ORD-2024-919471</v>
      </c>
      <c r="B124">
        <f>Original!R114</f>
        <v>5.36</v>
      </c>
      <c r="C124">
        <f>Original!S114</f>
        <v>4.37</v>
      </c>
      <c r="D124" s="6">
        <f>Original!T114</f>
        <v>0.11799999999999999</v>
      </c>
      <c r="E124" s="6">
        <f>Original!V114</f>
        <v>9</v>
      </c>
      <c r="F124" s="6">
        <f t="shared" si="6"/>
        <v>0.05</v>
      </c>
      <c r="G124">
        <f t="shared" si="7"/>
        <v>5.8960000000000008</v>
      </c>
      <c r="H124">
        <f t="shared" si="8"/>
        <v>9</v>
      </c>
      <c r="I124">
        <f t="shared" si="9"/>
        <v>37.363499999999995</v>
      </c>
      <c r="J124">
        <f t="shared" si="10"/>
        <v>-15.700500000000012</v>
      </c>
      <c r="K124">
        <f t="shared" si="11"/>
        <v>53.064000000000007</v>
      </c>
    </row>
    <row r="125" spans="1:11" x14ac:dyDescent="0.25">
      <c r="A125" t="str">
        <f>Original!A115</f>
        <v>ORD-2025-649239</v>
      </c>
      <c r="B125">
        <f>Original!R115</f>
        <v>142.09</v>
      </c>
      <c r="C125">
        <f>Original!S115</f>
        <v>218.5</v>
      </c>
      <c r="D125" s="6">
        <f>Original!T115</f>
        <v>0.11899999999999999</v>
      </c>
      <c r="E125" s="6">
        <f>Original!V115</f>
        <v>11</v>
      </c>
      <c r="F125" s="6">
        <f t="shared" si="6"/>
        <v>0.05</v>
      </c>
      <c r="G125">
        <f t="shared" si="7"/>
        <v>156.29900000000001</v>
      </c>
      <c r="H125">
        <f t="shared" si="8"/>
        <v>11</v>
      </c>
      <c r="I125">
        <f t="shared" si="9"/>
        <v>2283.3249999999998</v>
      </c>
      <c r="J125">
        <f t="shared" si="10"/>
        <v>564.03599999999983</v>
      </c>
      <c r="K125">
        <f t="shared" si="11"/>
        <v>1719.289</v>
      </c>
    </row>
    <row r="126" spans="1:11" x14ac:dyDescent="0.25">
      <c r="A126" t="str">
        <f>Original!A116</f>
        <v>ORD-2023-975863</v>
      </c>
      <c r="B126">
        <f>Original!R116</f>
        <v>354.24</v>
      </c>
      <c r="C126">
        <f>Original!S116</f>
        <v>249.87</v>
      </c>
      <c r="D126" s="6">
        <f>Original!T116</f>
        <v>0</v>
      </c>
      <c r="E126" s="6">
        <f>Original!V116</f>
        <v>6</v>
      </c>
      <c r="F126" s="6">
        <f t="shared" si="6"/>
        <v>0</v>
      </c>
      <c r="G126">
        <f t="shared" si="7"/>
        <v>389.66400000000004</v>
      </c>
      <c r="H126">
        <f t="shared" si="8"/>
        <v>6</v>
      </c>
      <c r="I126">
        <f t="shared" si="9"/>
        <v>1499.22</v>
      </c>
      <c r="J126">
        <f t="shared" si="10"/>
        <v>-838.76400000000035</v>
      </c>
      <c r="K126">
        <f t="shared" si="11"/>
        <v>2337.9840000000004</v>
      </c>
    </row>
    <row r="127" spans="1:11" x14ac:dyDescent="0.25">
      <c r="A127" t="str">
        <f>Original!A117</f>
        <v>ORD-2023-869884</v>
      </c>
      <c r="B127">
        <f>Original!R117</f>
        <v>1473.58</v>
      </c>
      <c r="C127">
        <f>Original!S117</f>
        <v>3436.52</v>
      </c>
      <c r="D127" s="6">
        <f>Original!T117</f>
        <v>0.108</v>
      </c>
      <c r="E127" s="6">
        <f>Original!V117</f>
        <v>8</v>
      </c>
      <c r="F127" s="6">
        <f t="shared" si="6"/>
        <v>0.05</v>
      </c>
      <c r="G127">
        <f t="shared" si="7"/>
        <v>1620.9380000000001</v>
      </c>
      <c r="H127">
        <f t="shared" si="8"/>
        <v>8</v>
      </c>
      <c r="I127">
        <f t="shared" si="9"/>
        <v>26117.552</v>
      </c>
      <c r="J127">
        <f t="shared" si="10"/>
        <v>13150.047999999999</v>
      </c>
      <c r="K127">
        <f t="shared" si="11"/>
        <v>12967.504000000001</v>
      </c>
    </row>
    <row r="128" spans="1:11" x14ac:dyDescent="0.25">
      <c r="A128" t="str">
        <f>Original!A118</f>
        <v>ORD-2025-698069</v>
      </c>
      <c r="B128">
        <f>Original!R118</f>
        <v>75.180000000000007</v>
      </c>
      <c r="C128">
        <f>Original!S118</f>
        <v>53.45</v>
      </c>
      <c r="D128" s="6">
        <f>Original!T118</f>
        <v>0.157</v>
      </c>
      <c r="E128" s="6">
        <f>Original!V118</f>
        <v>17</v>
      </c>
      <c r="F128" s="6">
        <f t="shared" si="6"/>
        <v>0.05</v>
      </c>
      <c r="G128">
        <f t="shared" si="7"/>
        <v>82.698000000000008</v>
      </c>
      <c r="H128">
        <f t="shared" si="8"/>
        <v>17</v>
      </c>
      <c r="I128">
        <f t="shared" si="9"/>
        <v>863.21750000000009</v>
      </c>
      <c r="J128">
        <f t="shared" si="10"/>
        <v>-542.64850000000013</v>
      </c>
      <c r="K128">
        <f t="shared" si="11"/>
        <v>1405.8660000000002</v>
      </c>
    </row>
    <row r="129" spans="1:11" x14ac:dyDescent="0.25">
      <c r="A129" t="str">
        <f>Original!A119</f>
        <v>ORD-2024-474999</v>
      </c>
      <c r="B129">
        <f>Original!R119</f>
        <v>1391.99</v>
      </c>
      <c r="C129">
        <f>Original!S119</f>
        <v>3469.7</v>
      </c>
      <c r="D129" s="6">
        <f>Original!T119</f>
        <v>0.184</v>
      </c>
      <c r="E129" s="6">
        <f>Original!V119</f>
        <v>23</v>
      </c>
      <c r="F129" s="6">
        <f t="shared" si="6"/>
        <v>0.05</v>
      </c>
      <c r="G129">
        <f t="shared" si="7"/>
        <v>1531.1890000000001</v>
      </c>
      <c r="H129">
        <f t="shared" si="8"/>
        <v>23</v>
      </c>
      <c r="I129">
        <f t="shared" si="9"/>
        <v>75812.944999999992</v>
      </c>
      <c r="J129">
        <f t="shared" si="10"/>
        <v>40595.597999999991</v>
      </c>
      <c r="K129">
        <f t="shared" si="11"/>
        <v>35217.347000000002</v>
      </c>
    </row>
    <row r="130" spans="1:11" x14ac:dyDescent="0.25">
      <c r="A130" t="str">
        <f>Original!A120</f>
        <v>ORD-2023-427304</v>
      </c>
      <c r="B130">
        <f>Original!R120</f>
        <v>339.61</v>
      </c>
      <c r="C130">
        <f>Original!S120</f>
        <v>621.02</v>
      </c>
      <c r="D130" s="6">
        <f>Original!T120</f>
        <v>7.0999999999999994E-2</v>
      </c>
      <c r="E130" s="6">
        <f>Original!V120</f>
        <v>10</v>
      </c>
      <c r="F130" s="6">
        <f t="shared" si="6"/>
        <v>0.05</v>
      </c>
      <c r="G130">
        <f t="shared" si="7"/>
        <v>373.57100000000003</v>
      </c>
      <c r="H130">
        <f t="shared" si="8"/>
        <v>10</v>
      </c>
      <c r="I130">
        <f t="shared" si="9"/>
        <v>5899.69</v>
      </c>
      <c r="J130">
        <f t="shared" si="10"/>
        <v>2163.9799999999996</v>
      </c>
      <c r="K130">
        <f t="shared" si="11"/>
        <v>3735.71</v>
      </c>
    </row>
    <row r="131" spans="1:11" x14ac:dyDescent="0.25">
      <c r="A131" t="str">
        <f>Original!A121</f>
        <v>ORD-2025-956101</v>
      </c>
      <c r="B131">
        <f>Original!R121</f>
        <v>57.96</v>
      </c>
      <c r="C131">
        <f>Original!S121</f>
        <v>88.51</v>
      </c>
      <c r="D131" s="6">
        <f>Original!T121</f>
        <v>4.2999999999999997E-2</v>
      </c>
      <c r="E131" s="6">
        <f>Original!V121</f>
        <v>7</v>
      </c>
      <c r="F131" s="6">
        <f t="shared" si="6"/>
        <v>4.2999999999999997E-2</v>
      </c>
      <c r="G131">
        <f t="shared" si="7"/>
        <v>63.756000000000007</v>
      </c>
      <c r="H131">
        <f t="shared" si="8"/>
        <v>7</v>
      </c>
      <c r="I131">
        <f t="shared" si="9"/>
        <v>592.92849000000001</v>
      </c>
      <c r="J131">
        <f t="shared" si="10"/>
        <v>146.63648999999998</v>
      </c>
      <c r="K131">
        <f t="shared" si="11"/>
        <v>446.29200000000003</v>
      </c>
    </row>
    <row r="132" spans="1:11" x14ac:dyDescent="0.25">
      <c r="A132" t="str">
        <f>Original!A122</f>
        <v>ORD-2025-184082</v>
      </c>
      <c r="B132">
        <f>Original!R122</f>
        <v>801.24</v>
      </c>
      <c r="C132">
        <f>Original!S122</f>
        <v>1959.09</v>
      </c>
      <c r="D132" s="6">
        <f>Original!T122</f>
        <v>0.123</v>
      </c>
      <c r="E132" s="6">
        <f>Original!V122</f>
        <v>23</v>
      </c>
      <c r="F132" s="6">
        <f t="shared" si="6"/>
        <v>0.05</v>
      </c>
      <c r="G132">
        <f t="shared" si="7"/>
        <v>881.36400000000003</v>
      </c>
      <c r="H132">
        <f t="shared" si="8"/>
        <v>23</v>
      </c>
      <c r="I132">
        <f t="shared" si="9"/>
        <v>42806.116499999996</v>
      </c>
      <c r="J132">
        <f t="shared" si="10"/>
        <v>22534.744499999997</v>
      </c>
      <c r="K132">
        <f t="shared" si="11"/>
        <v>20271.371999999999</v>
      </c>
    </row>
    <row r="133" spans="1:11" x14ac:dyDescent="0.25">
      <c r="A133" t="str">
        <f>Original!A123</f>
        <v>ORD-2023-576840</v>
      </c>
      <c r="B133">
        <f>Original!R123</f>
        <v>1297.42</v>
      </c>
      <c r="C133">
        <f>Original!S123</f>
        <v>2742.97</v>
      </c>
      <c r="D133" s="6">
        <f>Original!T123</f>
        <v>6.9000000000000006E-2</v>
      </c>
      <c r="E133" s="6">
        <f>Original!V123</f>
        <v>9</v>
      </c>
      <c r="F133" s="6">
        <f t="shared" si="6"/>
        <v>0.05</v>
      </c>
      <c r="G133">
        <f t="shared" si="7"/>
        <v>1427.1620000000003</v>
      </c>
      <c r="H133">
        <f t="shared" si="8"/>
        <v>9</v>
      </c>
      <c r="I133">
        <f t="shared" si="9"/>
        <v>23452.393499999998</v>
      </c>
      <c r="J133">
        <f t="shared" si="10"/>
        <v>10607.935499999996</v>
      </c>
      <c r="K133">
        <f t="shared" si="11"/>
        <v>12844.458000000002</v>
      </c>
    </row>
    <row r="134" spans="1:11" x14ac:dyDescent="0.25">
      <c r="A134" t="str">
        <f>Original!A124</f>
        <v>ORD-2023-178249</v>
      </c>
      <c r="B134">
        <f>Original!R124</f>
        <v>1395.49</v>
      </c>
      <c r="C134">
        <f>Original!S124</f>
        <v>1679.42</v>
      </c>
      <c r="D134" s="6">
        <f>Original!T124</f>
        <v>0.20300000000000001</v>
      </c>
      <c r="E134" s="6">
        <f>Original!V124</f>
        <v>12</v>
      </c>
      <c r="F134" s="6">
        <f t="shared" si="6"/>
        <v>0.05</v>
      </c>
      <c r="G134">
        <f t="shared" si="7"/>
        <v>1535.0390000000002</v>
      </c>
      <c r="H134">
        <f t="shared" si="8"/>
        <v>12</v>
      </c>
      <c r="I134">
        <f t="shared" si="9"/>
        <v>19145.387999999999</v>
      </c>
      <c r="J134">
        <f t="shared" si="10"/>
        <v>724.91999999999825</v>
      </c>
      <c r="K134">
        <f t="shared" si="11"/>
        <v>18420.468000000001</v>
      </c>
    </row>
    <row r="135" spans="1:11" x14ac:dyDescent="0.25">
      <c r="A135" t="str">
        <f>Original!A125</f>
        <v>ORD-2024-588972</v>
      </c>
      <c r="B135">
        <f>Original!R125</f>
        <v>1363.51</v>
      </c>
      <c r="C135">
        <f>Original!S125</f>
        <v>1433.9</v>
      </c>
      <c r="D135" s="6">
        <f>Original!T125</f>
        <v>5.7000000000000002E-2</v>
      </c>
      <c r="E135" s="6">
        <f>Original!V125</f>
        <v>8</v>
      </c>
      <c r="F135" s="6">
        <f t="shared" si="6"/>
        <v>0.05</v>
      </c>
      <c r="G135">
        <f t="shared" si="7"/>
        <v>1499.8610000000001</v>
      </c>
      <c r="H135">
        <f t="shared" si="8"/>
        <v>8</v>
      </c>
      <c r="I135">
        <f t="shared" si="9"/>
        <v>10897.64</v>
      </c>
      <c r="J135">
        <f t="shared" si="10"/>
        <v>-1101.2480000000014</v>
      </c>
      <c r="K135">
        <f t="shared" si="11"/>
        <v>11998.888000000001</v>
      </c>
    </row>
    <row r="136" spans="1:11" x14ac:dyDescent="0.25">
      <c r="A136" t="str">
        <f>Original!A126</f>
        <v>ORD-2023-603238</v>
      </c>
      <c r="B136">
        <f>Original!R126</f>
        <v>178.19</v>
      </c>
      <c r="C136">
        <f>Original!S126</f>
        <v>284.43</v>
      </c>
      <c r="D136" s="6">
        <f>Original!T126</f>
        <v>8.8999999999999996E-2</v>
      </c>
      <c r="E136" s="6">
        <f>Original!V126</f>
        <v>8</v>
      </c>
      <c r="F136" s="6">
        <f t="shared" si="6"/>
        <v>0.05</v>
      </c>
      <c r="G136">
        <f t="shared" si="7"/>
        <v>196.00900000000001</v>
      </c>
      <c r="H136">
        <f t="shared" si="8"/>
        <v>8</v>
      </c>
      <c r="I136">
        <f t="shared" si="9"/>
        <v>2161.6680000000001</v>
      </c>
      <c r="J136">
        <f t="shared" si="10"/>
        <v>593.596</v>
      </c>
      <c r="K136">
        <f t="shared" si="11"/>
        <v>1568.0720000000001</v>
      </c>
    </row>
    <row r="137" spans="1:11" x14ac:dyDescent="0.25">
      <c r="A137" t="str">
        <f>Original!A127</f>
        <v>ORD-2023-883066</v>
      </c>
      <c r="B137">
        <f>Original!R127</f>
        <v>950.77</v>
      </c>
      <c r="C137">
        <f>Original!S127</f>
        <v>694.78</v>
      </c>
      <c r="D137" s="6">
        <f>Original!T127</f>
        <v>8.4000000000000005E-2</v>
      </c>
      <c r="E137" s="6">
        <f>Original!V127</f>
        <v>14</v>
      </c>
      <c r="F137" s="6">
        <f t="shared" si="6"/>
        <v>0.05</v>
      </c>
      <c r="G137">
        <f t="shared" si="7"/>
        <v>1045.847</v>
      </c>
      <c r="H137">
        <f t="shared" si="8"/>
        <v>14</v>
      </c>
      <c r="I137">
        <f t="shared" si="9"/>
        <v>9240.5740000000005</v>
      </c>
      <c r="J137">
        <f t="shared" si="10"/>
        <v>-5401.2839999999997</v>
      </c>
      <c r="K137">
        <f t="shared" si="11"/>
        <v>14641.858</v>
      </c>
    </row>
    <row r="138" spans="1:11" x14ac:dyDescent="0.25">
      <c r="A138" t="str">
        <f>Original!A128</f>
        <v>ORD-2024-584090</v>
      </c>
      <c r="B138">
        <f>Original!R128</f>
        <v>1064.32</v>
      </c>
      <c r="C138">
        <f>Original!S128</f>
        <v>1848.39</v>
      </c>
      <c r="D138" s="6">
        <f>Original!T128</f>
        <v>7.2999999999999995E-2</v>
      </c>
      <c r="E138" s="6">
        <f>Original!V128</f>
        <v>38</v>
      </c>
      <c r="F138" s="6">
        <f t="shared" si="6"/>
        <v>0.05</v>
      </c>
      <c r="G138">
        <f t="shared" si="7"/>
        <v>1170.752</v>
      </c>
      <c r="H138">
        <f t="shared" si="8"/>
        <v>38</v>
      </c>
      <c r="I138">
        <f t="shared" si="9"/>
        <v>66726.879000000001</v>
      </c>
      <c r="J138">
        <f t="shared" si="10"/>
        <v>22238.303</v>
      </c>
      <c r="K138">
        <f t="shared" si="11"/>
        <v>44488.576000000001</v>
      </c>
    </row>
    <row r="139" spans="1:11" x14ac:dyDescent="0.25">
      <c r="A139" t="str">
        <f>Original!A129</f>
        <v>ORD-2025-537785</v>
      </c>
      <c r="B139">
        <f>Original!R129</f>
        <v>41.76</v>
      </c>
      <c r="C139">
        <f>Original!S129</f>
        <v>45.19</v>
      </c>
      <c r="D139" s="6">
        <f>Original!T129</f>
        <v>0.17899999999999999</v>
      </c>
      <c r="E139" s="6">
        <f>Original!V129</f>
        <v>23</v>
      </c>
      <c r="F139" s="6">
        <f t="shared" si="6"/>
        <v>0.05</v>
      </c>
      <c r="G139">
        <f t="shared" si="7"/>
        <v>45.936</v>
      </c>
      <c r="H139">
        <f t="shared" si="8"/>
        <v>23</v>
      </c>
      <c r="I139">
        <f t="shared" si="9"/>
        <v>987.40149999999983</v>
      </c>
      <c r="J139">
        <f t="shared" si="10"/>
        <v>-69.126500000000192</v>
      </c>
      <c r="K139">
        <f t="shared" si="11"/>
        <v>1056.528</v>
      </c>
    </row>
    <row r="140" spans="1:11" x14ac:dyDescent="0.25">
      <c r="A140" t="str">
        <f>Original!A130</f>
        <v>ORD-2024-605518</v>
      </c>
      <c r="B140">
        <f>Original!R130</f>
        <v>157.78</v>
      </c>
      <c r="C140">
        <f>Original!S130</f>
        <v>361.1</v>
      </c>
      <c r="D140" s="6">
        <f>Original!T130</f>
        <v>0.187</v>
      </c>
      <c r="E140" s="6">
        <f>Original!V130</f>
        <v>9</v>
      </c>
      <c r="F140" s="6">
        <f t="shared" si="6"/>
        <v>0.05</v>
      </c>
      <c r="G140">
        <f t="shared" si="7"/>
        <v>173.55800000000002</v>
      </c>
      <c r="H140">
        <f t="shared" si="8"/>
        <v>9</v>
      </c>
      <c r="I140">
        <f t="shared" si="9"/>
        <v>3087.4049999999997</v>
      </c>
      <c r="J140">
        <f t="shared" si="10"/>
        <v>1525.3829999999996</v>
      </c>
      <c r="K140">
        <f t="shared" si="11"/>
        <v>1562.0220000000002</v>
      </c>
    </row>
    <row r="141" spans="1:11" x14ac:dyDescent="0.25">
      <c r="A141" t="str">
        <f>Original!A131</f>
        <v>ORD-2023-521818</v>
      </c>
      <c r="B141">
        <f>Original!R131</f>
        <v>413.52</v>
      </c>
      <c r="C141">
        <f>Original!S131</f>
        <v>1004.34</v>
      </c>
      <c r="D141" s="6">
        <f>Original!T131</f>
        <v>0.111</v>
      </c>
      <c r="E141" s="6">
        <f>Original!V131</f>
        <v>18</v>
      </c>
      <c r="F141" s="6">
        <f t="shared" si="6"/>
        <v>0.05</v>
      </c>
      <c r="G141">
        <f t="shared" si="7"/>
        <v>454.87200000000001</v>
      </c>
      <c r="H141">
        <f t="shared" si="8"/>
        <v>18</v>
      </c>
      <c r="I141">
        <f t="shared" si="9"/>
        <v>17174.214</v>
      </c>
      <c r="J141">
        <f t="shared" si="10"/>
        <v>8986.518</v>
      </c>
      <c r="K141">
        <f t="shared" si="11"/>
        <v>8187.6959999999999</v>
      </c>
    </row>
    <row r="142" spans="1:11" x14ac:dyDescent="0.25">
      <c r="A142" t="str">
        <f>Original!A132</f>
        <v>ORD-2025-650719</v>
      </c>
      <c r="B142">
        <f>Original!R132</f>
        <v>414.95</v>
      </c>
      <c r="C142">
        <f>Original!S132</f>
        <v>1027.73</v>
      </c>
      <c r="D142" s="6">
        <f>Original!T132</f>
        <v>6.3E-2</v>
      </c>
      <c r="E142" s="6">
        <f>Original!V132</f>
        <v>8</v>
      </c>
      <c r="F142" s="6">
        <f t="shared" si="6"/>
        <v>0.05</v>
      </c>
      <c r="G142">
        <f t="shared" si="7"/>
        <v>456.44500000000005</v>
      </c>
      <c r="H142">
        <f t="shared" si="8"/>
        <v>8</v>
      </c>
      <c r="I142">
        <f t="shared" si="9"/>
        <v>7810.7479999999996</v>
      </c>
      <c r="J142">
        <f t="shared" si="10"/>
        <v>4159.1879999999992</v>
      </c>
      <c r="K142">
        <f t="shared" si="11"/>
        <v>3651.5600000000004</v>
      </c>
    </row>
    <row r="143" spans="1:11" x14ac:dyDescent="0.25">
      <c r="A143" t="str">
        <f>Original!A133</f>
        <v>ORD-2025-501927</v>
      </c>
      <c r="B143">
        <f>Original!R133</f>
        <v>555.95000000000005</v>
      </c>
      <c r="C143">
        <f>Original!S133</f>
        <v>468.09</v>
      </c>
      <c r="D143" s="6">
        <f>Original!T133</f>
        <v>0.14199999999999999</v>
      </c>
      <c r="E143" s="6">
        <f>Original!V133</f>
        <v>11</v>
      </c>
      <c r="F143" s="6">
        <f t="shared" si="6"/>
        <v>0.05</v>
      </c>
      <c r="G143">
        <f t="shared" si="7"/>
        <v>611.54500000000007</v>
      </c>
      <c r="H143">
        <f t="shared" si="8"/>
        <v>11</v>
      </c>
      <c r="I143">
        <f t="shared" si="9"/>
        <v>4891.5404999999992</v>
      </c>
      <c r="J143">
        <f t="shared" si="10"/>
        <v>-1835.4545000000016</v>
      </c>
      <c r="K143">
        <f t="shared" si="11"/>
        <v>6726.9950000000008</v>
      </c>
    </row>
    <row r="144" spans="1:11" x14ac:dyDescent="0.25">
      <c r="A144" t="str">
        <f>Original!A134</f>
        <v>ORD-2023-430904</v>
      </c>
      <c r="B144">
        <f>Original!R134</f>
        <v>941.2</v>
      </c>
      <c r="C144">
        <f>Original!S134</f>
        <v>668.02</v>
      </c>
      <c r="D144" s="6">
        <f>Original!T134</f>
        <v>0.22</v>
      </c>
      <c r="E144" s="6">
        <f>Original!V134</f>
        <v>16</v>
      </c>
      <c r="F144" s="6">
        <f t="shared" si="6"/>
        <v>0.05</v>
      </c>
      <c r="G144">
        <f t="shared" si="7"/>
        <v>1035.3200000000002</v>
      </c>
      <c r="H144">
        <f t="shared" si="8"/>
        <v>16</v>
      </c>
      <c r="I144">
        <f t="shared" si="9"/>
        <v>10153.903999999999</v>
      </c>
      <c r="J144">
        <f t="shared" si="10"/>
        <v>-6411.216000000004</v>
      </c>
      <c r="K144">
        <f t="shared" si="11"/>
        <v>16565.120000000003</v>
      </c>
    </row>
    <row r="145" spans="1:11" x14ac:dyDescent="0.25">
      <c r="A145" t="str">
        <f>Original!A135</f>
        <v>ORD-2025-354346</v>
      </c>
      <c r="B145">
        <f>Original!R135</f>
        <v>304.77999999999997</v>
      </c>
      <c r="C145">
        <f>Original!S135</f>
        <v>537.27</v>
      </c>
      <c r="D145" s="6">
        <f>Original!T135</f>
        <v>0.187</v>
      </c>
      <c r="E145" s="6">
        <f>Original!V135</f>
        <v>8</v>
      </c>
      <c r="F145" s="6">
        <f t="shared" si="6"/>
        <v>0.05</v>
      </c>
      <c r="G145">
        <f t="shared" si="7"/>
        <v>335.25799999999998</v>
      </c>
      <c r="H145">
        <f t="shared" si="8"/>
        <v>8</v>
      </c>
      <c r="I145">
        <f t="shared" si="9"/>
        <v>4083.2519999999995</v>
      </c>
      <c r="J145">
        <f t="shared" si="10"/>
        <v>1401.1879999999996</v>
      </c>
      <c r="K145">
        <f t="shared" si="11"/>
        <v>2682.0639999999999</v>
      </c>
    </row>
    <row r="146" spans="1:11" x14ac:dyDescent="0.25">
      <c r="A146" t="str">
        <f>Original!A136</f>
        <v>ORD-2024-164288</v>
      </c>
      <c r="B146">
        <f>Original!R136</f>
        <v>699.57</v>
      </c>
      <c r="C146">
        <f>Original!S136</f>
        <v>572.71</v>
      </c>
      <c r="D146" s="6">
        <f>Original!T136</f>
        <v>0.192</v>
      </c>
      <c r="E146" s="6">
        <f>Original!V136</f>
        <v>26</v>
      </c>
      <c r="F146" s="6">
        <f t="shared" si="6"/>
        <v>0.05</v>
      </c>
      <c r="G146">
        <f t="shared" si="7"/>
        <v>769.52700000000016</v>
      </c>
      <c r="H146">
        <f t="shared" si="8"/>
        <v>26</v>
      </c>
      <c r="I146">
        <f t="shared" si="9"/>
        <v>14145.937</v>
      </c>
      <c r="J146">
        <f t="shared" si="10"/>
        <v>-5861.7650000000049</v>
      </c>
      <c r="K146">
        <f t="shared" si="11"/>
        <v>20007.702000000005</v>
      </c>
    </row>
    <row r="147" spans="1:11" x14ac:dyDescent="0.25">
      <c r="A147" t="str">
        <f>Original!A137</f>
        <v>ORD-2023-867285</v>
      </c>
      <c r="B147">
        <f>Original!R137</f>
        <v>1087.81</v>
      </c>
      <c r="C147">
        <f>Original!S137</f>
        <v>2323.87</v>
      </c>
      <c r="D147" s="6">
        <f>Original!T137</f>
        <v>9.4E-2</v>
      </c>
      <c r="E147" s="6">
        <f>Original!V137</f>
        <v>13</v>
      </c>
      <c r="F147" s="6">
        <f t="shared" si="6"/>
        <v>0.05</v>
      </c>
      <c r="G147">
        <f t="shared" si="7"/>
        <v>1196.5910000000001</v>
      </c>
      <c r="H147">
        <f t="shared" si="8"/>
        <v>13</v>
      </c>
      <c r="I147">
        <f t="shared" si="9"/>
        <v>28699.794499999996</v>
      </c>
      <c r="J147">
        <f t="shared" si="10"/>
        <v>13144.111499999995</v>
      </c>
      <c r="K147">
        <f t="shared" si="11"/>
        <v>15555.683000000001</v>
      </c>
    </row>
    <row r="148" spans="1:11" x14ac:dyDescent="0.25">
      <c r="A148" t="str">
        <f>Original!A138</f>
        <v>ORD-2024-836421</v>
      </c>
      <c r="B148">
        <f>Original!R138</f>
        <v>1412.15</v>
      </c>
      <c r="C148">
        <f>Original!S138</f>
        <v>1631.04</v>
      </c>
      <c r="D148" s="6">
        <f>Original!T138</f>
        <v>8.9999999999999993E-3</v>
      </c>
      <c r="E148" s="6">
        <f>Original!V138</f>
        <v>6</v>
      </c>
      <c r="F148" s="6">
        <f t="shared" si="6"/>
        <v>8.9999999999999993E-3</v>
      </c>
      <c r="G148">
        <f t="shared" si="7"/>
        <v>1553.3650000000002</v>
      </c>
      <c r="H148">
        <f t="shared" si="8"/>
        <v>6</v>
      </c>
      <c r="I148">
        <f t="shared" si="9"/>
        <v>9698.1638399999993</v>
      </c>
      <c r="J148">
        <f t="shared" si="10"/>
        <v>377.97383999999693</v>
      </c>
      <c r="K148">
        <f t="shared" si="11"/>
        <v>9320.1900000000023</v>
      </c>
    </row>
    <row r="149" spans="1:11" x14ac:dyDescent="0.25">
      <c r="A149" t="str">
        <f>Original!A139</f>
        <v>ORD-2023-613287</v>
      </c>
      <c r="B149">
        <f>Original!R139</f>
        <v>304.22000000000003</v>
      </c>
      <c r="C149">
        <f>Original!S139</f>
        <v>393.31</v>
      </c>
      <c r="D149" s="6">
        <f>Original!T139</f>
        <v>0.26500000000000001</v>
      </c>
      <c r="E149" s="6">
        <f>Original!V139</f>
        <v>15</v>
      </c>
      <c r="F149" s="6">
        <f t="shared" si="6"/>
        <v>0.05</v>
      </c>
      <c r="G149">
        <f t="shared" si="7"/>
        <v>334.64200000000005</v>
      </c>
      <c r="H149">
        <f t="shared" si="8"/>
        <v>15</v>
      </c>
      <c r="I149">
        <f t="shared" si="9"/>
        <v>5604.6674999999996</v>
      </c>
      <c r="J149">
        <f t="shared" si="10"/>
        <v>585.03749999999854</v>
      </c>
      <c r="K149">
        <f t="shared" si="11"/>
        <v>5019.630000000001</v>
      </c>
    </row>
    <row r="150" spans="1:11" x14ac:dyDescent="0.25">
      <c r="A150" t="str">
        <f>Original!A140</f>
        <v>ORD-2024-783321</v>
      </c>
      <c r="B150">
        <f>Original!R140</f>
        <v>1203.58</v>
      </c>
      <c r="C150">
        <f>Original!S140</f>
        <v>1856.16</v>
      </c>
      <c r="D150" s="6">
        <f>Original!T140</f>
        <v>0.129</v>
      </c>
      <c r="E150" s="6">
        <f>Original!V140</f>
        <v>22</v>
      </c>
      <c r="F150" s="6">
        <f t="shared" si="6"/>
        <v>0.05</v>
      </c>
      <c r="G150">
        <f t="shared" si="7"/>
        <v>1323.9380000000001</v>
      </c>
      <c r="H150">
        <f t="shared" si="8"/>
        <v>22</v>
      </c>
      <c r="I150">
        <f t="shared" si="9"/>
        <v>38793.743999999999</v>
      </c>
      <c r="J150">
        <f t="shared" si="10"/>
        <v>9667.1079999999965</v>
      </c>
      <c r="K150">
        <f t="shared" si="11"/>
        <v>29126.636000000002</v>
      </c>
    </row>
    <row r="151" spans="1:11" x14ac:dyDescent="0.25">
      <c r="A151" t="str">
        <f>Original!A141</f>
        <v>ORD-2024-232632</v>
      </c>
      <c r="B151">
        <f>Original!R141</f>
        <v>65.930000000000007</v>
      </c>
      <c r="C151">
        <f>Original!S141</f>
        <v>84.9</v>
      </c>
      <c r="D151" s="6">
        <f>Original!T141</f>
        <v>0.25900000000000001</v>
      </c>
      <c r="E151" s="6">
        <f>Original!V141</f>
        <v>23</v>
      </c>
      <c r="F151" s="6">
        <f t="shared" si="6"/>
        <v>0.05</v>
      </c>
      <c r="G151">
        <f t="shared" si="7"/>
        <v>72.52300000000001</v>
      </c>
      <c r="H151">
        <f t="shared" si="8"/>
        <v>23</v>
      </c>
      <c r="I151">
        <f t="shared" si="9"/>
        <v>1855.0650000000001</v>
      </c>
      <c r="J151">
        <f t="shared" si="10"/>
        <v>187.03599999999983</v>
      </c>
      <c r="K151">
        <f t="shared" si="11"/>
        <v>1668.0290000000002</v>
      </c>
    </row>
    <row r="152" spans="1:11" x14ac:dyDescent="0.25">
      <c r="A152" t="str">
        <f>Original!A142</f>
        <v>ORD-2023-906481</v>
      </c>
      <c r="B152">
        <f>Original!R142</f>
        <v>1463.92</v>
      </c>
      <c r="C152">
        <f>Original!S142</f>
        <v>2252.2399999999998</v>
      </c>
      <c r="D152" s="6">
        <f>Original!T142</f>
        <v>0.11799999999999999</v>
      </c>
      <c r="E152" s="6">
        <f>Original!V142</f>
        <v>44</v>
      </c>
      <c r="F152" s="6">
        <f t="shared" si="6"/>
        <v>0.05</v>
      </c>
      <c r="G152">
        <f t="shared" si="7"/>
        <v>1610.3120000000001</v>
      </c>
      <c r="H152">
        <f t="shared" si="8"/>
        <v>44</v>
      </c>
      <c r="I152">
        <f t="shared" si="9"/>
        <v>94143.631999999998</v>
      </c>
      <c r="J152">
        <f t="shared" si="10"/>
        <v>23289.903999999995</v>
      </c>
      <c r="K152">
        <f t="shared" si="11"/>
        <v>70853.728000000003</v>
      </c>
    </row>
    <row r="153" spans="1:11" x14ac:dyDescent="0.25">
      <c r="A153" t="str">
        <f>Original!A143</f>
        <v>ORD-2024-902741</v>
      </c>
      <c r="B153">
        <f>Original!R143</f>
        <v>501.81</v>
      </c>
      <c r="C153">
        <f>Original!S143</f>
        <v>921.62</v>
      </c>
      <c r="D153" s="6">
        <f>Original!T143</f>
        <v>0.01</v>
      </c>
      <c r="E153" s="6">
        <f>Original!V143</f>
        <v>9</v>
      </c>
      <c r="F153" s="6">
        <f t="shared" si="6"/>
        <v>0.01</v>
      </c>
      <c r="G153">
        <f t="shared" si="7"/>
        <v>551.9910000000001</v>
      </c>
      <c r="H153">
        <f t="shared" si="8"/>
        <v>9</v>
      </c>
      <c r="I153">
        <f t="shared" si="9"/>
        <v>8211.6342000000004</v>
      </c>
      <c r="J153">
        <f t="shared" si="10"/>
        <v>3243.7151999999996</v>
      </c>
      <c r="K153">
        <f t="shared" si="11"/>
        <v>4967.9190000000008</v>
      </c>
    </row>
    <row r="154" spans="1:11" x14ac:dyDescent="0.25">
      <c r="A154" t="str">
        <f>Original!A144</f>
        <v>ORD-2023-912395</v>
      </c>
      <c r="B154">
        <f>Original!R144</f>
        <v>1261.48</v>
      </c>
      <c r="C154">
        <f>Original!S144</f>
        <v>1643.18</v>
      </c>
      <c r="D154" s="6">
        <f>Original!T144</f>
        <v>0.151</v>
      </c>
      <c r="E154" s="6">
        <f>Original!V144</f>
        <v>23</v>
      </c>
      <c r="F154" s="6">
        <f t="shared" si="6"/>
        <v>0.05</v>
      </c>
      <c r="G154">
        <f t="shared" si="7"/>
        <v>1387.6280000000002</v>
      </c>
      <c r="H154">
        <f t="shared" si="8"/>
        <v>23</v>
      </c>
      <c r="I154">
        <f t="shared" si="9"/>
        <v>35903.483</v>
      </c>
      <c r="J154">
        <f t="shared" si="10"/>
        <v>3988.038999999997</v>
      </c>
      <c r="K154">
        <f t="shared" si="11"/>
        <v>31915.444000000003</v>
      </c>
    </row>
    <row r="155" spans="1:11" x14ac:dyDescent="0.25">
      <c r="A155" t="str">
        <f>Original!A145</f>
        <v>ORD-2024-389102</v>
      </c>
      <c r="B155">
        <f>Original!R145</f>
        <v>817.23</v>
      </c>
      <c r="C155">
        <f>Original!S145</f>
        <v>1467.17</v>
      </c>
      <c r="D155" s="6">
        <f>Original!T145</f>
        <v>0.245</v>
      </c>
      <c r="E155" s="6">
        <f>Original!V145</f>
        <v>9</v>
      </c>
      <c r="F155" s="6">
        <f t="shared" si="6"/>
        <v>0.05</v>
      </c>
      <c r="G155">
        <f t="shared" si="7"/>
        <v>898.95300000000009</v>
      </c>
      <c r="H155">
        <f t="shared" si="8"/>
        <v>9</v>
      </c>
      <c r="I155">
        <f t="shared" si="9"/>
        <v>12544.3035</v>
      </c>
      <c r="J155">
        <f t="shared" si="10"/>
        <v>4453.7264999999989</v>
      </c>
      <c r="K155">
        <f t="shared" si="11"/>
        <v>8090.5770000000011</v>
      </c>
    </row>
    <row r="156" spans="1:11" x14ac:dyDescent="0.25">
      <c r="A156" t="str">
        <f>Original!A146</f>
        <v>ORD-2023-309373</v>
      </c>
      <c r="B156">
        <f>Original!R146</f>
        <v>578.85</v>
      </c>
      <c r="C156">
        <f>Original!S146</f>
        <v>998.76</v>
      </c>
      <c r="D156" s="6">
        <f>Original!T146</f>
        <v>8.2000000000000003E-2</v>
      </c>
      <c r="E156" s="6">
        <f>Original!V146</f>
        <v>28</v>
      </c>
      <c r="F156" s="6">
        <f t="shared" si="6"/>
        <v>0.05</v>
      </c>
      <c r="G156">
        <f t="shared" si="7"/>
        <v>636.73500000000013</v>
      </c>
      <c r="H156">
        <f t="shared" si="8"/>
        <v>28</v>
      </c>
      <c r="I156">
        <f t="shared" si="9"/>
        <v>26567.015999999996</v>
      </c>
      <c r="J156">
        <f t="shared" si="10"/>
        <v>8738.4359999999942</v>
      </c>
      <c r="K156">
        <f t="shared" si="11"/>
        <v>17828.580000000002</v>
      </c>
    </row>
    <row r="157" spans="1:11" x14ac:dyDescent="0.25">
      <c r="A157" t="str">
        <f>Original!A147</f>
        <v>ORD-2023-825495</v>
      </c>
      <c r="B157">
        <f>Original!R147</f>
        <v>275.56</v>
      </c>
      <c r="C157">
        <f>Original!S147</f>
        <v>630.72</v>
      </c>
      <c r="D157" s="6">
        <f>Original!T147</f>
        <v>0.107</v>
      </c>
      <c r="E157" s="6">
        <f>Original!V147</f>
        <v>23</v>
      </c>
      <c r="F157" s="6">
        <f t="shared" si="6"/>
        <v>0.05</v>
      </c>
      <c r="G157">
        <f t="shared" si="7"/>
        <v>303.11600000000004</v>
      </c>
      <c r="H157">
        <f t="shared" si="8"/>
        <v>23</v>
      </c>
      <c r="I157">
        <f t="shared" si="9"/>
        <v>13781.232</v>
      </c>
      <c r="J157">
        <f t="shared" si="10"/>
        <v>6809.5639999999994</v>
      </c>
      <c r="K157">
        <f t="shared" si="11"/>
        <v>6971.6680000000006</v>
      </c>
    </row>
    <row r="158" spans="1:11" x14ac:dyDescent="0.25">
      <c r="A158" t="str">
        <f>Original!A148</f>
        <v>ORD-2025-244832</v>
      </c>
      <c r="B158">
        <f>Original!R148</f>
        <v>891.46</v>
      </c>
      <c r="C158">
        <f>Original!S148</f>
        <v>728.61</v>
      </c>
      <c r="D158" s="6">
        <f>Original!T148</f>
        <v>0.185</v>
      </c>
      <c r="E158" s="6">
        <f>Original!V148</f>
        <v>6</v>
      </c>
      <c r="F158" s="6">
        <f t="shared" si="6"/>
        <v>0.05</v>
      </c>
      <c r="G158">
        <f t="shared" si="7"/>
        <v>980.60600000000011</v>
      </c>
      <c r="H158">
        <f t="shared" si="8"/>
        <v>6</v>
      </c>
      <c r="I158">
        <f t="shared" si="9"/>
        <v>4153.0769999999993</v>
      </c>
      <c r="J158">
        <f t="shared" si="10"/>
        <v>-1730.5590000000011</v>
      </c>
      <c r="K158">
        <f t="shared" si="11"/>
        <v>5883.6360000000004</v>
      </c>
    </row>
    <row r="159" spans="1:11" x14ac:dyDescent="0.25">
      <c r="A159" t="str">
        <f>Original!A149</f>
        <v>ORD-2024-211453</v>
      </c>
      <c r="B159">
        <f>Original!R149</f>
        <v>683.42</v>
      </c>
      <c r="C159">
        <f>Original!S149</f>
        <v>951.51</v>
      </c>
      <c r="D159" s="6">
        <f>Original!T149</f>
        <v>0</v>
      </c>
      <c r="E159" s="6">
        <f>Original!V149</f>
        <v>14</v>
      </c>
      <c r="F159" s="6">
        <f t="shared" si="6"/>
        <v>0</v>
      </c>
      <c r="G159">
        <f t="shared" si="7"/>
        <v>751.76200000000006</v>
      </c>
      <c r="H159">
        <f t="shared" si="8"/>
        <v>14</v>
      </c>
      <c r="I159">
        <f t="shared" si="9"/>
        <v>13321.14</v>
      </c>
      <c r="J159">
        <f t="shared" si="10"/>
        <v>2796.4719999999979</v>
      </c>
      <c r="K159">
        <f t="shared" si="11"/>
        <v>10524.668000000001</v>
      </c>
    </row>
    <row r="160" spans="1:11" x14ac:dyDescent="0.25">
      <c r="A160" t="str">
        <f>Original!A150</f>
        <v>ORD-2023-192324</v>
      </c>
      <c r="B160">
        <f>Original!R150</f>
        <v>376.83</v>
      </c>
      <c r="C160">
        <f>Original!S150</f>
        <v>732.88</v>
      </c>
      <c r="D160" s="6">
        <f>Original!T150</f>
        <v>0.188</v>
      </c>
      <c r="E160" s="6">
        <f>Original!V150</f>
        <v>25</v>
      </c>
      <c r="F160" s="6">
        <f t="shared" ref="F160:F223" si="12">MIN(D160,$B$2)</f>
        <v>0.05</v>
      </c>
      <c r="G160">
        <f t="shared" ref="G160:G223" si="13">B160*(1+$B$3)</f>
        <v>414.51300000000003</v>
      </c>
      <c r="H160">
        <f t="shared" ref="H160:H223" si="14">E160*(1+$B$4)</f>
        <v>25</v>
      </c>
      <c r="I160">
        <f t="shared" ref="I160:I223" si="15">C160*H160*(1-F160)</f>
        <v>17405.899999999998</v>
      </c>
      <c r="J160">
        <f t="shared" ref="J160:J223" si="16">I160-K160</f>
        <v>7043.0749999999971</v>
      </c>
      <c r="K160">
        <f t="shared" ref="K160:K223" si="17">G160*H160</f>
        <v>10362.825000000001</v>
      </c>
    </row>
    <row r="161" spans="1:11" x14ac:dyDescent="0.25">
      <c r="A161" t="str">
        <f>Original!A151</f>
        <v>ORD-2024-438404</v>
      </c>
      <c r="B161">
        <f>Original!R151</f>
        <v>1297</v>
      </c>
      <c r="C161">
        <f>Original!S151</f>
        <v>2411.52</v>
      </c>
      <c r="D161" s="6">
        <f>Original!T151</f>
        <v>2.1000000000000001E-2</v>
      </c>
      <c r="E161" s="6">
        <f>Original!V151</f>
        <v>18</v>
      </c>
      <c r="F161" s="6">
        <f t="shared" si="12"/>
        <v>2.1000000000000001E-2</v>
      </c>
      <c r="G161">
        <f t="shared" si="13"/>
        <v>1426.7</v>
      </c>
      <c r="H161">
        <f t="shared" si="14"/>
        <v>18</v>
      </c>
      <c r="I161">
        <f t="shared" si="15"/>
        <v>42495.805439999996</v>
      </c>
      <c r="J161">
        <f t="shared" si="16"/>
        <v>16815.205439999994</v>
      </c>
      <c r="K161">
        <f t="shared" si="17"/>
        <v>25680.600000000002</v>
      </c>
    </row>
    <row r="162" spans="1:11" x14ac:dyDescent="0.25">
      <c r="A162" t="str">
        <f>Original!A152</f>
        <v>ORD-2025-246470</v>
      </c>
      <c r="B162">
        <f>Original!R152</f>
        <v>763.32</v>
      </c>
      <c r="C162">
        <f>Original!S152</f>
        <v>568.29</v>
      </c>
      <c r="D162" s="6">
        <f>Original!T152</f>
        <v>0.13100000000000001</v>
      </c>
      <c r="E162" s="6">
        <f>Original!V152</f>
        <v>16</v>
      </c>
      <c r="F162" s="6">
        <f t="shared" si="12"/>
        <v>0.05</v>
      </c>
      <c r="G162">
        <f t="shared" si="13"/>
        <v>839.65200000000016</v>
      </c>
      <c r="H162">
        <f t="shared" si="14"/>
        <v>16</v>
      </c>
      <c r="I162">
        <f t="shared" si="15"/>
        <v>8638.0079999999998</v>
      </c>
      <c r="J162">
        <f t="shared" si="16"/>
        <v>-4796.4240000000027</v>
      </c>
      <c r="K162">
        <f t="shared" si="17"/>
        <v>13434.432000000003</v>
      </c>
    </row>
    <row r="163" spans="1:11" x14ac:dyDescent="0.25">
      <c r="A163" t="str">
        <f>Original!A153</f>
        <v>ORD-2023-497686</v>
      </c>
      <c r="B163">
        <f>Original!R153</f>
        <v>1001.96</v>
      </c>
      <c r="C163">
        <f>Original!S153</f>
        <v>1254.95</v>
      </c>
      <c r="D163" s="6">
        <f>Original!T153</f>
        <v>4.4999999999999998E-2</v>
      </c>
      <c r="E163" s="6">
        <f>Original!V153</f>
        <v>18</v>
      </c>
      <c r="F163" s="6">
        <f t="shared" si="12"/>
        <v>4.4999999999999998E-2</v>
      </c>
      <c r="G163">
        <f t="shared" si="13"/>
        <v>1102.1560000000002</v>
      </c>
      <c r="H163">
        <f t="shared" si="14"/>
        <v>18</v>
      </c>
      <c r="I163">
        <f t="shared" si="15"/>
        <v>21572.590500000002</v>
      </c>
      <c r="J163">
        <f t="shared" si="16"/>
        <v>1733.7824999999975</v>
      </c>
      <c r="K163">
        <f t="shared" si="17"/>
        <v>19838.808000000005</v>
      </c>
    </row>
    <row r="164" spans="1:11" x14ac:dyDescent="0.25">
      <c r="A164" t="str">
        <f>Original!A154</f>
        <v>ORD-2023-596758</v>
      </c>
      <c r="B164">
        <f>Original!R154</f>
        <v>1097.5899999999999</v>
      </c>
      <c r="C164">
        <f>Original!S154</f>
        <v>845.55</v>
      </c>
      <c r="D164" s="6">
        <f>Original!T154</f>
        <v>0.184</v>
      </c>
      <c r="E164" s="6">
        <f>Original!V154</f>
        <v>6</v>
      </c>
      <c r="F164" s="6">
        <f t="shared" si="12"/>
        <v>0.05</v>
      </c>
      <c r="G164">
        <f t="shared" si="13"/>
        <v>1207.3489999999999</v>
      </c>
      <c r="H164">
        <f t="shared" si="14"/>
        <v>6</v>
      </c>
      <c r="I164">
        <f t="shared" si="15"/>
        <v>4819.6349999999993</v>
      </c>
      <c r="J164">
        <f t="shared" si="16"/>
        <v>-2424.4589999999998</v>
      </c>
      <c r="K164">
        <f t="shared" si="17"/>
        <v>7244.0939999999991</v>
      </c>
    </row>
    <row r="165" spans="1:11" x14ac:dyDescent="0.25">
      <c r="A165" t="str">
        <f>Original!A155</f>
        <v>ORD-2024-201376</v>
      </c>
      <c r="B165">
        <f>Original!R155</f>
        <v>928.68</v>
      </c>
      <c r="C165">
        <f>Original!S155</f>
        <v>2145.17</v>
      </c>
      <c r="D165" s="6">
        <f>Original!T155</f>
        <v>0.13600000000000001</v>
      </c>
      <c r="E165" s="6">
        <f>Original!V155</f>
        <v>16</v>
      </c>
      <c r="F165" s="6">
        <f t="shared" si="12"/>
        <v>0.05</v>
      </c>
      <c r="G165">
        <f t="shared" si="13"/>
        <v>1021.548</v>
      </c>
      <c r="H165">
        <f t="shared" si="14"/>
        <v>16</v>
      </c>
      <c r="I165">
        <f t="shared" si="15"/>
        <v>32606.583999999999</v>
      </c>
      <c r="J165">
        <f t="shared" si="16"/>
        <v>16261.815999999999</v>
      </c>
      <c r="K165">
        <f t="shared" si="17"/>
        <v>16344.768</v>
      </c>
    </row>
    <row r="166" spans="1:11" x14ac:dyDescent="0.25">
      <c r="A166" t="str">
        <f>Original!A156</f>
        <v>ORD-2023-842488</v>
      </c>
      <c r="B166">
        <f>Original!R156</f>
        <v>867.89</v>
      </c>
      <c r="C166">
        <f>Original!S156</f>
        <v>1349.94</v>
      </c>
      <c r="D166" s="6">
        <f>Original!T156</f>
        <v>0.184</v>
      </c>
      <c r="E166" s="6">
        <f>Original!V156</f>
        <v>10</v>
      </c>
      <c r="F166" s="6">
        <f t="shared" si="12"/>
        <v>0.05</v>
      </c>
      <c r="G166">
        <f t="shared" si="13"/>
        <v>954.67900000000009</v>
      </c>
      <c r="H166">
        <f t="shared" si="14"/>
        <v>10</v>
      </c>
      <c r="I166">
        <f t="shared" si="15"/>
        <v>12824.43</v>
      </c>
      <c r="J166">
        <f t="shared" si="16"/>
        <v>3277.6399999999994</v>
      </c>
      <c r="K166">
        <f t="shared" si="17"/>
        <v>9546.7900000000009</v>
      </c>
    </row>
    <row r="167" spans="1:11" x14ac:dyDescent="0.25">
      <c r="A167" t="str">
        <f>Original!A157</f>
        <v>ORD-2024-136321</v>
      </c>
      <c r="B167">
        <f>Original!R157</f>
        <v>436.58</v>
      </c>
      <c r="C167">
        <f>Original!S157</f>
        <v>527.48</v>
      </c>
      <c r="D167" s="6">
        <f>Original!T157</f>
        <v>0.111</v>
      </c>
      <c r="E167" s="6">
        <f>Original!V157</f>
        <v>19</v>
      </c>
      <c r="F167" s="6">
        <f t="shared" si="12"/>
        <v>0.05</v>
      </c>
      <c r="G167">
        <f t="shared" si="13"/>
        <v>480.238</v>
      </c>
      <c r="H167">
        <f t="shared" si="14"/>
        <v>19</v>
      </c>
      <c r="I167">
        <f t="shared" si="15"/>
        <v>9521.014000000001</v>
      </c>
      <c r="J167">
        <f t="shared" si="16"/>
        <v>396.49200000000019</v>
      </c>
      <c r="K167">
        <f t="shared" si="17"/>
        <v>9124.5220000000008</v>
      </c>
    </row>
    <row r="168" spans="1:11" x14ac:dyDescent="0.25">
      <c r="A168" t="str">
        <f>Original!A158</f>
        <v>ORD-2024-764468</v>
      </c>
      <c r="B168">
        <f>Original!R158</f>
        <v>656.2</v>
      </c>
      <c r="C168">
        <f>Original!S158</f>
        <v>1467.17</v>
      </c>
      <c r="D168" s="6">
        <f>Original!T158</f>
        <v>1.7999999999999999E-2</v>
      </c>
      <c r="E168" s="6">
        <f>Original!V158</f>
        <v>5</v>
      </c>
      <c r="F168" s="6">
        <f t="shared" si="12"/>
        <v>1.7999999999999999E-2</v>
      </c>
      <c r="G168">
        <f t="shared" si="13"/>
        <v>721.82000000000016</v>
      </c>
      <c r="H168">
        <f t="shared" si="14"/>
        <v>5</v>
      </c>
      <c r="I168">
        <f t="shared" si="15"/>
        <v>7203.8047000000006</v>
      </c>
      <c r="J168">
        <f t="shared" si="16"/>
        <v>3594.7046999999998</v>
      </c>
      <c r="K168">
        <f t="shared" si="17"/>
        <v>3609.1000000000008</v>
      </c>
    </row>
    <row r="169" spans="1:11" x14ac:dyDescent="0.25">
      <c r="A169" t="str">
        <f>Original!A159</f>
        <v>ORD-2024-553449</v>
      </c>
      <c r="B169">
        <f>Original!R159</f>
        <v>896.75</v>
      </c>
      <c r="C169">
        <f>Original!S159</f>
        <v>1651.14</v>
      </c>
      <c r="D169" s="6">
        <f>Original!T159</f>
        <v>2.5000000000000001E-2</v>
      </c>
      <c r="E169" s="6">
        <f>Original!V159</f>
        <v>15</v>
      </c>
      <c r="F169" s="6">
        <f t="shared" si="12"/>
        <v>2.5000000000000001E-2</v>
      </c>
      <c r="G169">
        <f t="shared" si="13"/>
        <v>986.42500000000007</v>
      </c>
      <c r="H169">
        <f t="shared" si="14"/>
        <v>15</v>
      </c>
      <c r="I169">
        <f t="shared" si="15"/>
        <v>24147.922500000001</v>
      </c>
      <c r="J169">
        <f t="shared" si="16"/>
        <v>9351.5474999999988</v>
      </c>
      <c r="K169">
        <f t="shared" si="17"/>
        <v>14796.375000000002</v>
      </c>
    </row>
    <row r="170" spans="1:11" x14ac:dyDescent="0.25">
      <c r="A170" t="str">
        <f>Original!A160</f>
        <v>ORD-2025-766923</v>
      </c>
      <c r="B170">
        <f>Original!R160</f>
        <v>815.83</v>
      </c>
      <c r="C170">
        <f>Original!S160</f>
        <v>1982.18</v>
      </c>
      <c r="D170" s="6">
        <f>Original!T160</f>
        <v>0.127</v>
      </c>
      <c r="E170" s="6">
        <f>Original!V160</f>
        <v>6</v>
      </c>
      <c r="F170" s="6">
        <f t="shared" si="12"/>
        <v>0.05</v>
      </c>
      <c r="G170">
        <f t="shared" si="13"/>
        <v>897.41300000000012</v>
      </c>
      <c r="H170">
        <f t="shared" si="14"/>
        <v>6</v>
      </c>
      <c r="I170">
        <f t="shared" si="15"/>
        <v>11298.425999999999</v>
      </c>
      <c r="J170">
        <f t="shared" si="16"/>
        <v>5913.9479999999985</v>
      </c>
      <c r="K170">
        <f t="shared" si="17"/>
        <v>5384.478000000001</v>
      </c>
    </row>
    <row r="171" spans="1:11" x14ac:dyDescent="0.25">
      <c r="A171" t="str">
        <f>Original!A161</f>
        <v>ORD-2025-418232</v>
      </c>
      <c r="B171">
        <f>Original!R161</f>
        <v>1220.4100000000001</v>
      </c>
      <c r="C171">
        <f>Original!S161</f>
        <v>2552.2199999999998</v>
      </c>
      <c r="D171" s="6">
        <f>Original!T161</f>
        <v>0.18099999999999999</v>
      </c>
      <c r="E171" s="6">
        <f>Original!V161</f>
        <v>14</v>
      </c>
      <c r="F171" s="6">
        <f t="shared" si="12"/>
        <v>0.05</v>
      </c>
      <c r="G171">
        <f t="shared" si="13"/>
        <v>1342.4510000000002</v>
      </c>
      <c r="H171">
        <f t="shared" si="14"/>
        <v>14</v>
      </c>
      <c r="I171">
        <f t="shared" si="15"/>
        <v>33944.525999999991</v>
      </c>
      <c r="J171">
        <f t="shared" si="16"/>
        <v>15150.211999999989</v>
      </c>
      <c r="K171">
        <f t="shared" si="17"/>
        <v>18794.314000000002</v>
      </c>
    </row>
    <row r="172" spans="1:11" x14ac:dyDescent="0.25">
      <c r="A172" t="str">
        <f>Original!A162</f>
        <v>ORD-2023-848013</v>
      </c>
      <c r="B172">
        <f>Original!R162</f>
        <v>299.75</v>
      </c>
      <c r="C172">
        <f>Original!S162</f>
        <v>523.01</v>
      </c>
      <c r="D172" s="6">
        <f>Original!T162</f>
        <v>0.157</v>
      </c>
      <c r="E172" s="6">
        <f>Original!V162</f>
        <v>50</v>
      </c>
      <c r="F172" s="6">
        <f t="shared" si="12"/>
        <v>0.05</v>
      </c>
      <c r="G172">
        <f t="shared" si="13"/>
        <v>329.72500000000002</v>
      </c>
      <c r="H172">
        <f t="shared" si="14"/>
        <v>50</v>
      </c>
      <c r="I172">
        <f t="shared" si="15"/>
        <v>24842.974999999999</v>
      </c>
      <c r="J172">
        <f t="shared" si="16"/>
        <v>8356.7249999999985</v>
      </c>
      <c r="K172">
        <f t="shared" si="17"/>
        <v>16486.25</v>
      </c>
    </row>
    <row r="173" spans="1:11" x14ac:dyDescent="0.25">
      <c r="A173" t="str">
        <f>Original!A163</f>
        <v>ORD-2024-357368</v>
      </c>
      <c r="B173">
        <f>Original!R163</f>
        <v>811.05</v>
      </c>
      <c r="C173">
        <f>Original!S163</f>
        <v>1217.71</v>
      </c>
      <c r="D173" s="6">
        <f>Original!T163</f>
        <v>7.1999999999999995E-2</v>
      </c>
      <c r="E173" s="6">
        <f>Original!V163</f>
        <v>5</v>
      </c>
      <c r="F173" s="6">
        <f t="shared" si="12"/>
        <v>0.05</v>
      </c>
      <c r="G173">
        <f t="shared" si="13"/>
        <v>892.15499999999997</v>
      </c>
      <c r="H173">
        <f t="shared" si="14"/>
        <v>5</v>
      </c>
      <c r="I173">
        <f t="shared" si="15"/>
        <v>5784.1224999999995</v>
      </c>
      <c r="J173">
        <f t="shared" si="16"/>
        <v>1323.3474999999999</v>
      </c>
      <c r="K173">
        <f t="shared" si="17"/>
        <v>4460.7749999999996</v>
      </c>
    </row>
    <row r="174" spans="1:11" x14ac:dyDescent="0.25">
      <c r="A174" t="str">
        <f>Original!A164</f>
        <v>ORD-2024-219735</v>
      </c>
      <c r="B174">
        <f>Original!R164</f>
        <v>1023.27</v>
      </c>
      <c r="C174">
        <f>Original!S164</f>
        <v>1343.64</v>
      </c>
      <c r="D174" s="6">
        <f>Original!T164</f>
        <v>0.13300000000000001</v>
      </c>
      <c r="E174" s="6">
        <f>Original!V164</f>
        <v>7</v>
      </c>
      <c r="F174" s="6">
        <f t="shared" si="12"/>
        <v>0.05</v>
      </c>
      <c r="G174">
        <f t="shared" si="13"/>
        <v>1125.597</v>
      </c>
      <c r="H174">
        <f t="shared" si="14"/>
        <v>7</v>
      </c>
      <c r="I174">
        <f t="shared" si="15"/>
        <v>8935.2060000000001</v>
      </c>
      <c r="J174">
        <f t="shared" si="16"/>
        <v>1056.027</v>
      </c>
      <c r="K174">
        <f t="shared" si="17"/>
        <v>7879.1790000000001</v>
      </c>
    </row>
    <row r="175" spans="1:11" x14ac:dyDescent="0.25">
      <c r="A175" t="str">
        <f>Original!A165</f>
        <v>ORD-2023-240507</v>
      </c>
      <c r="B175">
        <f>Original!R165</f>
        <v>135.12</v>
      </c>
      <c r="C175">
        <f>Original!S165</f>
        <v>301.7</v>
      </c>
      <c r="D175" s="6">
        <f>Original!T165</f>
        <v>0.14000000000000001</v>
      </c>
      <c r="E175" s="6">
        <f>Original!V165</f>
        <v>47</v>
      </c>
      <c r="F175" s="6">
        <f t="shared" si="12"/>
        <v>0.05</v>
      </c>
      <c r="G175">
        <f t="shared" si="13"/>
        <v>148.63200000000001</v>
      </c>
      <c r="H175">
        <f t="shared" si="14"/>
        <v>47</v>
      </c>
      <c r="I175">
        <f t="shared" si="15"/>
        <v>13470.904999999999</v>
      </c>
      <c r="J175">
        <f t="shared" si="16"/>
        <v>6485.2009999999982</v>
      </c>
      <c r="K175">
        <f t="shared" si="17"/>
        <v>6985.7040000000006</v>
      </c>
    </row>
    <row r="176" spans="1:11" x14ac:dyDescent="0.25">
      <c r="A176" t="str">
        <f>Original!A166</f>
        <v>ORD-2024-134084</v>
      </c>
      <c r="B176">
        <f>Original!R166</f>
        <v>918.42</v>
      </c>
      <c r="C176">
        <f>Original!S166</f>
        <v>1511.71</v>
      </c>
      <c r="D176" s="6">
        <f>Original!T166</f>
        <v>0.02</v>
      </c>
      <c r="E176" s="6">
        <f>Original!V166</f>
        <v>8</v>
      </c>
      <c r="F176" s="6">
        <f t="shared" si="12"/>
        <v>0.02</v>
      </c>
      <c r="G176">
        <f t="shared" si="13"/>
        <v>1010.2620000000001</v>
      </c>
      <c r="H176">
        <f t="shared" si="14"/>
        <v>8</v>
      </c>
      <c r="I176">
        <f t="shared" si="15"/>
        <v>11851.806399999999</v>
      </c>
      <c r="J176">
        <f t="shared" si="16"/>
        <v>3769.710399999999</v>
      </c>
      <c r="K176">
        <f t="shared" si="17"/>
        <v>8082.0960000000005</v>
      </c>
    </row>
    <row r="177" spans="1:11" x14ac:dyDescent="0.25">
      <c r="A177" t="str">
        <f>Original!A167</f>
        <v>ORD-2023-884625</v>
      </c>
      <c r="B177">
        <f>Original!R167</f>
        <v>1234.81</v>
      </c>
      <c r="C177">
        <f>Original!S167</f>
        <v>2055.2399999999998</v>
      </c>
      <c r="D177" s="6">
        <f>Original!T167</f>
        <v>5.2999999999999999E-2</v>
      </c>
      <c r="E177" s="6">
        <f>Original!V167</f>
        <v>44</v>
      </c>
      <c r="F177" s="6">
        <f t="shared" si="12"/>
        <v>0.05</v>
      </c>
      <c r="G177">
        <f t="shared" si="13"/>
        <v>1358.2909999999999</v>
      </c>
      <c r="H177">
        <f t="shared" si="14"/>
        <v>44</v>
      </c>
      <c r="I177">
        <f t="shared" si="15"/>
        <v>85909.031999999992</v>
      </c>
      <c r="J177">
        <f t="shared" si="16"/>
        <v>26144.227999999996</v>
      </c>
      <c r="K177">
        <f t="shared" si="17"/>
        <v>59764.803999999996</v>
      </c>
    </row>
    <row r="178" spans="1:11" x14ac:dyDescent="0.25">
      <c r="A178" t="str">
        <f>Original!A168</f>
        <v>ORD-2023-157993</v>
      </c>
      <c r="B178">
        <f>Original!R168</f>
        <v>329.03</v>
      </c>
      <c r="C178">
        <f>Original!S168</f>
        <v>391.15</v>
      </c>
      <c r="D178" s="6">
        <f>Original!T168</f>
        <v>0.19700000000000001</v>
      </c>
      <c r="E178" s="6">
        <f>Original!V168</f>
        <v>46</v>
      </c>
      <c r="F178" s="6">
        <f t="shared" si="12"/>
        <v>0.05</v>
      </c>
      <c r="G178">
        <f t="shared" si="13"/>
        <v>361.93299999999999</v>
      </c>
      <c r="H178">
        <f t="shared" si="14"/>
        <v>46</v>
      </c>
      <c r="I178">
        <f t="shared" si="15"/>
        <v>17093.254999999997</v>
      </c>
      <c r="J178">
        <f t="shared" si="16"/>
        <v>444.33699999999953</v>
      </c>
      <c r="K178">
        <f t="shared" si="17"/>
        <v>16648.917999999998</v>
      </c>
    </row>
    <row r="179" spans="1:11" x14ac:dyDescent="0.25">
      <c r="A179" t="str">
        <f>Original!A169</f>
        <v>ORD-2024-329104</v>
      </c>
      <c r="B179">
        <f>Original!R169</f>
        <v>1481.74</v>
      </c>
      <c r="C179">
        <f>Original!S169</f>
        <v>1848.97</v>
      </c>
      <c r="D179" s="6">
        <f>Original!T169</f>
        <v>0.254</v>
      </c>
      <c r="E179" s="6">
        <f>Original!V169</f>
        <v>9</v>
      </c>
      <c r="F179" s="6">
        <f t="shared" si="12"/>
        <v>0.05</v>
      </c>
      <c r="G179">
        <f t="shared" si="13"/>
        <v>1629.9140000000002</v>
      </c>
      <c r="H179">
        <f t="shared" si="14"/>
        <v>9</v>
      </c>
      <c r="I179">
        <f t="shared" si="15"/>
        <v>15808.693499999999</v>
      </c>
      <c r="J179">
        <f t="shared" si="16"/>
        <v>1139.467499999997</v>
      </c>
      <c r="K179">
        <f t="shared" si="17"/>
        <v>14669.226000000002</v>
      </c>
    </row>
    <row r="180" spans="1:11" x14ac:dyDescent="0.25">
      <c r="A180" t="str">
        <f>Original!A170</f>
        <v>ORD-2023-304451</v>
      </c>
      <c r="B180">
        <f>Original!R170</f>
        <v>906.81</v>
      </c>
      <c r="C180">
        <f>Original!S170</f>
        <v>1395.56</v>
      </c>
      <c r="D180" s="6">
        <f>Original!T170</f>
        <v>0.185</v>
      </c>
      <c r="E180" s="6">
        <f>Original!V170</f>
        <v>6</v>
      </c>
      <c r="F180" s="6">
        <f t="shared" si="12"/>
        <v>0.05</v>
      </c>
      <c r="G180">
        <f t="shared" si="13"/>
        <v>997.49099999999999</v>
      </c>
      <c r="H180">
        <f t="shared" si="14"/>
        <v>6</v>
      </c>
      <c r="I180">
        <f t="shared" si="15"/>
        <v>7954.692</v>
      </c>
      <c r="J180">
        <f t="shared" si="16"/>
        <v>1969.7460000000001</v>
      </c>
      <c r="K180">
        <f t="shared" si="17"/>
        <v>5984.9459999999999</v>
      </c>
    </row>
    <row r="181" spans="1:11" x14ac:dyDescent="0.25">
      <c r="A181" t="str">
        <f>Original!A171</f>
        <v>ORD-2024-942981</v>
      </c>
      <c r="B181">
        <f>Original!R171</f>
        <v>343.85</v>
      </c>
      <c r="C181">
        <f>Original!S171</f>
        <v>538.04</v>
      </c>
      <c r="D181" s="6">
        <f>Original!T171</f>
        <v>0.13900000000000001</v>
      </c>
      <c r="E181" s="6">
        <f>Original!V171</f>
        <v>5</v>
      </c>
      <c r="F181" s="6">
        <f t="shared" si="12"/>
        <v>0.05</v>
      </c>
      <c r="G181">
        <f t="shared" si="13"/>
        <v>378.23500000000007</v>
      </c>
      <c r="H181">
        <f t="shared" si="14"/>
        <v>5</v>
      </c>
      <c r="I181">
        <f t="shared" si="15"/>
        <v>2555.6899999999996</v>
      </c>
      <c r="J181">
        <f t="shared" si="16"/>
        <v>664.51499999999919</v>
      </c>
      <c r="K181">
        <f t="shared" si="17"/>
        <v>1891.1750000000004</v>
      </c>
    </row>
    <row r="182" spans="1:11" x14ac:dyDescent="0.25">
      <c r="A182" t="str">
        <f>Original!A172</f>
        <v>ORD-2024-605629</v>
      </c>
      <c r="B182">
        <f>Original!R172</f>
        <v>801.77</v>
      </c>
      <c r="C182">
        <f>Original!S172</f>
        <v>1218.92</v>
      </c>
      <c r="D182" s="6">
        <f>Original!T172</f>
        <v>0.254</v>
      </c>
      <c r="E182" s="6">
        <f>Original!V172</f>
        <v>16</v>
      </c>
      <c r="F182" s="6">
        <f t="shared" si="12"/>
        <v>0.05</v>
      </c>
      <c r="G182">
        <f t="shared" si="13"/>
        <v>881.947</v>
      </c>
      <c r="H182">
        <f t="shared" si="14"/>
        <v>16</v>
      </c>
      <c r="I182">
        <f t="shared" si="15"/>
        <v>18527.583999999999</v>
      </c>
      <c r="J182">
        <f t="shared" si="16"/>
        <v>4416.4319999999989</v>
      </c>
      <c r="K182">
        <f t="shared" si="17"/>
        <v>14111.152</v>
      </c>
    </row>
    <row r="183" spans="1:11" x14ac:dyDescent="0.25">
      <c r="A183" t="str">
        <f>Original!A173</f>
        <v>ORD-2023-450877</v>
      </c>
      <c r="B183">
        <f>Original!R173</f>
        <v>845.63</v>
      </c>
      <c r="C183">
        <f>Original!S173</f>
        <v>2062.12</v>
      </c>
      <c r="D183" s="6">
        <f>Original!T173</f>
        <v>0.13400000000000001</v>
      </c>
      <c r="E183" s="6">
        <f>Original!V173</f>
        <v>5</v>
      </c>
      <c r="F183" s="6">
        <f t="shared" si="12"/>
        <v>0.05</v>
      </c>
      <c r="G183">
        <f t="shared" si="13"/>
        <v>930.1930000000001</v>
      </c>
      <c r="H183">
        <f t="shared" si="14"/>
        <v>5</v>
      </c>
      <c r="I183">
        <f t="shared" si="15"/>
        <v>9795.0699999999979</v>
      </c>
      <c r="J183">
        <f t="shared" si="16"/>
        <v>5144.1049999999977</v>
      </c>
      <c r="K183">
        <f t="shared" si="17"/>
        <v>4650.9650000000001</v>
      </c>
    </row>
    <row r="184" spans="1:11" x14ac:dyDescent="0.25">
      <c r="A184" t="str">
        <f>Original!A174</f>
        <v>ORD-2023-286994</v>
      </c>
      <c r="B184">
        <f>Original!R174</f>
        <v>6.85</v>
      </c>
      <c r="C184">
        <f>Original!S174</f>
        <v>10.18</v>
      </c>
      <c r="D184" s="6">
        <f>Original!T174</f>
        <v>4.7E-2</v>
      </c>
      <c r="E184" s="6">
        <f>Original!V174</f>
        <v>10</v>
      </c>
      <c r="F184" s="6">
        <f t="shared" si="12"/>
        <v>4.7E-2</v>
      </c>
      <c r="G184">
        <f t="shared" si="13"/>
        <v>7.5350000000000001</v>
      </c>
      <c r="H184">
        <f t="shared" si="14"/>
        <v>10</v>
      </c>
      <c r="I184">
        <f t="shared" si="15"/>
        <v>97.0154</v>
      </c>
      <c r="J184">
        <f t="shared" si="16"/>
        <v>21.665400000000005</v>
      </c>
      <c r="K184">
        <f t="shared" si="17"/>
        <v>75.349999999999994</v>
      </c>
    </row>
    <row r="185" spans="1:11" x14ac:dyDescent="0.25">
      <c r="A185" t="str">
        <f>Original!A175</f>
        <v>ORD-2025-700847</v>
      </c>
      <c r="B185">
        <f>Original!R175</f>
        <v>1263.8399999999999</v>
      </c>
      <c r="C185">
        <f>Original!S175</f>
        <v>2281.7199999999998</v>
      </c>
      <c r="D185" s="6">
        <f>Original!T175</f>
        <v>7.8E-2</v>
      </c>
      <c r="E185" s="6">
        <f>Original!V175</f>
        <v>15</v>
      </c>
      <c r="F185" s="6">
        <f t="shared" si="12"/>
        <v>0.05</v>
      </c>
      <c r="G185">
        <f t="shared" si="13"/>
        <v>1390.2239999999999</v>
      </c>
      <c r="H185">
        <f t="shared" si="14"/>
        <v>15</v>
      </c>
      <c r="I185">
        <f t="shared" si="15"/>
        <v>32514.509999999995</v>
      </c>
      <c r="J185">
        <f t="shared" si="16"/>
        <v>11661.149999999994</v>
      </c>
      <c r="K185">
        <f t="shared" si="17"/>
        <v>20853.36</v>
      </c>
    </row>
    <row r="186" spans="1:11" x14ac:dyDescent="0.25">
      <c r="A186" t="str">
        <f>Original!A176</f>
        <v>ORD-2024-970848</v>
      </c>
      <c r="B186">
        <f>Original!R176</f>
        <v>180.89</v>
      </c>
      <c r="C186">
        <f>Original!S176</f>
        <v>249.57</v>
      </c>
      <c r="D186" s="6">
        <f>Original!T176</f>
        <v>2.1999999999999999E-2</v>
      </c>
      <c r="E186" s="6">
        <f>Original!V176</f>
        <v>8</v>
      </c>
      <c r="F186" s="6">
        <f t="shared" si="12"/>
        <v>2.1999999999999999E-2</v>
      </c>
      <c r="G186">
        <f t="shared" si="13"/>
        <v>198.97900000000001</v>
      </c>
      <c r="H186">
        <f t="shared" si="14"/>
        <v>8</v>
      </c>
      <c r="I186">
        <f t="shared" si="15"/>
        <v>1952.6356799999999</v>
      </c>
      <c r="J186">
        <f t="shared" si="16"/>
        <v>360.80367999999976</v>
      </c>
      <c r="K186">
        <f t="shared" si="17"/>
        <v>1591.8320000000001</v>
      </c>
    </row>
    <row r="187" spans="1:11" x14ac:dyDescent="0.25">
      <c r="A187" t="str">
        <f>Original!A177</f>
        <v>ORD-2025-845715</v>
      </c>
      <c r="B187">
        <f>Original!R177</f>
        <v>1413.87</v>
      </c>
      <c r="C187">
        <f>Original!S177</f>
        <v>3275</v>
      </c>
      <c r="D187" s="6">
        <f>Original!T177</f>
        <v>0.255</v>
      </c>
      <c r="E187" s="6">
        <f>Original!V177</f>
        <v>38</v>
      </c>
      <c r="F187" s="6">
        <f t="shared" si="12"/>
        <v>0.05</v>
      </c>
      <c r="G187">
        <f t="shared" si="13"/>
        <v>1555.2570000000001</v>
      </c>
      <c r="H187">
        <f t="shared" si="14"/>
        <v>38</v>
      </c>
      <c r="I187">
        <f t="shared" si="15"/>
        <v>118227.5</v>
      </c>
      <c r="J187">
        <f t="shared" si="16"/>
        <v>59127.733999999997</v>
      </c>
      <c r="K187">
        <f t="shared" si="17"/>
        <v>59099.766000000003</v>
      </c>
    </row>
    <row r="188" spans="1:11" x14ac:dyDescent="0.25">
      <c r="A188" t="str">
        <f>Original!A178</f>
        <v>ORD-2023-664749</v>
      </c>
      <c r="B188">
        <f>Original!R178</f>
        <v>943.79</v>
      </c>
      <c r="C188">
        <f>Original!S178</f>
        <v>1913.76</v>
      </c>
      <c r="D188" s="6">
        <f>Original!T178</f>
        <v>9.0999999999999998E-2</v>
      </c>
      <c r="E188" s="6">
        <f>Original!V178</f>
        <v>9</v>
      </c>
      <c r="F188" s="6">
        <f t="shared" si="12"/>
        <v>0.05</v>
      </c>
      <c r="G188">
        <f t="shared" si="13"/>
        <v>1038.1690000000001</v>
      </c>
      <c r="H188">
        <f t="shared" si="14"/>
        <v>9</v>
      </c>
      <c r="I188">
        <f t="shared" si="15"/>
        <v>16362.647999999999</v>
      </c>
      <c r="J188">
        <f t="shared" si="16"/>
        <v>7019.1269999999986</v>
      </c>
      <c r="K188">
        <f t="shared" si="17"/>
        <v>9343.5210000000006</v>
      </c>
    </row>
    <row r="189" spans="1:11" x14ac:dyDescent="0.25">
      <c r="A189" t="str">
        <f>Original!A179</f>
        <v>ORD-2024-960952</v>
      </c>
      <c r="B189">
        <f>Original!R179</f>
        <v>39.229999999999997</v>
      </c>
      <c r="C189">
        <f>Original!S179</f>
        <v>30.09</v>
      </c>
      <c r="D189" s="6">
        <f>Original!T179</f>
        <v>0.17699999999999999</v>
      </c>
      <c r="E189" s="6">
        <f>Original!V179</f>
        <v>13</v>
      </c>
      <c r="F189" s="6">
        <f t="shared" si="12"/>
        <v>0.05</v>
      </c>
      <c r="G189">
        <f t="shared" si="13"/>
        <v>43.152999999999999</v>
      </c>
      <c r="H189">
        <f t="shared" si="14"/>
        <v>13</v>
      </c>
      <c r="I189">
        <f t="shared" si="15"/>
        <v>371.61149999999998</v>
      </c>
      <c r="J189">
        <f t="shared" si="16"/>
        <v>-189.37750000000005</v>
      </c>
      <c r="K189">
        <f t="shared" si="17"/>
        <v>560.98900000000003</v>
      </c>
    </row>
    <row r="190" spans="1:11" x14ac:dyDescent="0.25">
      <c r="A190" t="str">
        <f>Original!A180</f>
        <v>ORD-2023-987700</v>
      </c>
      <c r="B190">
        <f>Original!R180</f>
        <v>213.1</v>
      </c>
      <c r="C190">
        <f>Original!S180</f>
        <v>501.31</v>
      </c>
      <c r="D190" s="6">
        <f>Original!T180</f>
        <v>5.6000000000000001E-2</v>
      </c>
      <c r="E190" s="6">
        <f>Original!V180</f>
        <v>15</v>
      </c>
      <c r="F190" s="6">
        <f t="shared" si="12"/>
        <v>0.05</v>
      </c>
      <c r="G190">
        <f t="shared" si="13"/>
        <v>234.41000000000003</v>
      </c>
      <c r="H190">
        <f t="shared" si="14"/>
        <v>15</v>
      </c>
      <c r="I190">
        <f t="shared" si="15"/>
        <v>7143.6674999999996</v>
      </c>
      <c r="J190">
        <f t="shared" si="16"/>
        <v>3627.517499999999</v>
      </c>
      <c r="K190">
        <f t="shared" si="17"/>
        <v>3516.1500000000005</v>
      </c>
    </row>
    <row r="191" spans="1:11" x14ac:dyDescent="0.25">
      <c r="A191" t="str">
        <f>Original!A181</f>
        <v>ORD-2025-652467</v>
      </c>
      <c r="B191">
        <f>Original!R181</f>
        <v>352.66</v>
      </c>
      <c r="C191">
        <f>Original!S181</f>
        <v>411.18</v>
      </c>
      <c r="D191" s="6">
        <f>Original!T181</f>
        <v>0.17299999999999999</v>
      </c>
      <c r="E191" s="6">
        <f>Original!V181</f>
        <v>13</v>
      </c>
      <c r="F191" s="6">
        <f t="shared" si="12"/>
        <v>0.05</v>
      </c>
      <c r="G191">
        <f t="shared" si="13"/>
        <v>387.92600000000004</v>
      </c>
      <c r="H191">
        <f t="shared" si="14"/>
        <v>13</v>
      </c>
      <c r="I191">
        <f t="shared" si="15"/>
        <v>5078.0730000000003</v>
      </c>
      <c r="J191">
        <f t="shared" si="16"/>
        <v>35.034999999999854</v>
      </c>
      <c r="K191">
        <f t="shared" si="17"/>
        <v>5043.0380000000005</v>
      </c>
    </row>
    <row r="192" spans="1:11" x14ac:dyDescent="0.25">
      <c r="A192" t="str">
        <f>Original!A182</f>
        <v>ORD-2025-667201</v>
      </c>
      <c r="B192">
        <f>Original!R182</f>
        <v>5.5</v>
      </c>
      <c r="C192">
        <f>Original!S182</f>
        <v>5.92</v>
      </c>
      <c r="D192" s="6">
        <f>Original!T182</f>
        <v>0.21199999999999999</v>
      </c>
      <c r="E192" s="6">
        <f>Original!V182</f>
        <v>4</v>
      </c>
      <c r="F192" s="6">
        <f t="shared" si="12"/>
        <v>0.05</v>
      </c>
      <c r="G192">
        <f t="shared" si="13"/>
        <v>6.0500000000000007</v>
      </c>
      <c r="H192">
        <f t="shared" si="14"/>
        <v>4</v>
      </c>
      <c r="I192">
        <f t="shared" si="15"/>
        <v>22.495999999999999</v>
      </c>
      <c r="J192">
        <f t="shared" si="16"/>
        <v>-1.7040000000000042</v>
      </c>
      <c r="K192">
        <f t="shared" si="17"/>
        <v>24.200000000000003</v>
      </c>
    </row>
    <row r="193" spans="1:11" x14ac:dyDescent="0.25">
      <c r="A193" t="str">
        <f>Original!A183</f>
        <v>ORD-2024-237478</v>
      </c>
      <c r="B193">
        <f>Original!R183</f>
        <v>1132.6099999999999</v>
      </c>
      <c r="C193">
        <f>Original!S183</f>
        <v>2206.63</v>
      </c>
      <c r="D193" s="6">
        <f>Original!T183</f>
        <v>6.3E-2</v>
      </c>
      <c r="E193" s="6">
        <f>Original!V183</f>
        <v>20</v>
      </c>
      <c r="F193" s="6">
        <f t="shared" si="12"/>
        <v>0.05</v>
      </c>
      <c r="G193">
        <f t="shared" si="13"/>
        <v>1245.8710000000001</v>
      </c>
      <c r="H193">
        <f t="shared" si="14"/>
        <v>20</v>
      </c>
      <c r="I193">
        <f t="shared" si="15"/>
        <v>41925.97</v>
      </c>
      <c r="J193">
        <f t="shared" si="16"/>
        <v>17008.55</v>
      </c>
      <c r="K193">
        <f t="shared" si="17"/>
        <v>24917.420000000002</v>
      </c>
    </row>
    <row r="194" spans="1:11" x14ac:dyDescent="0.25">
      <c r="A194" t="str">
        <f>Original!A184</f>
        <v>ORD-2025-898843</v>
      </c>
      <c r="B194">
        <f>Original!R184</f>
        <v>766.59</v>
      </c>
      <c r="C194">
        <f>Original!S184</f>
        <v>1912.8</v>
      </c>
      <c r="D194" s="6">
        <f>Original!T184</f>
        <v>0.19600000000000001</v>
      </c>
      <c r="E194" s="6">
        <f>Original!V184</f>
        <v>5</v>
      </c>
      <c r="F194" s="6">
        <f t="shared" si="12"/>
        <v>0.05</v>
      </c>
      <c r="G194">
        <f t="shared" si="13"/>
        <v>843.24900000000014</v>
      </c>
      <c r="H194">
        <f t="shared" si="14"/>
        <v>5</v>
      </c>
      <c r="I194">
        <f t="shared" si="15"/>
        <v>9085.7999999999993</v>
      </c>
      <c r="J194">
        <f t="shared" si="16"/>
        <v>4869.5549999999985</v>
      </c>
      <c r="K194">
        <f t="shared" si="17"/>
        <v>4216.2450000000008</v>
      </c>
    </row>
    <row r="195" spans="1:11" x14ac:dyDescent="0.25">
      <c r="A195" t="str">
        <f>Original!A185</f>
        <v>ORD-2023-334213</v>
      </c>
      <c r="B195">
        <f>Original!R185</f>
        <v>790.63</v>
      </c>
      <c r="C195">
        <f>Original!S185</f>
        <v>1382.31</v>
      </c>
      <c r="D195" s="6">
        <f>Original!T185</f>
        <v>0.10100000000000001</v>
      </c>
      <c r="E195" s="6">
        <f>Original!V185</f>
        <v>7</v>
      </c>
      <c r="F195" s="6">
        <f t="shared" si="12"/>
        <v>0.05</v>
      </c>
      <c r="G195">
        <f t="shared" si="13"/>
        <v>869.6930000000001</v>
      </c>
      <c r="H195">
        <f t="shared" si="14"/>
        <v>7</v>
      </c>
      <c r="I195">
        <f t="shared" si="15"/>
        <v>9192.3614999999991</v>
      </c>
      <c r="J195">
        <f t="shared" si="16"/>
        <v>3104.5104999999985</v>
      </c>
      <c r="K195">
        <f t="shared" si="17"/>
        <v>6087.8510000000006</v>
      </c>
    </row>
    <row r="196" spans="1:11" x14ac:dyDescent="0.25">
      <c r="A196" t="str">
        <f>Original!A186</f>
        <v>ORD-2024-640340</v>
      </c>
      <c r="B196">
        <f>Original!R186</f>
        <v>1023.06</v>
      </c>
      <c r="C196">
        <f>Original!S186</f>
        <v>1355.61</v>
      </c>
      <c r="D196" s="6">
        <f>Original!T186</f>
        <v>0.153</v>
      </c>
      <c r="E196" s="6">
        <f>Original!V186</f>
        <v>23</v>
      </c>
      <c r="F196" s="6">
        <f t="shared" si="12"/>
        <v>0.05</v>
      </c>
      <c r="G196">
        <f t="shared" si="13"/>
        <v>1125.366</v>
      </c>
      <c r="H196">
        <f t="shared" si="14"/>
        <v>23</v>
      </c>
      <c r="I196">
        <f t="shared" si="15"/>
        <v>29620.078499999996</v>
      </c>
      <c r="J196">
        <f t="shared" si="16"/>
        <v>3736.6604999999981</v>
      </c>
      <c r="K196">
        <f t="shared" si="17"/>
        <v>25883.417999999998</v>
      </c>
    </row>
    <row r="197" spans="1:11" x14ac:dyDescent="0.25">
      <c r="A197" t="str">
        <f>Original!A187</f>
        <v>ORD-2023-399631</v>
      </c>
      <c r="B197">
        <f>Original!R187</f>
        <v>734.34</v>
      </c>
      <c r="C197">
        <f>Original!S187</f>
        <v>887.9</v>
      </c>
      <c r="D197" s="6">
        <f>Original!T187</f>
        <v>2.5000000000000001E-2</v>
      </c>
      <c r="E197" s="6">
        <f>Original!V187</f>
        <v>12</v>
      </c>
      <c r="F197" s="6">
        <f t="shared" si="12"/>
        <v>2.5000000000000001E-2</v>
      </c>
      <c r="G197">
        <f t="shared" si="13"/>
        <v>807.77400000000011</v>
      </c>
      <c r="H197">
        <f t="shared" si="14"/>
        <v>12</v>
      </c>
      <c r="I197">
        <f t="shared" si="15"/>
        <v>10388.429999999998</v>
      </c>
      <c r="J197">
        <f t="shared" si="16"/>
        <v>695.14199999999801</v>
      </c>
      <c r="K197">
        <f t="shared" si="17"/>
        <v>9693.2880000000005</v>
      </c>
    </row>
    <row r="198" spans="1:11" x14ac:dyDescent="0.25">
      <c r="A198" t="str">
        <f>Original!A188</f>
        <v>ORD-2025-542939</v>
      </c>
      <c r="B198">
        <f>Original!R188</f>
        <v>594.74</v>
      </c>
      <c r="C198">
        <f>Original!S188</f>
        <v>1020.69</v>
      </c>
      <c r="D198" s="6">
        <f>Original!T188</f>
        <v>0.21099999999999999</v>
      </c>
      <c r="E198" s="6">
        <f>Original!V188</f>
        <v>6</v>
      </c>
      <c r="F198" s="6">
        <f t="shared" si="12"/>
        <v>0.05</v>
      </c>
      <c r="G198">
        <f t="shared" si="13"/>
        <v>654.21400000000006</v>
      </c>
      <c r="H198">
        <f t="shared" si="14"/>
        <v>6</v>
      </c>
      <c r="I198">
        <f t="shared" si="15"/>
        <v>5817.933</v>
      </c>
      <c r="J198">
        <f t="shared" si="16"/>
        <v>1892.6489999999994</v>
      </c>
      <c r="K198">
        <f t="shared" si="17"/>
        <v>3925.2840000000006</v>
      </c>
    </row>
    <row r="199" spans="1:11" x14ac:dyDescent="0.25">
      <c r="A199" t="str">
        <f>Original!A189</f>
        <v>ORD-2023-521818</v>
      </c>
      <c r="B199">
        <f>Original!R189</f>
        <v>1262.0999999999999</v>
      </c>
      <c r="C199">
        <f>Original!S189</f>
        <v>1395.53</v>
      </c>
      <c r="D199" s="6">
        <f>Original!T189</f>
        <v>0.23300000000000001</v>
      </c>
      <c r="E199" s="6">
        <f>Original!V189</f>
        <v>25</v>
      </c>
      <c r="F199" s="6">
        <f t="shared" si="12"/>
        <v>0.05</v>
      </c>
      <c r="G199">
        <f t="shared" si="13"/>
        <v>1388.31</v>
      </c>
      <c r="H199">
        <f t="shared" si="14"/>
        <v>25</v>
      </c>
      <c r="I199">
        <f t="shared" si="15"/>
        <v>33143.837500000001</v>
      </c>
      <c r="J199">
        <f t="shared" si="16"/>
        <v>-1563.9124999999985</v>
      </c>
      <c r="K199">
        <f t="shared" si="17"/>
        <v>34707.75</v>
      </c>
    </row>
    <row r="200" spans="1:11" x14ac:dyDescent="0.25">
      <c r="A200" t="str">
        <f>Original!A190</f>
        <v>ORD-2023-825836</v>
      </c>
      <c r="B200">
        <f>Original!R190</f>
        <v>1334.64</v>
      </c>
      <c r="C200">
        <f>Original!S190</f>
        <v>2273.42</v>
      </c>
      <c r="D200" s="6">
        <f>Original!T190</f>
        <v>0.11799999999999999</v>
      </c>
      <c r="E200" s="6">
        <f>Original!V190</f>
        <v>14</v>
      </c>
      <c r="F200" s="6">
        <f t="shared" si="12"/>
        <v>0.05</v>
      </c>
      <c r="G200">
        <f t="shared" si="13"/>
        <v>1468.1040000000003</v>
      </c>
      <c r="H200">
        <f t="shared" si="14"/>
        <v>14</v>
      </c>
      <c r="I200">
        <f t="shared" si="15"/>
        <v>30236.486000000001</v>
      </c>
      <c r="J200">
        <f t="shared" si="16"/>
        <v>9683.0299999999952</v>
      </c>
      <c r="K200">
        <f t="shared" si="17"/>
        <v>20553.456000000006</v>
      </c>
    </row>
    <row r="201" spans="1:11" x14ac:dyDescent="0.25">
      <c r="A201" t="str">
        <f>Original!A191</f>
        <v>ORD-2024-503082</v>
      </c>
      <c r="B201">
        <f>Original!R191</f>
        <v>1075.9000000000001</v>
      </c>
      <c r="C201">
        <f>Original!S191</f>
        <v>1242.1500000000001</v>
      </c>
      <c r="D201" s="6">
        <f>Original!T191</f>
        <v>1.2E-2</v>
      </c>
      <c r="E201" s="6">
        <f>Original!V191</f>
        <v>7</v>
      </c>
      <c r="F201" s="6">
        <f t="shared" si="12"/>
        <v>1.2E-2</v>
      </c>
      <c r="G201">
        <f t="shared" si="13"/>
        <v>1183.4900000000002</v>
      </c>
      <c r="H201">
        <f t="shared" si="14"/>
        <v>7</v>
      </c>
      <c r="I201">
        <f t="shared" si="15"/>
        <v>8590.7094000000016</v>
      </c>
      <c r="J201">
        <f t="shared" si="16"/>
        <v>306.27939999999944</v>
      </c>
      <c r="K201">
        <f t="shared" si="17"/>
        <v>8284.4300000000021</v>
      </c>
    </row>
    <row r="202" spans="1:11" x14ac:dyDescent="0.25">
      <c r="A202" t="str">
        <f>Original!A192</f>
        <v>ORD-2024-760799</v>
      </c>
      <c r="B202">
        <f>Original!R192</f>
        <v>993.75</v>
      </c>
      <c r="C202">
        <f>Original!S192</f>
        <v>1310.29</v>
      </c>
      <c r="D202" s="6">
        <f>Original!T192</f>
        <v>0.215</v>
      </c>
      <c r="E202" s="6">
        <f>Original!V192</f>
        <v>19</v>
      </c>
      <c r="F202" s="6">
        <f t="shared" si="12"/>
        <v>0.05</v>
      </c>
      <c r="G202">
        <f t="shared" si="13"/>
        <v>1093.125</v>
      </c>
      <c r="H202">
        <f t="shared" si="14"/>
        <v>19</v>
      </c>
      <c r="I202">
        <f t="shared" si="15"/>
        <v>23650.734499999999</v>
      </c>
      <c r="J202">
        <f t="shared" si="16"/>
        <v>2881.3594999999987</v>
      </c>
      <c r="K202">
        <f t="shared" si="17"/>
        <v>20769.375</v>
      </c>
    </row>
    <row r="203" spans="1:11" x14ac:dyDescent="0.25">
      <c r="A203" t="str">
        <f>Original!A193</f>
        <v>ORD-2023-197661</v>
      </c>
      <c r="B203">
        <f>Original!R193</f>
        <v>446.69</v>
      </c>
      <c r="C203">
        <f>Original!S193</f>
        <v>967.25</v>
      </c>
      <c r="D203" s="6">
        <f>Original!T193</f>
        <v>9.4E-2</v>
      </c>
      <c r="E203" s="6">
        <f>Original!V193</f>
        <v>10</v>
      </c>
      <c r="F203" s="6">
        <f t="shared" si="12"/>
        <v>0.05</v>
      </c>
      <c r="G203">
        <f t="shared" si="13"/>
        <v>491.35900000000004</v>
      </c>
      <c r="H203">
        <f t="shared" si="14"/>
        <v>10</v>
      </c>
      <c r="I203">
        <f t="shared" si="15"/>
        <v>9188.875</v>
      </c>
      <c r="J203">
        <f t="shared" si="16"/>
        <v>4275.2849999999999</v>
      </c>
      <c r="K203">
        <f t="shared" si="17"/>
        <v>4913.59</v>
      </c>
    </row>
    <row r="204" spans="1:11" x14ac:dyDescent="0.25">
      <c r="A204" t="str">
        <f>Original!A194</f>
        <v>ORD-2024-212990</v>
      </c>
      <c r="B204">
        <f>Original!R194</f>
        <v>797.8</v>
      </c>
      <c r="C204">
        <f>Original!S194</f>
        <v>886.22</v>
      </c>
      <c r="D204" s="6">
        <f>Original!T194</f>
        <v>0.23599999999999999</v>
      </c>
      <c r="E204" s="6">
        <f>Original!V194</f>
        <v>36</v>
      </c>
      <c r="F204" s="6">
        <f t="shared" si="12"/>
        <v>0.05</v>
      </c>
      <c r="G204">
        <f t="shared" si="13"/>
        <v>877.58</v>
      </c>
      <c r="H204">
        <f t="shared" si="14"/>
        <v>36</v>
      </c>
      <c r="I204">
        <f t="shared" si="15"/>
        <v>30308.724000000002</v>
      </c>
      <c r="J204">
        <f t="shared" si="16"/>
        <v>-1284.155999999999</v>
      </c>
      <c r="K204">
        <f t="shared" si="17"/>
        <v>31592.880000000001</v>
      </c>
    </row>
    <row r="205" spans="1:11" x14ac:dyDescent="0.25">
      <c r="A205" t="str">
        <f>Original!A195</f>
        <v>ORD-2023-925146</v>
      </c>
      <c r="B205">
        <f>Original!R195</f>
        <v>986.44</v>
      </c>
      <c r="C205">
        <f>Original!S195</f>
        <v>790.61</v>
      </c>
      <c r="D205" s="6">
        <f>Original!T195</f>
        <v>7.1999999999999995E-2</v>
      </c>
      <c r="E205" s="6">
        <f>Original!V195</f>
        <v>6</v>
      </c>
      <c r="F205" s="6">
        <f t="shared" si="12"/>
        <v>0.05</v>
      </c>
      <c r="G205">
        <f t="shared" si="13"/>
        <v>1085.0840000000001</v>
      </c>
      <c r="H205">
        <f t="shared" si="14"/>
        <v>6</v>
      </c>
      <c r="I205">
        <f t="shared" si="15"/>
        <v>4506.4769999999999</v>
      </c>
      <c r="J205">
        <f t="shared" si="16"/>
        <v>-2004.027000000001</v>
      </c>
      <c r="K205">
        <f t="shared" si="17"/>
        <v>6510.5040000000008</v>
      </c>
    </row>
    <row r="206" spans="1:11" x14ac:dyDescent="0.25">
      <c r="A206" t="str">
        <f>Original!A196</f>
        <v>ORD-2023-177794</v>
      </c>
      <c r="B206">
        <f>Original!R196</f>
        <v>249.71</v>
      </c>
      <c r="C206">
        <f>Original!S196</f>
        <v>361.33</v>
      </c>
      <c r="D206" s="6">
        <f>Original!T196</f>
        <v>9.4E-2</v>
      </c>
      <c r="E206" s="6">
        <f>Original!V196</f>
        <v>12</v>
      </c>
      <c r="F206" s="6">
        <f t="shared" si="12"/>
        <v>0.05</v>
      </c>
      <c r="G206">
        <f t="shared" si="13"/>
        <v>274.68100000000004</v>
      </c>
      <c r="H206">
        <f t="shared" si="14"/>
        <v>12</v>
      </c>
      <c r="I206">
        <f t="shared" si="15"/>
        <v>4119.1620000000003</v>
      </c>
      <c r="J206">
        <f t="shared" si="16"/>
        <v>822.98999999999978</v>
      </c>
      <c r="K206">
        <f t="shared" si="17"/>
        <v>3296.1720000000005</v>
      </c>
    </row>
    <row r="207" spans="1:11" x14ac:dyDescent="0.25">
      <c r="A207" t="str">
        <f>Original!A197</f>
        <v>ORD-2024-444710</v>
      </c>
      <c r="B207">
        <f>Original!R197</f>
        <v>1378.8</v>
      </c>
      <c r="C207">
        <f>Original!S197</f>
        <v>1952.04</v>
      </c>
      <c r="D207" s="6">
        <f>Original!T197</f>
        <v>0.159</v>
      </c>
      <c r="E207" s="6">
        <f>Original!V197</f>
        <v>19</v>
      </c>
      <c r="F207" s="6">
        <f t="shared" si="12"/>
        <v>0.05</v>
      </c>
      <c r="G207">
        <f t="shared" si="13"/>
        <v>1516.68</v>
      </c>
      <c r="H207">
        <f t="shared" si="14"/>
        <v>19</v>
      </c>
      <c r="I207">
        <f t="shared" si="15"/>
        <v>35234.322</v>
      </c>
      <c r="J207">
        <f t="shared" si="16"/>
        <v>6417.4019999999982</v>
      </c>
      <c r="K207">
        <f t="shared" si="17"/>
        <v>28816.920000000002</v>
      </c>
    </row>
    <row r="208" spans="1:11" x14ac:dyDescent="0.25">
      <c r="A208" t="str">
        <f>Original!A198</f>
        <v>ORD-2024-668926</v>
      </c>
      <c r="B208">
        <f>Original!R198</f>
        <v>1406.4</v>
      </c>
      <c r="C208">
        <f>Original!S198</f>
        <v>1564.76</v>
      </c>
      <c r="D208" s="6">
        <f>Original!T198</f>
        <v>0.185</v>
      </c>
      <c r="E208" s="6">
        <f>Original!V198</f>
        <v>17</v>
      </c>
      <c r="F208" s="6">
        <f t="shared" si="12"/>
        <v>0.05</v>
      </c>
      <c r="G208">
        <f t="shared" si="13"/>
        <v>1547.0400000000002</v>
      </c>
      <c r="H208">
        <f t="shared" si="14"/>
        <v>17</v>
      </c>
      <c r="I208">
        <f t="shared" si="15"/>
        <v>25270.873999999996</v>
      </c>
      <c r="J208">
        <f t="shared" si="16"/>
        <v>-1028.8060000000078</v>
      </c>
      <c r="K208">
        <f t="shared" si="17"/>
        <v>26299.680000000004</v>
      </c>
    </row>
    <row r="209" spans="1:11" x14ac:dyDescent="0.25">
      <c r="A209" t="str">
        <f>Original!A199</f>
        <v>ORD-2024-968374</v>
      </c>
      <c r="B209">
        <f>Original!R199</f>
        <v>516.86</v>
      </c>
      <c r="C209">
        <f>Original!S199</f>
        <v>852.54</v>
      </c>
      <c r="D209" s="6">
        <f>Original!T199</f>
        <v>5.0999999999999997E-2</v>
      </c>
      <c r="E209" s="6">
        <f>Original!V199</f>
        <v>14</v>
      </c>
      <c r="F209" s="6">
        <f t="shared" si="12"/>
        <v>0.05</v>
      </c>
      <c r="G209">
        <f t="shared" si="13"/>
        <v>568.54600000000005</v>
      </c>
      <c r="H209">
        <f t="shared" si="14"/>
        <v>14</v>
      </c>
      <c r="I209">
        <f t="shared" si="15"/>
        <v>11338.781999999999</v>
      </c>
      <c r="J209">
        <f t="shared" si="16"/>
        <v>3379.137999999999</v>
      </c>
      <c r="K209">
        <f t="shared" si="17"/>
        <v>7959.6440000000002</v>
      </c>
    </row>
    <row r="210" spans="1:11" x14ac:dyDescent="0.25">
      <c r="A210" t="str">
        <f>Original!A200</f>
        <v>ORD-2023-575584</v>
      </c>
      <c r="B210">
        <f>Original!R200</f>
        <v>1142.8800000000001</v>
      </c>
      <c r="C210">
        <f>Original!S200</f>
        <v>1465.29</v>
      </c>
      <c r="D210" s="6">
        <f>Original!T200</f>
        <v>0.186</v>
      </c>
      <c r="E210" s="6">
        <f>Original!V200</f>
        <v>7</v>
      </c>
      <c r="F210" s="6">
        <f t="shared" si="12"/>
        <v>0.05</v>
      </c>
      <c r="G210">
        <f t="shared" si="13"/>
        <v>1257.1680000000001</v>
      </c>
      <c r="H210">
        <f t="shared" si="14"/>
        <v>7</v>
      </c>
      <c r="I210">
        <f t="shared" si="15"/>
        <v>9744.1784999999982</v>
      </c>
      <c r="J210">
        <f t="shared" si="16"/>
        <v>944.00249999999687</v>
      </c>
      <c r="K210">
        <f t="shared" si="17"/>
        <v>8800.1760000000013</v>
      </c>
    </row>
    <row r="211" spans="1:11" x14ac:dyDescent="0.25">
      <c r="A211" t="str">
        <f>Original!A201</f>
        <v>ORD-2023-701153</v>
      </c>
      <c r="B211">
        <f>Original!R201</f>
        <v>1320.33</v>
      </c>
      <c r="C211">
        <f>Original!S201</f>
        <v>2645.23</v>
      </c>
      <c r="D211" s="6">
        <f>Original!T201</f>
        <v>0.155</v>
      </c>
      <c r="E211" s="6">
        <f>Original!V201</f>
        <v>25</v>
      </c>
      <c r="F211" s="6">
        <f t="shared" si="12"/>
        <v>0.05</v>
      </c>
      <c r="G211">
        <f t="shared" si="13"/>
        <v>1452.3630000000001</v>
      </c>
      <c r="H211">
        <f t="shared" si="14"/>
        <v>25</v>
      </c>
      <c r="I211">
        <f t="shared" si="15"/>
        <v>62824.212499999994</v>
      </c>
      <c r="J211">
        <f t="shared" si="16"/>
        <v>26515.13749999999</v>
      </c>
      <c r="K211">
        <f t="shared" si="17"/>
        <v>36309.075000000004</v>
      </c>
    </row>
    <row r="212" spans="1:11" x14ac:dyDescent="0.25">
      <c r="A212" t="str">
        <f>Original!A202</f>
        <v>ORD-2023-382017</v>
      </c>
      <c r="B212">
        <f>Original!R202</f>
        <v>833.57</v>
      </c>
      <c r="C212">
        <f>Original!S202</f>
        <v>881.57</v>
      </c>
      <c r="D212" s="6">
        <f>Original!T202</f>
        <v>5.7000000000000002E-2</v>
      </c>
      <c r="E212" s="6">
        <f>Original!V202</f>
        <v>18</v>
      </c>
      <c r="F212" s="6">
        <f t="shared" si="12"/>
        <v>0.05</v>
      </c>
      <c r="G212">
        <f t="shared" si="13"/>
        <v>916.92700000000013</v>
      </c>
      <c r="H212">
        <f t="shared" si="14"/>
        <v>18</v>
      </c>
      <c r="I212">
        <f t="shared" si="15"/>
        <v>15074.847</v>
      </c>
      <c r="J212">
        <f t="shared" si="16"/>
        <v>-1429.8390000000018</v>
      </c>
      <c r="K212">
        <f t="shared" si="17"/>
        <v>16504.686000000002</v>
      </c>
    </row>
    <row r="213" spans="1:11" x14ac:dyDescent="0.25">
      <c r="A213" t="str">
        <f>Original!A203</f>
        <v>ORD-2024-999607</v>
      </c>
      <c r="B213">
        <f>Original!R203</f>
        <v>493.76</v>
      </c>
      <c r="C213">
        <f>Original!S203</f>
        <v>625.04</v>
      </c>
      <c r="D213" s="6">
        <f>Original!T203</f>
        <v>0.25800000000000001</v>
      </c>
      <c r="E213" s="6">
        <f>Original!V203</f>
        <v>10</v>
      </c>
      <c r="F213" s="6">
        <f t="shared" si="12"/>
        <v>0.05</v>
      </c>
      <c r="G213">
        <f t="shared" si="13"/>
        <v>543.13600000000008</v>
      </c>
      <c r="H213">
        <f t="shared" si="14"/>
        <v>10</v>
      </c>
      <c r="I213">
        <f t="shared" si="15"/>
        <v>5937.8799999999992</v>
      </c>
      <c r="J213">
        <f t="shared" si="16"/>
        <v>506.51999999999862</v>
      </c>
      <c r="K213">
        <f t="shared" si="17"/>
        <v>5431.3600000000006</v>
      </c>
    </row>
    <row r="214" spans="1:11" x14ac:dyDescent="0.25">
      <c r="A214" t="str">
        <f>Original!A204</f>
        <v>ORD-2023-133848</v>
      </c>
      <c r="B214">
        <f>Original!R204</f>
        <v>590.33000000000004</v>
      </c>
      <c r="C214">
        <f>Original!S204</f>
        <v>973.04</v>
      </c>
      <c r="D214" s="6">
        <f>Original!T204</f>
        <v>0</v>
      </c>
      <c r="E214" s="6">
        <f>Original!V204</f>
        <v>26</v>
      </c>
      <c r="F214" s="6">
        <f t="shared" si="12"/>
        <v>0</v>
      </c>
      <c r="G214">
        <f t="shared" si="13"/>
        <v>649.36300000000006</v>
      </c>
      <c r="H214">
        <f t="shared" si="14"/>
        <v>26</v>
      </c>
      <c r="I214">
        <f t="shared" si="15"/>
        <v>25299.040000000001</v>
      </c>
      <c r="J214">
        <f t="shared" si="16"/>
        <v>8415.601999999999</v>
      </c>
      <c r="K214">
        <f t="shared" si="17"/>
        <v>16883.438000000002</v>
      </c>
    </row>
    <row r="215" spans="1:11" x14ac:dyDescent="0.25">
      <c r="A215" t="str">
        <f>Original!A205</f>
        <v>ORD-2023-586275</v>
      </c>
      <c r="B215">
        <f>Original!R205</f>
        <v>884.36</v>
      </c>
      <c r="C215">
        <f>Original!S205</f>
        <v>1545.34</v>
      </c>
      <c r="D215" s="6">
        <f>Original!T205</f>
        <v>0.24299999999999999</v>
      </c>
      <c r="E215" s="6">
        <f>Original!V205</f>
        <v>41</v>
      </c>
      <c r="F215" s="6">
        <f t="shared" si="12"/>
        <v>0.05</v>
      </c>
      <c r="G215">
        <f t="shared" si="13"/>
        <v>972.79600000000005</v>
      </c>
      <c r="H215">
        <f t="shared" si="14"/>
        <v>41</v>
      </c>
      <c r="I215">
        <f t="shared" si="15"/>
        <v>60190.992999999995</v>
      </c>
      <c r="J215">
        <f t="shared" si="16"/>
        <v>20306.356999999996</v>
      </c>
      <c r="K215">
        <f t="shared" si="17"/>
        <v>39884.635999999999</v>
      </c>
    </row>
    <row r="216" spans="1:11" x14ac:dyDescent="0.25">
      <c r="A216" t="str">
        <f>Original!A206</f>
        <v>ORD-2025-964661</v>
      </c>
      <c r="B216">
        <f>Original!R206</f>
        <v>1016.32</v>
      </c>
      <c r="C216">
        <f>Original!S206</f>
        <v>2253.42</v>
      </c>
      <c r="D216" s="6">
        <f>Original!T206</f>
        <v>5.5E-2</v>
      </c>
      <c r="E216" s="6">
        <f>Original!V206</f>
        <v>12</v>
      </c>
      <c r="F216" s="6">
        <f t="shared" si="12"/>
        <v>0.05</v>
      </c>
      <c r="G216">
        <f t="shared" si="13"/>
        <v>1117.9520000000002</v>
      </c>
      <c r="H216">
        <f t="shared" si="14"/>
        <v>12</v>
      </c>
      <c r="I216">
        <f t="shared" si="15"/>
        <v>25688.988000000001</v>
      </c>
      <c r="J216">
        <f t="shared" si="16"/>
        <v>12273.563999999998</v>
      </c>
      <c r="K216">
        <f t="shared" si="17"/>
        <v>13415.424000000003</v>
      </c>
    </row>
    <row r="217" spans="1:11" x14ac:dyDescent="0.25">
      <c r="A217" t="str">
        <f>Original!A207</f>
        <v>ORD-2023-390998</v>
      </c>
      <c r="B217">
        <f>Original!R207</f>
        <v>1178.42</v>
      </c>
      <c r="C217">
        <f>Original!S207</f>
        <v>2446.56</v>
      </c>
      <c r="D217" s="6">
        <f>Original!T207</f>
        <v>2.9000000000000001E-2</v>
      </c>
      <c r="E217" s="6">
        <f>Original!V207</f>
        <v>11</v>
      </c>
      <c r="F217" s="6">
        <f t="shared" si="12"/>
        <v>2.9000000000000001E-2</v>
      </c>
      <c r="G217">
        <f t="shared" si="13"/>
        <v>1296.2620000000002</v>
      </c>
      <c r="H217">
        <f t="shared" si="14"/>
        <v>11</v>
      </c>
      <c r="I217">
        <f t="shared" si="15"/>
        <v>26131.70736</v>
      </c>
      <c r="J217">
        <f t="shared" si="16"/>
        <v>11872.825359999999</v>
      </c>
      <c r="K217">
        <f t="shared" si="17"/>
        <v>14258.882000000001</v>
      </c>
    </row>
    <row r="218" spans="1:11" x14ac:dyDescent="0.25">
      <c r="A218" t="str">
        <f>Original!A208</f>
        <v>ORD-2023-920483</v>
      </c>
      <c r="B218">
        <f>Original!R208</f>
        <v>137.46</v>
      </c>
      <c r="C218">
        <f>Original!S208</f>
        <v>188.3</v>
      </c>
      <c r="D218" s="6">
        <f>Original!T208</f>
        <v>3.7999999999999999E-2</v>
      </c>
      <c r="E218" s="6">
        <f>Original!V208</f>
        <v>37</v>
      </c>
      <c r="F218" s="6">
        <f t="shared" si="12"/>
        <v>3.7999999999999999E-2</v>
      </c>
      <c r="G218">
        <f t="shared" si="13"/>
        <v>151.20600000000002</v>
      </c>
      <c r="H218">
        <f t="shared" si="14"/>
        <v>37</v>
      </c>
      <c r="I218">
        <f t="shared" si="15"/>
        <v>6702.3501999999999</v>
      </c>
      <c r="J218">
        <f t="shared" si="16"/>
        <v>1107.7281999999996</v>
      </c>
      <c r="K218">
        <f t="shared" si="17"/>
        <v>5594.6220000000003</v>
      </c>
    </row>
    <row r="219" spans="1:11" x14ac:dyDescent="0.25">
      <c r="A219" t="str">
        <f>Original!A209</f>
        <v>ORD-2025-146850</v>
      </c>
      <c r="B219">
        <f>Original!R209</f>
        <v>1030.44</v>
      </c>
      <c r="C219">
        <f>Original!S209</f>
        <v>2562.84</v>
      </c>
      <c r="D219" s="6">
        <f>Original!T209</f>
        <v>0.14799999999999999</v>
      </c>
      <c r="E219" s="6">
        <f>Original!V209</f>
        <v>13</v>
      </c>
      <c r="F219" s="6">
        <f t="shared" si="12"/>
        <v>0.05</v>
      </c>
      <c r="G219">
        <f t="shared" si="13"/>
        <v>1133.4840000000002</v>
      </c>
      <c r="H219">
        <f t="shared" si="14"/>
        <v>13</v>
      </c>
      <c r="I219">
        <f t="shared" si="15"/>
        <v>31651.073999999997</v>
      </c>
      <c r="J219">
        <f t="shared" si="16"/>
        <v>16915.781999999996</v>
      </c>
      <c r="K219">
        <f t="shared" si="17"/>
        <v>14735.292000000001</v>
      </c>
    </row>
    <row r="220" spans="1:11" x14ac:dyDescent="0.25">
      <c r="A220" t="str">
        <f>Original!A210</f>
        <v>ORD-2024-687100</v>
      </c>
      <c r="B220">
        <f>Original!R210</f>
        <v>1248.3900000000001</v>
      </c>
      <c r="C220">
        <f>Original!S210</f>
        <v>1805.11</v>
      </c>
      <c r="D220" s="6">
        <f>Original!T210</f>
        <v>0.20300000000000001</v>
      </c>
      <c r="E220" s="6">
        <f>Original!V210</f>
        <v>11</v>
      </c>
      <c r="F220" s="6">
        <f t="shared" si="12"/>
        <v>0.05</v>
      </c>
      <c r="G220">
        <f t="shared" si="13"/>
        <v>1373.2290000000003</v>
      </c>
      <c r="H220">
        <f t="shared" si="14"/>
        <v>11</v>
      </c>
      <c r="I220">
        <f t="shared" si="15"/>
        <v>18863.3995</v>
      </c>
      <c r="J220">
        <f t="shared" si="16"/>
        <v>3757.8804999999957</v>
      </c>
      <c r="K220">
        <f t="shared" si="17"/>
        <v>15105.519000000004</v>
      </c>
    </row>
    <row r="221" spans="1:11" x14ac:dyDescent="0.25">
      <c r="A221" t="str">
        <f>Original!A211</f>
        <v>ORD-2025-629393</v>
      </c>
      <c r="B221">
        <f>Original!R211</f>
        <v>1204.95</v>
      </c>
      <c r="C221">
        <f>Original!S211</f>
        <v>2065.73</v>
      </c>
      <c r="D221" s="6">
        <f>Original!T211</f>
        <v>0.13600000000000001</v>
      </c>
      <c r="E221" s="6">
        <f>Original!V211</f>
        <v>10</v>
      </c>
      <c r="F221" s="6">
        <f t="shared" si="12"/>
        <v>0.05</v>
      </c>
      <c r="G221">
        <f t="shared" si="13"/>
        <v>1325.4450000000002</v>
      </c>
      <c r="H221">
        <f t="shared" si="14"/>
        <v>10</v>
      </c>
      <c r="I221">
        <f t="shared" si="15"/>
        <v>19624.434999999998</v>
      </c>
      <c r="J221">
        <f t="shared" si="16"/>
        <v>6369.9849999999969</v>
      </c>
      <c r="K221">
        <f t="shared" si="17"/>
        <v>13254.45</v>
      </c>
    </row>
    <row r="222" spans="1:11" x14ac:dyDescent="0.25">
      <c r="A222" t="str">
        <f>Original!A212</f>
        <v>ORD-2024-686712</v>
      </c>
      <c r="B222">
        <f>Original!R212</f>
        <v>1095.6099999999999</v>
      </c>
      <c r="C222">
        <f>Original!S212</f>
        <v>2366.5100000000002</v>
      </c>
      <c r="D222" s="6">
        <f>Original!T212</f>
        <v>0.152</v>
      </c>
      <c r="E222" s="6">
        <f>Original!V212</f>
        <v>9</v>
      </c>
      <c r="F222" s="6">
        <f t="shared" si="12"/>
        <v>0.05</v>
      </c>
      <c r="G222">
        <f t="shared" si="13"/>
        <v>1205.171</v>
      </c>
      <c r="H222">
        <f t="shared" si="14"/>
        <v>9</v>
      </c>
      <c r="I222">
        <f t="shared" si="15"/>
        <v>20233.660500000002</v>
      </c>
      <c r="J222">
        <f t="shared" si="16"/>
        <v>9387.1215000000011</v>
      </c>
      <c r="K222">
        <f t="shared" si="17"/>
        <v>10846.539000000001</v>
      </c>
    </row>
    <row r="223" spans="1:11" x14ac:dyDescent="0.25">
      <c r="A223" t="str">
        <f>Original!A213</f>
        <v>ORD-2025-586799</v>
      </c>
      <c r="B223">
        <f>Original!R213</f>
        <v>90.3</v>
      </c>
      <c r="C223">
        <f>Original!S213</f>
        <v>131.76</v>
      </c>
      <c r="D223" s="6">
        <f>Original!T213</f>
        <v>0.10199999999999999</v>
      </c>
      <c r="E223" s="6">
        <f>Original!V213</f>
        <v>15</v>
      </c>
      <c r="F223" s="6">
        <f t="shared" si="12"/>
        <v>0.05</v>
      </c>
      <c r="G223">
        <f t="shared" si="13"/>
        <v>99.33</v>
      </c>
      <c r="H223">
        <f t="shared" si="14"/>
        <v>15</v>
      </c>
      <c r="I223">
        <f t="shared" si="15"/>
        <v>1877.5799999999997</v>
      </c>
      <c r="J223">
        <f t="shared" si="16"/>
        <v>387.62999999999965</v>
      </c>
      <c r="K223">
        <f t="shared" si="17"/>
        <v>1489.95</v>
      </c>
    </row>
    <row r="224" spans="1:11" x14ac:dyDescent="0.25">
      <c r="A224" t="str">
        <f>Original!A214</f>
        <v>ORD-2024-988736</v>
      </c>
      <c r="B224">
        <f>Original!R214</f>
        <v>1166.18</v>
      </c>
      <c r="C224">
        <f>Original!S214</f>
        <v>1335.02</v>
      </c>
      <c r="D224" s="6">
        <f>Original!T214</f>
        <v>0.128</v>
      </c>
      <c r="E224" s="6">
        <f>Original!V214</f>
        <v>6</v>
      </c>
      <c r="F224" s="6">
        <f t="shared" ref="F224:F287" si="18">MIN(D224,$B$2)</f>
        <v>0.05</v>
      </c>
      <c r="G224">
        <f t="shared" ref="G224:G287" si="19">B224*(1+$B$3)</f>
        <v>1282.7980000000002</v>
      </c>
      <c r="H224">
        <f t="shared" ref="H224:H287" si="20">E224*(1+$B$4)</f>
        <v>6</v>
      </c>
      <c r="I224">
        <f t="shared" ref="I224:I287" si="21">C224*H224*(1-F224)</f>
        <v>7609.6139999999996</v>
      </c>
      <c r="J224">
        <f t="shared" ref="J224:J287" si="22">I224-K224</f>
        <v>-87.174000000001797</v>
      </c>
      <c r="K224">
        <f t="shared" ref="K224:K287" si="23">G224*H224</f>
        <v>7696.7880000000014</v>
      </c>
    </row>
    <row r="225" spans="1:11" x14ac:dyDescent="0.25">
      <c r="A225" t="str">
        <f>Original!A215</f>
        <v>ORD-2025-564184</v>
      </c>
      <c r="B225">
        <f>Original!R215</f>
        <v>1445.27</v>
      </c>
      <c r="C225">
        <f>Original!S215</f>
        <v>2691.45</v>
      </c>
      <c r="D225" s="6">
        <f>Original!T215</f>
        <v>0</v>
      </c>
      <c r="E225" s="6">
        <f>Original!V215</f>
        <v>9</v>
      </c>
      <c r="F225" s="6">
        <f t="shared" si="18"/>
        <v>0</v>
      </c>
      <c r="G225">
        <f t="shared" si="19"/>
        <v>1589.797</v>
      </c>
      <c r="H225">
        <f t="shared" si="20"/>
        <v>9</v>
      </c>
      <c r="I225">
        <f t="shared" si="21"/>
        <v>24223.05</v>
      </c>
      <c r="J225">
        <f t="shared" si="22"/>
        <v>9914.8769999999986</v>
      </c>
      <c r="K225">
        <f t="shared" si="23"/>
        <v>14308.173000000001</v>
      </c>
    </row>
    <row r="226" spans="1:11" x14ac:dyDescent="0.25">
      <c r="A226" t="str">
        <f>Original!A216</f>
        <v>ORD-2023-653343</v>
      </c>
      <c r="B226">
        <f>Original!R216</f>
        <v>388.51</v>
      </c>
      <c r="C226">
        <f>Original!S216</f>
        <v>776.46</v>
      </c>
      <c r="D226" s="6">
        <f>Original!T216</f>
        <v>0.157</v>
      </c>
      <c r="E226" s="6">
        <f>Original!V216</f>
        <v>12</v>
      </c>
      <c r="F226" s="6">
        <f t="shared" si="18"/>
        <v>0.05</v>
      </c>
      <c r="G226">
        <f t="shared" si="19"/>
        <v>427.36100000000005</v>
      </c>
      <c r="H226">
        <f t="shared" si="20"/>
        <v>12</v>
      </c>
      <c r="I226">
        <f t="shared" si="21"/>
        <v>8851.6440000000002</v>
      </c>
      <c r="J226">
        <f t="shared" si="22"/>
        <v>3723.3119999999999</v>
      </c>
      <c r="K226">
        <f t="shared" si="23"/>
        <v>5128.3320000000003</v>
      </c>
    </row>
    <row r="227" spans="1:11" x14ac:dyDescent="0.25">
      <c r="A227" t="str">
        <f>Original!A217</f>
        <v>ORD-2024-197852</v>
      </c>
      <c r="B227">
        <f>Original!R217</f>
        <v>231.11</v>
      </c>
      <c r="C227">
        <f>Original!S217</f>
        <v>318.17</v>
      </c>
      <c r="D227" s="6">
        <f>Original!T217</f>
        <v>0.20100000000000001</v>
      </c>
      <c r="E227" s="6">
        <f>Original!V217</f>
        <v>60</v>
      </c>
      <c r="F227" s="6">
        <f t="shared" si="18"/>
        <v>0.05</v>
      </c>
      <c r="G227">
        <f t="shared" si="19"/>
        <v>254.22100000000003</v>
      </c>
      <c r="H227">
        <f t="shared" si="20"/>
        <v>60</v>
      </c>
      <c r="I227">
        <f t="shared" si="21"/>
        <v>18135.689999999999</v>
      </c>
      <c r="J227">
        <f t="shared" si="22"/>
        <v>2882.4299999999967</v>
      </c>
      <c r="K227">
        <f t="shared" si="23"/>
        <v>15253.260000000002</v>
      </c>
    </row>
    <row r="228" spans="1:11" x14ac:dyDescent="0.25">
      <c r="A228" t="str">
        <f>Original!A218</f>
        <v>ORD-2023-431328</v>
      </c>
      <c r="B228">
        <f>Original!R218</f>
        <v>1085.6099999999999</v>
      </c>
      <c r="C228">
        <f>Original!S218</f>
        <v>1246.4100000000001</v>
      </c>
      <c r="D228" s="6">
        <f>Original!T218</f>
        <v>0.113</v>
      </c>
      <c r="E228" s="6">
        <f>Original!V218</f>
        <v>7</v>
      </c>
      <c r="F228" s="6">
        <f t="shared" si="18"/>
        <v>0.05</v>
      </c>
      <c r="G228">
        <f t="shared" si="19"/>
        <v>1194.171</v>
      </c>
      <c r="H228">
        <f t="shared" si="20"/>
        <v>7</v>
      </c>
      <c r="I228">
        <f t="shared" si="21"/>
        <v>8288.6265000000003</v>
      </c>
      <c r="J228">
        <f t="shared" si="22"/>
        <v>-70.570499999999811</v>
      </c>
      <c r="K228">
        <f t="shared" si="23"/>
        <v>8359.1970000000001</v>
      </c>
    </row>
    <row r="229" spans="1:11" x14ac:dyDescent="0.25">
      <c r="A229" t="str">
        <f>Original!A219</f>
        <v>ORD-2023-613317</v>
      </c>
      <c r="B229">
        <f>Original!R219</f>
        <v>150.86000000000001</v>
      </c>
      <c r="C229">
        <f>Original!S219</f>
        <v>346.96</v>
      </c>
      <c r="D229" s="6">
        <f>Original!T219</f>
        <v>0.19600000000000001</v>
      </c>
      <c r="E229" s="6">
        <f>Original!V219</f>
        <v>8</v>
      </c>
      <c r="F229" s="6">
        <f t="shared" si="18"/>
        <v>0.05</v>
      </c>
      <c r="G229">
        <f t="shared" si="19"/>
        <v>165.94600000000003</v>
      </c>
      <c r="H229">
        <f t="shared" si="20"/>
        <v>8</v>
      </c>
      <c r="I229">
        <f t="shared" si="21"/>
        <v>2636.8959999999997</v>
      </c>
      <c r="J229">
        <f t="shared" si="22"/>
        <v>1309.3279999999995</v>
      </c>
      <c r="K229">
        <f t="shared" si="23"/>
        <v>1327.5680000000002</v>
      </c>
    </row>
    <row r="230" spans="1:11" x14ac:dyDescent="0.25">
      <c r="A230" t="str">
        <f>Original!A220</f>
        <v>ORD-2024-720756</v>
      </c>
      <c r="B230">
        <f>Original!R220</f>
        <v>391.64</v>
      </c>
      <c r="C230">
        <f>Original!S220</f>
        <v>504.76</v>
      </c>
      <c r="D230" s="6">
        <f>Original!T220</f>
        <v>4.0000000000000001E-3</v>
      </c>
      <c r="E230" s="6">
        <f>Original!V220</f>
        <v>13</v>
      </c>
      <c r="F230" s="6">
        <f t="shared" si="18"/>
        <v>4.0000000000000001E-3</v>
      </c>
      <c r="G230">
        <f t="shared" si="19"/>
        <v>430.80400000000003</v>
      </c>
      <c r="H230">
        <f t="shared" si="20"/>
        <v>13</v>
      </c>
      <c r="I230">
        <f t="shared" si="21"/>
        <v>6535.6324800000002</v>
      </c>
      <c r="J230">
        <f t="shared" si="22"/>
        <v>935.18047999999999</v>
      </c>
      <c r="K230">
        <f t="shared" si="23"/>
        <v>5600.4520000000002</v>
      </c>
    </row>
    <row r="231" spans="1:11" x14ac:dyDescent="0.25">
      <c r="A231" t="str">
        <f>Original!A221</f>
        <v>ORD-2024-777623</v>
      </c>
      <c r="B231">
        <f>Original!R221</f>
        <v>386.96</v>
      </c>
      <c r="C231">
        <f>Original!S221</f>
        <v>937.46</v>
      </c>
      <c r="D231" s="6">
        <f>Original!T221</f>
        <v>0.26600000000000001</v>
      </c>
      <c r="E231" s="6">
        <f>Original!V221</f>
        <v>41</v>
      </c>
      <c r="F231" s="6">
        <f t="shared" si="18"/>
        <v>0.05</v>
      </c>
      <c r="G231">
        <f t="shared" si="19"/>
        <v>425.65600000000001</v>
      </c>
      <c r="H231">
        <f t="shared" si="20"/>
        <v>41</v>
      </c>
      <c r="I231">
        <f t="shared" si="21"/>
        <v>36514.066999999995</v>
      </c>
      <c r="J231">
        <f t="shared" si="22"/>
        <v>19062.170999999995</v>
      </c>
      <c r="K231">
        <f t="shared" si="23"/>
        <v>17451.896000000001</v>
      </c>
    </row>
    <row r="232" spans="1:11" x14ac:dyDescent="0.25">
      <c r="A232" t="str">
        <f>Original!A222</f>
        <v>ORD-2025-762212</v>
      </c>
      <c r="B232">
        <f>Original!R222</f>
        <v>589.14</v>
      </c>
      <c r="C232">
        <f>Original!S222</f>
        <v>1300.58</v>
      </c>
      <c r="D232" s="6">
        <f>Original!T222</f>
        <v>5.5E-2</v>
      </c>
      <c r="E232" s="6">
        <f>Original!V222</f>
        <v>11</v>
      </c>
      <c r="F232" s="6">
        <f t="shared" si="18"/>
        <v>0.05</v>
      </c>
      <c r="G232">
        <f t="shared" si="19"/>
        <v>648.05400000000009</v>
      </c>
      <c r="H232">
        <f t="shared" si="20"/>
        <v>11</v>
      </c>
      <c r="I232">
        <f t="shared" si="21"/>
        <v>13591.060999999998</v>
      </c>
      <c r="J232">
        <f t="shared" si="22"/>
        <v>6462.4669999999969</v>
      </c>
      <c r="K232">
        <f t="shared" si="23"/>
        <v>7128.594000000001</v>
      </c>
    </row>
    <row r="233" spans="1:11" x14ac:dyDescent="0.25">
      <c r="A233" t="str">
        <f>Original!A223</f>
        <v>ORD-2023-271918</v>
      </c>
      <c r="B233">
        <f>Original!R223</f>
        <v>145.58000000000001</v>
      </c>
      <c r="C233">
        <f>Original!S223</f>
        <v>228.15</v>
      </c>
      <c r="D233" s="6">
        <f>Original!T223</f>
        <v>0.20399999999999999</v>
      </c>
      <c r="E233" s="6">
        <f>Original!V223</f>
        <v>5</v>
      </c>
      <c r="F233" s="6">
        <f t="shared" si="18"/>
        <v>0.05</v>
      </c>
      <c r="G233">
        <f t="shared" si="19"/>
        <v>160.13800000000003</v>
      </c>
      <c r="H233">
        <f t="shared" si="20"/>
        <v>5</v>
      </c>
      <c r="I233">
        <f t="shared" si="21"/>
        <v>1083.7124999999999</v>
      </c>
      <c r="J233">
        <f t="shared" si="22"/>
        <v>283.0224999999997</v>
      </c>
      <c r="K233">
        <f t="shared" si="23"/>
        <v>800.69000000000017</v>
      </c>
    </row>
    <row r="234" spans="1:11" x14ac:dyDescent="0.25">
      <c r="A234" t="str">
        <f>Original!A224</f>
        <v>ORD-2023-713375</v>
      </c>
      <c r="B234">
        <f>Original!R224</f>
        <v>241.14</v>
      </c>
      <c r="C234">
        <f>Original!S224</f>
        <v>496.52</v>
      </c>
      <c r="D234" s="6">
        <f>Original!T224</f>
        <v>9.2999999999999999E-2</v>
      </c>
      <c r="E234" s="6">
        <f>Original!V224</f>
        <v>10</v>
      </c>
      <c r="F234" s="6">
        <f t="shared" si="18"/>
        <v>0.05</v>
      </c>
      <c r="G234">
        <f t="shared" si="19"/>
        <v>265.25400000000002</v>
      </c>
      <c r="H234">
        <f t="shared" si="20"/>
        <v>10</v>
      </c>
      <c r="I234">
        <f t="shared" si="21"/>
        <v>4716.9399999999996</v>
      </c>
      <c r="J234">
        <f t="shared" si="22"/>
        <v>2064.3999999999996</v>
      </c>
      <c r="K234">
        <f t="shared" si="23"/>
        <v>2652.54</v>
      </c>
    </row>
    <row r="235" spans="1:11" x14ac:dyDescent="0.25">
      <c r="A235" t="str">
        <f>Original!A225</f>
        <v>ORD-2025-678688</v>
      </c>
      <c r="B235">
        <f>Original!R225</f>
        <v>1198.9000000000001</v>
      </c>
      <c r="C235">
        <f>Original!S225</f>
        <v>2941.2</v>
      </c>
      <c r="D235" s="6">
        <f>Original!T225</f>
        <v>5.0999999999999997E-2</v>
      </c>
      <c r="E235" s="6">
        <f>Original!V225</f>
        <v>24</v>
      </c>
      <c r="F235" s="6">
        <f t="shared" si="18"/>
        <v>0.05</v>
      </c>
      <c r="G235">
        <f t="shared" si="19"/>
        <v>1318.7900000000002</v>
      </c>
      <c r="H235">
        <f t="shared" si="20"/>
        <v>24</v>
      </c>
      <c r="I235">
        <f t="shared" si="21"/>
        <v>67059.359999999986</v>
      </c>
      <c r="J235">
        <f t="shared" si="22"/>
        <v>35408.39999999998</v>
      </c>
      <c r="K235">
        <f t="shared" si="23"/>
        <v>31650.960000000006</v>
      </c>
    </row>
    <row r="236" spans="1:11" x14ac:dyDescent="0.25">
      <c r="A236" t="str">
        <f>Original!A226</f>
        <v>ORD-2023-501220</v>
      </c>
      <c r="B236">
        <f>Original!R226</f>
        <v>1089.1500000000001</v>
      </c>
      <c r="C236">
        <f>Original!S226</f>
        <v>1088.2</v>
      </c>
      <c r="D236" s="6">
        <f>Original!T226</f>
        <v>5.0999999999999997E-2</v>
      </c>
      <c r="E236" s="6">
        <f>Original!V226</f>
        <v>15</v>
      </c>
      <c r="F236" s="6">
        <f t="shared" si="18"/>
        <v>0.05</v>
      </c>
      <c r="G236">
        <f t="shared" si="19"/>
        <v>1198.0650000000003</v>
      </c>
      <c r="H236">
        <f t="shared" si="20"/>
        <v>15</v>
      </c>
      <c r="I236">
        <f t="shared" si="21"/>
        <v>15506.849999999999</v>
      </c>
      <c r="J236">
        <f t="shared" si="22"/>
        <v>-2464.1250000000073</v>
      </c>
      <c r="K236">
        <f t="shared" si="23"/>
        <v>17970.975000000006</v>
      </c>
    </row>
    <row r="237" spans="1:11" x14ac:dyDescent="0.25">
      <c r="A237" t="str">
        <f>Original!A227</f>
        <v>ORD-2023-195665</v>
      </c>
      <c r="B237">
        <f>Original!R227</f>
        <v>1080.43</v>
      </c>
      <c r="C237">
        <f>Original!S227</f>
        <v>2529.15</v>
      </c>
      <c r="D237" s="6">
        <f>Original!T227</f>
        <v>0.14699999999999999</v>
      </c>
      <c r="E237" s="6">
        <f>Original!V227</f>
        <v>10</v>
      </c>
      <c r="F237" s="6">
        <f t="shared" si="18"/>
        <v>0.05</v>
      </c>
      <c r="G237">
        <f t="shared" si="19"/>
        <v>1188.4730000000002</v>
      </c>
      <c r="H237">
        <f t="shared" si="20"/>
        <v>10</v>
      </c>
      <c r="I237">
        <f t="shared" si="21"/>
        <v>24026.924999999999</v>
      </c>
      <c r="J237">
        <f t="shared" si="22"/>
        <v>12142.194999999998</v>
      </c>
      <c r="K237">
        <f t="shared" si="23"/>
        <v>11884.730000000001</v>
      </c>
    </row>
    <row r="238" spans="1:11" x14ac:dyDescent="0.25">
      <c r="A238" t="str">
        <f>Original!A228</f>
        <v>ORD-2023-290237</v>
      </c>
      <c r="B238">
        <f>Original!R228</f>
        <v>1352.44</v>
      </c>
      <c r="C238">
        <f>Original!S228</f>
        <v>2698.01</v>
      </c>
      <c r="D238" s="6">
        <f>Original!T228</f>
        <v>0.13100000000000001</v>
      </c>
      <c r="E238" s="6">
        <f>Original!V228</f>
        <v>13</v>
      </c>
      <c r="F238" s="6">
        <f t="shared" si="18"/>
        <v>0.05</v>
      </c>
      <c r="G238">
        <f t="shared" si="19"/>
        <v>1487.6840000000002</v>
      </c>
      <c r="H238">
        <f t="shared" si="20"/>
        <v>13</v>
      </c>
      <c r="I238">
        <f t="shared" si="21"/>
        <v>33320.423500000004</v>
      </c>
      <c r="J238">
        <f t="shared" si="22"/>
        <v>13980.531500000001</v>
      </c>
      <c r="K238">
        <f t="shared" si="23"/>
        <v>19339.892000000003</v>
      </c>
    </row>
    <row r="239" spans="1:11" x14ac:dyDescent="0.25">
      <c r="A239" t="str">
        <f>Original!A229</f>
        <v>ORD-2023-302041</v>
      </c>
      <c r="B239">
        <f>Original!R229</f>
        <v>1239.8399999999999</v>
      </c>
      <c r="C239">
        <f>Original!S229</f>
        <v>1482.75</v>
      </c>
      <c r="D239" s="6">
        <f>Original!T229</f>
        <v>6.7000000000000004E-2</v>
      </c>
      <c r="E239" s="6">
        <f>Original!V229</f>
        <v>4</v>
      </c>
      <c r="F239" s="6">
        <f t="shared" si="18"/>
        <v>0.05</v>
      </c>
      <c r="G239">
        <f t="shared" si="19"/>
        <v>1363.8240000000001</v>
      </c>
      <c r="H239">
        <f t="shared" si="20"/>
        <v>4</v>
      </c>
      <c r="I239">
        <f t="shared" si="21"/>
        <v>5634.45</v>
      </c>
      <c r="J239">
        <f t="shared" si="22"/>
        <v>179.15399999999954</v>
      </c>
      <c r="K239">
        <f t="shared" si="23"/>
        <v>5455.2960000000003</v>
      </c>
    </row>
    <row r="240" spans="1:11" x14ac:dyDescent="0.25">
      <c r="A240" t="str">
        <f>Original!A230</f>
        <v>ORD-2025-289139</v>
      </c>
      <c r="B240">
        <f>Original!R230</f>
        <v>933.29</v>
      </c>
      <c r="C240">
        <f>Original!S230</f>
        <v>1456.81</v>
      </c>
      <c r="D240" s="6">
        <f>Original!T230</f>
        <v>0.123</v>
      </c>
      <c r="E240" s="6">
        <f>Original!V230</f>
        <v>13</v>
      </c>
      <c r="F240" s="6">
        <f t="shared" si="18"/>
        <v>0.05</v>
      </c>
      <c r="G240">
        <f t="shared" si="19"/>
        <v>1026.6190000000001</v>
      </c>
      <c r="H240">
        <f t="shared" si="20"/>
        <v>13</v>
      </c>
      <c r="I240">
        <f t="shared" si="21"/>
        <v>17991.603499999997</v>
      </c>
      <c r="J240">
        <f t="shared" si="22"/>
        <v>4645.5564999999951</v>
      </c>
      <c r="K240">
        <f t="shared" si="23"/>
        <v>13346.047000000002</v>
      </c>
    </row>
    <row r="241" spans="1:11" x14ac:dyDescent="0.25">
      <c r="A241" t="str">
        <f>Original!A231</f>
        <v>ORD-2023-949710</v>
      </c>
      <c r="B241">
        <f>Original!R231</f>
        <v>1024.0999999999999</v>
      </c>
      <c r="C241">
        <f>Original!S231</f>
        <v>918.19</v>
      </c>
      <c r="D241" s="6">
        <f>Original!T231</f>
        <v>0.189</v>
      </c>
      <c r="E241" s="6">
        <f>Original!V231</f>
        <v>10</v>
      </c>
      <c r="F241" s="6">
        <f t="shared" si="18"/>
        <v>0.05</v>
      </c>
      <c r="G241">
        <f t="shared" si="19"/>
        <v>1126.51</v>
      </c>
      <c r="H241">
        <f t="shared" si="20"/>
        <v>10</v>
      </c>
      <c r="I241">
        <f t="shared" si="21"/>
        <v>8722.8050000000003</v>
      </c>
      <c r="J241">
        <f t="shared" si="22"/>
        <v>-2542.2950000000001</v>
      </c>
      <c r="K241">
        <f t="shared" si="23"/>
        <v>11265.1</v>
      </c>
    </row>
    <row r="242" spans="1:11" x14ac:dyDescent="0.25">
      <c r="A242" t="str">
        <f>Original!A232</f>
        <v>ORD-2023-603650</v>
      </c>
      <c r="B242">
        <f>Original!R232</f>
        <v>54.62</v>
      </c>
      <c r="C242">
        <f>Original!S232</f>
        <v>48.94</v>
      </c>
      <c r="D242" s="6">
        <f>Original!T232</f>
        <v>0.14799999999999999</v>
      </c>
      <c r="E242" s="6">
        <f>Original!V232</f>
        <v>16</v>
      </c>
      <c r="F242" s="6">
        <f t="shared" si="18"/>
        <v>0.05</v>
      </c>
      <c r="G242">
        <f t="shared" si="19"/>
        <v>60.082000000000001</v>
      </c>
      <c r="H242">
        <f t="shared" si="20"/>
        <v>16</v>
      </c>
      <c r="I242">
        <f t="shared" si="21"/>
        <v>743.88799999999992</v>
      </c>
      <c r="J242">
        <f t="shared" si="22"/>
        <v>-217.42400000000009</v>
      </c>
      <c r="K242">
        <f t="shared" si="23"/>
        <v>961.31200000000001</v>
      </c>
    </row>
    <row r="243" spans="1:11" x14ac:dyDescent="0.25">
      <c r="A243" t="str">
        <f>Original!A233</f>
        <v>ORD-2025-757957</v>
      </c>
      <c r="B243">
        <f>Original!R233</f>
        <v>394.13</v>
      </c>
      <c r="C243">
        <f>Original!S233</f>
        <v>932.29</v>
      </c>
      <c r="D243" s="6">
        <f>Original!T233</f>
        <v>0.109</v>
      </c>
      <c r="E243" s="6">
        <f>Original!V233</f>
        <v>7</v>
      </c>
      <c r="F243" s="6">
        <f t="shared" si="18"/>
        <v>0.05</v>
      </c>
      <c r="G243">
        <f t="shared" si="19"/>
        <v>433.54300000000001</v>
      </c>
      <c r="H243">
        <f t="shared" si="20"/>
        <v>7</v>
      </c>
      <c r="I243">
        <f t="shared" si="21"/>
        <v>6199.7284999999993</v>
      </c>
      <c r="J243">
        <f t="shared" si="22"/>
        <v>3164.9274999999993</v>
      </c>
      <c r="K243">
        <f t="shared" si="23"/>
        <v>3034.8009999999999</v>
      </c>
    </row>
    <row r="244" spans="1:11" x14ac:dyDescent="0.25">
      <c r="A244" t="str">
        <f>Original!A234</f>
        <v>ORD-2024-423853</v>
      </c>
      <c r="B244">
        <f>Original!R234</f>
        <v>197.63</v>
      </c>
      <c r="C244">
        <f>Original!S234</f>
        <v>325.79000000000002</v>
      </c>
      <c r="D244" s="6">
        <f>Original!T234</f>
        <v>0.11600000000000001</v>
      </c>
      <c r="E244" s="6">
        <f>Original!V234</f>
        <v>10</v>
      </c>
      <c r="F244" s="6">
        <f t="shared" si="18"/>
        <v>0.05</v>
      </c>
      <c r="G244">
        <f t="shared" si="19"/>
        <v>217.393</v>
      </c>
      <c r="H244">
        <f t="shared" si="20"/>
        <v>10</v>
      </c>
      <c r="I244">
        <f t="shared" si="21"/>
        <v>3095.0050000000001</v>
      </c>
      <c r="J244">
        <f t="shared" si="22"/>
        <v>921.07500000000027</v>
      </c>
      <c r="K244">
        <f t="shared" si="23"/>
        <v>2173.9299999999998</v>
      </c>
    </row>
    <row r="245" spans="1:11" x14ac:dyDescent="0.25">
      <c r="A245" t="str">
        <f>Original!A235</f>
        <v>ORD-2024-569164</v>
      </c>
      <c r="B245">
        <f>Original!R235</f>
        <v>195.54</v>
      </c>
      <c r="C245">
        <f>Original!S235</f>
        <v>405.97</v>
      </c>
      <c r="D245" s="6">
        <f>Original!T235</f>
        <v>0.187</v>
      </c>
      <c r="E245" s="6">
        <f>Original!V235</f>
        <v>16</v>
      </c>
      <c r="F245" s="6">
        <f t="shared" si="18"/>
        <v>0.05</v>
      </c>
      <c r="G245">
        <f t="shared" si="19"/>
        <v>215.09400000000002</v>
      </c>
      <c r="H245">
        <f t="shared" si="20"/>
        <v>16</v>
      </c>
      <c r="I245">
        <f t="shared" si="21"/>
        <v>6170.7439999999997</v>
      </c>
      <c r="J245">
        <f t="shared" si="22"/>
        <v>2729.2399999999993</v>
      </c>
      <c r="K245">
        <f t="shared" si="23"/>
        <v>3441.5040000000004</v>
      </c>
    </row>
    <row r="246" spans="1:11" x14ac:dyDescent="0.25">
      <c r="A246" t="str">
        <f>Original!A236</f>
        <v>ORD-2023-946143</v>
      </c>
      <c r="B246">
        <f>Original!R236</f>
        <v>1309.77</v>
      </c>
      <c r="C246">
        <f>Original!S236</f>
        <v>1589.07</v>
      </c>
      <c r="D246" s="6">
        <f>Original!T236</f>
        <v>0.10199999999999999</v>
      </c>
      <c r="E246" s="6">
        <f>Original!V236</f>
        <v>10</v>
      </c>
      <c r="F246" s="6">
        <f t="shared" si="18"/>
        <v>0.05</v>
      </c>
      <c r="G246">
        <f t="shared" si="19"/>
        <v>1440.7470000000001</v>
      </c>
      <c r="H246">
        <f t="shared" si="20"/>
        <v>10</v>
      </c>
      <c r="I246">
        <f t="shared" si="21"/>
        <v>15096.164999999999</v>
      </c>
      <c r="J246">
        <f t="shared" si="22"/>
        <v>688.69499999999789</v>
      </c>
      <c r="K246">
        <f t="shared" si="23"/>
        <v>14407.470000000001</v>
      </c>
    </row>
    <row r="247" spans="1:11" x14ac:dyDescent="0.25">
      <c r="A247" t="str">
        <f>Original!A237</f>
        <v>ORD-2024-281211</v>
      </c>
      <c r="B247">
        <f>Original!R237</f>
        <v>1237.68</v>
      </c>
      <c r="C247">
        <f>Original!S237</f>
        <v>1432.8</v>
      </c>
      <c r="D247" s="6">
        <f>Original!T237</f>
        <v>6.8000000000000005E-2</v>
      </c>
      <c r="E247" s="6">
        <f>Original!V237</f>
        <v>13</v>
      </c>
      <c r="F247" s="6">
        <f t="shared" si="18"/>
        <v>0.05</v>
      </c>
      <c r="G247">
        <f t="shared" si="19"/>
        <v>1361.4480000000001</v>
      </c>
      <c r="H247">
        <f t="shared" si="20"/>
        <v>13</v>
      </c>
      <c r="I247">
        <f t="shared" si="21"/>
        <v>17695.079999999998</v>
      </c>
      <c r="J247">
        <f t="shared" si="22"/>
        <v>-3.7440000000024156</v>
      </c>
      <c r="K247">
        <f t="shared" si="23"/>
        <v>17698.824000000001</v>
      </c>
    </row>
    <row r="248" spans="1:11" x14ac:dyDescent="0.25">
      <c r="A248" t="str">
        <f>Original!A238</f>
        <v>ORD-2024-805860</v>
      </c>
      <c r="B248">
        <f>Original!R238</f>
        <v>1338.99</v>
      </c>
      <c r="C248">
        <f>Original!S238</f>
        <v>1765.76</v>
      </c>
      <c r="D248" s="6">
        <f>Original!T238</f>
        <v>0.126</v>
      </c>
      <c r="E248" s="6">
        <f>Original!V238</f>
        <v>24</v>
      </c>
      <c r="F248" s="6">
        <f t="shared" si="18"/>
        <v>0.05</v>
      </c>
      <c r="G248">
        <f t="shared" si="19"/>
        <v>1472.8890000000001</v>
      </c>
      <c r="H248">
        <f t="shared" si="20"/>
        <v>24</v>
      </c>
      <c r="I248">
        <f t="shared" si="21"/>
        <v>40259.327999999994</v>
      </c>
      <c r="J248">
        <f t="shared" si="22"/>
        <v>4909.9919999999911</v>
      </c>
      <c r="K248">
        <f t="shared" si="23"/>
        <v>35349.336000000003</v>
      </c>
    </row>
    <row r="249" spans="1:11" x14ac:dyDescent="0.25">
      <c r="A249" t="str">
        <f>Original!A239</f>
        <v>ORD-2025-132174</v>
      </c>
      <c r="B249">
        <f>Original!R239</f>
        <v>1364.89</v>
      </c>
      <c r="C249">
        <f>Original!S239</f>
        <v>2757.54</v>
      </c>
      <c r="D249" s="6">
        <f>Original!T239</f>
        <v>0.17199999999999999</v>
      </c>
      <c r="E249" s="6">
        <f>Original!V239</f>
        <v>61</v>
      </c>
      <c r="F249" s="6">
        <f t="shared" si="18"/>
        <v>0.05</v>
      </c>
      <c r="G249">
        <f t="shared" si="19"/>
        <v>1501.3790000000001</v>
      </c>
      <c r="H249">
        <f t="shared" si="20"/>
        <v>61</v>
      </c>
      <c r="I249">
        <f t="shared" si="21"/>
        <v>159799.443</v>
      </c>
      <c r="J249">
        <f t="shared" si="22"/>
        <v>68215.323999999993</v>
      </c>
      <c r="K249">
        <f t="shared" si="23"/>
        <v>91584.119000000006</v>
      </c>
    </row>
    <row r="250" spans="1:11" x14ac:dyDescent="0.25">
      <c r="A250" t="str">
        <f>Original!A240</f>
        <v>ORD-2023-964434</v>
      </c>
      <c r="B250">
        <f>Original!R240</f>
        <v>699.33</v>
      </c>
      <c r="C250">
        <f>Original!S240</f>
        <v>873.75</v>
      </c>
      <c r="D250" s="6">
        <f>Original!T240</f>
        <v>0.23499999999999999</v>
      </c>
      <c r="E250" s="6">
        <f>Original!V240</f>
        <v>10</v>
      </c>
      <c r="F250" s="6">
        <f t="shared" si="18"/>
        <v>0.05</v>
      </c>
      <c r="G250">
        <f t="shared" si="19"/>
        <v>769.26300000000015</v>
      </c>
      <c r="H250">
        <f t="shared" si="20"/>
        <v>10</v>
      </c>
      <c r="I250">
        <f t="shared" si="21"/>
        <v>8300.625</v>
      </c>
      <c r="J250">
        <f t="shared" si="22"/>
        <v>607.99499999999898</v>
      </c>
      <c r="K250">
        <f t="shared" si="23"/>
        <v>7692.630000000001</v>
      </c>
    </row>
    <row r="251" spans="1:11" x14ac:dyDescent="0.25">
      <c r="A251" t="str">
        <f>Original!A241</f>
        <v>ORD-2024-897622</v>
      </c>
      <c r="B251">
        <f>Original!R241</f>
        <v>160.82</v>
      </c>
      <c r="C251">
        <f>Original!S241</f>
        <v>258.52</v>
      </c>
      <c r="D251" s="6">
        <f>Original!T241</f>
        <v>0.13</v>
      </c>
      <c r="E251" s="6">
        <f>Original!V241</f>
        <v>17</v>
      </c>
      <c r="F251" s="6">
        <f t="shared" si="18"/>
        <v>0.05</v>
      </c>
      <c r="G251">
        <f t="shared" si="19"/>
        <v>176.90200000000002</v>
      </c>
      <c r="H251">
        <f t="shared" si="20"/>
        <v>17</v>
      </c>
      <c r="I251">
        <f t="shared" si="21"/>
        <v>4175.098</v>
      </c>
      <c r="J251">
        <f t="shared" si="22"/>
        <v>1167.7639999999997</v>
      </c>
      <c r="K251">
        <f t="shared" si="23"/>
        <v>3007.3340000000003</v>
      </c>
    </row>
    <row r="252" spans="1:11" x14ac:dyDescent="0.25">
      <c r="A252" t="str">
        <f>Original!A242</f>
        <v>ORD-2023-517216</v>
      </c>
      <c r="B252">
        <f>Original!R242</f>
        <v>385.32</v>
      </c>
      <c r="C252">
        <f>Original!S242</f>
        <v>606.76</v>
      </c>
      <c r="D252" s="6">
        <f>Original!T242</f>
        <v>8.5999999999999993E-2</v>
      </c>
      <c r="E252" s="6">
        <f>Original!V242</f>
        <v>8</v>
      </c>
      <c r="F252" s="6">
        <f t="shared" si="18"/>
        <v>0.05</v>
      </c>
      <c r="G252">
        <f t="shared" si="19"/>
        <v>423.85200000000003</v>
      </c>
      <c r="H252">
        <f t="shared" si="20"/>
        <v>8</v>
      </c>
      <c r="I252">
        <f t="shared" si="21"/>
        <v>4611.3759999999993</v>
      </c>
      <c r="J252">
        <f t="shared" si="22"/>
        <v>1220.559999999999</v>
      </c>
      <c r="K252">
        <f t="shared" si="23"/>
        <v>3390.8160000000003</v>
      </c>
    </row>
    <row r="253" spans="1:11" x14ac:dyDescent="0.25">
      <c r="A253" t="str">
        <f>Original!A243</f>
        <v>ORD-2025-509940</v>
      </c>
      <c r="B253">
        <f>Original!R243</f>
        <v>918.12</v>
      </c>
      <c r="C253">
        <f>Original!S243</f>
        <v>1337.69</v>
      </c>
      <c r="D253" s="6">
        <f>Original!T243</f>
        <v>9.5000000000000001E-2</v>
      </c>
      <c r="E253" s="6">
        <f>Original!V243</f>
        <v>8</v>
      </c>
      <c r="F253" s="6">
        <f t="shared" si="18"/>
        <v>0.05</v>
      </c>
      <c r="G253">
        <f t="shared" si="19"/>
        <v>1009.9320000000001</v>
      </c>
      <c r="H253">
        <f t="shared" si="20"/>
        <v>8</v>
      </c>
      <c r="I253">
        <f t="shared" si="21"/>
        <v>10166.444</v>
      </c>
      <c r="J253">
        <f t="shared" si="22"/>
        <v>2086.9879999999985</v>
      </c>
      <c r="K253">
        <f t="shared" si="23"/>
        <v>8079.456000000001</v>
      </c>
    </row>
    <row r="254" spans="1:11" x14ac:dyDescent="0.25">
      <c r="A254" t="str">
        <f>Original!A244</f>
        <v>ORD-2025-646342</v>
      </c>
      <c r="B254">
        <f>Original!R244</f>
        <v>1225.94</v>
      </c>
      <c r="C254">
        <f>Original!S244</f>
        <v>1793.08</v>
      </c>
      <c r="D254" s="6">
        <f>Original!T244</f>
        <v>0.13600000000000001</v>
      </c>
      <c r="E254" s="6">
        <f>Original!V244</f>
        <v>22</v>
      </c>
      <c r="F254" s="6">
        <f t="shared" si="18"/>
        <v>0.05</v>
      </c>
      <c r="G254">
        <f t="shared" si="19"/>
        <v>1348.5340000000001</v>
      </c>
      <c r="H254">
        <f t="shared" si="20"/>
        <v>22</v>
      </c>
      <c r="I254">
        <f t="shared" si="21"/>
        <v>37475.371999999996</v>
      </c>
      <c r="J254">
        <f t="shared" si="22"/>
        <v>7807.6239999999925</v>
      </c>
      <c r="K254">
        <f t="shared" si="23"/>
        <v>29667.748000000003</v>
      </c>
    </row>
    <row r="255" spans="1:11" x14ac:dyDescent="0.25">
      <c r="A255" t="str">
        <f>Original!A245</f>
        <v>ORD-2024-866535</v>
      </c>
      <c r="B255">
        <f>Original!R245</f>
        <v>72.06</v>
      </c>
      <c r="C255">
        <f>Original!S245</f>
        <v>122.74</v>
      </c>
      <c r="D255" s="6">
        <f>Original!T245</f>
        <v>0.23799999999999999</v>
      </c>
      <c r="E255" s="6">
        <f>Original!V245</f>
        <v>8</v>
      </c>
      <c r="F255" s="6">
        <f t="shared" si="18"/>
        <v>0.05</v>
      </c>
      <c r="G255">
        <f t="shared" si="19"/>
        <v>79.266000000000005</v>
      </c>
      <c r="H255">
        <f t="shared" si="20"/>
        <v>8</v>
      </c>
      <c r="I255">
        <f t="shared" si="21"/>
        <v>932.82399999999996</v>
      </c>
      <c r="J255">
        <f t="shared" si="22"/>
        <v>298.69599999999991</v>
      </c>
      <c r="K255">
        <f t="shared" si="23"/>
        <v>634.12800000000004</v>
      </c>
    </row>
    <row r="256" spans="1:11" x14ac:dyDescent="0.25">
      <c r="A256" t="str">
        <f>Original!A246</f>
        <v>ORD-2023-747341</v>
      </c>
      <c r="B256">
        <f>Original!R246</f>
        <v>1013.54</v>
      </c>
      <c r="C256">
        <f>Original!S246</f>
        <v>927.93</v>
      </c>
      <c r="D256" s="6">
        <f>Original!T246</f>
        <v>0.17499999999999999</v>
      </c>
      <c r="E256" s="6">
        <f>Original!V246</f>
        <v>16</v>
      </c>
      <c r="F256" s="6">
        <f t="shared" si="18"/>
        <v>0.05</v>
      </c>
      <c r="G256">
        <f t="shared" si="19"/>
        <v>1114.894</v>
      </c>
      <c r="H256">
        <f t="shared" si="20"/>
        <v>16</v>
      </c>
      <c r="I256">
        <f t="shared" si="21"/>
        <v>14104.535999999998</v>
      </c>
      <c r="J256">
        <f t="shared" si="22"/>
        <v>-3733.7680000000018</v>
      </c>
      <c r="K256">
        <f t="shared" si="23"/>
        <v>17838.304</v>
      </c>
    </row>
    <row r="257" spans="1:11" x14ac:dyDescent="0.25">
      <c r="A257" t="str">
        <f>Original!A247</f>
        <v>ORD-2024-853298</v>
      </c>
      <c r="B257">
        <f>Original!R247</f>
        <v>65.64</v>
      </c>
      <c r="C257">
        <f>Original!S247</f>
        <v>151.88</v>
      </c>
      <c r="D257" s="6">
        <f>Original!T247</f>
        <v>0.16700000000000001</v>
      </c>
      <c r="E257" s="6">
        <f>Original!V247</f>
        <v>23</v>
      </c>
      <c r="F257" s="6">
        <f t="shared" si="18"/>
        <v>0.05</v>
      </c>
      <c r="G257">
        <f t="shared" si="19"/>
        <v>72.204000000000008</v>
      </c>
      <c r="H257">
        <f t="shared" si="20"/>
        <v>23</v>
      </c>
      <c r="I257">
        <f t="shared" si="21"/>
        <v>3318.5779999999995</v>
      </c>
      <c r="J257">
        <f t="shared" si="22"/>
        <v>1657.8859999999993</v>
      </c>
      <c r="K257">
        <f t="shared" si="23"/>
        <v>1660.6920000000002</v>
      </c>
    </row>
    <row r="258" spans="1:11" x14ac:dyDescent="0.25">
      <c r="A258" t="str">
        <f>Original!A248</f>
        <v>ORD-2024-544865</v>
      </c>
      <c r="B258">
        <f>Original!R248</f>
        <v>1350.98</v>
      </c>
      <c r="C258">
        <f>Original!S248</f>
        <v>2210.4</v>
      </c>
      <c r="D258" s="6">
        <f>Original!T248</f>
        <v>0.26300000000000001</v>
      </c>
      <c r="E258" s="6">
        <f>Original!V248</f>
        <v>6</v>
      </c>
      <c r="F258" s="6">
        <f t="shared" si="18"/>
        <v>0.05</v>
      </c>
      <c r="G258">
        <f t="shared" si="19"/>
        <v>1486.0780000000002</v>
      </c>
      <c r="H258">
        <f t="shared" si="20"/>
        <v>6</v>
      </c>
      <c r="I258">
        <f t="shared" si="21"/>
        <v>12599.28</v>
      </c>
      <c r="J258">
        <f t="shared" si="22"/>
        <v>3682.8119999999999</v>
      </c>
      <c r="K258">
        <f t="shared" si="23"/>
        <v>8916.4680000000008</v>
      </c>
    </row>
    <row r="259" spans="1:11" x14ac:dyDescent="0.25">
      <c r="A259" t="str">
        <f>Original!A249</f>
        <v>ORD-2025-946490</v>
      </c>
      <c r="B259">
        <f>Original!R249</f>
        <v>20.149999999999999</v>
      </c>
      <c r="C259">
        <f>Original!S249</f>
        <v>39.74</v>
      </c>
      <c r="D259" s="6">
        <f>Original!T249</f>
        <v>0.151</v>
      </c>
      <c r="E259" s="6">
        <f>Original!V249</f>
        <v>18</v>
      </c>
      <c r="F259" s="6">
        <f t="shared" si="18"/>
        <v>0.05</v>
      </c>
      <c r="G259">
        <f t="shared" si="19"/>
        <v>22.164999999999999</v>
      </c>
      <c r="H259">
        <f t="shared" si="20"/>
        <v>18</v>
      </c>
      <c r="I259">
        <f t="shared" si="21"/>
        <v>679.55399999999997</v>
      </c>
      <c r="J259">
        <f t="shared" si="22"/>
        <v>280.584</v>
      </c>
      <c r="K259">
        <f t="shared" si="23"/>
        <v>398.96999999999997</v>
      </c>
    </row>
    <row r="260" spans="1:11" x14ac:dyDescent="0.25">
      <c r="A260" t="str">
        <f>Original!A250</f>
        <v>ORD-2024-320972</v>
      </c>
      <c r="B260">
        <f>Original!R250</f>
        <v>803.28</v>
      </c>
      <c r="C260">
        <f>Original!S250</f>
        <v>1009</v>
      </c>
      <c r="D260" s="6">
        <f>Original!T250</f>
        <v>0.11</v>
      </c>
      <c r="E260" s="6">
        <f>Original!V250</f>
        <v>4</v>
      </c>
      <c r="F260" s="6">
        <f t="shared" si="18"/>
        <v>0.05</v>
      </c>
      <c r="G260">
        <f t="shared" si="19"/>
        <v>883.60800000000006</v>
      </c>
      <c r="H260">
        <f t="shared" si="20"/>
        <v>4</v>
      </c>
      <c r="I260">
        <f t="shared" si="21"/>
        <v>3834.2</v>
      </c>
      <c r="J260">
        <f t="shared" si="22"/>
        <v>299.76799999999957</v>
      </c>
      <c r="K260">
        <f t="shared" si="23"/>
        <v>3534.4320000000002</v>
      </c>
    </row>
    <row r="261" spans="1:11" x14ac:dyDescent="0.25">
      <c r="A261" t="str">
        <f>Original!A251</f>
        <v>ORD-2025-248586</v>
      </c>
      <c r="B261">
        <f>Original!R251</f>
        <v>1212.99</v>
      </c>
      <c r="C261">
        <f>Original!S251</f>
        <v>1653.64</v>
      </c>
      <c r="D261" s="6">
        <f>Original!T251</f>
        <v>0.107</v>
      </c>
      <c r="E261" s="6">
        <f>Original!V251</f>
        <v>8</v>
      </c>
      <c r="F261" s="6">
        <f t="shared" si="18"/>
        <v>0.05</v>
      </c>
      <c r="G261">
        <f t="shared" si="19"/>
        <v>1334.2890000000002</v>
      </c>
      <c r="H261">
        <f t="shared" si="20"/>
        <v>8</v>
      </c>
      <c r="I261">
        <f t="shared" si="21"/>
        <v>12567.664000000001</v>
      </c>
      <c r="J261">
        <f t="shared" si="22"/>
        <v>1893.351999999999</v>
      </c>
      <c r="K261">
        <f t="shared" si="23"/>
        <v>10674.312000000002</v>
      </c>
    </row>
    <row r="262" spans="1:11" x14ac:dyDescent="0.25">
      <c r="A262" t="str">
        <f>Original!A252</f>
        <v>ORD-2024-664046</v>
      </c>
      <c r="B262">
        <f>Original!R252</f>
        <v>462.94</v>
      </c>
      <c r="C262">
        <f>Original!S252</f>
        <v>1015.7</v>
      </c>
      <c r="D262" s="6">
        <f>Original!T252</f>
        <v>0.14299999999999999</v>
      </c>
      <c r="E262" s="6">
        <f>Original!V252</f>
        <v>14</v>
      </c>
      <c r="F262" s="6">
        <f t="shared" si="18"/>
        <v>0.05</v>
      </c>
      <c r="G262">
        <f t="shared" si="19"/>
        <v>509.23400000000004</v>
      </c>
      <c r="H262">
        <f t="shared" si="20"/>
        <v>14</v>
      </c>
      <c r="I262">
        <f t="shared" si="21"/>
        <v>13508.810000000001</v>
      </c>
      <c r="J262">
        <f t="shared" si="22"/>
        <v>6379.5340000000006</v>
      </c>
      <c r="K262">
        <f t="shared" si="23"/>
        <v>7129.2760000000007</v>
      </c>
    </row>
    <row r="263" spans="1:11" x14ac:dyDescent="0.25">
      <c r="A263" t="str">
        <f>Original!A253</f>
        <v>ORD-2023-276806</v>
      </c>
      <c r="B263">
        <f>Original!R253</f>
        <v>481.71</v>
      </c>
      <c r="C263">
        <f>Original!S253</f>
        <v>912.45</v>
      </c>
      <c r="D263" s="6">
        <f>Original!T253</f>
        <v>0.20300000000000001</v>
      </c>
      <c r="E263" s="6">
        <f>Original!V253</f>
        <v>24</v>
      </c>
      <c r="F263" s="6">
        <f t="shared" si="18"/>
        <v>0.05</v>
      </c>
      <c r="G263">
        <f t="shared" si="19"/>
        <v>529.88099999999997</v>
      </c>
      <c r="H263">
        <f t="shared" si="20"/>
        <v>24</v>
      </c>
      <c r="I263">
        <f t="shared" si="21"/>
        <v>20803.86</v>
      </c>
      <c r="J263">
        <f t="shared" si="22"/>
        <v>8086.7160000000003</v>
      </c>
      <c r="K263">
        <f t="shared" si="23"/>
        <v>12717.144</v>
      </c>
    </row>
    <row r="264" spans="1:11" x14ac:dyDescent="0.25">
      <c r="A264" t="str">
        <f>Original!A254</f>
        <v>ORD-2024-220234</v>
      </c>
      <c r="B264">
        <f>Original!R254</f>
        <v>648.64</v>
      </c>
      <c r="C264">
        <f>Original!S254</f>
        <v>815.19</v>
      </c>
      <c r="D264" s="6">
        <f>Original!T254</f>
        <v>0.22500000000000001</v>
      </c>
      <c r="E264" s="6">
        <f>Original!V254</f>
        <v>28</v>
      </c>
      <c r="F264" s="6">
        <f t="shared" si="18"/>
        <v>0.05</v>
      </c>
      <c r="G264">
        <f t="shared" si="19"/>
        <v>713.50400000000002</v>
      </c>
      <c r="H264">
        <f t="shared" si="20"/>
        <v>28</v>
      </c>
      <c r="I264">
        <f t="shared" si="21"/>
        <v>21684.054</v>
      </c>
      <c r="J264">
        <f t="shared" si="22"/>
        <v>1705.9419999999991</v>
      </c>
      <c r="K264">
        <f t="shared" si="23"/>
        <v>19978.112000000001</v>
      </c>
    </row>
    <row r="265" spans="1:11" x14ac:dyDescent="0.25">
      <c r="A265" t="str">
        <f>Original!A255</f>
        <v>ORD-2024-301260</v>
      </c>
      <c r="B265">
        <f>Original!R255</f>
        <v>798.97</v>
      </c>
      <c r="C265">
        <f>Original!S255</f>
        <v>1814.06</v>
      </c>
      <c r="D265" s="6">
        <f>Original!T255</f>
        <v>0.122</v>
      </c>
      <c r="E265" s="6">
        <f>Original!V255</f>
        <v>16</v>
      </c>
      <c r="F265" s="6">
        <f t="shared" si="18"/>
        <v>0.05</v>
      </c>
      <c r="G265">
        <f t="shared" si="19"/>
        <v>878.86700000000008</v>
      </c>
      <c r="H265">
        <f t="shared" si="20"/>
        <v>16</v>
      </c>
      <c r="I265">
        <f t="shared" si="21"/>
        <v>27573.712</v>
      </c>
      <c r="J265">
        <f t="shared" si="22"/>
        <v>13511.839999999998</v>
      </c>
      <c r="K265">
        <f t="shared" si="23"/>
        <v>14061.872000000001</v>
      </c>
    </row>
    <row r="266" spans="1:11" x14ac:dyDescent="0.25">
      <c r="A266" t="str">
        <f>Original!A256</f>
        <v>ORD-2024-350100</v>
      </c>
      <c r="B266">
        <f>Original!R256</f>
        <v>317.25</v>
      </c>
      <c r="C266">
        <f>Original!S256</f>
        <v>758.92</v>
      </c>
      <c r="D266" s="6">
        <f>Original!T256</f>
        <v>5.2999999999999999E-2</v>
      </c>
      <c r="E266" s="6">
        <f>Original!V256</f>
        <v>9</v>
      </c>
      <c r="F266" s="6">
        <f t="shared" si="18"/>
        <v>0.05</v>
      </c>
      <c r="G266">
        <f t="shared" si="19"/>
        <v>348.97500000000002</v>
      </c>
      <c r="H266">
        <f t="shared" si="20"/>
        <v>9</v>
      </c>
      <c r="I266">
        <f t="shared" si="21"/>
        <v>6488.7659999999996</v>
      </c>
      <c r="J266">
        <f t="shared" si="22"/>
        <v>3347.9909999999995</v>
      </c>
      <c r="K266">
        <f t="shared" si="23"/>
        <v>3140.7750000000001</v>
      </c>
    </row>
    <row r="267" spans="1:11" x14ac:dyDescent="0.25">
      <c r="A267" t="str">
        <f>Original!A257</f>
        <v>ORD-2024-855600</v>
      </c>
      <c r="B267">
        <f>Original!R257</f>
        <v>668.97</v>
      </c>
      <c r="C267">
        <f>Original!S257</f>
        <v>1667.44</v>
      </c>
      <c r="D267" s="6">
        <f>Original!T257</f>
        <v>3.4000000000000002E-2</v>
      </c>
      <c r="E267" s="6">
        <f>Original!V257</f>
        <v>15</v>
      </c>
      <c r="F267" s="6">
        <f t="shared" si="18"/>
        <v>3.4000000000000002E-2</v>
      </c>
      <c r="G267">
        <f t="shared" si="19"/>
        <v>735.86700000000008</v>
      </c>
      <c r="H267">
        <f t="shared" si="20"/>
        <v>15</v>
      </c>
      <c r="I267">
        <f t="shared" si="21"/>
        <v>24161.205600000001</v>
      </c>
      <c r="J267">
        <f t="shared" si="22"/>
        <v>13123.2006</v>
      </c>
      <c r="K267">
        <f t="shared" si="23"/>
        <v>11038.005000000001</v>
      </c>
    </row>
    <row r="268" spans="1:11" x14ac:dyDescent="0.25">
      <c r="A268" t="str">
        <f>Original!A258</f>
        <v>ORD-2023-474313</v>
      </c>
      <c r="B268">
        <f>Original!R258</f>
        <v>1470.26</v>
      </c>
      <c r="C268">
        <f>Original!S258</f>
        <v>2562.5500000000002</v>
      </c>
      <c r="D268" s="6">
        <f>Original!T258</f>
        <v>0.17299999999999999</v>
      </c>
      <c r="E268" s="6">
        <f>Original!V258</f>
        <v>9</v>
      </c>
      <c r="F268" s="6">
        <f t="shared" si="18"/>
        <v>0.05</v>
      </c>
      <c r="G268">
        <f t="shared" si="19"/>
        <v>1617.2860000000001</v>
      </c>
      <c r="H268">
        <f t="shared" si="20"/>
        <v>9</v>
      </c>
      <c r="I268">
        <f t="shared" si="21"/>
        <v>21909.802499999998</v>
      </c>
      <c r="J268">
        <f t="shared" si="22"/>
        <v>7354.2284999999974</v>
      </c>
      <c r="K268">
        <f t="shared" si="23"/>
        <v>14555.574000000001</v>
      </c>
    </row>
    <row r="269" spans="1:11" x14ac:dyDescent="0.25">
      <c r="A269" t="str">
        <f>Original!A259</f>
        <v>ORD-2023-256951</v>
      </c>
      <c r="B269">
        <f>Original!R259</f>
        <v>516.96</v>
      </c>
      <c r="C269">
        <f>Original!S259</f>
        <v>745.38</v>
      </c>
      <c r="D269" s="6">
        <f>Original!T259</f>
        <v>0.19700000000000001</v>
      </c>
      <c r="E269" s="6">
        <f>Original!V259</f>
        <v>4</v>
      </c>
      <c r="F269" s="6">
        <f t="shared" si="18"/>
        <v>0.05</v>
      </c>
      <c r="G269">
        <f t="shared" si="19"/>
        <v>568.65600000000006</v>
      </c>
      <c r="H269">
        <f t="shared" si="20"/>
        <v>4</v>
      </c>
      <c r="I269">
        <f t="shared" si="21"/>
        <v>2832.444</v>
      </c>
      <c r="J269">
        <f t="shared" si="22"/>
        <v>557.81999999999971</v>
      </c>
      <c r="K269">
        <f t="shared" si="23"/>
        <v>2274.6240000000003</v>
      </c>
    </row>
    <row r="270" spans="1:11" x14ac:dyDescent="0.25">
      <c r="A270" t="str">
        <f>Original!A260</f>
        <v>ORD-2025-184754</v>
      </c>
      <c r="B270">
        <f>Original!R260</f>
        <v>314.93</v>
      </c>
      <c r="C270">
        <f>Original!S260</f>
        <v>687.95</v>
      </c>
      <c r="D270" s="6">
        <f>Original!T260</f>
        <v>0.20499999999999999</v>
      </c>
      <c r="E270" s="6">
        <f>Original!V260</f>
        <v>8</v>
      </c>
      <c r="F270" s="6">
        <f t="shared" si="18"/>
        <v>0.05</v>
      </c>
      <c r="G270">
        <f t="shared" si="19"/>
        <v>346.42300000000006</v>
      </c>
      <c r="H270">
        <f t="shared" si="20"/>
        <v>8</v>
      </c>
      <c r="I270">
        <f t="shared" si="21"/>
        <v>5228.42</v>
      </c>
      <c r="J270">
        <f t="shared" si="22"/>
        <v>2457.0359999999996</v>
      </c>
      <c r="K270">
        <f t="shared" si="23"/>
        <v>2771.3840000000005</v>
      </c>
    </row>
    <row r="271" spans="1:11" x14ac:dyDescent="0.25">
      <c r="A271" t="str">
        <f>Original!A261</f>
        <v>ORD-2023-888140</v>
      </c>
      <c r="B271">
        <f>Original!R261</f>
        <v>715.94</v>
      </c>
      <c r="C271">
        <f>Original!S261</f>
        <v>550.07000000000005</v>
      </c>
      <c r="D271" s="6">
        <f>Original!T261</f>
        <v>0.14000000000000001</v>
      </c>
      <c r="E271" s="6">
        <f>Original!V261</f>
        <v>16</v>
      </c>
      <c r="F271" s="6">
        <f t="shared" si="18"/>
        <v>0.05</v>
      </c>
      <c r="G271">
        <f t="shared" si="19"/>
        <v>787.53400000000011</v>
      </c>
      <c r="H271">
        <f t="shared" si="20"/>
        <v>16</v>
      </c>
      <c r="I271">
        <f t="shared" si="21"/>
        <v>8361.0640000000003</v>
      </c>
      <c r="J271">
        <f t="shared" si="22"/>
        <v>-4239.4800000000014</v>
      </c>
      <c r="K271">
        <f t="shared" si="23"/>
        <v>12600.544000000002</v>
      </c>
    </row>
    <row r="272" spans="1:11" x14ac:dyDescent="0.25">
      <c r="A272" t="str">
        <f>Original!A262</f>
        <v>ORD-2023-638181</v>
      </c>
      <c r="B272">
        <f>Original!R262</f>
        <v>1120.06</v>
      </c>
      <c r="C272">
        <f>Original!S262</f>
        <v>2068.21</v>
      </c>
      <c r="D272" s="6">
        <f>Original!T262</f>
        <v>7.8E-2</v>
      </c>
      <c r="E272" s="6">
        <f>Original!V262</f>
        <v>12</v>
      </c>
      <c r="F272" s="6">
        <f t="shared" si="18"/>
        <v>0.05</v>
      </c>
      <c r="G272">
        <f t="shared" si="19"/>
        <v>1232.066</v>
      </c>
      <c r="H272">
        <f t="shared" si="20"/>
        <v>12</v>
      </c>
      <c r="I272">
        <f t="shared" si="21"/>
        <v>23577.594000000001</v>
      </c>
      <c r="J272">
        <f t="shared" si="22"/>
        <v>8792.8019999999997</v>
      </c>
      <c r="K272">
        <f t="shared" si="23"/>
        <v>14784.792000000001</v>
      </c>
    </row>
    <row r="273" spans="1:11" x14ac:dyDescent="0.25">
      <c r="A273" t="str">
        <f>Original!A263</f>
        <v>ORD-2023-521280</v>
      </c>
      <c r="B273">
        <f>Original!R263</f>
        <v>1471.58</v>
      </c>
      <c r="C273">
        <f>Original!S263</f>
        <v>2576.65</v>
      </c>
      <c r="D273" s="6">
        <f>Original!T263</f>
        <v>4.0000000000000001E-3</v>
      </c>
      <c r="E273" s="6">
        <f>Original!V263</f>
        <v>7</v>
      </c>
      <c r="F273" s="6">
        <f t="shared" si="18"/>
        <v>4.0000000000000001E-3</v>
      </c>
      <c r="G273">
        <f t="shared" si="19"/>
        <v>1618.7380000000001</v>
      </c>
      <c r="H273">
        <f t="shared" si="20"/>
        <v>7</v>
      </c>
      <c r="I273">
        <f t="shared" si="21"/>
        <v>17964.4038</v>
      </c>
      <c r="J273">
        <f t="shared" si="22"/>
        <v>6633.237799999999</v>
      </c>
      <c r="K273">
        <f t="shared" si="23"/>
        <v>11331.166000000001</v>
      </c>
    </row>
    <row r="274" spans="1:11" x14ac:dyDescent="0.25">
      <c r="A274" t="str">
        <f>Original!A264</f>
        <v>ORD-2023-630430</v>
      </c>
      <c r="B274">
        <f>Original!R264</f>
        <v>582.88</v>
      </c>
      <c r="C274">
        <f>Original!S264</f>
        <v>1044.1400000000001</v>
      </c>
      <c r="D274" s="6">
        <f>Original!T264</f>
        <v>0.216</v>
      </c>
      <c r="E274" s="6">
        <f>Original!V264</f>
        <v>10</v>
      </c>
      <c r="F274" s="6">
        <f t="shared" si="18"/>
        <v>0.05</v>
      </c>
      <c r="G274">
        <f t="shared" si="19"/>
        <v>641.16800000000001</v>
      </c>
      <c r="H274">
        <f t="shared" si="20"/>
        <v>10</v>
      </c>
      <c r="I274">
        <f t="shared" si="21"/>
        <v>9919.3300000000017</v>
      </c>
      <c r="J274">
        <f t="shared" si="22"/>
        <v>3507.6500000000015</v>
      </c>
      <c r="K274">
        <f t="shared" si="23"/>
        <v>6411.68</v>
      </c>
    </row>
    <row r="275" spans="1:11" x14ac:dyDescent="0.25">
      <c r="A275" t="str">
        <f>Original!A265</f>
        <v>ORD-2025-908258</v>
      </c>
      <c r="B275">
        <f>Original!R265</f>
        <v>93.91</v>
      </c>
      <c r="C275">
        <f>Original!S265</f>
        <v>99.04</v>
      </c>
      <c r="D275" s="6">
        <f>Original!T265</f>
        <v>5.7000000000000002E-2</v>
      </c>
      <c r="E275" s="6">
        <f>Original!V265</f>
        <v>6</v>
      </c>
      <c r="F275" s="6">
        <f t="shared" si="18"/>
        <v>0.05</v>
      </c>
      <c r="G275">
        <f t="shared" si="19"/>
        <v>103.301</v>
      </c>
      <c r="H275">
        <f t="shared" si="20"/>
        <v>6</v>
      </c>
      <c r="I275">
        <f t="shared" si="21"/>
        <v>564.52800000000002</v>
      </c>
      <c r="J275">
        <f t="shared" si="22"/>
        <v>-55.27800000000002</v>
      </c>
      <c r="K275">
        <f t="shared" si="23"/>
        <v>619.80600000000004</v>
      </c>
    </row>
    <row r="276" spans="1:11" x14ac:dyDescent="0.25">
      <c r="A276" t="str">
        <f>Original!A266</f>
        <v>ORD-2025-440093</v>
      </c>
      <c r="B276">
        <f>Original!R266</f>
        <v>1457.44</v>
      </c>
      <c r="C276">
        <f>Original!S266</f>
        <v>1996.81</v>
      </c>
      <c r="D276" s="6">
        <f>Original!T266</f>
        <v>0.126</v>
      </c>
      <c r="E276" s="6">
        <f>Original!V266</f>
        <v>23</v>
      </c>
      <c r="F276" s="6">
        <f t="shared" si="18"/>
        <v>0.05</v>
      </c>
      <c r="G276">
        <f t="shared" si="19"/>
        <v>1603.1840000000002</v>
      </c>
      <c r="H276">
        <f t="shared" si="20"/>
        <v>23</v>
      </c>
      <c r="I276">
        <f t="shared" si="21"/>
        <v>43630.298499999997</v>
      </c>
      <c r="J276">
        <f t="shared" si="22"/>
        <v>6757.0664999999935</v>
      </c>
      <c r="K276">
        <f t="shared" si="23"/>
        <v>36873.232000000004</v>
      </c>
    </row>
    <row r="277" spans="1:11" x14ac:dyDescent="0.25">
      <c r="A277" t="str">
        <f>Original!A267</f>
        <v>ORD-2025-898022</v>
      </c>
      <c r="B277">
        <f>Original!R267</f>
        <v>1207.6300000000001</v>
      </c>
      <c r="C277">
        <f>Original!S267</f>
        <v>921.68</v>
      </c>
      <c r="D277" s="6">
        <f>Original!T267</f>
        <v>0.19600000000000001</v>
      </c>
      <c r="E277" s="6">
        <f>Original!V267</f>
        <v>17</v>
      </c>
      <c r="F277" s="6">
        <f t="shared" si="18"/>
        <v>0.05</v>
      </c>
      <c r="G277">
        <f t="shared" si="19"/>
        <v>1328.3930000000003</v>
      </c>
      <c r="H277">
        <f t="shared" si="20"/>
        <v>17</v>
      </c>
      <c r="I277">
        <f t="shared" si="21"/>
        <v>14885.132</v>
      </c>
      <c r="J277">
        <f t="shared" si="22"/>
        <v>-7697.5490000000045</v>
      </c>
      <c r="K277">
        <f t="shared" si="23"/>
        <v>22582.681000000004</v>
      </c>
    </row>
    <row r="278" spans="1:11" x14ac:dyDescent="0.25">
      <c r="A278" t="str">
        <f>Original!A268</f>
        <v>ORD-2024-500511</v>
      </c>
      <c r="B278">
        <f>Original!R268</f>
        <v>1108.1099999999999</v>
      </c>
      <c r="C278">
        <f>Original!S268</f>
        <v>2503.79</v>
      </c>
      <c r="D278" s="6">
        <f>Original!T268</f>
        <v>0.184</v>
      </c>
      <c r="E278" s="6">
        <f>Original!V268</f>
        <v>19</v>
      </c>
      <c r="F278" s="6">
        <f t="shared" si="18"/>
        <v>0.05</v>
      </c>
      <c r="G278">
        <f t="shared" si="19"/>
        <v>1218.921</v>
      </c>
      <c r="H278">
        <f t="shared" si="20"/>
        <v>19</v>
      </c>
      <c r="I278">
        <f t="shared" si="21"/>
        <v>45193.409500000002</v>
      </c>
      <c r="J278">
        <f t="shared" si="22"/>
        <v>22033.910500000002</v>
      </c>
      <c r="K278">
        <f t="shared" si="23"/>
        <v>23159.499</v>
      </c>
    </row>
    <row r="279" spans="1:11" x14ac:dyDescent="0.25">
      <c r="A279" t="str">
        <f>Original!A269</f>
        <v>ORD-2023-632893</v>
      </c>
      <c r="B279">
        <f>Original!R269</f>
        <v>1269.6500000000001</v>
      </c>
      <c r="C279">
        <f>Original!S269</f>
        <v>2462.77</v>
      </c>
      <c r="D279" s="6">
        <f>Original!T269</f>
        <v>0.107</v>
      </c>
      <c r="E279" s="6">
        <f>Original!V269</f>
        <v>8</v>
      </c>
      <c r="F279" s="6">
        <f t="shared" si="18"/>
        <v>0.05</v>
      </c>
      <c r="G279">
        <f t="shared" si="19"/>
        <v>1396.6150000000002</v>
      </c>
      <c r="H279">
        <f t="shared" si="20"/>
        <v>8</v>
      </c>
      <c r="I279">
        <f t="shared" si="21"/>
        <v>18717.052</v>
      </c>
      <c r="J279">
        <f t="shared" si="22"/>
        <v>7544.1319999999978</v>
      </c>
      <c r="K279">
        <f t="shared" si="23"/>
        <v>11172.920000000002</v>
      </c>
    </row>
    <row r="280" spans="1:11" x14ac:dyDescent="0.25">
      <c r="A280" t="str">
        <f>Original!A270</f>
        <v>ORD-2023-967239</v>
      </c>
      <c r="B280">
        <f>Original!R270</f>
        <v>526.49</v>
      </c>
      <c r="C280">
        <f>Original!S270</f>
        <v>496.2</v>
      </c>
      <c r="D280" s="6">
        <f>Original!T270</f>
        <v>0</v>
      </c>
      <c r="E280" s="6">
        <f>Original!V270</f>
        <v>14</v>
      </c>
      <c r="F280" s="6">
        <f t="shared" si="18"/>
        <v>0</v>
      </c>
      <c r="G280">
        <f t="shared" si="19"/>
        <v>579.13900000000001</v>
      </c>
      <c r="H280">
        <f t="shared" si="20"/>
        <v>14</v>
      </c>
      <c r="I280">
        <f t="shared" si="21"/>
        <v>6946.8</v>
      </c>
      <c r="J280">
        <f t="shared" si="22"/>
        <v>-1161.1459999999997</v>
      </c>
      <c r="K280">
        <f t="shared" si="23"/>
        <v>8107.9459999999999</v>
      </c>
    </row>
    <row r="281" spans="1:11" x14ac:dyDescent="0.25">
      <c r="A281" t="str">
        <f>Original!A271</f>
        <v>ORD-2024-885858</v>
      </c>
      <c r="B281">
        <f>Original!R271</f>
        <v>720</v>
      </c>
      <c r="C281">
        <f>Original!S271</f>
        <v>907.59</v>
      </c>
      <c r="D281" s="6">
        <f>Original!T271</f>
        <v>0.154</v>
      </c>
      <c r="E281" s="6">
        <f>Original!V271</f>
        <v>10</v>
      </c>
      <c r="F281" s="6">
        <f t="shared" si="18"/>
        <v>0.05</v>
      </c>
      <c r="G281">
        <f t="shared" si="19"/>
        <v>792.00000000000011</v>
      </c>
      <c r="H281">
        <f t="shared" si="20"/>
        <v>10</v>
      </c>
      <c r="I281">
        <f t="shared" si="21"/>
        <v>8622.1049999999996</v>
      </c>
      <c r="J281">
        <f t="shared" si="22"/>
        <v>702.10499999999865</v>
      </c>
      <c r="K281">
        <f t="shared" si="23"/>
        <v>7920.0000000000009</v>
      </c>
    </row>
    <row r="282" spans="1:11" x14ac:dyDescent="0.25">
      <c r="A282" t="str">
        <f>Original!A272</f>
        <v>ORD-2023-253245</v>
      </c>
      <c r="B282">
        <f>Original!R272</f>
        <v>232.73</v>
      </c>
      <c r="C282">
        <f>Original!S272</f>
        <v>334.19</v>
      </c>
      <c r="D282" s="6">
        <f>Original!T272</f>
        <v>0.13400000000000001</v>
      </c>
      <c r="E282" s="6">
        <f>Original!V272</f>
        <v>25</v>
      </c>
      <c r="F282" s="6">
        <f t="shared" si="18"/>
        <v>0.05</v>
      </c>
      <c r="G282">
        <f t="shared" si="19"/>
        <v>256.00299999999999</v>
      </c>
      <c r="H282">
        <f t="shared" si="20"/>
        <v>25</v>
      </c>
      <c r="I282">
        <f t="shared" si="21"/>
        <v>7937.0124999999998</v>
      </c>
      <c r="J282">
        <f t="shared" si="22"/>
        <v>1536.9375</v>
      </c>
      <c r="K282">
        <f t="shared" si="23"/>
        <v>6400.0749999999998</v>
      </c>
    </row>
    <row r="283" spans="1:11" x14ac:dyDescent="0.25">
      <c r="A283" t="str">
        <f>Original!A273</f>
        <v>ORD-2025-484073</v>
      </c>
      <c r="B283">
        <f>Original!R273</f>
        <v>325.87</v>
      </c>
      <c r="C283">
        <f>Original!S273</f>
        <v>538.79</v>
      </c>
      <c r="D283" s="6">
        <f>Original!T273</f>
        <v>0.17399999999999999</v>
      </c>
      <c r="E283" s="6">
        <f>Original!V273</f>
        <v>16</v>
      </c>
      <c r="F283" s="6">
        <f t="shared" si="18"/>
        <v>0.05</v>
      </c>
      <c r="G283">
        <f t="shared" si="19"/>
        <v>358.45700000000005</v>
      </c>
      <c r="H283">
        <f t="shared" si="20"/>
        <v>16</v>
      </c>
      <c r="I283">
        <f t="shared" si="21"/>
        <v>8189.6079999999993</v>
      </c>
      <c r="J283">
        <f t="shared" si="22"/>
        <v>2454.2959999999985</v>
      </c>
      <c r="K283">
        <f t="shared" si="23"/>
        <v>5735.3120000000008</v>
      </c>
    </row>
    <row r="284" spans="1:11" x14ac:dyDescent="0.25">
      <c r="A284" t="str">
        <f>Original!A274</f>
        <v>ORD-2024-745822</v>
      </c>
      <c r="B284">
        <f>Original!R274</f>
        <v>1025.51</v>
      </c>
      <c r="C284">
        <f>Original!S274</f>
        <v>1436.54</v>
      </c>
      <c r="D284" s="6">
        <f>Original!T274</f>
        <v>0.13900000000000001</v>
      </c>
      <c r="E284" s="6">
        <f>Original!V274</f>
        <v>28</v>
      </c>
      <c r="F284" s="6">
        <f t="shared" si="18"/>
        <v>0.05</v>
      </c>
      <c r="G284">
        <f t="shared" si="19"/>
        <v>1128.0610000000001</v>
      </c>
      <c r="H284">
        <f t="shared" si="20"/>
        <v>28</v>
      </c>
      <c r="I284">
        <f t="shared" si="21"/>
        <v>38211.963999999993</v>
      </c>
      <c r="J284">
        <f t="shared" si="22"/>
        <v>6626.2559999999867</v>
      </c>
      <c r="K284">
        <f t="shared" si="23"/>
        <v>31585.708000000006</v>
      </c>
    </row>
    <row r="285" spans="1:11" x14ac:dyDescent="0.25">
      <c r="A285" t="str">
        <f>Original!A275</f>
        <v>ORD-2023-369160</v>
      </c>
      <c r="B285">
        <f>Original!R275</f>
        <v>1082.3800000000001</v>
      </c>
      <c r="C285">
        <f>Original!S275</f>
        <v>1766.55</v>
      </c>
      <c r="D285" s="6">
        <f>Original!T275</f>
        <v>0.16400000000000001</v>
      </c>
      <c r="E285" s="6">
        <f>Original!V275</f>
        <v>20</v>
      </c>
      <c r="F285" s="6">
        <f t="shared" si="18"/>
        <v>0.05</v>
      </c>
      <c r="G285">
        <f t="shared" si="19"/>
        <v>1190.6180000000002</v>
      </c>
      <c r="H285">
        <f t="shared" si="20"/>
        <v>20</v>
      </c>
      <c r="I285">
        <f t="shared" si="21"/>
        <v>33564.449999999997</v>
      </c>
      <c r="J285">
        <f t="shared" si="22"/>
        <v>9752.0899999999929</v>
      </c>
      <c r="K285">
        <f t="shared" si="23"/>
        <v>23812.360000000004</v>
      </c>
    </row>
    <row r="286" spans="1:11" x14ac:dyDescent="0.25">
      <c r="A286" t="str">
        <f>Original!A276</f>
        <v>ORD-2024-834983</v>
      </c>
      <c r="B286">
        <f>Original!R276</f>
        <v>287.61</v>
      </c>
      <c r="C286">
        <f>Original!S276</f>
        <v>628.54</v>
      </c>
      <c r="D286" s="6">
        <f>Original!T276</f>
        <v>0.13500000000000001</v>
      </c>
      <c r="E286" s="6">
        <f>Original!V276</f>
        <v>21</v>
      </c>
      <c r="F286" s="6">
        <f t="shared" si="18"/>
        <v>0.05</v>
      </c>
      <c r="G286">
        <f t="shared" si="19"/>
        <v>316.37100000000004</v>
      </c>
      <c r="H286">
        <f t="shared" si="20"/>
        <v>21</v>
      </c>
      <c r="I286">
        <f t="shared" si="21"/>
        <v>12539.373</v>
      </c>
      <c r="J286">
        <f t="shared" si="22"/>
        <v>5895.5819999999985</v>
      </c>
      <c r="K286">
        <f t="shared" si="23"/>
        <v>6643.7910000000011</v>
      </c>
    </row>
    <row r="287" spans="1:11" x14ac:dyDescent="0.25">
      <c r="A287" t="str">
        <f>Original!A277</f>
        <v>ORD-2024-499009</v>
      </c>
      <c r="B287">
        <f>Original!R277</f>
        <v>1410.97</v>
      </c>
      <c r="C287">
        <f>Original!S277</f>
        <v>1650.75</v>
      </c>
      <c r="D287" s="6">
        <f>Original!T277</f>
        <v>0.13500000000000001</v>
      </c>
      <c r="E287" s="6">
        <f>Original!V277</f>
        <v>6</v>
      </c>
      <c r="F287" s="6">
        <f t="shared" si="18"/>
        <v>0.05</v>
      </c>
      <c r="G287">
        <f t="shared" si="19"/>
        <v>1552.0670000000002</v>
      </c>
      <c r="H287">
        <f t="shared" si="20"/>
        <v>6</v>
      </c>
      <c r="I287">
        <f t="shared" si="21"/>
        <v>9409.2749999999996</v>
      </c>
      <c r="J287">
        <f t="shared" si="22"/>
        <v>96.872999999997774</v>
      </c>
      <c r="K287">
        <f t="shared" si="23"/>
        <v>9312.4020000000019</v>
      </c>
    </row>
    <row r="288" spans="1:11" x14ac:dyDescent="0.25">
      <c r="A288" t="str">
        <f>Original!A278</f>
        <v>ORD-2024-948800</v>
      </c>
      <c r="B288">
        <f>Original!R278</f>
        <v>1338.35</v>
      </c>
      <c r="C288">
        <f>Original!S278</f>
        <v>2247.14</v>
      </c>
      <c r="D288" s="6">
        <f>Original!T278</f>
        <v>0.115</v>
      </c>
      <c r="E288" s="6">
        <f>Original!V278</f>
        <v>40</v>
      </c>
      <c r="F288" s="6">
        <f t="shared" ref="F288:F351" si="24">MIN(D288,$B$2)</f>
        <v>0.05</v>
      </c>
      <c r="G288">
        <f t="shared" ref="G288:G351" si="25">B288*(1+$B$3)</f>
        <v>1472.1849999999999</v>
      </c>
      <c r="H288">
        <f t="shared" ref="H288:H351" si="26">E288*(1+$B$4)</f>
        <v>40</v>
      </c>
      <c r="I288">
        <f t="shared" ref="I288:I351" si="27">C288*H288*(1-F288)</f>
        <v>85391.319999999992</v>
      </c>
      <c r="J288">
        <f t="shared" ref="J288:J351" si="28">I288-K288</f>
        <v>26503.919999999998</v>
      </c>
      <c r="K288">
        <f t="shared" ref="K288:K351" si="29">G288*H288</f>
        <v>58887.399999999994</v>
      </c>
    </row>
    <row r="289" spans="1:11" x14ac:dyDescent="0.25">
      <c r="A289" t="str">
        <f>Original!A279</f>
        <v>ORD-2025-678328</v>
      </c>
      <c r="B289">
        <f>Original!R279</f>
        <v>385.08</v>
      </c>
      <c r="C289">
        <f>Original!S279</f>
        <v>893.19</v>
      </c>
      <c r="D289" s="6">
        <f>Original!T279</f>
        <v>0.151</v>
      </c>
      <c r="E289" s="6">
        <f>Original!V279</f>
        <v>8</v>
      </c>
      <c r="F289" s="6">
        <f t="shared" si="24"/>
        <v>0.05</v>
      </c>
      <c r="G289">
        <f t="shared" si="25"/>
        <v>423.58800000000002</v>
      </c>
      <c r="H289">
        <f t="shared" si="26"/>
        <v>8</v>
      </c>
      <c r="I289">
        <f t="shared" si="27"/>
        <v>6788.2439999999997</v>
      </c>
      <c r="J289">
        <f t="shared" si="28"/>
        <v>3399.5399999999995</v>
      </c>
      <c r="K289">
        <f t="shared" si="29"/>
        <v>3388.7040000000002</v>
      </c>
    </row>
    <row r="290" spans="1:11" x14ac:dyDescent="0.25">
      <c r="A290" t="str">
        <f>Original!A280</f>
        <v>ORD-2024-580808</v>
      </c>
      <c r="B290">
        <f>Original!R280</f>
        <v>1173.83</v>
      </c>
      <c r="C290">
        <f>Original!S280</f>
        <v>2328.9</v>
      </c>
      <c r="D290" s="6">
        <f>Original!T280</f>
        <v>0.12</v>
      </c>
      <c r="E290" s="6">
        <f>Original!V280</f>
        <v>17</v>
      </c>
      <c r="F290" s="6">
        <f t="shared" si="24"/>
        <v>0.05</v>
      </c>
      <c r="G290">
        <f t="shared" si="25"/>
        <v>1291.213</v>
      </c>
      <c r="H290">
        <f t="shared" si="26"/>
        <v>17</v>
      </c>
      <c r="I290">
        <f t="shared" si="27"/>
        <v>37611.735000000001</v>
      </c>
      <c r="J290">
        <f t="shared" si="28"/>
        <v>15661.114000000001</v>
      </c>
      <c r="K290">
        <f t="shared" si="29"/>
        <v>21950.620999999999</v>
      </c>
    </row>
    <row r="291" spans="1:11" x14ac:dyDescent="0.25">
      <c r="A291" t="str">
        <f>Original!A281</f>
        <v>ORD-2023-211715</v>
      </c>
      <c r="B291">
        <f>Original!R281</f>
        <v>953.46</v>
      </c>
      <c r="C291">
        <f>Original!S281</f>
        <v>2066.75</v>
      </c>
      <c r="D291" s="6">
        <f>Original!T281</f>
        <v>0.13800000000000001</v>
      </c>
      <c r="E291" s="6">
        <f>Original!V281</f>
        <v>5</v>
      </c>
      <c r="F291" s="6">
        <f t="shared" si="24"/>
        <v>0.05</v>
      </c>
      <c r="G291">
        <f t="shared" si="25"/>
        <v>1048.806</v>
      </c>
      <c r="H291">
        <f t="shared" si="26"/>
        <v>5</v>
      </c>
      <c r="I291">
        <f t="shared" si="27"/>
        <v>9817.0625</v>
      </c>
      <c r="J291">
        <f t="shared" si="28"/>
        <v>4573.0324999999993</v>
      </c>
      <c r="K291">
        <f t="shared" si="29"/>
        <v>5244.0300000000007</v>
      </c>
    </row>
    <row r="292" spans="1:11" x14ac:dyDescent="0.25">
      <c r="A292" t="str">
        <f>Original!A282</f>
        <v>ORD-2023-715175</v>
      </c>
      <c r="B292">
        <f>Original!R282</f>
        <v>1097.0899999999999</v>
      </c>
      <c r="C292">
        <f>Original!S282</f>
        <v>2182.31</v>
      </c>
      <c r="D292" s="6">
        <f>Original!T282</f>
        <v>0.112</v>
      </c>
      <c r="E292" s="6">
        <f>Original!V282</f>
        <v>9</v>
      </c>
      <c r="F292" s="6">
        <f t="shared" si="24"/>
        <v>0.05</v>
      </c>
      <c r="G292">
        <f t="shared" si="25"/>
        <v>1206.799</v>
      </c>
      <c r="H292">
        <f t="shared" si="26"/>
        <v>9</v>
      </c>
      <c r="I292">
        <f t="shared" si="27"/>
        <v>18658.750499999998</v>
      </c>
      <c r="J292">
        <f t="shared" si="28"/>
        <v>7797.5594999999994</v>
      </c>
      <c r="K292">
        <f t="shared" si="29"/>
        <v>10861.190999999999</v>
      </c>
    </row>
    <row r="293" spans="1:11" x14ac:dyDescent="0.25">
      <c r="A293" t="str">
        <f>Original!A283</f>
        <v>ORD-2025-685236</v>
      </c>
      <c r="B293">
        <f>Original!R283</f>
        <v>1106.96</v>
      </c>
      <c r="C293">
        <f>Original!S283</f>
        <v>2726.62</v>
      </c>
      <c r="D293" s="6">
        <f>Original!T283</f>
        <v>0.317</v>
      </c>
      <c r="E293" s="6">
        <f>Original!V283</f>
        <v>7</v>
      </c>
      <c r="F293" s="6">
        <f t="shared" si="24"/>
        <v>0.05</v>
      </c>
      <c r="G293">
        <f t="shared" si="25"/>
        <v>1217.6560000000002</v>
      </c>
      <c r="H293">
        <f t="shared" si="26"/>
        <v>7</v>
      </c>
      <c r="I293">
        <f t="shared" si="27"/>
        <v>18132.023000000001</v>
      </c>
      <c r="J293">
        <f t="shared" si="28"/>
        <v>9608.4310000000005</v>
      </c>
      <c r="K293">
        <f t="shared" si="29"/>
        <v>8523.5920000000006</v>
      </c>
    </row>
    <row r="294" spans="1:11" x14ac:dyDescent="0.25">
      <c r="A294" t="str">
        <f>Original!A284</f>
        <v>ORD-2023-274037</v>
      </c>
      <c r="B294">
        <f>Original!R284</f>
        <v>91.85</v>
      </c>
      <c r="C294">
        <f>Original!S284</f>
        <v>111.29</v>
      </c>
      <c r="D294" s="6">
        <f>Original!T284</f>
        <v>0</v>
      </c>
      <c r="E294" s="6">
        <f>Original!V284</f>
        <v>6</v>
      </c>
      <c r="F294" s="6">
        <f t="shared" si="24"/>
        <v>0</v>
      </c>
      <c r="G294">
        <f t="shared" si="25"/>
        <v>101.035</v>
      </c>
      <c r="H294">
        <f t="shared" si="26"/>
        <v>6</v>
      </c>
      <c r="I294">
        <f t="shared" si="27"/>
        <v>667.74</v>
      </c>
      <c r="J294">
        <f t="shared" si="28"/>
        <v>61.529999999999973</v>
      </c>
      <c r="K294">
        <f t="shared" si="29"/>
        <v>606.21</v>
      </c>
    </row>
    <row r="295" spans="1:11" x14ac:dyDescent="0.25">
      <c r="A295" t="str">
        <f>Original!A285</f>
        <v>ORD-2025-983096</v>
      </c>
      <c r="B295">
        <f>Original!R285</f>
        <v>623.4</v>
      </c>
      <c r="C295">
        <f>Original!S285</f>
        <v>1100.0899999999999</v>
      </c>
      <c r="D295" s="6">
        <f>Original!T285</f>
        <v>0.114</v>
      </c>
      <c r="E295" s="6">
        <f>Original!V285</f>
        <v>12</v>
      </c>
      <c r="F295" s="6">
        <f t="shared" si="24"/>
        <v>0.05</v>
      </c>
      <c r="G295">
        <f t="shared" si="25"/>
        <v>685.74</v>
      </c>
      <c r="H295">
        <f t="shared" si="26"/>
        <v>12</v>
      </c>
      <c r="I295">
        <f t="shared" si="27"/>
        <v>12541.025999999998</v>
      </c>
      <c r="J295">
        <f t="shared" si="28"/>
        <v>4312.145999999997</v>
      </c>
      <c r="K295">
        <f t="shared" si="29"/>
        <v>8228.880000000001</v>
      </c>
    </row>
    <row r="296" spans="1:11" x14ac:dyDescent="0.25">
      <c r="A296" t="str">
        <f>Original!A286</f>
        <v>ORD-2024-366010</v>
      </c>
      <c r="B296">
        <f>Original!R286</f>
        <v>1017.93</v>
      </c>
      <c r="C296">
        <f>Original!S286</f>
        <v>1529.14</v>
      </c>
      <c r="D296" s="6">
        <f>Original!T286</f>
        <v>0.155</v>
      </c>
      <c r="E296" s="6">
        <f>Original!V286</f>
        <v>12</v>
      </c>
      <c r="F296" s="6">
        <f t="shared" si="24"/>
        <v>0.05</v>
      </c>
      <c r="G296">
        <f t="shared" si="25"/>
        <v>1119.723</v>
      </c>
      <c r="H296">
        <f t="shared" si="26"/>
        <v>12</v>
      </c>
      <c r="I296">
        <f t="shared" si="27"/>
        <v>17432.196</v>
      </c>
      <c r="J296">
        <f t="shared" si="28"/>
        <v>3995.5200000000004</v>
      </c>
      <c r="K296">
        <f t="shared" si="29"/>
        <v>13436.675999999999</v>
      </c>
    </row>
    <row r="297" spans="1:11" x14ac:dyDescent="0.25">
      <c r="A297" t="str">
        <f>Original!A287</f>
        <v>ORD-2023-610470</v>
      </c>
      <c r="B297">
        <f>Original!R287</f>
        <v>554.76</v>
      </c>
      <c r="C297">
        <f>Original!S287</f>
        <v>728.69</v>
      </c>
      <c r="D297" s="6">
        <f>Original!T287</f>
        <v>0.22</v>
      </c>
      <c r="E297" s="6">
        <f>Original!V287</f>
        <v>7</v>
      </c>
      <c r="F297" s="6">
        <f t="shared" si="24"/>
        <v>0.05</v>
      </c>
      <c r="G297">
        <f t="shared" si="25"/>
        <v>610.23599999999999</v>
      </c>
      <c r="H297">
        <f t="shared" si="26"/>
        <v>7</v>
      </c>
      <c r="I297">
        <f t="shared" si="27"/>
        <v>4845.7884999999997</v>
      </c>
      <c r="J297">
        <f t="shared" si="28"/>
        <v>574.13649999999961</v>
      </c>
      <c r="K297">
        <f t="shared" si="29"/>
        <v>4271.652</v>
      </c>
    </row>
    <row r="298" spans="1:11" x14ac:dyDescent="0.25">
      <c r="A298" t="str">
        <f>Original!A288</f>
        <v>ORD-2025-541048</v>
      </c>
      <c r="B298">
        <f>Original!R288</f>
        <v>7.02</v>
      </c>
      <c r="C298">
        <f>Original!S288</f>
        <v>6.28</v>
      </c>
      <c r="D298" s="6">
        <f>Original!T288</f>
        <v>0.13400000000000001</v>
      </c>
      <c r="E298" s="6">
        <f>Original!V288</f>
        <v>14</v>
      </c>
      <c r="F298" s="6">
        <f t="shared" si="24"/>
        <v>0.05</v>
      </c>
      <c r="G298">
        <f t="shared" si="25"/>
        <v>7.7220000000000004</v>
      </c>
      <c r="H298">
        <f t="shared" si="26"/>
        <v>14</v>
      </c>
      <c r="I298">
        <f t="shared" si="27"/>
        <v>83.524000000000001</v>
      </c>
      <c r="J298">
        <f t="shared" si="28"/>
        <v>-24.584000000000003</v>
      </c>
      <c r="K298">
        <f t="shared" si="29"/>
        <v>108.108</v>
      </c>
    </row>
    <row r="299" spans="1:11" x14ac:dyDescent="0.25">
      <c r="A299" t="str">
        <f>Original!A289</f>
        <v>ORD-2024-862371</v>
      </c>
      <c r="B299">
        <f>Original!R289</f>
        <v>1066.6500000000001</v>
      </c>
      <c r="C299">
        <f>Original!S289</f>
        <v>2569.77</v>
      </c>
      <c r="D299" s="6">
        <f>Original!T289</f>
        <v>0.13400000000000001</v>
      </c>
      <c r="E299" s="6">
        <f>Original!V289</f>
        <v>9</v>
      </c>
      <c r="F299" s="6">
        <f t="shared" si="24"/>
        <v>0.05</v>
      </c>
      <c r="G299">
        <f t="shared" si="25"/>
        <v>1173.3150000000003</v>
      </c>
      <c r="H299">
        <f t="shared" si="26"/>
        <v>9</v>
      </c>
      <c r="I299">
        <f t="shared" si="27"/>
        <v>21971.533499999998</v>
      </c>
      <c r="J299">
        <f t="shared" si="28"/>
        <v>11411.698499999995</v>
      </c>
      <c r="K299">
        <f t="shared" si="29"/>
        <v>10559.835000000003</v>
      </c>
    </row>
    <row r="300" spans="1:11" x14ac:dyDescent="0.25">
      <c r="A300" t="str">
        <f>Original!A290</f>
        <v>ORD-2024-277241</v>
      </c>
      <c r="B300">
        <f>Original!R290</f>
        <v>798.45</v>
      </c>
      <c r="C300">
        <f>Original!S290</f>
        <v>1592.02</v>
      </c>
      <c r="D300" s="6">
        <f>Original!T290</f>
        <v>6.6000000000000003E-2</v>
      </c>
      <c r="E300" s="6">
        <f>Original!V290</f>
        <v>18</v>
      </c>
      <c r="F300" s="6">
        <f t="shared" si="24"/>
        <v>0.05</v>
      </c>
      <c r="G300">
        <f t="shared" si="25"/>
        <v>878.29500000000007</v>
      </c>
      <c r="H300">
        <f t="shared" si="26"/>
        <v>18</v>
      </c>
      <c r="I300">
        <f t="shared" si="27"/>
        <v>27223.541999999998</v>
      </c>
      <c r="J300">
        <f t="shared" si="28"/>
        <v>11414.231999999996</v>
      </c>
      <c r="K300">
        <f t="shared" si="29"/>
        <v>15809.310000000001</v>
      </c>
    </row>
    <row r="301" spans="1:11" x14ac:dyDescent="0.25">
      <c r="A301" t="str">
        <f>Original!A291</f>
        <v>ORD-2023-369150</v>
      </c>
      <c r="B301">
        <f>Original!R291</f>
        <v>1271.56</v>
      </c>
      <c r="C301">
        <f>Original!S291</f>
        <v>995.47</v>
      </c>
      <c r="D301" s="6">
        <f>Original!T291</f>
        <v>0.192</v>
      </c>
      <c r="E301" s="6">
        <f>Original!V291</f>
        <v>13</v>
      </c>
      <c r="F301" s="6">
        <f t="shared" si="24"/>
        <v>0.05</v>
      </c>
      <c r="G301">
        <f t="shared" si="25"/>
        <v>1398.7160000000001</v>
      </c>
      <c r="H301">
        <f t="shared" si="26"/>
        <v>13</v>
      </c>
      <c r="I301">
        <f t="shared" si="27"/>
        <v>12294.0545</v>
      </c>
      <c r="J301">
        <f t="shared" si="28"/>
        <v>-5889.2535000000007</v>
      </c>
      <c r="K301">
        <f t="shared" si="29"/>
        <v>18183.308000000001</v>
      </c>
    </row>
    <row r="302" spans="1:11" x14ac:dyDescent="0.25">
      <c r="A302" t="str">
        <f>Original!A292</f>
        <v>ORD-2025-922513</v>
      </c>
      <c r="B302">
        <f>Original!R292</f>
        <v>521.05999999999995</v>
      </c>
      <c r="C302">
        <f>Original!S292</f>
        <v>1240.31</v>
      </c>
      <c r="D302" s="6">
        <f>Original!T292</f>
        <v>0.14599999999999999</v>
      </c>
      <c r="E302" s="6">
        <f>Original!V292</f>
        <v>18</v>
      </c>
      <c r="F302" s="6">
        <f t="shared" si="24"/>
        <v>0.05</v>
      </c>
      <c r="G302">
        <f t="shared" si="25"/>
        <v>573.16599999999994</v>
      </c>
      <c r="H302">
        <f t="shared" si="26"/>
        <v>18</v>
      </c>
      <c r="I302">
        <f t="shared" si="27"/>
        <v>21209.300999999996</v>
      </c>
      <c r="J302">
        <f t="shared" si="28"/>
        <v>10892.312999999996</v>
      </c>
      <c r="K302">
        <f t="shared" si="29"/>
        <v>10316.987999999999</v>
      </c>
    </row>
    <row r="303" spans="1:11" x14ac:dyDescent="0.25">
      <c r="A303" t="str">
        <f>Original!A293</f>
        <v>ORD-2025-752845</v>
      </c>
      <c r="B303">
        <f>Original!R293</f>
        <v>71.62</v>
      </c>
      <c r="C303">
        <f>Original!S293</f>
        <v>118.37</v>
      </c>
      <c r="D303" s="6">
        <f>Original!T293</f>
        <v>0.156</v>
      </c>
      <c r="E303" s="6">
        <f>Original!V293</f>
        <v>11</v>
      </c>
      <c r="F303" s="6">
        <f t="shared" si="24"/>
        <v>0.05</v>
      </c>
      <c r="G303">
        <f t="shared" si="25"/>
        <v>78.782000000000011</v>
      </c>
      <c r="H303">
        <f t="shared" si="26"/>
        <v>11</v>
      </c>
      <c r="I303">
        <f t="shared" si="27"/>
        <v>1236.9665</v>
      </c>
      <c r="J303">
        <f t="shared" si="28"/>
        <v>370.36449999999991</v>
      </c>
      <c r="K303">
        <f t="shared" si="29"/>
        <v>866.60200000000009</v>
      </c>
    </row>
    <row r="304" spans="1:11" x14ac:dyDescent="0.25">
      <c r="A304" t="str">
        <f>Original!A294</f>
        <v>ORD-2023-667815</v>
      </c>
      <c r="B304">
        <f>Original!R294</f>
        <v>1142.48</v>
      </c>
      <c r="C304">
        <f>Original!S294</f>
        <v>2105.5300000000002</v>
      </c>
      <c r="D304" s="6">
        <f>Original!T294</f>
        <v>0.20699999999999999</v>
      </c>
      <c r="E304" s="6">
        <f>Original!V294</f>
        <v>14</v>
      </c>
      <c r="F304" s="6">
        <f t="shared" si="24"/>
        <v>0.05</v>
      </c>
      <c r="G304">
        <f t="shared" si="25"/>
        <v>1256.7280000000001</v>
      </c>
      <c r="H304">
        <f t="shared" si="26"/>
        <v>14</v>
      </c>
      <c r="I304">
        <f t="shared" si="27"/>
        <v>28003.548999999999</v>
      </c>
      <c r="J304">
        <f t="shared" si="28"/>
        <v>10409.356999999996</v>
      </c>
      <c r="K304">
        <f t="shared" si="29"/>
        <v>17594.192000000003</v>
      </c>
    </row>
    <row r="305" spans="1:11" x14ac:dyDescent="0.25">
      <c r="A305" t="str">
        <f>Original!A295</f>
        <v>ORD-2023-375011</v>
      </c>
      <c r="B305">
        <f>Original!R295</f>
        <v>209.81</v>
      </c>
      <c r="C305">
        <f>Original!S295</f>
        <v>523</v>
      </c>
      <c r="D305" s="6">
        <f>Original!T295</f>
        <v>5.8999999999999997E-2</v>
      </c>
      <c r="E305" s="6">
        <f>Original!V295</f>
        <v>15</v>
      </c>
      <c r="F305" s="6">
        <f t="shared" si="24"/>
        <v>0.05</v>
      </c>
      <c r="G305">
        <f t="shared" si="25"/>
        <v>230.79100000000003</v>
      </c>
      <c r="H305">
        <f t="shared" si="26"/>
        <v>15</v>
      </c>
      <c r="I305">
        <f t="shared" si="27"/>
        <v>7452.75</v>
      </c>
      <c r="J305">
        <f t="shared" si="28"/>
        <v>3990.8849999999998</v>
      </c>
      <c r="K305">
        <f t="shared" si="29"/>
        <v>3461.8650000000002</v>
      </c>
    </row>
    <row r="306" spans="1:11" x14ac:dyDescent="0.25">
      <c r="A306" t="str">
        <f>Original!A296</f>
        <v>ORD-2025-487025</v>
      </c>
      <c r="B306">
        <f>Original!R296</f>
        <v>786.2</v>
      </c>
      <c r="C306">
        <f>Original!S296</f>
        <v>1075.3</v>
      </c>
      <c r="D306" s="6">
        <f>Original!T296</f>
        <v>0.08</v>
      </c>
      <c r="E306" s="6">
        <f>Original!V296</f>
        <v>9</v>
      </c>
      <c r="F306" s="6">
        <f t="shared" si="24"/>
        <v>0.05</v>
      </c>
      <c r="G306">
        <f t="shared" si="25"/>
        <v>864.82000000000016</v>
      </c>
      <c r="H306">
        <f t="shared" si="26"/>
        <v>9</v>
      </c>
      <c r="I306">
        <f t="shared" si="27"/>
        <v>9193.8149999999987</v>
      </c>
      <c r="J306">
        <f t="shared" si="28"/>
        <v>1410.4349999999977</v>
      </c>
      <c r="K306">
        <f t="shared" si="29"/>
        <v>7783.380000000001</v>
      </c>
    </row>
    <row r="307" spans="1:11" x14ac:dyDescent="0.25">
      <c r="A307" t="str">
        <f>Original!A297</f>
        <v>ORD-2025-398335</v>
      </c>
      <c r="B307">
        <f>Original!R297</f>
        <v>1362.31</v>
      </c>
      <c r="C307">
        <f>Original!S297</f>
        <v>3294.57</v>
      </c>
      <c r="D307" s="6">
        <f>Original!T297</f>
        <v>0.113</v>
      </c>
      <c r="E307" s="6">
        <f>Original!V297</f>
        <v>7</v>
      </c>
      <c r="F307" s="6">
        <f t="shared" si="24"/>
        <v>0.05</v>
      </c>
      <c r="G307">
        <f t="shared" si="25"/>
        <v>1498.5410000000002</v>
      </c>
      <c r="H307">
        <f t="shared" si="26"/>
        <v>7</v>
      </c>
      <c r="I307">
        <f t="shared" si="27"/>
        <v>21908.890500000001</v>
      </c>
      <c r="J307">
        <f t="shared" si="28"/>
        <v>11419.103500000001</v>
      </c>
      <c r="K307">
        <f t="shared" si="29"/>
        <v>10489.787</v>
      </c>
    </row>
    <row r="308" spans="1:11" x14ac:dyDescent="0.25">
      <c r="A308" t="str">
        <f>Original!A298</f>
        <v>ORD-2024-792137</v>
      </c>
      <c r="B308">
        <f>Original!R298</f>
        <v>248.24</v>
      </c>
      <c r="C308">
        <f>Original!S298</f>
        <v>464.05</v>
      </c>
      <c r="D308" s="6">
        <f>Original!T298</f>
        <v>0.16900000000000001</v>
      </c>
      <c r="E308" s="6">
        <f>Original!V298</f>
        <v>11</v>
      </c>
      <c r="F308" s="6">
        <f t="shared" si="24"/>
        <v>0.05</v>
      </c>
      <c r="G308">
        <f t="shared" si="25"/>
        <v>273.06400000000002</v>
      </c>
      <c r="H308">
        <f t="shared" si="26"/>
        <v>11</v>
      </c>
      <c r="I308">
        <f t="shared" si="27"/>
        <v>4849.3225000000002</v>
      </c>
      <c r="J308">
        <f t="shared" si="28"/>
        <v>1845.6185</v>
      </c>
      <c r="K308">
        <f t="shared" si="29"/>
        <v>3003.7040000000002</v>
      </c>
    </row>
    <row r="309" spans="1:11" x14ac:dyDescent="0.25">
      <c r="A309" t="str">
        <f>Original!A299</f>
        <v>ORD-2023-602648</v>
      </c>
      <c r="B309">
        <f>Original!R299</f>
        <v>337</v>
      </c>
      <c r="C309">
        <f>Original!S299</f>
        <v>511.03</v>
      </c>
      <c r="D309" s="6">
        <f>Original!T299</f>
        <v>0.108</v>
      </c>
      <c r="E309" s="6">
        <f>Original!V299</f>
        <v>7</v>
      </c>
      <c r="F309" s="6">
        <f t="shared" si="24"/>
        <v>0.05</v>
      </c>
      <c r="G309">
        <f t="shared" si="25"/>
        <v>370.70000000000005</v>
      </c>
      <c r="H309">
        <f t="shared" si="26"/>
        <v>7</v>
      </c>
      <c r="I309">
        <f t="shared" si="27"/>
        <v>3398.3494999999998</v>
      </c>
      <c r="J309">
        <f t="shared" si="28"/>
        <v>803.44949999999926</v>
      </c>
      <c r="K309">
        <f t="shared" si="29"/>
        <v>2594.9000000000005</v>
      </c>
    </row>
    <row r="310" spans="1:11" x14ac:dyDescent="0.25">
      <c r="A310" t="str">
        <f>Original!A300</f>
        <v>ORD-2024-207096</v>
      </c>
      <c r="B310">
        <f>Original!R300</f>
        <v>5.66</v>
      </c>
      <c r="C310">
        <f>Original!S300</f>
        <v>4.22</v>
      </c>
      <c r="D310" s="6">
        <f>Original!T300</f>
        <v>0.11899999999999999</v>
      </c>
      <c r="E310" s="6">
        <f>Original!V300</f>
        <v>18</v>
      </c>
      <c r="F310" s="6">
        <f t="shared" si="24"/>
        <v>0.05</v>
      </c>
      <c r="G310">
        <f t="shared" si="25"/>
        <v>6.2260000000000009</v>
      </c>
      <c r="H310">
        <f t="shared" si="26"/>
        <v>18</v>
      </c>
      <c r="I310">
        <f t="shared" si="27"/>
        <v>72.161999999999992</v>
      </c>
      <c r="J310">
        <f t="shared" si="28"/>
        <v>-39.90600000000002</v>
      </c>
      <c r="K310">
        <f t="shared" si="29"/>
        <v>112.06800000000001</v>
      </c>
    </row>
    <row r="311" spans="1:11" x14ac:dyDescent="0.25">
      <c r="A311" t="str">
        <f>Original!A301</f>
        <v>ORD-2025-939953</v>
      </c>
      <c r="B311">
        <f>Original!R301</f>
        <v>591.72</v>
      </c>
      <c r="C311">
        <f>Original!S301</f>
        <v>577.24</v>
      </c>
      <c r="D311" s="6">
        <f>Original!T301</f>
        <v>0</v>
      </c>
      <c r="E311" s="6">
        <f>Original!V301</f>
        <v>22</v>
      </c>
      <c r="F311" s="6">
        <f t="shared" si="24"/>
        <v>0</v>
      </c>
      <c r="G311">
        <f t="shared" si="25"/>
        <v>650.89200000000005</v>
      </c>
      <c r="H311">
        <f t="shared" si="26"/>
        <v>22</v>
      </c>
      <c r="I311">
        <f t="shared" si="27"/>
        <v>12699.28</v>
      </c>
      <c r="J311">
        <f t="shared" si="28"/>
        <v>-1620.344000000001</v>
      </c>
      <c r="K311">
        <f t="shared" si="29"/>
        <v>14319.624000000002</v>
      </c>
    </row>
    <row r="312" spans="1:11" x14ac:dyDescent="0.25">
      <c r="A312" t="str">
        <f>Original!A302</f>
        <v>ORD-2025-191328</v>
      </c>
      <c r="B312">
        <f>Original!R302</f>
        <v>862.89</v>
      </c>
      <c r="C312">
        <f>Original!S302</f>
        <v>1426.03</v>
      </c>
      <c r="D312" s="6">
        <f>Original!T302</f>
        <v>5.6000000000000001E-2</v>
      </c>
      <c r="E312" s="6">
        <f>Original!V302</f>
        <v>19</v>
      </c>
      <c r="F312" s="6">
        <f t="shared" si="24"/>
        <v>0.05</v>
      </c>
      <c r="G312">
        <f t="shared" si="25"/>
        <v>949.17900000000009</v>
      </c>
      <c r="H312">
        <f t="shared" si="26"/>
        <v>19</v>
      </c>
      <c r="I312">
        <f t="shared" si="27"/>
        <v>25739.841499999999</v>
      </c>
      <c r="J312">
        <f t="shared" si="28"/>
        <v>7705.440499999997</v>
      </c>
      <c r="K312">
        <f t="shared" si="29"/>
        <v>18034.401000000002</v>
      </c>
    </row>
    <row r="313" spans="1:11" x14ac:dyDescent="0.25">
      <c r="A313" t="str">
        <f>Original!A303</f>
        <v>ORD-2023-166668</v>
      </c>
      <c r="B313">
        <f>Original!R303</f>
        <v>649.91</v>
      </c>
      <c r="C313">
        <f>Original!S303</f>
        <v>1360.12</v>
      </c>
      <c r="D313" s="6">
        <f>Original!T303</f>
        <v>0.19400000000000001</v>
      </c>
      <c r="E313" s="6">
        <f>Original!V303</f>
        <v>9</v>
      </c>
      <c r="F313" s="6">
        <f t="shared" si="24"/>
        <v>0.05</v>
      </c>
      <c r="G313">
        <f t="shared" si="25"/>
        <v>714.90100000000007</v>
      </c>
      <c r="H313">
        <f t="shared" si="26"/>
        <v>9</v>
      </c>
      <c r="I313">
        <f t="shared" si="27"/>
        <v>11629.025999999998</v>
      </c>
      <c r="J313">
        <f t="shared" si="28"/>
        <v>5194.9169999999976</v>
      </c>
      <c r="K313">
        <f t="shared" si="29"/>
        <v>6434.1090000000004</v>
      </c>
    </row>
    <row r="314" spans="1:11" x14ac:dyDescent="0.25">
      <c r="A314" t="str">
        <f>Original!A304</f>
        <v>ORD-2023-594700</v>
      </c>
      <c r="B314">
        <f>Original!R304</f>
        <v>1269.55</v>
      </c>
      <c r="C314">
        <f>Original!S304</f>
        <v>2071.1</v>
      </c>
      <c r="D314" s="6">
        <f>Original!T304</f>
        <v>0.129</v>
      </c>
      <c r="E314" s="6">
        <f>Original!V304</f>
        <v>22</v>
      </c>
      <c r="F314" s="6">
        <f t="shared" si="24"/>
        <v>0.05</v>
      </c>
      <c r="G314">
        <f t="shared" si="25"/>
        <v>1396.5050000000001</v>
      </c>
      <c r="H314">
        <f t="shared" si="26"/>
        <v>22</v>
      </c>
      <c r="I314">
        <f t="shared" si="27"/>
        <v>43285.99</v>
      </c>
      <c r="J314">
        <f t="shared" si="28"/>
        <v>12562.879999999997</v>
      </c>
      <c r="K314">
        <f t="shared" si="29"/>
        <v>30723.11</v>
      </c>
    </row>
    <row r="315" spans="1:11" x14ac:dyDescent="0.25">
      <c r="A315" t="str">
        <f>Original!A305</f>
        <v>ORD-2025-278048</v>
      </c>
      <c r="B315">
        <f>Original!R305</f>
        <v>892.73</v>
      </c>
      <c r="C315">
        <f>Original!S305</f>
        <v>979.84</v>
      </c>
      <c r="D315" s="6">
        <f>Original!T305</f>
        <v>0.17399999999999999</v>
      </c>
      <c r="E315" s="6">
        <f>Original!V305</f>
        <v>10</v>
      </c>
      <c r="F315" s="6">
        <f t="shared" si="24"/>
        <v>0.05</v>
      </c>
      <c r="G315">
        <f t="shared" si="25"/>
        <v>982.00300000000004</v>
      </c>
      <c r="H315">
        <f t="shared" si="26"/>
        <v>10</v>
      </c>
      <c r="I315">
        <f t="shared" si="27"/>
        <v>9308.48</v>
      </c>
      <c r="J315">
        <f t="shared" si="28"/>
        <v>-511.55000000000109</v>
      </c>
      <c r="K315">
        <f t="shared" si="29"/>
        <v>9820.0300000000007</v>
      </c>
    </row>
    <row r="316" spans="1:11" x14ac:dyDescent="0.25">
      <c r="A316" t="str">
        <f>Original!A306</f>
        <v>ORD-2024-878493</v>
      </c>
      <c r="B316">
        <f>Original!R306</f>
        <v>231.63</v>
      </c>
      <c r="C316">
        <f>Original!S306</f>
        <v>537.39</v>
      </c>
      <c r="D316" s="6">
        <f>Original!T306</f>
        <v>0.08</v>
      </c>
      <c r="E316" s="6">
        <f>Original!V306</f>
        <v>12</v>
      </c>
      <c r="F316" s="6">
        <f t="shared" si="24"/>
        <v>0.05</v>
      </c>
      <c r="G316">
        <f t="shared" si="25"/>
        <v>254.79300000000001</v>
      </c>
      <c r="H316">
        <f t="shared" si="26"/>
        <v>12</v>
      </c>
      <c r="I316">
        <f t="shared" si="27"/>
        <v>6126.2460000000001</v>
      </c>
      <c r="J316">
        <f t="shared" si="28"/>
        <v>3068.73</v>
      </c>
      <c r="K316">
        <f t="shared" si="29"/>
        <v>3057.5160000000001</v>
      </c>
    </row>
    <row r="317" spans="1:11" x14ac:dyDescent="0.25">
      <c r="A317" t="str">
        <f>Original!A307</f>
        <v>ORD-2025-138578</v>
      </c>
      <c r="B317">
        <f>Original!R307</f>
        <v>86.68</v>
      </c>
      <c r="C317">
        <f>Original!S307</f>
        <v>213.32</v>
      </c>
      <c r="D317" s="6">
        <f>Original!T307</f>
        <v>3.7999999999999999E-2</v>
      </c>
      <c r="E317" s="6">
        <f>Original!V307</f>
        <v>8</v>
      </c>
      <c r="F317" s="6">
        <f t="shared" si="24"/>
        <v>3.7999999999999999E-2</v>
      </c>
      <c r="G317">
        <f t="shared" si="25"/>
        <v>95.348000000000013</v>
      </c>
      <c r="H317">
        <f t="shared" si="26"/>
        <v>8</v>
      </c>
      <c r="I317">
        <f t="shared" si="27"/>
        <v>1641.7107199999998</v>
      </c>
      <c r="J317">
        <f t="shared" si="28"/>
        <v>878.9267199999997</v>
      </c>
      <c r="K317">
        <f t="shared" si="29"/>
        <v>762.78400000000011</v>
      </c>
    </row>
    <row r="318" spans="1:11" x14ac:dyDescent="0.25">
      <c r="A318" t="str">
        <f>Original!A308</f>
        <v>ORD-2025-944081</v>
      </c>
      <c r="B318">
        <f>Original!R308</f>
        <v>1450.43</v>
      </c>
      <c r="C318">
        <f>Original!S308</f>
        <v>1994.67</v>
      </c>
      <c r="D318" s="6">
        <f>Original!T308</f>
        <v>0.1</v>
      </c>
      <c r="E318" s="6">
        <f>Original!V308</f>
        <v>24</v>
      </c>
      <c r="F318" s="6">
        <f t="shared" si="24"/>
        <v>0.05</v>
      </c>
      <c r="G318">
        <f t="shared" si="25"/>
        <v>1595.4730000000002</v>
      </c>
      <c r="H318">
        <f t="shared" si="26"/>
        <v>24</v>
      </c>
      <c r="I318">
        <f t="shared" si="27"/>
        <v>45478.476000000002</v>
      </c>
      <c r="J318">
        <f t="shared" si="28"/>
        <v>7187.1239999999962</v>
      </c>
      <c r="K318">
        <f t="shared" si="29"/>
        <v>38291.352000000006</v>
      </c>
    </row>
    <row r="319" spans="1:11" x14ac:dyDescent="0.25">
      <c r="A319" t="str">
        <f>Original!A309</f>
        <v>ORD-2025-364852</v>
      </c>
      <c r="B319">
        <f>Original!R309</f>
        <v>382.96</v>
      </c>
      <c r="C319">
        <f>Original!S309</f>
        <v>552.84</v>
      </c>
      <c r="D319" s="6">
        <f>Original!T309</f>
        <v>0.17599999999999999</v>
      </c>
      <c r="E319" s="6">
        <f>Original!V309</f>
        <v>8</v>
      </c>
      <c r="F319" s="6">
        <f t="shared" si="24"/>
        <v>0.05</v>
      </c>
      <c r="G319">
        <f t="shared" si="25"/>
        <v>421.25600000000003</v>
      </c>
      <c r="H319">
        <f t="shared" si="26"/>
        <v>8</v>
      </c>
      <c r="I319">
        <f t="shared" si="27"/>
        <v>4201.5839999999998</v>
      </c>
      <c r="J319">
        <f t="shared" si="28"/>
        <v>831.5359999999996</v>
      </c>
      <c r="K319">
        <f t="shared" si="29"/>
        <v>3370.0480000000002</v>
      </c>
    </row>
    <row r="320" spans="1:11" x14ac:dyDescent="0.25">
      <c r="A320" t="str">
        <f>Original!A310</f>
        <v>ORD-2025-415018</v>
      </c>
      <c r="B320">
        <f>Original!R310</f>
        <v>122.29</v>
      </c>
      <c r="C320">
        <f>Original!S310</f>
        <v>224.95</v>
      </c>
      <c r="D320" s="6">
        <f>Original!T310</f>
        <v>0.153</v>
      </c>
      <c r="E320" s="6">
        <f>Original!V310</f>
        <v>28</v>
      </c>
      <c r="F320" s="6">
        <f t="shared" si="24"/>
        <v>0.05</v>
      </c>
      <c r="G320">
        <f t="shared" si="25"/>
        <v>134.51900000000001</v>
      </c>
      <c r="H320">
        <f t="shared" si="26"/>
        <v>28</v>
      </c>
      <c r="I320">
        <f t="shared" si="27"/>
        <v>5983.6699999999992</v>
      </c>
      <c r="J320">
        <f t="shared" si="28"/>
        <v>2217.137999999999</v>
      </c>
      <c r="K320">
        <f t="shared" si="29"/>
        <v>3766.5320000000002</v>
      </c>
    </row>
    <row r="321" spans="1:11" x14ac:dyDescent="0.25">
      <c r="A321" t="str">
        <f>Original!A311</f>
        <v>ORD-2023-884192</v>
      </c>
      <c r="B321">
        <f>Original!R311</f>
        <v>401.66</v>
      </c>
      <c r="C321">
        <f>Original!S311</f>
        <v>772.09</v>
      </c>
      <c r="D321" s="6">
        <f>Original!T311</f>
        <v>8.8999999999999996E-2</v>
      </c>
      <c r="E321" s="6">
        <f>Original!V311</f>
        <v>14</v>
      </c>
      <c r="F321" s="6">
        <f t="shared" si="24"/>
        <v>0.05</v>
      </c>
      <c r="G321">
        <f t="shared" si="25"/>
        <v>441.82600000000008</v>
      </c>
      <c r="H321">
        <f t="shared" si="26"/>
        <v>14</v>
      </c>
      <c r="I321">
        <f t="shared" si="27"/>
        <v>10268.797</v>
      </c>
      <c r="J321">
        <f t="shared" si="28"/>
        <v>4083.2329999999993</v>
      </c>
      <c r="K321">
        <f t="shared" si="29"/>
        <v>6185.5640000000012</v>
      </c>
    </row>
    <row r="322" spans="1:11" x14ac:dyDescent="0.25">
      <c r="A322" t="str">
        <f>Original!A312</f>
        <v>ORD-2024-165942</v>
      </c>
      <c r="B322">
        <f>Original!R312</f>
        <v>1399.72</v>
      </c>
      <c r="C322">
        <f>Original!S312</f>
        <v>3149.21</v>
      </c>
      <c r="D322" s="6">
        <f>Original!T312</f>
        <v>0.185</v>
      </c>
      <c r="E322" s="6">
        <f>Original!V312</f>
        <v>12</v>
      </c>
      <c r="F322" s="6">
        <f t="shared" si="24"/>
        <v>0.05</v>
      </c>
      <c r="G322">
        <f t="shared" si="25"/>
        <v>1539.6920000000002</v>
      </c>
      <c r="H322">
        <f t="shared" si="26"/>
        <v>12</v>
      </c>
      <c r="I322">
        <f t="shared" si="27"/>
        <v>35900.993999999999</v>
      </c>
      <c r="J322">
        <f t="shared" si="28"/>
        <v>17424.689999999995</v>
      </c>
      <c r="K322">
        <f t="shared" si="29"/>
        <v>18476.304000000004</v>
      </c>
    </row>
    <row r="323" spans="1:11" x14ac:dyDescent="0.25">
      <c r="A323" t="str">
        <f>Original!A313</f>
        <v>ORD-2024-403664</v>
      </c>
      <c r="B323">
        <f>Original!R313</f>
        <v>51.13</v>
      </c>
      <c r="C323">
        <f>Original!S313</f>
        <v>57.53</v>
      </c>
      <c r="D323" s="6">
        <f>Original!T313</f>
        <v>4.4999999999999998E-2</v>
      </c>
      <c r="E323" s="6">
        <f>Original!V313</f>
        <v>16</v>
      </c>
      <c r="F323" s="6">
        <f t="shared" si="24"/>
        <v>4.4999999999999998E-2</v>
      </c>
      <c r="G323">
        <f t="shared" si="25"/>
        <v>56.243000000000009</v>
      </c>
      <c r="H323">
        <f t="shared" si="26"/>
        <v>16</v>
      </c>
      <c r="I323">
        <f t="shared" si="27"/>
        <v>879.05840000000001</v>
      </c>
      <c r="J323">
        <f t="shared" si="28"/>
        <v>-20.829600000000141</v>
      </c>
      <c r="K323">
        <f t="shared" si="29"/>
        <v>899.88800000000015</v>
      </c>
    </row>
    <row r="324" spans="1:11" x14ac:dyDescent="0.25">
      <c r="A324" t="str">
        <f>Original!A314</f>
        <v>ORD-2023-890605</v>
      </c>
      <c r="B324">
        <f>Original!R314</f>
        <v>471.42</v>
      </c>
      <c r="C324">
        <f>Original!S314</f>
        <v>824.81</v>
      </c>
      <c r="D324" s="6">
        <f>Original!T314</f>
        <v>8.7999999999999995E-2</v>
      </c>
      <c r="E324" s="6">
        <f>Original!V314</f>
        <v>15</v>
      </c>
      <c r="F324" s="6">
        <f t="shared" si="24"/>
        <v>0.05</v>
      </c>
      <c r="G324">
        <f t="shared" si="25"/>
        <v>518.56200000000001</v>
      </c>
      <c r="H324">
        <f t="shared" si="26"/>
        <v>15</v>
      </c>
      <c r="I324">
        <f t="shared" si="27"/>
        <v>11753.5425</v>
      </c>
      <c r="J324">
        <f t="shared" si="28"/>
        <v>3975.1124999999993</v>
      </c>
      <c r="K324">
        <f t="shared" si="29"/>
        <v>7778.43</v>
      </c>
    </row>
    <row r="325" spans="1:11" x14ac:dyDescent="0.25">
      <c r="A325" t="str">
        <f>Original!A315</f>
        <v>ORD-2024-925626</v>
      </c>
      <c r="B325">
        <f>Original!R315</f>
        <v>840.68</v>
      </c>
      <c r="C325">
        <f>Original!S315</f>
        <v>1493.53</v>
      </c>
      <c r="D325" s="6">
        <f>Original!T315</f>
        <v>0</v>
      </c>
      <c r="E325" s="6">
        <f>Original!V315</f>
        <v>27</v>
      </c>
      <c r="F325" s="6">
        <f t="shared" si="24"/>
        <v>0</v>
      </c>
      <c r="G325">
        <f t="shared" si="25"/>
        <v>924.74800000000005</v>
      </c>
      <c r="H325">
        <f t="shared" si="26"/>
        <v>27</v>
      </c>
      <c r="I325">
        <f t="shared" si="27"/>
        <v>40325.31</v>
      </c>
      <c r="J325">
        <f t="shared" si="28"/>
        <v>15357.113999999998</v>
      </c>
      <c r="K325">
        <f t="shared" si="29"/>
        <v>24968.196</v>
      </c>
    </row>
    <row r="326" spans="1:11" x14ac:dyDescent="0.25">
      <c r="A326" t="str">
        <f>Original!A316</f>
        <v>ORD-2024-427031</v>
      </c>
      <c r="B326">
        <f>Original!R316</f>
        <v>597.85</v>
      </c>
      <c r="C326">
        <f>Original!S316</f>
        <v>741.92</v>
      </c>
      <c r="D326" s="6">
        <f>Original!T316</f>
        <v>3.1E-2</v>
      </c>
      <c r="E326" s="6">
        <f>Original!V316</f>
        <v>7</v>
      </c>
      <c r="F326" s="6">
        <f t="shared" si="24"/>
        <v>3.1E-2</v>
      </c>
      <c r="G326">
        <f t="shared" si="25"/>
        <v>657.6350000000001</v>
      </c>
      <c r="H326">
        <f t="shared" si="26"/>
        <v>7</v>
      </c>
      <c r="I326">
        <f t="shared" si="27"/>
        <v>5032.4433599999993</v>
      </c>
      <c r="J326">
        <f t="shared" si="28"/>
        <v>428.99835999999868</v>
      </c>
      <c r="K326">
        <f t="shared" si="29"/>
        <v>4603.4450000000006</v>
      </c>
    </row>
    <row r="327" spans="1:11" x14ac:dyDescent="0.25">
      <c r="A327" t="str">
        <f>Original!A317</f>
        <v>ORD-2025-231184</v>
      </c>
      <c r="B327">
        <f>Original!R317</f>
        <v>379.45</v>
      </c>
      <c r="C327">
        <f>Original!S317</f>
        <v>742.23</v>
      </c>
      <c r="D327" s="6">
        <f>Original!T317</f>
        <v>0.09</v>
      </c>
      <c r="E327" s="6">
        <f>Original!V317</f>
        <v>13</v>
      </c>
      <c r="F327" s="6">
        <f t="shared" si="24"/>
        <v>0.05</v>
      </c>
      <c r="G327">
        <f t="shared" si="25"/>
        <v>417.39500000000004</v>
      </c>
      <c r="H327">
        <f t="shared" si="26"/>
        <v>13</v>
      </c>
      <c r="I327">
        <f t="shared" si="27"/>
        <v>9166.5404999999992</v>
      </c>
      <c r="J327">
        <f t="shared" si="28"/>
        <v>3740.4054999999989</v>
      </c>
      <c r="K327">
        <f t="shared" si="29"/>
        <v>5426.1350000000002</v>
      </c>
    </row>
    <row r="328" spans="1:11" x14ac:dyDescent="0.25">
      <c r="A328" t="str">
        <f>Original!A318</f>
        <v>ORD-2023-363031</v>
      </c>
      <c r="B328">
        <f>Original!R318</f>
        <v>291.18</v>
      </c>
      <c r="C328">
        <f>Original!S318</f>
        <v>479.54</v>
      </c>
      <c r="D328" s="6">
        <f>Original!T318</f>
        <v>0.14099999999999999</v>
      </c>
      <c r="E328" s="6">
        <f>Original!V318</f>
        <v>22</v>
      </c>
      <c r="F328" s="6">
        <f t="shared" si="24"/>
        <v>0.05</v>
      </c>
      <c r="G328">
        <f t="shared" si="25"/>
        <v>320.29800000000006</v>
      </c>
      <c r="H328">
        <f t="shared" si="26"/>
        <v>22</v>
      </c>
      <c r="I328">
        <f t="shared" si="27"/>
        <v>10022.386</v>
      </c>
      <c r="J328">
        <f t="shared" si="28"/>
        <v>2975.829999999999</v>
      </c>
      <c r="K328">
        <f t="shared" si="29"/>
        <v>7046.5560000000014</v>
      </c>
    </row>
    <row r="329" spans="1:11" x14ac:dyDescent="0.25">
      <c r="A329" t="str">
        <f>Original!A319</f>
        <v>ORD-2023-619570</v>
      </c>
      <c r="B329">
        <f>Original!R319</f>
        <v>1017.92</v>
      </c>
      <c r="C329">
        <f>Original!S319</f>
        <v>1175.25</v>
      </c>
      <c r="D329" s="6">
        <f>Original!T319</f>
        <v>7.4999999999999997E-2</v>
      </c>
      <c r="E329" s="6">
        <f>Original!V319</f>
        <v>15</v>
      </c>
      <c r="F329" s="6">
        <f t="shared" si="24"/>
        <v>0.05</v>
      </c>
      <c r="G329">
        <f t="shared" si="25"/>
        <v>1119.712</v>
      </c>
      <c r="H329">
        <f t="shared" si="26"/>
        <v>15</v>
      </c>
      <c r="I329">
        <f t="shared" si="27"/>
        <v>16747.3125</v>
      </c>
      <c r="J329">
        <f t="shared" si="28"/>
        <v>-48.367500000000291</v>
      </c>
      <c r="K329">
        <f t="shared" si="29"/>
        <v>16795.68</v>
      </c>
    </row>
    <row r="330" spans="1:11" x14ac:dyDescent="0.25">
      <c r="A330" t="str">
        <f>Original!A320</f>
        <v>ORD-2025-861401</v>
      </c>
      <c r="B330">
        <f>Original!R320</f>
        <v>156.55000000000001</v>
      </c>
      <c r="C330">
        <f>Original!S320</f>
        <v>227.45</v>
      </c>
      <c r="D330" s="6">
        <f>Original!T320</f>
        <v>1.4E-2</v>
      </c>
      <c r="E330" s="6">
        <f>Original!V320</f>
        <v>13</v>
      </c>
      <c r="F330" s="6">
        <f t="shared" si="24"/>
        <v>1.4E-2</v>
      </c>
      <c r="G330">
        <f t="shared" si="25"/>
        <v>172.20500000000001</v>
      </c>
      <c r="H330">
        <f t="shared" si="26"/>
        <v>13</v>
      </c>
      <c r="I330">
        <f t="shared" si="27"/>
        <v>2915.4540999999999</v>
      </c>
      <c r="J330">
        <f t="shared" si="28"/>
        <v>676.78909999999996</v>
      </c>
      <c r="K330">
        <f t="shared" si="29"/>
        <v>2238.665</v>
      </c>
    </row>
    <row r="331" spans="1:11" x14ac:dyDescent="0.25">
      <c r="A331" t="str">
        <f>Original!A321</f>
        <v>ORD-2023-835010</v>
      </c>
      <c r="B331">
        <f>Original!R321</f>
        <v>875.36</v>
      </c>
      <c r="C331">
        <f>Original!S321</f>
        <v>1178.6199999999999</v>
      </c>
      <c r="D331" s="6">
        <f>Original!T321</f>
        <v>0.151</v>
      </c>
      <c r="E331" s="6">
        <f>Original!V321</f>
        <v>53</v>
      </c>
      <c r="F331" s="6">
        <f t="shared" si="24"/>
        <v>0.05</v>
      </c>
      <c r="G331">
        <f t="shared" si="25"/>
        <v>962.89600000000007</v>
      </c>
      <c r="H331">
        <f t="shared" si="26"/>
        <v>53</v>
      </c>
      <c r="I331">
        <f t="shared" si="27"/>
        <v>59343.516999999993</v>
      </c>
      <c r="J331">
        <f t="shared" si="28"/>
        <v>8310.0289999999877</v>
      </c>
      <c r="K331">
        <f t="shared" si="29"/>
        <v>51033.488000000005</v>
      </c>
    </row>
    <row r="332" spans="1:11" x14ac:dyDescent="0.25">
      <c r="A332" t="str">
        <f>Original!A322</f>
        <v>ORD-2024-819979</v>
      </c>
      <c r="B332">
        <f>Original!R322</f>
        <v>986.85</v>
      </c>
      <c r="C332">
        <f>Original!S322</f>
        <v>2422.1</v>
      </c>
      <c r="D332" s="6">
        <f>Original!T322</f>
        <v>7.5999999999999998E-2</v>
      </c>
      <c r="E332" s="6">
        <f>Original!V322</f>
        <v>10</v>
      </c>
      <c r="F332" s="6">
        <f t="shared" si="24"/>
        <v>0.05</v>
      </c>
      <c r="G332">
        <f t="shared" si="25"/>
        <v>1085.5350000000001</v>
      </c>
      <c r="H332">
        <f t="shared" si="26"/>
        <v>10</v>
      </c>
      <c r="I332">
        <f t="shared" si="27"/>
        <v>23009.95</v>
      </c>
      <c r="J332">
        <f t="shared" si="28"/>
        <v>12154.6</v>
      </c>
      <c r="K332">
        <f t="shared" si="29"/>
        <v>10855.35</v>
      </c>
    </row>
    <row r="333" spans="1:11" x14ac:dyDescent="0.25">
      <c r="A333" t="str">
        <f>Original!A323</f>
        <v>ORD-2024-719055</v>
      </c>
      <c r="B333">
        <f>Original!R323</f>
        <v>404.77</v>
      </c>
      <c r="C333">
        <f>Original!S323</f>
        <v>433.88</v>
      </c>
      <c r="D333" s="6">
        <f>Original!T323</f>
        <v>0.215</v>
      </c>
      <c r="E333" s="6">
        <f>Original!V323</f>
        <v>22</v>
      </c>
      <c r="F333" s="6">
        <f t="shared" si="24"/>
        <v>0.05</v>
      </c>
      <c r="G333">
        <f t="shared" si="25"/>
        <v>445.24700000000001</v>
      </c>
      <c r="H333">
        <f t="shared" si="26"/>
        <v>22</v>
      </c>
      <c r="I333">
        <f t="shared" si="27"/>
        <v>9068.0920000000006</v>
      </c>
      <c r="J333">
        <f t="shared" si="28"/>
        <v>-727.34200000000055</v>
      </c>
      <c r="K333">
        <f t="shared" si="29"/>
        <v>9795.4340000000011</v>
      </c>
    </row>
    <row r="334" spans="1:11" x14ac:dyDescent="0.25">
      <c r="A334" t="str">
        <f>Original!A324</f>
        <v>ORD-2023-888245</v>
      </c>
      <c r="B334">
        <f>Original!R324</f>
        <v>1299.81</v>
      </c>
      <c r="C334">
        <f>Original!S324</f>
        <v>3149.13</v>
      </c>
      <c r="D334" s="6">
        <f>Original!T324</f>
        <v>0.10299999999999999</v>
      </c>
      <c r="E334" s="6">
        <f>Original!V324</f>
        <v>14</v>
      </c>
      <c r="F334" s="6">
        <f t="shared" si="24"/>
        <v>0.05</v>
      </c>
      <c r="G334">
        <f t="shared" si="25"/>
        <v>1429.7910000000002</v>
      </c>
      <c r="H334">
        <f t="shared" si="26"/>
        <v>14</v>
      </c>
      <c r="I334">
        <f t="shared" si="27"/>
        <v>41883.428999999996</v>
      </c>
      <c r="J334">
        <f t="shared" si="28"/>
        <v>21866.354999999996</v>
      </c>
      <c r="K334">
        <f t="shared" si="29"/>
        <v>20017.074000000001</v>
      </c>
    </row>
    <row r="335" spans="1:11" x14ac:dyDescent="0.25">
      <c r="A335" t="str">
        <f>Original!A325</f>
        <v>ORD-2024-206121</v>
      </c>
      <c r="B335">
        <f>Original!R325</f>
        <v>80.48</v>
      </c>
      <c r="C335">
        <f>Original!S325</f>
        <v>65.650000000000006</v>
      </c>
      <c r="D335" s="6">
        <f>Original!T325</f>
        <v>0.17599999999999999</v>
      </c>
      <c r="E335" s="6">
        <f>Original!V325</f>
        <v>13</v>
      </c>
      <c r="F335" s="6">
        <f t="shared" si="24"/>
        <v>0.05</v>
      </c>
      <c r="G335">
        <f t="shared" si="25"/>
        <v>88.528000000000006</v>
      </c>
      <c r="H335">
        <f t="shared" si="26"/>
        <v>13</v>
      </c>
      <c r="I335">
        <f t="shared" si="27"/>
        <v>810.77750000000003</v>
      </c>
      <c r="J335">
        <f t="shared" si="28"/>
        <v>-340.0865</v>
      </c>
      <c r="K335">
        <f t="shared" si="29"/>
        <v>1150.864</v>
      </c>
    </row>
    <row r="336" spans="1:11" x14ac:dyDescent="0.25">
      <c r="A336" t="str">
        <f>Original!A326</f>
        <v>ORD-2024-500890</v>
      </c>
      <c r="B336">
        <f>Original!R326</f>
        <v>1010.33</v>
      </c>
      <c r="C336">
        <f>Original!S326</f>
        <v>2492.14</v>
      </c>
      <c r="D336" s="6">
        <f>Original!T326</f>
        <v>5.0999999999999997E-2</v>
      </c>
      <c r="E336" s="6">
        <f>Original!V326</f>
        <v>11</v>
      </c>
      <c r="F336" s="6">
        <f t="shared" si="24"/>
        <v>0.05</v>
      </c>
      <c r="G336">
        <f t="shared" si="25"/>
        <v>1111.3630000000001</v>
      </c>
      <c r="H336">
        <f t="shared" si="26"/>
        <v>11</v>
      </c>
      <c r="I336">
        <f t="shared" si="27"/>
        <v>26042.862999999998</v>
      </c>
      <c r="J336">
        <f t="shared" si="28"/>
        <v>13817.869999999997</v>
      </c>
      <c r="K336">
        <f t="shared" si="29"/>
        <v>12224.993</v>
      </c>
    </row>
    <row r="337" spans="1:11" x14ac:dyDescent="0.25">
      <c r="A337" t="str">
        <f>Original!A327</f>
        <v>ORD-2023-144816</v>
      </c>
      <c r="B337">
        <f>Original!R327</f>
        <v>653.86</v>
      </c>
      <c r="C337">
        <f>Original!S327</f>
        <v>931.84</v>
      </c>
      <c r="D337" s="6">
        <f>Original!T327</f>
        <v>0.121</v>
      </c>
      <c r="E337" s="6">
        <f>Original!V327</f>
        <v>12</v>
      </c>
      <c r="F337" s="6">
        <f t="shared" si="24"/>
        <v>0.05</v>
      </c>
      <c r="G337">
        <f t="shared" si="25"/>
        <v>719.24600000000009</v>
      </c>
      <c r="H337">
        <f t="shared" si="26"/>
        <v>12</v>
      </c>
      <c r="I337">
        <f t="shared" si="27"/>
        <v>10622.975999999999</v>
      </c>
      <c r="J337">
        <f t="shared" si="28"/>
        <v>1992.0239999999976</v>
      </c>
      <c r="K337">
        <f t="shared" si="29"/>
        <v>8630.9520000000011</v>
      </c>
    </row>
    <row r="338" spans="1:11" x14ac:dyDescent="0.25">
      <c r="A338" t="str">
        <f>Original!A328</f>
        <v>ORD-2024-153053</v>
      </c>
      <c r="B338">
        <f>Original!R328</f>
        <v>310.02</v>
      </c>
      <c r="C338">
        <f>Original!S328</f>
        <v>619.51</v>
      </c>
      <c r="D338" s="6">
        <f>Original!T328</f>
        <v>4.2000000000000003E-2</v>
      </c>
      <c r="E338" s="6">
        <f>Original!V328</f>
        <v>4</v>
      </c>
      <c r="F338" s="6">
        <f t="shared" si="24"/>
        <v>4.2000000000000003E-2</v>
      </c>
      <c r="G338">
        <f t="shared" si="25"/>
        <v>341.02199999999999</v>
      </c>
      <c r="H338">
        <f t="shared" si="26"/>
        <v>4</v>
      </c>
      <c r="I338">
        <f t="shared" si="27"/>
        <v>2373.9623200000001</v>
      </c>
      <c r="J338">
        <f t="shared" si="28"/>
        <v>1009.8743200000001</v>
      </c>
      <c r="K338">
        <f t="shared" si="29"/>
        <v>1364.088</v>
      </c>
    </row>
    <row r="339" spans="1:11" x14ac:dyDescent="0.25">
      <c r="A339" t="str">
        <f>Original!A329</f>
        <v>ORD-2023-536542</v>
      </c>
      <c r="B339">
        <f>Original!R329</f>
        <v>894.23</v>
      </c>
      <c r="C339">
        <f>Original!S329</f>
        <v>1421.55</v>
      </c>
      <c r="D339" s="6">
        <f>Original!T329</f>
        <v>0.109</v>
      </c>
      <c r="E339" s="6">
        <f>Original!V329</f>
        <v>3</v>
      </c>
      <c r="F339" s="6">
        <f t="shared" si="24"/>
        <v>0.05</v>
      </c>
      <c r="G339">
        <f t="shared" si="25"/>
        <v>983.65300000000013</v>
      </c>
      <c r="H339">
        <f t="shared" si="26"/>
        <v>3</v>
      </c>
      <c r="I339">
        <f t="shared" si="27"/>
        <v>4051.4174999999996</v>
      </c>
      <c r="J339">
        <f t="shared" si="28"/>
        <v>1100.4584999999993</v>
      </c>
      <c r="K339">
        <f t="shared" si="29"/>
        <v>2950.9590000000003</v>
      </c>
    </row>
    <row r="340" spans="1:11" x14ac:dyDescent="0.25">
      <c r="A340" t="str">
        <f>Original!A330</f>
        <v>ORD-2025-779530</v>
      </c>
      <c r="B340">
        <f>Original!R330</f>
        <v>383.77</v>
      </c>
      <c r="C340">
        <f>Original!S330</f>
        <v>952.56</v>
      </c>
      <c r="D340" s="6">
        <f>Original!T330</f>
        <v>0.34599999999999997</v>
      </c>
      <c r="E340" s="6">
        <f>Original!V330</f>
        <v>10</v>
      </c>
      <c r="F340" s="6">
        <f t="shared" si="24"/>
        <v>0.05</v>
      </c>
      <c r="G340">
        <f t="shared" si="25"/>
        <v>422.14699999999999</v>
      </c>
      <c r="H340">
        <f t="shared" si="26"/>
        <v>10</v>
      </c>
      <c r="I340">
        <f t="shared" si="27"/>
        <v>9049.3199999999979</v>
      </c>
      <c r="J340">
        <f t="shared" si="28"/>
        <v>4827.8499999999976</v>
      </c>
      <c r="K340">
        <f t="shared" si="29"/>
        <v>4221.47</v>
      </c>
    </row>
    <row r="341" spans="1:11" x14ac:dyDescent="0.25">
      <c r="A341" t="str">
        <f>Original!A331</f>
        <v>ORD-2023-163610</v>
      </c>
      <c r="B341">
        <f>Original!R331</f>
        <v>1373.31</v>
      </c>
      <c r="C341">
        <f>Original!S331</f>
        <v>3154.14</v>
      </c>
      <c r="D341" s="6">
        <f>Original!T331</f>
        <v>0.2</v>
      </c>
      <c r="E341" s="6">
        <f>Original!V331</f>
        <v>11</v>
      </c>
      <c r="F341" s="6">
        <f t="shared" si="24"/>
        <v>0.05</v>
      </c>
      <c r="G341">
        <f t="shared" si="25"/>
        <v>1510.6410000000001</v>
      </c>
      <c r="H341">
        <f t="shared" si="26"/>
        <v>11</v>
      </c>
      <c r="I341">
        <f t="shared" si="27"/>
        <v>32960.762999999999</v>
      </c>
      <c r="J341">
        <f t="shared" si="28"/>
        <v>16343.712</v>
      </c>
      <c r="K341">
        <f t="shared" si="29"/>
        <v>16617.050999999999</v>
      </c>
    </row>
    <row r="342" spans="1:11" x14ac:dyDescent="0.25">
      <c r="A342" t="str">
        <f>Original!A332</f>
        <v>ORD-2025-653781</v>
      </c>
      <c r="B342">
        <f>Original!R332</f>
        <v>100.69</v>
      </c>
      <c r="C342">
        <f>Original!S332</f>
        <v>226.14</v>
      </c>
      <c r="D342" s="6">
        <f>Original!T332</f>
        <v>6.5000000000000002E-2</v>
      </c>
      <c r="E342" s="6">
        <f>Original!V332</f>
        <v>12</v>
      </c>
      <c r="F342" s="6">
        <f t="shared" si="24"/>
        <v>0.05</v>
      </c>
      <c r="G342">
        <f t="shared" si="25"/>
        <v>110.759</v>
      </c>
      <c r="H342">
        <f t="shared" si="26"/>
        <v>12</v>
      </c>
      <c r="I342">
        <f t="shared" si="27"/>
        <v>2577.9959999999996</v>
      </c>
      <c r="J342">
        <f t="shared" si="28"/>
        <v>1248.8879999999997</v>
      </c>
      <c r="K342">
        <f t="shared" si="29"/>
        <v>1329.1079999999999</v>
      </c>
    </row>
    <row r="343" spans="1:11" x14ac:dyDescent="0.25">
      <c r="A343" t="str">
        <f>Original!A333</f>
        <v>ORD-2025-737787</v>
      </c>
      <c r="B343">
        <f>Original!R333</f>
        <v>425.15</v>
      </c>
      <c r="C343">
        <f>Original!S333</f>
        <v>885.92</v>
      </c>
      <c r="D343" s="6">
        <f>Original!T333</f>
        <v>0.23899999999999999</v>
      </c>
      <c r="E343" s="6">
        <f>Original!V333</f>
        <v>13</v>
      </c>
      <c r="F343" s="6">
        <f t="shared" si="24"/>
        <v>0.05</v>
      </c>
      <c r="G343">
        <f t="shared" si="25"/>
        <v>467.66500000000002</v>
      </c>
      <c r="H343">
        <f t="shared" si="26"/>
        <v>13</v>
      </c>
      <c r="I343">
        <f t="shared" si="27"/>
        <v>10941.111999999999</v>
      </c>
      <c r="J343">
        <f t="shared" si="28"/>
        <v>4861.4669999999987</v>
      </c>
      <c r="K343">
        <f t="shared" si="29"/>
        <v>6079.6450000000004</v>
      </c>
    </row>
    <row r="344" spans="1:11" x14ac:dyDescent="0.25">
      <c r="A344" t="str">
        <f>Original!A334</f>
        <v>ORD-2023-944052</v>
      </c>
      <c r="B344">
        <f>Original!R334</f>
        <v>1082.25</v>
      </c>
      <c r="C344">
        <f>Original!S334</f>
        <v>2433.34</v>
      </c>
      <c r="D344" s="6">
        <f>Original!T334</f>
        <v>0.27</v>
      </c>
      <c r="E344" s="6">
        <f>Original!V334</f>
        <v>4</v>
      </c>
      <c r="F344" s="6">
        <f t="shared" si="24"/>
        <v>0.05</v>
      </c>
      <c r="G344">
        <f t="shared" si="25"/>
        <v>1190.4750000000001</v>
      </c>
      <c r="H344">
        <f t="shared" si="26"/>
        <v>4</v>
      </c>
      <c r="I344">
        <f t="shared" si="27"/>
        <v>9246.6920000000009</v>
      </c>
      <c r="J344">
        <f t="shared" si="28"/>
        <v>4484.7920000000004</v>
      </c>
      <c r="K344">
        <f t="shared" si="29"/>
        <v>4761.9000000000005</v>
      </c>
    </row>
    <row r="345" spans="1:11" x14ac:dyDescent="0.25">
      <c r="A345" t="str">
        <f>Original!A335</f>
        <v>ORD-2023-181257</v>
      </c>
      <c r="B345">
        <f>Original!R335</f>
        <v>1184.99</v>
      </c>
      <c r="C345">
        <f>Original!S335</f>
        <v>1154.3399999999999</v>
      </c>
      <c r="D345" s="6">
        <f>Original!T335</f>
        <v>2.8000000000000001E-2</v>
      </c>
      <c r="E345" s="6">
        <f>Original!V335</f>
        <v>5</v>
      </c>
      <c r="F345" s="6">
        <f t="shared" si="24"/>
        <v>2.8000000000000001E-2</v>
      </c>
      <c r="G345">
        <f t="shared" si="25"/>
        <v>1303.489</v>
      </c>
      <c r="H345">
        <f t="shared" si="26"/>
        <v>5</v>
      </c>
      <c r="I345">
        <f t="shared" si="27"/>
        <v>5610.0923999999995</v>
      </c>
      <c r="J345">
        <f t="shared" si="28"/>
        <v>-907.35260000000017</v>
      </c>
      <c r="K345">
        <f t="shared" si="29"/>
        <v>6517.4449999999997</v>
      </c>
    </row>
    <row r="346" spans="1:11" x14ac:dyDescent="0.25">
      <c r="A346" t="str">
        <f>Original!A336</f>
        <v>ORD-2025-323492</v>
      </c>
      <c r="B346">
        <f>Original!R336</f>
        <v>481.32</v>
      </c>
      <c r="C346">
        <f>Original!S336</f>
        <v>1135.99</v>
      </c>
      <c r="D346" s="6">
        <f>Original!T336</f>
        <v>0.14499999999999999</v>
      </c>
      <c r="E346" s="6">
        <f>Original!V336</f>
        <v>5</v>
      </c>
      <c r="F346" s="6">
        <f t="shared" si="24"/>
        <v>0.05</v>
      </c>
      <c r="G346">
        <f t="shared" si="25"/>
        <v>529.452</v>
      </c>
      <c r="H346">
        <f t="shared" si="26"/>
        <v>5</v>
      </c>
      <c r="I346">
        <f t="shared" si="27"/>
        <v>5395.9524999999994</v>
      </c>
      <c r="J346">
        <f t="shared" si="28"/>
        <v>2748.6924999999992</v>
      </c>
      <c r="K346">
        <f t="shared" si="29"/>
        <v>2647.26</v>
      </c>
    </row>
    <row r="347" spans="1:11" x14ac:dyDescent="0.25">
      <c r="A347" t="str">
        <f>Original!A337</f>
        <v>ORD-2024-332076</v>
      </c>
      <c r="B347">
        <f>Original!R337</f>
        <v>1288.8499999999999</v>
      </c>
      <c r="C347">
        <f>Original!S337</f>
        <v>2751.84</v>
      </c>
      <c r="D347" s="6">
        <f>Original!T337</f>
        <v>0.158</v>
      </c>
      <c r="E347" s="6">
        <f>Original!V337</f>
        <v>7</v>
      </c>
      <c r="F347" s="6">
        <f t="shared" si="24"/>
        <v>0.05</v>
      </c>
      <c r="G347">
        <f t="shared" si="25"/>
        <v>1417.7350000000001</v>
      </c>
      <c r="H347">
        <f t="shared" si="26"/>
        <v>7</v>
      </c>
      <c r="I347">
        <f t="shared" si="27"/>
        <v>18299.736000000001</v>
      </c>
      <c r="J347">
        <f t="shared" si="28"/>
        <v>8375.5910000000003</v>
      </c>
      <c r="K347">
        <f t="shared" si="29"/>
        <v>9924.1450000000004</v>
      </c>
    </row>
    <row r="348" spans="1:11" x14ac:dyDescent="0.25">
      <c r="A348" t="str">
        <f>Original!A338</f>
        <v>ORD-2024-571797</v>
      </c>
      <c r="B348">
        <f>Original!R338</f>
        <v>647.26</v>
      </c>
      <c r="C348">
        <f>Original!S338</f>
        <v>1374.72</v>
      </c>
      <c r="D348" s="6">
        <f>Original!T338</f>
        <v>6.6000000000000003E-2</v>
      </c>
      <c r="E348" s="6">
        <f>Original!V338</f>
        <v>22</v>
      </c>
      <c r="F348" s="6">
        <f t="shared" si="24"/>
        <v>0.05</v>
      </c>
      <c r="G348">
        <f t="shared" si="25"/>
        <v>711.9860000000001</v>
      </c>
      <c r="H348">
        <f t="shared" si="26"/>
        <v>22</v>
      </c>
      <c r="I348">
        <f t="shared" si="27"/>
        <v>28731.647999999997</v>
      </c>
      <c r="J348">
        <f t="shared" si="28"/>
        <v>13067.955999999995</v>
      </c>
      <c r="K348">
        <f t="shared" si="29"/>
        <v>15663.692000000003</v>
      </c>
    </row>
    <row r="349" spans="1:11" x14ac:dyDescent="0.25">
      <c r="A349" t="str">
        <f>Original!A339</f>
        <v>ORD-2024-129345</v>
      </c>
      <c r="B349">
        <f>Original!R339</f>
        <v>624.23</v>
      </c>
      <c r="C349">
        <f>Original!S339</f>
        <v>1318.37</v>
      </c>
      <c r="D349" s="6">
        <f>Original!T339</f>
        <v>0.21</v>
      </c>
      <c r="E349" s="6">
        <f>Original!V339</f>
        <v>37</v>
      </c>
      <c r="F349" s="6">
        <f t="shared" si="24"/>
        <v>0.05</v>
      </c>
      <c r="G349">
        <f t="shared" si="25"/>
        <v>686.65300000000002</v>
      </c>
      <c r="H349">
        <f t="shared" si="26"/>
        <v>37</v>
      </c>
      <c r="I349">
        <f t="shared" si="27"/>
        <v>46340.705499999996</v>
      </c>
      <c r="J349">
        <f t="shared" si="28"/>
        <v>20934.544499999996</v>
      </c>
      <c r="K349">
        <f t="shared" si="29"/>
        <v>25406.161</v>
      </c>
    </row>
    <row r="350" spans="1:11" x14ac:dyDescent="0.25">
      <c r="A350" t="str">
        <f>Original!A340</f>
        <v>ORD-2023-660608</v>
      </c>
      <c r="B350">
        <f>Original!R340</f>
        <v>506.83</v>
      </c>
      <c r="C350">
        <f>Original!S340</f>
        <v>441.74</v>
      </c>
      <c r="D350" s="6">
        <f>Original!T340</f>
        <v>0.24</v>
      </c>
      <c r="E350" s="6">
        <f>Original!V340</f>
        <v>9</v>
      </c>
      <c r="F350" s="6">
        <f t="shared" si="24"/>
        <v>0.05</v>
      </c>
      <c r="G350">
        <f t="shared" si="25"/>
        <v>557.51300000000003</v>
      </c>
      <c r="H350">
        <f t="shared" si="26"/>
        <v>9</v>
      </c>
      <c r="I350">
        <f t="shared" si="27"/>
        <v>3776.8769999999995</v>
      </c>
      <c r="J350">
        <f t="shared" si="28"/>
        <v>-1240.7400000000007</v>
      </c>
      <c r="K350">
        <f t="shared" si="29"/>
        <v>5017.6170000000002</v>
      </c>
    </row>
    <row r="351" spans="1:11" x14ac:dyDescent="0.25">
      <c r="A351" t="str">
        <f>Original!A341</f>
        <v>ORD-2023-825084</v>
      </c>
      <c r="B351">
        <f>Original!R341</f>
        <v>620.74</v>
      </c>
      <c r="C351">
        <f>Original!S341</f>
        <v>1330.07</v>
      </c>
      <c r="D351" s="6">
        <f>Original!T341</f>
        <v>0.29899999999999999</v>
      </c>
      <c r="E351" s="6">
        <f>Original!V341</f>
        <v>28</v>
      </c>
      <c r="F351" s="6">
        <f t="shared" si="24"/>
        <v>0.05</v>
      </c>
      <c r="G351">
        <f t="shared" si="25"/>
        <v>682.81400000000008</v>
      </c>
      <c r="H351">
        <f t="shared" si="26"/>
        <v>28</v>
      </c>
      <c r="I351">
        <f t="shared" si="27"/>
        <v>35379.862000000001</v>
      </c>
      <c r="J351">
        <f t="shared" si="28"/>
        <v>16261.07</v>
      </c>
      <c r="K351">
        <f t="shared" si="29"/>
        <v>19118.792000000001</v>
      </c>
    </row>
    <row r="352" spans="1:11" x14ac:dyDescent="0.25">
      <c r="A352" t="str">
        <f>Original!A342</f>
        <v>ORD-2023-261081</v>
      </c>
      <c r="B352">
        <f>Original!R342</f>
        <v>661.45</v>
      </c>
      <c r="C352">
        <f>Original!S342</f>
        <v>1634.86</v>
      </c>
      <c r="D352" s="6">
        <f>Original!T342</f>
        <v>0.56499999999999995</v>
      </c>
      <c r="E352" s="6">
        <f>Original!V342</f>
        <v>24</v>
      </c>
      <c r="F352" s="6">
        <f t="shared" ref="F352:F415" si="30">MIN(D352,$B$2)</f>
        <v>0.05</v>
      </c>
      <c r="G352">
        <f t="shared" ref="G352:G415" si="31">B352*(1+$B$3)</f>
        <v>727.59500000000014</v>
      </c>
      <c r="H352">
        <f t="shared" ref="H352:H415" si="32">E352*(1+$B$4)</f>
        <v>24</v>
      </c>
      <c r="I352">
        <f t="shared" ref="I352:I415" si="33">C352*H352*(1-F352)</f>
        <v>37274.807999999997</v>
      </c>
      <c r="J352">
        <f t="shared" ref="J352:J415" si="34">I352-K352</f>
        <v>19812.527999999995</v>
      </c>
      <c r="K352">
        <f t="shared" ref="K352:K415" si="35">G352*H352</f>
        <v>17462.280000000002</v>
      </c>
    </row>
    <row r="353" spans="1:11" x14ac:dyDescent="0.25">
      <c r="A353" t="str">
        <f>Original!A343</f>
        <v>ORD-2023-766015</v>
      </c>
      <c r="B353">
        <f>Original!R343</f>
        <v>32.1</v>
      </c>
      <c r="C353">
        <f>Original!S343</f>
        <v>70.599999999999994</v>
      </c>
      <c r="D353" s="6">
        <f>Original!T343</f>
        <v>0.28199999999999997</v>
      </c>
      <c r="E353" s="6">
        <f>Original!V343</f>
        <v>22</v>
      </c>
      <c r="F353" s="6">
        <f t="shared" si="30"/>
        <v>0.05</v>
      </c>
      <c r="G353">
        <f t="shared" si="31"/>
        <v>35.31</v>
      </c>
      <c r="H353">
        <f t="shared" si="32"/>
        <v>22</v>
      </c>
      <c r="I353">
        <f t="shared" si="33"/>
        <v>1475.5399999999997</v>
      </c>
      <c r="J353">
        <f t="shared" si="34"/>
        <v>698.71999999999969</v>
      </c>
      <c r="K353">
        <f t="shared" si="35"/>
        <v>776.82</v>
      </c>
    </row>
    <row r="354" spans="1:11" x14ac:dyDescent="0.25">
      <c r="A354" t="str">
        <f>Original!A344</f>
        <v>ORD-2024-333192</v>
      </c>
      <c r="B354">
        <f>Original!R344</f>
        <v>805.81</v>
      </c>
      <c r="C354">
        <f>Original!S344</f>
        <v>1823.04</v>
      </c>
      <c r="D354" s="6">
        <f>Original!T344</f>
        <v>0</v>
      </c>
      <c r="E354" s="6">
        <f>Original!V344</f>
        <v>11</v>
      </c>
      <c r="F354" s="6">
        <f t="shared" si="30"/>
        <v>0</v>
      </c>
      <c r="G354">
        <f t="shared" si="31"/>
        <v>886.39099999999996</v>
      </c>
      <c r="H354">
        <f t="shared" si="32"/>
        <v>11</v>
      </c>
      <c r="I354">
        <f t="shared" si="33"/>
        <v>20053.439999999999</v>
      </c>
      <c r="J354">
        <f t="shared" si="34"/>
        <v>10303.138999999999</v>
      </c>
      <c r="K354">
        <f t="shared" si="35"/>
        <v>9750.3009999999995</v>
      </c>
    </row>
    <row r="355" spans="1:11" x14ac:dyDescent="0.25">
      <c r="A355" t="str">
        <f>Original!A345</f>
        <v>ORD-2024-647473</v>
      </c>
      <c r="B355">
        <f>Original!R345</f>
        <v>1231.8</v>
      </c>
      <c r="C355">
        <f>Original!S345</f>
        <v>2015.99</v>
      </c>
      <c r="D355" s="6">
        <f>Original!T345</f>
        <v>0.26100000000000001</v>
      </c>
      <c r="E355" s="6">
        <f>Original!V345</f>
        <v>6</v>
      </c>
      <c r="F355" s="6">
        <f t="shared" si="30"/>
        <v>0.05</v>
      </c>
      <c r="G355">
        <f t="shared" si="31"/>
        <v>1354.98</v>
      </c>
      <c r="H355">
        <f t="shared" si="32"/>
        <v>6</v>
      </c>
      <c r="I355">
        <f t="shared" si="33"/>
        <v>11491.143</v>
      </c>
      <c r="J355">
        <f t="shared" si="34"/>
        <v>3361.2629999999999</v>
      </c>
      <c r="K355">
        <f t="shared" si="35"/>
        <v>8129.88</v>
      </c>
    </row>
    <row r="356" spans="1:11" x14ac:dyDescent="0.25">
      <c r="A356" t="str">
        <f>Original!A346</f>
        <v>ORD-2024-892908</v>
      </c>
      <c r="B356">
        <f>Original!R346</f>
        <v>105.13</v>
      </c>
      <c r="C356">
        <f>Original!S346</f>
        <v>244.13</v>
      </c>
      <c r="D356" s="6">
        <f>Original!T346</f>
        <v>7.0999999999999994E-2</v>
      </c>
      <c r="E356" s="6">
        <f>Original!V346</f>
        <v>14</v>
      </c>
      <c r="F356" s="6">
        <f t="shared" si="30"/>
        <v>0.05</v>
      </c>
      <c r="G356">
        <f t="shared" si="31"/>
        <v>115.643</v>
      </c>
      <c r="H356">
        <f t="shared" si="32"/>
        <v>14</v>
      </c>
      <c r="I356">
        <f t="shared" si="33"/>
        <v>3246.9289999999996</v>
      </c>
      <c r="J356">
        <f t="shared" si="34"/>
        <v>1627.9269999999997</v>
      </c>
      <c r="K356">
        <f t="shared" si="35"/>
        <v>1619.002</v>
      </c>
    </row>
    <row r="357" spans="1:11" x14ac:dyDescent="0.25">
      <c r="A357" t="str">
        <f>Original!A347</f>
        <v>ORD-2023-573146</v>
      </c>
      <c r="B357">
        <f>Original!R347</f>
        <v>1495.79</v>
      </c>
      <c r="C357">
        <f>Original!S347</f>
        <v>2783.12</v>
      </c>
      <c r="D357" s="6">
        <f>Original!T347</f>
        <v>0.02</v>
      </c>
      <c r="E357" s="6">
        <f>Original!V347</f>
        <v>5</v>
      </c>
      <c r="F357" s="6">
        <f t="shared" si="30"/>
        <v>0.02</v>
      </c>
      <c r="G357">
        <f t="shared" si="31"/>
        <v>1645.3690000000001</v>
      </c>
      <c r="H357">
        <f t="shared" si="32"/>
        <v>5</v>
      </c>
      <c r="I357">
        <f t="shared" si="33"/>
        <v>13637.287999999999</v>
      </c>
      <c r="J357">
        <f t="shared" si="34"/>
        <v>5410.4429999999975</v>
      </c>
      <c r="K357">
        <f t="shared" si="35"/>
        <v>8226.8450000000012</v>
      </c>
    </row>
    <row r="358" spans="1:11" x14ac:dyDescent="0.25">
      <c r="A358" t="str">
        <f>Original!A348</f>
        <v>ORD-2024-901115</v>
      </c>
      <c r="B358">
        <f>Original!R348</f>
        <v>986.81</v>
      </c>
      <c r="C358">
        <f>Original!S348</f>
        <v>2050.31</v>
      </c>
      <c r="D358" s="6">
        <f>Original!T348</f>
        <v>0.10299999999999999</v>
      </c>
      <c r="E358" s="6">
        <f>Original!V348</f>
        <v>43</v>
      </c>
      <c r="F358" s="6">
        <f t="shared" si="30"/>
        <v>0.05</v>
      </c>
      <c r="G358">
        <f t="shared" si="31"/>
        <v>1085.491</v>
      </c>
      <c r="H358">
        <f t="shared" si="32"/>
        <v>43</v>
      </c>
      <c r="I358">
        <f t="shared" si="33"/>
        <v>83755.163499999995</v>
      </c>
      <c r="J358">
        <f t="shared" si="34"/>
        <v>37079.050499999998</v>
      </c>
      <c r="K358">
        <f t="shared" si="35"/>
        <v>46676.112999999998</v>
      </c>
    </row>
    <row r="359" spans="1:11" x14ac:dyDescent="0.25">
      <c r="A359" t="str">
        <f>Original!A349</f>
        <v>ORD-2023-898009</v>
      </c>
      <c r="B359">
        <f>Original!R349</f>
        <v>77.739999999999995</v>
      </c>
      <c r="C359">
        <f>Original!S349</f>
        <v>147.12</v>
      </c>
      <c r="D359" s="6">
        <f>Original!T349</f>
        <v>0</v>
      </c>
      <c r="E359" s="6">
        <f>Original!V349</f>
        <v>15</v>
      </c>
      <c r="F359" s="6">
        <f t="shared" si="30"/>
        <v>0</v>
      </c>
      <c r="G359">
        <f t="shared" si="31"/>
        <v>85.513999999999996</v>
      </c>
      <c r="H359">
        <f t="shared" si="32"/>
        <v>15</v>
      </c>
      <c r="I359">
        <f t="shared" si="33"/>
        <v>2206.8000000000002</v>
      </c>
      <c r="J359">
        <f t="shared" si="34"/>
        <v>924.09000000000015</v>
      </c>
      <c r="K359">
        <f t="shared" si="35"/>
        <v>1282.71</v>
      </c>
    </row>
    <row r="360" spans="1:11" x14ac:dyDescent="0.25">
      <c r="A360" t="str">
        <f>Original!A350</f>
        <v>ORD-2023-208944</v>
      </c>
      <c r="B360">
        <f>Original!R350</f>
        <v>932.61</v>
      </c>
      <c r="C360">
        <f>Original!S350</f>
        <v>1982.98</v>
      </c>
      <c r="D360" s="6">
        <f>Original!T350</f>
        <v>0.14399999999999999</v>
      </c>
      <c r="E360" s="6">
        <f>Original!V350</f>
        <v>16</v>
      </c>
      <c r="F360" s="6">
        <f t="shared" si="30"/>
        <v>0.05</v>
      </c>
      <c r="G360">
        <f t="shared" si="31"/>
        <v>1025.8710000000001</v>
      </c>
      <c r="H360">
        <f t="shared" si="32"/>
        <v>16</v>
      </c>
      <c r="I360">
        <f t="shared" si="33"/>
        <v>30141.295999999998</v>
      </c>
      <c r="J360">
        <f t="shared" si="34"/>
        <v>13727.359999999997</v>
      </c>
      <c r="K360">
        <f t="shared" si="35"/>
        <v>16413.936000000002</v>
      </c>
    </row>
    <row r="361" spans="1:11" x14ac:dyDescent="0.25">
      <c r="A361" t="str">
        <f>Original!A351</f>
        <v>ORD-2025-480172</v>
      </c>
      <c r="B361">
        <f>Original!R351</f>
        <v>982.93</v>
      </c>
      <c r="C361">
        <f>Original!S351</f>
        <v>2299.3000000000002</v>
      </c>
      <c r="D361" s="6">
        <f>Original!T351</f>
        <v>0.113</v>
      </c>
      <c r="E361" s="6">
        <f>Original!V351</f>
        <v>6</v>
      </c>
      <c r="F361" s="6">
        <f t="shared" si="30"/>
        <v>0.05</v>
      </c>
      <c r="G361">
        <f t="shared" si="31"/>
        <v>1081.223</v>
      </c>
      <c r="H361">
        <f t="shared" si="32"/>
        <v>6</v>
      </c>
      <c r="I361">
        <f t="shared" si="33"/>
        <v>13106.01</v>
      </c>
      <c r="J361">
        <f t="shared" si="34"/>
        <v>6618.6720000000005</v>
      </c>
      <c r="K361">
        <f t="shared" si="35"/>
        <v>6487.3379999999997</v>
      </c>
    </row>
    <row r="362" spans="1:11" x14ac:dyDescent="0.25">
      <c r="A362" t="str">
        <f>Original!A352</f>
        <v>ORD-2023-735274</v>
      </c>
      <c r="B362">
        <f>Original!R352</f>
        <v>307.37</v>
      </c>
      <c r="C362">
        <f>Original!S352</f>
        <v>462.61</v>
      </c>
      <c r="D362" s="6">
        <f>Original!T352</f>
        <v>0.188</v>
      </c>
      <c r="E362" s="6">
        <f>Original!V352</f>
        <v>11</v>
      </c>
      <c r="F362" s="6">
        <f t="shared" si="30"/>
        <v>0.05</v>
      </c>
      <c r="G362">
        <f t="shared" si="31"/>
        <v>338.10700000000003</v>
      </c>
      <c r="H362">
        <f t="shared" si="32"/>
        <v>11</v>
      </c>
      <c r="I362">
        <f t="shared" si="33"/>
        <v>4834.2744999999995</v>
      </c>
      <c r="J362">
        <f t="shared" si="34"/>
        <v>1115.0974999999994</v>
      </c>
      <c r="K362">
        <f t="shared" si="35"/>
        <v>3719.1770000000001</v>
      </c>
    </row>
    <row r="363" spans="1:11" x14ac:dyDescent="0.25">
      <c r="A363" t="str">
        <f>Original!A353</f>
        <v>ORD-2023-212701</v>
      </c>
      <c r="B363">
        <f>Original!R353</f>
        <v>879.08</v>
      </c>
      <c r="C363">
        <f>Original!S353</f>
        <v>1093.3900000000001</v>
      </c>
      <c r="D363" s="6">
        <f>Original!T353</f>
        <v>0.113</v>
      </c>
      <c r="E363" s="6">
        <f>Original!V353</f>
        <v>17</v>
      </c>
      <c r="F363" s="6">
        <f t="shared" si="30"/>
        <v>0.05</v>
      </c>
      <c r="G363">
        <f t="shared" si="31"/>
        <v>966.98800000000017</v>
      </c>
      <c r="H363">
        <f t="shared" si="32"/>
        <v>17</v>
      </c>
      <c r="I363">
        <f t="shared" si="33"/>
        <v>17658.248500000002</v>
      </c>
      <c r="J363">
        <f t="shared" si="34"/>
        <v>1219.4524999999994</v>
      </c>
      <c r="K363">
        <f t="shared" si="35"/>
        <v>16438.796000000002</v>
      </c>
    </row>
    <row r="364" spans="1:11" x14ac:dyDescent="0.25">
      <c r="A364" t="str">
        <f>Original!A354</f>
        <v>ORD-2023-479747</v>
      </c>
      <c r="B364">
        <f>Original!R354</f>
        <v>956.38</v>
      </c>
      <c r="C364">
        <f>Original!S354</f>
        <v>1454.22</v>
      </c>
      <c r="D364" s="6">
        <f>Original!T354</f>
        <v>3.9E-2</v>
      </c>
      <c r="E364" s="6">
        <f>Original!V354</f>
        <v>19</v>
      </c>
      <c r="F364" s="6">
        <f t="shared" si="30"/>
        <v>3.9E-2</v>
      </c>
      <c r="G364">
        <f t="shared" si="31"/>
        <v>1052.018</v>
      </c>
      <c r="H364">
        <f t="shared" si="32"/>
        <v>19</v>
      </c>
      <c r="I364">
        <f t="shared" si="33"/>
        <v>26552.60298</v>
      </c>
      <c r="J364">
        <f t="shared" si="34"/>
        <v>6564.2609799999991</v>
      </c>
      <c r="K364">
        <f t="shared" si="35"/>
        <v>19988.342000000001</v>
      </c>
    </row>
    <row r="365" spans="1:11" x14ac:dyDescent="0.25">
      <c r="A365" t="str">
        <f>Original!A355</f>
        <v>ORD-2024-915495</v>
      </c>
      <c r="B365">
        <f>Original!R355</f>
        <v>1233.3599999999999</v>
      </c>
      <c r="C365">
        <f>Original!S355</f>
        <v>2120.4</v>
      </c>
      <c r="D365" s="6">
        <f>Original!T355</f>
        <v>0.17899999999999999</v>
      </c>
      <c r="E365" s="6">
        <f>Original!V355</f>
        <v>20</v>
      </c>
      <c r="F365" s="6">
        <f t="shared" si="30"/>
        <v>0.05</v>
      </c>
      <c r="G365">
        <f t="shared" si="31"/>
        <v>1356.6959999999999</v>
      </c>
      <c r="H365">
        <f t="shared" si="32"/>
        <v>20</v>
      </c>
      <c r="I365">
        <f t="shared" si="33"/>
        <v>40287.599999999999</v>
      </c>
      <c r="J365">
        <f t="shared" si="34"/>
        <v>13153.68</v>
      </c>
      <c r="K365">
        <f t="shared" si="35"/>
        <v>27133.919999999998</v>
      </c>
    </row>
    <row r="366" spans="1:11" x14ac:dyDescent="0.25">
      <c r="A366" t="str">
        <f>Original!A356</f>
        <v>ORD-2024-225829</v>
      </c>
      <c r="B366">
        <f>Original!R356</f>
        <v>55.35</v>
      </c>
      <c r="C366">
        <f>Original!S356</f>
        <v>128.68</v>
      </c>
      <c r="D366" s="6">
        <f>Original!T356</f>
        <v>0.128</v>
      </c>
      <c r="E366" s="6">
        <f>Original!V356</f>
        <v>10</v>
      </c>
      <c r="F366" s="6">
        <f t="shared" si="30"/>
        <v>0.05</v>
      </c>
      <c r="G366">
        <f t="shared" si="31"/>
        <v>60.885000000000005</v>
      </c>
      <c r="H366">
        <f t="shared" si="32"/>
        <v>10</v>
      </c>
      <c r="I366">
        <f t="shared" si="33"/>
        <v>1222.46</v>
      </c>
      <c r="J366">
        <f t="shared" si="34"/>
        <v>613.61</v>
      </c>
      <c r="K366">
        <f t="shared" si="35"/>
        <v>608.85</v>
      </c>
    </row>
    <row r="367" spans="1:11" x14ac:dyDescent="0.25">
      <c r="A367" t="str">
        <f>Original!A357</f>
        <v>ORD-2024-921935</v>
      </c>
      <c r="B367">
        <f>Original!R357</f>
        <v>657.45</v>
      </c>
      <c r="C367">
        <f>Original!S357</f>
        <v>1325.96</v>
      </c>
      <c r="D367" s="6">
        <f>Original!T357</f>
        <v>0.16700000000000001</v>
      </c>
      <c r="E367" s="6">
        <f>Original!V357</f>
        <v>21</v>
      </c>
      <c r="F367" s="6">
        <f t="shared" si="30"/>
        <v>0.05</v>
      </c>
      <c r="G367">
        <f t="shared" si="31"/>
        <v>723.19500000000016</v>
      </c>
      <c r="H367">
        <f t="shared" si="32"/>
        <v>21</v>
      </c>
      <c r="I367">
        <f t="shared" si="33"/>
        <v>26452.901999999998</v>
      </c>
      <c r="J367">
        <f t="shared" si="34"/>
        <v>11265.806999999995</v>
      </c>
      <c r="K367">
        <f t="shared" si="35"/>
        <v>15187.095000000003</v>
      </c>
    </row>
    <row r="368" spans="1:11" x14ac:dyDescent="0.25">
      <c r="A368" t="str">
        <f>Original!A358</f>
        <v>ORD-2025-949776</v>
      </c>
      <c r="B368">
        <f>Original!R358</f>
        <v>1203.02</v>
      </c>
      <c r="C368">
        <f>Original!S358</f>
        <v>2439.33</v>
      </c>
      <c r="D368" s="6">
        <f>Original!T358</f>
        <v>0</v>
      </c>
      <c r="E368" s="6">
        <f>Original!V358</f>
        <v>18</v>
      </c>
      <c r="F368" s="6">
        <f t="shared" si="30"/>
        <v>0</v>
      </c>
      <c r="G368">
        <f t="shared" si="31"/>
        <v>1323.3220000000001</v>
      </c>
      <c r="H368">
        <f t="shared" si="32"/>
        <v>18</v>
      </c>
      <c r="I368">
        <f t="shared" si="33"/>
        <v>43907.94</v>
      </c>
      <c r="J368">
        <f t="shared" si="34"/>
        <v>20088.144</v>
      </c>
      <c r="K368">
        <f t="shared" si="35"/>
        <v>23819.796000000002</v>
      </c>
    </row>
    <row r="369" spans="1:11" x14ac:dyDescent="0.25">
      <c r="A369" t="str">
        <f>Original!A359</f>
        <v>ORD-2024-510591</v>
      </c>
      <c r="B369">
        <f>Original!R359</f>
        <v>1176.69</v>
      </c>
      <c r="C369">
        <f>Original!S359</f>
        <v>2201.54</v>
      </c>
      <c r="D369" s="6">
        <f>Original!T359</f>
        <v>0.17</v>
      </c>
      <c r="E369" s="6">
        <f>Original!V359</f>
        <v>27</v>
      </c>
      <c r="F369" s="6">
        <f t="shared" si="30"/>
        <v>0.05</v>
      </c>
      <c r="G369">
        <f t="shared" si="31"/>
        <v>1294.3590000000002</v>
      </c>
      <c r="H369">
        <f t="shared" si="32"/>
        <v>27</v>
      </c>
      <c r="I369">
        <f t="shared" si="33"/>
        <v>56469.500999999997</v>
      </c>
      <c r="J369">
        <f t="shared" si="34"/>
        <v>21521.80799999999</v>
      </c>
      <c r="K369">
        <f t="shared" si="35"/>
        <v>34947.693000000007</v>
      </c>
    </row>
    <row r="370" spans="1:11" x14ac:dyDescent="0.25">
      <c r="A370" t="str">
        <f>Original!A360</f>
        <v>ORD-2024-961756</v>
      </c>
      <c r="B370">
        <f>Original!R360</f>
        <v>769.9</v>
      </c>
      <c r="C370">
        <f>Original!S360</f>
        <v>814.36</v>
      </c>
      <c r="D370" s="6">
        <f>Original!T360</f>
        <v>0</v>
      </c>
      <c r="E370" s="6">
        <f>Original!V360</f>
        <v>5</v>
      </c>
      <c r="F370" s="6">
        <f t="shared" si="30"/>
        <v>0</v>
      </c>
      <c r="G370">
        <f t="shared" si="31"/>
        <v>846.8900000000001</v>
      </c>
      <c r="H370">
        <f t="shared" si="32"/>
        <v>5</v>
      </c>
      <c r="I370">
        <f t="shared" si="33"/>
        <v>4071.8</v>
      </c>
      <c r="J370">
        <f t="shared" si="34"/>
        <v>-162.65000000000055</v>
      </c>
      <c r="K370">
        <f t="shared" si="35"/>
        <v>4234.4500000000007</v>
      </c>
    </row>
    <row r="371" spans="1:11" x14ac:dyDescent="0.25">
      <c r="A371" t="str">
        <f>Original!A361</f>
        <v>ORD-2024-892173</v>
      </c>
      <c r="B371">
        <f>Original!R361</f>
        <v>666.23</v>
      </c>
      <c r="C371">
        <f>Original!S361</f>
        <v>1382.91</v>
      </c>
      <c r="D371" s="6">
        <f>Original!T361</f>
        <v>0.17599999999999999</v>
      </c>
      <c r="E371" s="6">
        <f>Original!V361</f>
        <v>13</v>
      </c>
      <c r="F371" s="6">
        <f t="shared" si="30"/>
        <v>0.05</v>
      </c>
      <c r="G371">
        <f t="shared" si="31"/>
        <v>732.85300000000007</v>
      </c>
      <c r="H371">
        <f t="shared" si="32"/>
        <v>13</v>
      </c>
      <c r="I371">
        <f t="shared" si="33"/>
        <v>17078.9385</v>
      </c>
      <c r="J371">
        <f t="shared" si="34"/>
        <v>7551.8495000000003</v>
      </c>
      <c r="K371">
        <f t="shared" si="35"/>
        <v>9527.0889999999999</v>
      </c>
    </row>
    <row r="372" spans="1:11" x14ac:dyDescent="0.25">
      <c r="A372" t="str">
        <f>Original!A362</f>
        <v>ORD-2024-704056</v>
      </c>
      <c r="B372">
        <f>Original!R362</f>
        <v>951.44</v>
      </c>
      <c r="C372">
        <f>Original!S362</f>
        <v>1646.43</v>
      </c>
      <c r="D372" s="6">
        <f>Original!T362</f>
        <v>0.11</v>
      </c>
      <c r="E372" s="6">
        <f>Original!V362</f>
        <v>24</v>
      </c>
      <c r="F372" s="6">
        <f t="shared" si="30"/>
        <v>0.05</v>
      </c>
      <c r="G372">
        <f t="shared" si="31"/>
        <v>1046.5840000000001</v>
      </c>
      <c r="H372">
        <f t="shared" si="32"/>
        <v>24</v>
      </c>
      <c r="I372">
        <f t="shared" si="33"/>
        <v>37538.603999999999</v>
      </c>
      <c r="J372">
        <f t="shared" si="34"/>
        <v>12420.587999999996</v>
      </c>
      <c r="K372">
        <f t="shared" si="35"/>
        <v>25118.016000000003</v>
      </c>
    </row>
    <row r="373" spans="1:11" x14ac:dyDescent="0.25">
      <c r="A373" t="str">
        <f>Original!A363</f>
        <v>ORD-2025-591006</v>
      </c>
      <c r="B373">
        <f>Original!R363</f>
        <v>546.83000000000004</v>
      </c>
      <c r="C373">
        <f>Original!S363</f>
        <v>400.84</v>
      </c>
      <c r="D373" s="6">
        <f>Original!T363</f>
        <v>7.8E-2</v>
      </c>
      <c r="E373" s="6">
        <f>Original!V363</f>
        <v>13</v>
      </c>
      <c r="F373" s="6">
        <f t="shared" si="30"/>
        <v>0.05</v>
      </c>
      <c r="G373">
        <f t="shared" si="31"/>
        <v>601.51300000000015</v>
      </c>
      <c r="H373">
        <f t="shared" si="32"/>
        <v>13</v>
      </c>
      <c r="I373">
        <f t="shared" si="33"/>
        <v>4950.3739999999998</v>
      </c>
      <c r="J373">
        <f t="shared" si="34"/>
        <v>-2869.2950000000019</v>
      </c>
      <c r="K373">
        <f t="shared" si="35"/>
        <v>7819.6690000000017</v>
      </c>
    </row>
    <row r="374" spans="1:11" x14ac:dyDescent="0.25">
      <c r="A374" t="str">
        <f>Original!A364</f>
        <v>ORD-2023-159821</v>
      </c>
      <c r="B374">
        <f>Original!R364</f>
        <v>834.26</v>
      </c>
      <c r="C374">
        <f>Original!S364</f>
        <v>1780.56</v>
      </c>
      <c r="D374" s="6">
        <f>Original!T364</f>
        <v>1.4E-2</v>
      </c>
      <c r="E374" s="6">
        <f>Original!V364</f>
        <v>47</v>
      </c>
      <c r="F374" s="6">
        <f t="shared" si="30"/>
        <v>1.4E-2</v>
      </c>
      <c r="G374">
        <f t="shared" si="31"/>
        <v>917.68600000000004</v>
      </c>
      <c r="H374">
        <f t="shared" si="32"/>
        <v>47</v>
      </c>
      <c r="I374">
        <f t="shared" si="33"/>
        <v>82514.711519999997</v>
      </c>
      <c r="J374">
        <f t="shared" si="34"/>
        <v>39383.469519999999</v>
      </c>
      <c r="K374">
        <f t="shared" si="35"/>
        <v>43131.241999999998</v>
      </c>
    </row>
    <row r="375" spans="1:11" x14ac:dyDescent="0.25">
      <c r="A375" t="str">
        <f>Original!A365</f>
        <v>ORD-2024-343877</v>
      </c>
      <c r="B375">
        <f>Original!R365</f>
        <v>1029.67</v>
      </c>
      <c r="C375">
        <f>Original!S365</f>
        <v>1118.43</v>
      </c>
      <c r="D375" s="6">
        <f>Original!T365</f>
        <v>0.27200000000000002</v>
      </c>
      <c r="E375" s="6">
        <f>Original!V365</f>
        <v>9</v>
      </c>
      <c r="F375" s="6">
        <f t="shared" si="30"/>
        <v>0.05</v>
      </c>
      <c r="G375">
        <f t="shared" si="31"/>
        <v>1132.6370000000002</v>
      </c>
      <c r="H375">
        <f t="shared" si="32"/>
        <v>9</v>
      </c>
      <c r="I375">
        <f t="shared" si="33"/>
        <v>9562.576500000001</v>
      </c>
      <c r="J375">
        <f t="shared" si="34"/>
        <v>-631.15650000000096</v>
      </c>
      <c r="K375">
        <f t="shared" si="35"/>
        <v>10193.733000000002</v>
      </c>
    </row>
    <row r="376" spans="1:11" x14ac:dyDescent="0.25">
      <c r="A376" t="str">
        <f>Original!A366</f>
        <v>ORD-2023-386663</v>
      </c>
      <c r="B376">
        <f>Original!R366</f>
        <v>605.82000000000005</v>
      </c>
      <c r="C376">
        <f>Original!S366</f>
        <v>771.12</v>
      </c>
      <c r="D376" s="6">
        <f>Original!T366</f>
        <v>0.13200000000000001</v>
      </c>
      <c r="E376" s="6">
        <f>Original!V366</f>
        <v>19</v>
      </c>
      <c r="F376" s="6">
        <f t="shared" si="30"/>
        <v>0.05</v>
      </c>
      <c r="G376">
        <f t="shared" si="31"/>
        <v>666.40200000000016</v>
      </c>
      <c r="H376">
        <f t="shared" si="32"/>
        <v>19</v>
      </c>
      <c r="I376">
        <f t="shared" si="33"/>
        <v>13918.716</v>
      </c>
      <c r="J376">
        <f t="shared" si="34"/>
        <v>1257.0779999999977</v>
      </c>
      <c r="K376">
        <f t="shared" si="35"/>
        <v>12661.638000000003</v>
      </c>
    </row>
    <row r="377" spans="1:11" x14ac:dyDescent="0.25">
      <c r="A377" t="str">
        <f>Original!A367</f>
        <v>ORD-2025-125517</v>
      </c>
      <c r="B377">
        <f>Original!R367</f>
        <v>1055.45</v>
      </c>
      <c r="C377">
        <f>Original!S367</f>
        <v>1210.04</v>
      </c>
      <c r="D377" s="6">
        <f>Original!T367</f>
        <v>8.9999999999999993E-3</v>
      </c>
      <c r="E377" s="6">
        <f>Original!V367</f>
        <v>18</v>
      </c>
      <c r="F377" s="6">
        <f t="shared" si="30"/>
        <v>8.9999999999999993E-3</v>
      </c>
      <c r="G377">
        <f t="shared" si="31"/>
        <v>1160.9950000000001</v>
      </c>
      <c r="H377">
        <f t="shared" si="32"/>
        <v>18</v>
      </c>
      <c r="I377">
        <f t="shared" si="33"/>
        <v>21584.693520000001</v>
      </c>
      <c r="J377">
        <f t="shared" si="34"/>
        <v>686.78351999999722</v>
      </c>
      <c r="K377">
        <f t="shared" si="35"/>
        <v>20897.910000000003</v>
      </c>
    </row>
    <row r="378" spans="1:11" x14ac:dyDescent="0.25">
      <c r="A378" t="str">
        <f>Original!A368</f>
        <v>ORD-2024-819778</v>
      </c>
      <c r="B378">
        <f>Original!R368</f>
        <v>1295.18</v>
      </c>
      <c r="C378">
        <f>Original!S368</f>
        <v>3024.03</v>
      </c>
      <c r="D378" s="6">
        <f>Original!T368</f>
        <v>0.192</v>
      </c>
      <c r="E378" s="6">
        <f>Original!V368</f>
        <v>8</v>
      </c>
      <c r="F378" s="6">
        <f t="shared" si="30"/>
        <v>0.05</v>
      </c>
      <c r="G378">
        <f t="shared" si="31"/>
        <v>1424.6980000000001</v>
      </c>
      <c r="H378">
        <f t="shared" si="32"/>
        <v>8</v>
      </c>
      <c r="I378">
        <f t="shared" si="33"/>
        <v>22982.628000000001</v>
      </c>
      <c r="J378">
        <f t="shared" si="34"/>
        <v>11585.044</v>
      </c>
      <c r="K378">
        <f t="shared" si="35"/>
        <v>11397.584000000001</v>
      </c>
    </row>
    <row r="379" spans="1:11" x14ac:dyDescent="0.25">
      <c r="A379" t="str">
        <f>Original!A369</f>
        <v>ORD-2025-624006</v>
      </c>
      <c r="B379">
        <f>Original!R369</f>
        <v>935.83</v>
      </c>
      <c r="C379">
        <f>Original!S369</f>
        <v>2303.46</v>
      </c>
      <c r="D379" s="6">
        <f>Original!T369</f>
        <v>0.105</v>
      </c>
      <c r="E379" s="6">
        <f>Original!V369</f>
        <v>9</v>
      </c>
      <c r="F379" s="6">
        <f t="shared" si="30"/>
        <v>0.05</v>
      </c>
      <c r="G379">
        <f t="shared" si="31"/>
        <v>1029.4130000000002</v>
      </c>
      <c r="H379">
        <f t="shared" si="32"/>
        <v>9</v>
      </c>
      <c r="I379">
        <f t="shared" si="33"/>
        <v>19694.582999999999</v>
      </c>
      <c r="J379">
        <f t="shared" si="34"/>
        <v>10429.865999999996</v>
      </c>
      <c r="K379">
        <f t="shared" si="35"/>
        <v>9264.7170000000024</v>
      </c>
    </row>
    <row r="380" spans="1:11" x14ac:dyDescent="0.25">
      <c r="A380" t="str">
        <f>Original!A370</f>
        <v>ORD-2023-132101</v>
      </c>
      <c r="B380">
        <f>Original!R370</f>
        <v>1279.56</v>
      </c>
      <c r="C380">
        <f>Original!S370</f>
        <v>3083.8</v>
      </c>
      <c r="D380" s="6">
        <f>Original!T370</f>
        <v>0.106</v>
      </c>
      <c r="E380" s="6">
        <f>Original!V370</f>
        <v>5</v>
      </c>
      <c r="F380" s="6">
        <f t="shared" si="30"/>
        <v>0.05</v>
      </c>
      <c r="G380">
        <f t="shared" si="31"/>
        <v>1407.5160000000001</v>
      </c>
      <c r="H380">
        <f t="shared" si="32"/>
        <v>5</v>
      </c>
      <c r="I380">
        <f t="shared" si="33"/>
        <v>14648.05</v>
      </c>
      <c r="J380">
        <f t="shared" si="34"/>
        <v>7610.4699999999993</v>
      </c>
      <c r="K380">
        <f t="shared" si="35"/>
        <v>7037.58</v>
      </c>
    </row>
    <row r="381" spans="1:11" x14ac:dyDescent="0.25">
      <c r="A381" t="str">
        <f>Original!A371</f>
        <v>ORD-2025-306903</v>
      </c>
      <c r="B381">
        <f>Original!R371</f>
        <v>255.4</v>
      </c>
      <c r="C381">
        <f>Original!S371</f>
        <v>322.70999999999998</v>
      </c>
      <c r="D381" s="6">
        <f>Original!T371</f>
        <v>0.115</v>
      </c>
      <c r="E381" s="6">
        <f>Original!V371</f>
        <v>16</v>
      </c>
      <c r="F381" s="6">
        <f t="shared" si="30"/>
        <v>0.05</v>
      </c>
      <c r="G381">
        <f t="shared" si="31"/>
        <v>280.94000000000005</v>
      </c>
      <c r="H381">
        <f t="shared" si="32"/>
        <v>16</v>
      </c>
      <c r="I381">
        <f t="shared" si="33"/>
        <v>4905.1919999999991</v>
      </c>
      <c r="J381">
        <f t="shared" si="34"/>
        <v>410.15199999999822</v>
      </c>
      <c r="K381">
        <f t="shared" si="35"/>
        <v>4495.0400000000009</v>
      </c>
    </row>
    <row r="382" spans="1:11" x14ac:dyDescent="0.25">
      <c r="A382" t="str">
        <f>Original!A372</f>
        <v>ORD-2023-813340</v>
      </c>
      <c r="B382">
        <f>Original!R372</f>
        <v>492.75</v>
      </c>
      <c r="C382">
        <f>Original!S372</f>
        <v>731.29</v>
      </c>
      <c r="D382" s="6">
        <f>Original!T372</f>
        <v>5.8000000000000003E-2</v>
      </c>
      <c r="E382" s="6">
        <f>Original!V372</f>
        <v>6</v>
      </c>
      <c r="F382" s="6">
        <f t="shared" si="30"/>
        <v>0.05</v>
      </c>
      <c r="G382">
        <f t="shared" si="31"/>
        <v>542.02500000000009</v>
      </c>
      <c r="H382">
        <f t="shared" si="32"/>
        <v>6</v>
      </c>
      <c r="I382">
        <f t="shared" si="33"/>
        <v>4168.3529999999992</v>
      </c>
      <c r="J382">
        <f t="shared" si="34"/>
        <v>916.20299999999861</v>
      </c>
      <c r="K382">
        <f t="shared" si="35"/>
        <v>3252.1500000000005</v>
      </c>
    </row>
    <row r="383" spans="1:11" x14ac:dyDescent="0.25">
      <c r="A383" t="str">
        <f>Original!A373</f>
        <v>ORD-2023-855675</v>
      </c>
      <c r="B383">
        <f>Original!R373</f>
        <v>1214.49</v>
      </c>
      <c r="C383">
        <f>Original!S373</f>
        <v>1533.95</v>
      </c>
      <c r="D383" s="6">
        <f>Original!T373</f>
        <v>0</v>
      </c>
      <c r="E383" s="6">
        <f>Original!V373</f>
        <v>11</v>
      </c>
      <c r="F383" s="6">
        <f t="shared" si="30"/>
        <v>0</v>
      </c>
      <c r="G383">
        <f t="shared" si="31"/>
        <v>1335.9390000000001</v>
      </c>
      <c r="H383">
        <f t="shared" si="32"/>
        <v>11</v>
      </c>
      <c r="I383">
        <f t="shared" si="33"/>
        <v>16873.45</v>
      </c>
      <c r="J383">
        <f t="shared" si="34"/>
        <v>2178.1209999999992</v>
      </c>
      <c r="K383">
        <f t="shared" si="35"/>
        <v>14695.329000000002</v>
      </c>
    </row>
    <row r="384" spans="1:11" x14ac:dyDescent="0.25">
      <c r="A384" t="str">
        <f>Original!A374</f>
        <v>ORD-2023-545150</v>
      </c>
      <c r="B384">
        <f>Original!R374</f>
        <v>720.35</v>
      </c>
      <c r="C384">
        <f>Original!S374</f>
        <v>1571.66</v>
      </c>
      <c r="D384" s="6">
        <f>Original!T374</f>
        <v>0.107</v>
      </c>
      <c r="E384" s="6">
        <f>Original!V374</f>
        <v>23</v>
      </c>
      <c r="F384" s="6">
        <f t="shared" si="30"/>
        <v>0.05</v>
      </c>
      <c r="G384">
        <f t="shared" si="31"/>
        <v>792.3850000000001</v>
      </c>
      <c r="H384">
        <f t="shared" si="32"/>
        <v>23</v>
      </c>
      <c r="I384">
        <f t="shared" si="33"/>
        <v>34340.771000000001</v>
      </c>
      <c r="J384">
        <f t="shared" si="34"/>
        <v>16115.915999999997</v>
      </c>
      <c r="K384">
        <f t="shared" si="35"/>
        <v>18224.855000000003</v>
      </c>
    </row>
    <row r="385" spans="1:11" x14ac:dyDescent="0.25">
      <c r="A385" t="str">
        <f>Original!A375</f>
        <v>ORD-2025-269934</v>
      </c>
      <c r="B385">
        <f>Original!R375</f>
        <v>290.14</v>
      </c>
      <c r="C385">
        <f>Original!S375</f>
        <v>250.73</v>
      </c>
      <c r="D385" s="6">
        <f>Original!T375</f>
        <v>3.4000000000000002E-2</v>
      </c>
      <c r="E385" s="6">
        <f>Original!V375</f>
        <v>17</v>
      </c>
      <c r="F385" s="6">
        <f t="shared" si="30"/>
        <v>3.4000000000000002E-2</v>
      </c>
      <c r="G385">
        <f t="shared" si="31"/>
        <v>319.154</v>
      </c>
      <c r="H385">
        <f t="shared" si="32"/>
        <v>17</v>
      </c>
      <c r="I385">
        <f t="shared" si="33"/>
        <v>4117.4880599999997</v>
      </c>
      <c r="J385">
        <f t="shared" si="34"/>
        <v>-1308.1299400000007</v>
      </c>
      <c r="K385">
        <f t="shared" si="35"/>
        <v>5425.6180000000004</v>
      </c>
    </row>
    <row r="386" spans="1:11" x14ac:dyDescent="0.25">
      <c r="A386" t="str">
        <f>Original!A376</f>
        <v>ORD-2024-690270</v>
      </c>
      <c r="B386">
        <f>Original!R376</f>
        <v>1484.23</v>
      </c>
      <c r="C386">
        <f>Original!S376</f>
        <v>3472.81</v>
      </c>
      <c r="D386" s="6">
        <f>Original!T376</f>
        <v>0.25600000000000001</v>
      </c>
      <c r="E386" s="6">
        <f>Original!V376</f>
        <v>12</v>
      </c>
      <c r="F386" s="6">
        <f t="shared" si="30"/>
        <v>0.05</v>
      </c>
      <c r="G386">
        <f t="shared" si="31"/>
        <v>1632.6530000000002</v>
      </c>
      <c r="H386">
        <f t="shared" si="32"/>
        <v>12</v>
      </c>
      <c r="I386">
        <f t="shared" si="33"/>
        <v>39590.034</v>
      </c>
      <c r="J386">
        <f t="shared" si="34"/>
        <v>19998.197999999997</v>
      </c>
      <c r="K386">
        <f t="shared" si="35"/>
        <v>19591.836000000003</v>
      </c>
    </row>
    <row r="387" spans="1:11" x14ac:dyDescent="0.25">
      <c r="A387" t="str">
        <f>Original!A377</f>
        <v>ORD-2024-868223</v>
      </c>
      <c r="B387">
        <f>Original!R377</f>
        <v>988.83</v>
      </c>
      <c r="C387">
        <f>Original!S377</f>
        <v>1206.04</v>
      </c>
      <c r="D387" s="6">
        <f>Original!T377</f>
        <v>6.3E-2</v>
      </c>
      <c r="E387" s="6">
        <f>Original!V377</f>
        <v>34</v>
      </c>
      <c r="F387" s="6">
        <f t="shared" si="30"/>
        <v>0.05</v>
      </c>
      <c r="G387">
        <f t="shared" si="31"/>
        <v>1087.7130000000002</v>
      </c>
      <c r="H387">
        <f t="shared" si="32"/>
        <v>34</v>
      </c>
      <c r="I387">
        <f t="shared" si="33"/>
        <v>38955.091999999997</v>
      </c>
      <c r="J387">
        <f t="shared" si="34"/>
        <v>1972.8499999999913</v>
      </c>
      <c r="K387">
        <f t="shared" si="35"/>
        <v>36982.242000000006</v>
      </c>
    </row>
    <row r="388" spans="1:11" x14ac:dyDescent="0.25">
      <c r="A388" t="str">
        <f>Original!A378</f>
        <v>ORD-2025-188059</v>
      </c>
      <c r="B388">
        <f>Original!R378</f>
        <v>1227.7</v>
      </c>
      <c r="C388">
        <f>Original!S378</f>
        <v>2197.23</v>
      </c>
      <c r="D388" s="6">
        <f>Original!T378</f>
        <v>9.9000000000000005E-2</v>
      </c>
      <c r="E388" s="6">
        <f>Original!V378</f>
        <v>22</v>
      </c>
      <c r="F388" s="6">
        <f t="shared" si="30"/>
        <v>0.05</v>
      </c>
      <c r="G388">
        <f t="shared" si="31"/>
        <v>1350.4700000000003</v>
      </c>
      <c r="H388">
        <f t="shared" si="32"/>
        <v>22</v>
      </c>
      <c r="I388">
        <f t="shared" si="33"/>
        <v>45922.106999999996</v>
      </c>
      <c r="J388">
        <f t="shared" si="34"/>
        <v>16211.766999999993</v>
      </c>
      <c r="K388">
        <f t="shared" si="35"/>
        <v>29710.340000000004</v>
      </c>
    </row>
    <row r="389" spans="1:11" x14ac:dyDescent="0.25">
      <c r="A389" t="str">
        <f>Original!A379</f>
        <v>ORD-2023-281890</v>
      </c>
      <c r="B389">
        <f>Original!R379</f>
        <v>1113.7</v>
      </c>
      <c r="C389">
        <f>Original!S379</f>
        <v>1620.6</v>
      </c>
      <c r="D389" s="6">
        <f>Original!T379</f>
        <v>0.13900000000000001</v>
      </c>
      <c r="E389" s="6">
        <f>Original!V379</f>
        <v>11</v>
      </c>
      <c r="F389" s="6">
        <f t="shared" si="30"/>
        <v>0.05</v>
      </c>
      <c r="G389">
        <f t="shared" si="31"/>
        <v>1225.0700000000002</v>
      </c>
      <c r="H389">
        <f t="shared" si="32"/>
        <v>11</v>
      </c>
      <c r="I389">
        <f t="shared" si="33"/>
        <v>16935.269999999997</v>
      </c>
      <c r="J389">
        <f t="shared" si="34"/>
        <v>3459.4999999999945</v>
      </c>
      <c r="K389">
        <f t="shared" si="35"/>
        <v>13475.770000000002</v>
      </c>
    </row>
    <row r="390" spans="1:11" x14ac:dyDescent="0.25">
      <c r="A390" t="str">
        <f>Original!A380</f>
        <v>ORD-2025-636162</v>
      </c>
      <c r="B390">
        <f>Original!R380</f>
        <v>432.13</v>
      </c>
      <c r="C390">
        <f>Original!S380</f>
        <v>1034.6600000000001</v>
      </c>
      <c r="D390" s="6">
        <f>Original!T380</f>
        <v>9.1999999999999998E-2</v>
      </c>
      <c r="E390" s="6">
        <f>Original!V380</f>
        <v>7</v>
      </c>
      <c r="F390" s="6">
        <f t="shared" si="30"/>
        <v>0.05</v>
      </c>
      <c r="G390">
        <f t="shared" si="31"/>
        <v>475.34300000000002</v>
      </c>
      <c r="H390">
        <f t="shared" si="32"/>
        <v>7</v>
      </c>
      <c r="I390">
        <f t="shared" si="33"/>
        <v>6880.4890000000005</v>
      </c>
      <c r="J390">
        <f t="shared" si="34"/>
        <v>3553.0880000000002</v>
      </c>
      <c r="K390">
        <f t="shared" si="35"/>
        <v>3327.4010000000003</v>
      </c>
    </row>
    <row r="391" spans="1:11" x14ac:dyDescent="0.25">
      <c r="A391" t="str">
        <f>Original!A381</f>
        <v>ORD-2025-915869</v>
      </c>
      <c r="B391">
        <f>Original!R381</f>
        <v>837.39</v>
      </c>
      <c r="C391">
        <f>Original!S381</f>
        <v>1905.42</v>
      </c>
      <c r="D391" s="6">
        <f>Original!T381</f>
        <v>3.2000000000000001E-2</v>
      </c>
      <c r="E391" s="6">
        <f>Original!V381</f>
        <v>18</v>
      </c>
      <c r="F391" s="6">
        <f t="shared" si="30"/>
        <v>3.2000000000000001E-2</v>
      </c>
      <c r="G391">
        <f t="shared" si="31"/>
        <v>921.12900000000002</v>
      </c>
      <c r="H391">
        <f t="shared" si="32"/>
        <v>18</v>
      </c>
      <c r="I391">
        <f t="shared" si="33"/>
        <v>33200.038079999998</v>
      </c>
      <c r="J391">
        <f t="shared" si="34"/>
        <v>16619.716079999998</v>
      </c>
      <c r="K391">
        <f t="shared" si="35"/>
        <v>16580.322</v>
      </c>
    </row>
    <row r="392" spans="1:11" x14ac:dyDescent="0.25">
      <c r="A392" t="str">
        <f>Original!A382</f>
        <v>ORD-2025-192876</v>
      </c>
      <c r="B392">
        <f>Original!R382</f>
        <v>378.26</v>
      </c>
      <c r="C392">
        <f>Original!S382</f>
        <v>541.55999999999995</v>
      </c>
      <c r="D392" s="6">
        <f>Original!T382</f>
        <v>0.16300000000000001</v>
      </c>
      <c r="E392" s="6">
        <f>Original!V382</f>
        <v>25</v>
      </c>
      <c r="F392" s="6">
        <f t="shared" si="30"/>
        <v>0.05</v>
      </c>
      <c r="G392">
        <f t="shared" si="31"/>
        <v>416.08600000000001</v>
      </c>
      <c r="H392">
        <f t="shared" si="32"/>
        <v>25</v>
      </c>
      <c r="I392">
        <f t="shared" si="33"/>
        <v>12862.049999999997</v>
      </c>
      <c r="J392">
        <f t="shared" si="34"/>
        <v>2459.8999999999978</v>
      </c>
      <c r="K392">
        <f t="shared" si="35"/>
        <v>10402.15</v>
      </c>
    </row>
    <row r="393" spans="1:11" x14ac:dyDescent="0.25">
      <c r="A393" t="str">
        <f>Original!A383</f>
        <v>ORD-2025-822030</v>
      </c>
      <c r="B393">
        <f>Original!R383</f>
        <v>833.73</v>
      </c>
      <c r="C393">
        <f>Original!S383</f>
        <v>1116.5999999999999</v>
      </c>
      <c r="D393" s="6">
        <f>Original!T383</f>
        <v>0.17599999999999999</v>
      </c>
      <c r="E393" s="6">
        <f>Original!V383</f>
        <v>14</v>
      </c>
      <c r="F393" s="6">
        <f t="shared" si="30"/>
        <v>0.05</v>
      </c>
      <c r="G393">
        <f t="shared" si="31"/>
        <v>917.10300000000007</v>
      </c>
      <c r="H393">
        <f t="shared" si="32"/>
        <v>14</v>
      </c>
      <c r="I393">
        <f t="shared" si="33"/>
        <v>14850.779999999997</v>
      </c>
      <c r="J393">
        <f t="shared" si="34"/>
        <v>2011.3379999999961</v>
      </c>
      <c r="K393">
        <f t="shared" si="35"/>
        <v>12839.442000000001</v>
      </c>
    </row>
    <row r="394" spans="1:11" x14ac:dyDescent="0.25">
      <c r="A394" t="str">
        <f>Original!A384</f>
        <v>ORD-2025-789245</v>
      </c>
      <c r="B394">
        <f>Original!R384</f>
        <v>1142.06</v>
      </c>
      <c r="C394">
        <f>Original!S384</f>
        <v>1455</v>
      </c>
      <c r="D394" s="6">
        <f>Original!T384</f>
        <v>7.8E-2</v>
      </c>
      <c r="E394" s="6">
        <f>Original!V384</f>
        <v>28</v>
      </c>
      <c r="F394" s="6">
        <f t="shared" si="30"/>
        <v>0.05</v>
      </c>
      <c r="G394">
        <f t="shared" si="31"/>
        <v>1256.2660000000001</v>
      </c>
      <c r="H394">
        <f t="shared" si="32"/>
        <v>28</v>
      </c>
      <c r="I394">
        <f t="shared" si="33"/>
        <v>38703</v>
      </c>
      <c r="J394">
        <f t="shared" si="34"/>
        <v>3527.551999999996</v>
      </c>
      <c r="K394">
        <f t="shared" si="35"/>
        <v>35175.448000000004</v>
      </c>
    </row>
    <row r="395" spans="1:11" x14ac:dyDescent="0.25">
      <c r="A395" t="str">
        <f>Original!A385</f>
        <v>ORD-2023-594955</v>
      </c>
      <c r="B395">
        <f>Original!R385</f>
        <v>1145.53</v>
      </c>
      <c r="C395">
        <f>Original!S385</f>
        <v>1278.3</v>
      </c>
      <c r="D395" s="6">
        <f>Original!T385</f>
        <v>0.09</v>
      </c>
      <c r="E395" s="6">
        <f>Original!V385</f>
        <v>41</v>
      </c>
      <c r="F395" s="6">
        <f t="shared" si="30"/>
        <v>0.05</v>
      </c>
      <c r="G395">
        <f t="shared" si="31"/>
        <v>1260.0830000000001</v>
      </c>
      <c r="H395">
        <f t="shared" si="32"/>
        <v>41</v>
      </c>
      <c r="I395">
        <f t="shared" si="33"/>
        <v>49789.784999999996</v>
      </c>
      <c r="J395">
        <f t="shared" si="34"/>
        <v>-1873.6180000000095</v>
      </c>
      <c r="K395">
        <f t="shared" si="35"/>
        <v>51663.403000000006</v>
      </c>
    </row>
    <row r="396" spans="1:11" x14ac:dyDescent="0.25">
      <c r="A396" t="str">
        <f>Original!A386</f>
        <v>ORD-2024-398783</v>
      </c>
      <c r="B396">
        <f>Original!R386</f>
        <v>941.35</v>
      </c>
      <c r="C396">
        <f>Original!S386</f>
        <v>899.83</v>
      </c>
      <c r="D396" s="6">
        <f>Original!T386</f>
        <v>5.8000000000000003E-2</v>
      </c>
      <c r="E396" s="6">
        <f>Original!V386</f>
        <v>18</v>
      </c>
      <c r="F396" s="6">
        <f t="shared" si="30"/>
        <v>0.05</v>
      </c>
      <c r="G396">
        <f t="shared" si="31"/>
        <v>1035.4850000000001</v>
      </c>
      <c r="H396">
        <f t="shared" si="32"/>
        <v>18</v>
      </c>
      <c r="I396">
        <f t="shared" si="33"/>
        <v>15387.092999999999</v>
      </c>
      <c r="J396">
        <f t="shared" si="34"/>
        <v>-3251.6370000000043</v>
      </c>
      <c r="K396">
        <f t="shared" si="35"/>
        <v>18638.730000000003</v>
      </c>
    </row>
    <row r="397" spans="1:11" x14ac:dyDescent="0.25">
      <c r="A397" t="str">
        <f>Original!A387</f>
        <v>ORD-2023-676553</v>
      </c>
      <c r="B397">
        <f>Original!R387</f>
        <v>1161.2</v>
      </c>
      <c r="C397">
        <f>Original!S387</f>
        <v>878.73</v>
      </c>
      <c r="D397" s="6">
        <f>Original!T387</f>
        <v>0.19</v>
      </c>
      <c r="E397" s="6">
        <f>Original!V387</f>
        <v>31</v>
      </c>
      <c r="F397" s="6">
        <f t="shared" si="30"/>
        <v>0.05</v>
      </c>
      <c r="G397">
        <f t="shared" si="31"/>
        <v>1277.3200000000002</v>
      </c>
      <c r="H397">
        <f t="shared" si="32"/>
        <v>31</v>
      </c>
      <c r="I397">
        <f t="shared" si="33"/>
        <v>25878.5985</v>
      </c>
      <c r="J397">
        <f t="shared" si="34"/>
        <v>-13718.321500000005</v>
      </c>
      <c r="K397">
        <f t="shared" si="35"/>
        <v>39596.920000000006</v>
      </c>
    </row>
    <row r="398" spans="1:11" x14ac:dyDescent="0.25">
      <c r="A398" t="str">
        <f>Original!A388</f>
        <v>ORD-2025-866565</v>
      </c>
      <c r="B398">
        <f>Original!R388</f>
        <v>320.12</v>
      </c>
      <c r="C398">
        <f>Original!S388</f>
        <v>594.41999999999996</v>
      </c>
      <c r="D398" s="6">
        <f>Original!T388</f>
        <v>0.104</v>
      </c>
      <c r="E398" s="6">
        <f>Original!V388</f>
        <v>18</v>
      </c>
      <c r="F398" s="6">
        <f t="shared" si="30"/>
        <v>0.05</v>
      </c>
      <c r="G398">
        <f t="shared" si="31"/>
        <v>352.13200000000006</v>
      </c>
      <c r="H398">
        <f t="shared" si="32"/>
        <v>18</v>
      </c>
      <c r="I398">
        <f t="shared" si="33"/>
        <v>10164.581999999999</v>
      </c>
      <c r="J398">
        <f t="shared" si="34"/>
        <v>3826.2059999999974</v>
      </c>
      <c r="K398">
        <f t="shared" si="35"/>
        <v>6338.3760000000011</v>
      </c>
    </row>
    <row r="399" spans="1:11" x14ac:dyDescent="0.25">
      <c r="A399" t="str">
        <f>Original!A389</f>
        <v>ORD-2024-527858</v>
      </c>
      <c r="B399">
        <f>Original!R389</f>
        <v>1163.99</v>
      </c>
      <c r="C399">
        <f>Original!S389</f>
        <v>1617.85</v>
      </c>
      <c r="D399" s="6">
        <f>Original!T389</f>
        <v>0.127</v>
      </c>
      <c r="E399" s="6">
        <f>Original!V389</f>
        <v>14</v>
      </c>
      <c r="F399" s="6">
        <f t="shared" si="30"/>
        <v>0.05</v>
      </c>
      <c r="G399">
        <f t="shared" si="31"/>
        <v>1280.3890000000001</v>
      </c>
      <c r="H399">
        <f t="shared" si="32"/>
        <v>14</v>
      </c>
      <c r="I399">
        <f t="shared" si="33"/>
        <v>21517.404999999995</v>
      </c>
      <c r="J399">
        <f t="shared" si="34"/>
        <v>3591.9589999999916</v>
      </c>
      <c r="K399">
        <f t="shared" si="35"/>
        <v>17925.446000000004</v>
      </c>
    </row>
    <row r="400" spans="1:11" x14ac:dyDescent="0.25">
      <c r="A400" t="str">
        <f>Original!A390</f>
        <v>ORD-2023-619385</v>
      </c>
      <c r="B400">
        <f>Original!R390</f>
        <v>1019.36</v>
      </c>
      <c r="C400">
        <f>Original!S390</f>
        <v>972.91</v>
      </c>
      <c r="D400" s="6">
        <f>Original!T390</f>
        <v>0.14699999999999999</v>
      </c>
      <c r="E400" s="6">
        <f>Original!V390</f>
        <v>17</v>
      </c>
      <c r="F400" s="6">
        <f t="shared" si="30"/>
        <v>0.05</v>
      </c>
      <c r="G400">
        <f t="shared" si="31"/>
        <v>1121.296</v>
      </c>
      <c r="H400">
        <f t="shared" si="32"/>
        <v>17</v>
      </c>
      <c r="I400">
        <f t="shared" si="33"/>
        <v>15712.496500000001</v>
      </c>
      <c r="J400">
        <f t="shared" si="34"/>
        <v>-3349.5354999999981</v>
      </c>
      <c r="K400">
        <f t="shared" si="35"/>
        <v>19062.031999999999</v>
      </c>
    </row>
    <row r="401" spans="1:11" x14ac:dyDescent="0.25">
      <c r="A401" t="str">
        <f>Original!A391</f>
        <v>ORD-2023-835226</v>
      </c>
      <c r="B401">
        <f>Original!R391</f>
        <v>20.38</v>
      </c>
      <c r="C401">
        <f>Original!S391</f>
        <v>42.56</v>
      </c>
      <c r="D401" s="6">
        <f>Original!T391</f>
        <v>7.1999999999999995E-2</v>
      </c>
      <c r="E401" s="6">
        <f>Original!V391</f>
        <v>11</v>
      </c>
      <c r="F401" s="6">
        <f t="shared" si="30"/>
        <v>0.05</v>
      </c>
      <c r="G401">
        <f t="shared" si="31"/>
        <v>22.417999999999999</v>
      </c>
      <c r="H401">
        <f t="shared" si="32"/>
        <v>11</v>
      </c>
      <c r="I401">
        <f t="shared" si="33"/>
        <v>444.75200000000001</v>
      </c>
      <c r="J401">
        <f t="shared" si="34"/>
        <v>198.15400000000002</v>
      </c>
      <c r="K401">
        <f t="shared" si="35"/>
        <v>246.59799999999998</v>
      </c>
    </row>
    <row r="402" spans="1:11" x14ac:dyDescent="0.25">
      <c r="A402" t="str">
        <f>Original!A392</f>
        <v>ORD-2025-485946</v>
      </c>
      <c r="B402">
        <f>Original!R392</f>
        <v>1487.59</v>
      </c>
      <c r="C402">
        <f>Original!S392</f>
        <v>1480.83</v>
      </c>
      <c r="D402" s="6">
        <f>Original!T392</f>
        <v>8.9999999999999993E-3</v>
      </c>
      <c r="E402" s="6">
        <f>Original!V392</f>
        <v>11</v>
      </c>
      <c r="F402" s="6">
        <f t="shared" si="30"/>
        <v>8.9999999999999993E-3</v>
      </c>
      <c r="G402">
        <f t="shared" si="31"/>
        <v>1636.3489999999999</v>
      </c>
      <c r="H402">
        <f t="shared" si="32"/>
        <v>11</v>
      </c>
      <c r="I402">
        <f t="shared" si="33"/>
        <v>16142.527829999999</v>
      </c>
      <c r="J402">
        <f t="shared" si="34"/>
        <v>-1857.3111700000009</v>
      </c>
      <c r="K402">
        <f t="shared" si="35"/>
        <v>17999.839</v>
      </c>
    </row>
    <row r="403" spans="1:11" x14ac:dyDescent="0.25">
      <c r="A403" t="str">
        <f>Original!A393</f>
        <v>ORD-2024-307849</v>
      </c>
      <c r="B403">
        <f>Original!R393</f>
        <v>229.96</v>
      </c>
      <c r="C403">
        <f>Original!S393</f>
        <v>564.26</v>
      </c>
      <c r="D403" s="6">
        <f>Original!T393</f>
        <v>0.105</v>
      </c>
      <c r="E403" s="6">
        <f>Original!V393</f>
        <v>5</v>
      </c>
      <c r="F403" s="6">
        <f t="shared" si="30"/>
        <v>0.05</v>
      </c>
      <c r="G403">
        <f t="shared" si="31"/>
        <v>252.95600000000002</v>
      </c>
      <c r="H403">
        <f t="shared" si="32"/>
        <v>5</v>
      </c>
      <c r="I403">
        <f t="shared" si="33"/>
        <v>2680.2350000000001</v>
      </c>
      <c r="J403">
        <f t="shared" si="34"/>
        <v>1415.4549999999999</v>
      </c>
      <c r="K403">
        <f t="shared" si="35"/>
        <v>1264.7800000000002</v>
      </c>
    </row>
    <row r="404" spans="1:11" x14ac:dyDescent="0.25">
      <c r="A404" t="str">
        <f>Original!A394</f>
        <v>ORD-2023-368449</v>
      </c>
      <c r="B404">
        <f>Original!R394</f>
        <v>1132.03</v>
      </c>
      <c r="C404">
        <f>Original!S394</f>
        <v>2137.21</v>
      </c>
      <c r="D404" s="6">
        <f>Original!T394</f>
        <v>0.35699999999999998</v>
      </c>
      <c r="E404" s="6">
        <f>Original!V394</f>
        <v>35</v>
      </c>
      <c r="F404" s="6">
        <f t="shared" si="30"/>
        <v>0.05</v>
      </c>
      <c r="G404">
        <f t="shared" si="31"/>
        <v>1245.2330000000002</v>
      </c>
      <c r="H404">
        <f t="shared" si="32"/>
        <v>35</v>
      </c>
      <c r="I404">
        <f t="shared" si="33"/>
        <v>71062.232499999998</v>
      </c>
      <c r="J404">
        <f t="shared" si="34"/>
        <v>27479.077499999992</v>
      </c>
      <c r="K404">
        <f t="shared" si="35"/>
        <v>43583.155000000006</v>
      </c>
    </row>
    <row r="405" spans="1:11" x14ac:dyDescent="0.25">
      <c r="A405" t="str">
        <f>Original!A395</f>
        <v>ORD-2024-251426</v>
      </c>
      <c r="B405">
        <f>Original!R395</f>
        <v>1137.4100000000001</v>
      </c>
      <c r="C405">
        <f>Original!S395</f>
        <v>1680.93</v>
      </c>
      <c r="D405" s="6">
        <f>Original!T395</f>
        <v>0.254</v>
      </c>
      <c r="E405" s="6">
        <f>Original!V395</f>
        <v>9</v>
      </c>
      <c r="F405" s="6">
        <f t="shared" si="30"/>
        <v>0.05</v>
      </c>
      <c r="G405">
        <f t="shared" si="31"/>
        <v>1251.1510000000003</v>
      </c>
      <c r="H405">
        <f t="shared" si="32"/>
        <v>9</v>
      </c>
      <c r="I405">
        <f t="shared" si="33"/>
        <v>14371.951499999999</v>
      </c>
      <c r="J405">
        <f t="shared" si="34"/>
        <v>3111.592499999997</v>
      </c>
      <c r="K405">
        <f t="shared" si="35"/>
        <v>11260.359000000002</v>
      </c>
    </row>
    <row r="406" spans="1:11" x14ac:dyDescent="0.25">
      <c r="A406" t="str">
        <f>Original!A396</f>
        <v>ORD-2023-927385</v>
      </c>
      <c r="B406">
        <f>Original!R396</f>
        <v>1295.3900000000001</v>
      </c>
      <c r="C406">
        <f>Original!S396</f>
        <v>2905.06</v>
      </c>
      <c r="D406" s="6">
        <f>Original!T396</f>
        <v>0.14799999999999999</v>
      </c>
      <c r="E406" s="6">
        <f>Original!V396</f>
        <v>8</v>
      </c>
      <c r="F406" s="6">
        <f t="shared" si="30"/>
        <v>0.05</v>
      </c>
      <c r="G406">
        <f t="shared" si="31"/>
        <v>1424.9290000000003</v>
      </c>
      <c r="H406">
        <f t="shared" si="32"/>
        <v>8</v>
      </c>
      <c r="I406">
        <f t="shared" si="33"/>
        <v>22078.455999999998</v>
      </c>
      <c r="J406">
        <f t="shared" si="34"/>
        <v>10679.023999999996</v>
      </c>
      <c r="K406">
        <f t="shared" si="35"/>
        <v>11399.432000000003</v>
      </c>
    </row>
    <row r="407" spans="1:11" x14ac:dyDescent="0.25">
      <c r="A407" t="str">
        <f>Original!A397</f>
        <v>ORD-2025-486350</v>
      </c>
      <c r="B407">
        <f>Original!R397</f>
        <v>653.6</v>
      </c>
      <c r="C407">
        <f>Original!S397</f>
        <v>842.09</v>
      </c>
      <c r="D407" s="6">
        <f>Original!T397</f>
        <v>9.8000000000000004E-2</v>
      </c>
      <c r="E407" s="6">
        <f>Original!V397</f>
        <v>19</v>
      </c>
      <c r="F407" s="6">
        <f t="shared" si="30"/>
        <v>0.05</v>
      </c>
      <c r="G407">
        <f t="shared" si="31"/>
        <v>718.96</v>
      </c>
      <c r="H407">
        <f t="shared" si="32"/>
        <v>19</v>
      </c>
      <c r="I407">
        <f t="shared" si="33"/>
        <v>15199.7245</v>
      </c>
      <c r="J407">
        <f t="shared" si="34"/>
        <v>1539.4844999999987</v>
      </c>
      <c r="K407">
        <f t="shared" si="35"/>
        <v>13660.240000000002</v>
      </c>
    </row>
    <row r="408" spans="1:11" x14ac:dyDescent="0.25">
      <c r="A408" t="str">
        <f>Original!A398</f>
        <v>ORD-2025-677880</v>
      </c>
      <c r="B408">
        <f>Original!R398</f>
        <v>1397.67</v>
      </c>
      <c r="C408">
        <f>Original!S398</f>
        <v>3131.37</v>
      </c>
      <c r="D408" s="6">
        <f>Original!T398</f>
        <v>0.10299999999999999</v>
      </c>
      <c r="E408" s="6">
        <f>Original!V398</f>
        <v>20</v>
      </c>
      <c r="F408" s="6">
        <f t="shared" si="30"/>
        <v>0.05</v>
      </c>
      <c r="G408">
        <f t="shared" si="31"/>
        <v>1537.4370000000001</v>
      </c>
      <c r="H408">
        <f t="shared" si="32"/>
        <v>20</v>
      </c>
      <c r="I408">
        <f t="shared" si="33"/>
        <v>59496.029999999992</v>
      </c>
      <c r="J408">
        <f t="shared" si="34"/>
        <v>28747.28999999999</v>
      </c>
      <c r="K408">
        <f t="shared" si="35"/>
        <v>30748.74</v>
      </c>
    </row>
    <row r="409" spans="1:11" x14ac:dyDescent="0.25">
      <c r="A409" t="str">
        <f>Original!A399</f>
        <v>ORD-2024-102866</v>
      </c>
      <c r="B409">
        <f>Original!R399</f>
        <v>1202.47</v>
      </c>
      <c r="C409">
        <f>Original!S399</f>
        <v>1444.72</v>
      </c>
      <c r="D409" s="6">
        <f>Original!T399</f>
        <v>0.24099999999999999</v>
      </c>
      <c r="E409" s="6">
        <f>Original!V399</f>
        <v>17</v>
      </c>
      <c r="F409" s="6">
        <f t="shared" si="30"/>
        <v>0.05</v>
      </c>
      <c r="G409">
        <f t="shared" si="31"/>
        <v>1322.7170000000001</v>
      </c>
      <c r="H409">
        <f t="shared" si="32"/>
        <v>17</v>
      </c>
      <c r="I409">
        <f t="shared" si="33"/>
        <v>23332.227999999999</v>
      </c>
      <c r="J409">
        <f t="shared" si="34"/>
        <v>846.03899999999703</v>
      </c>
      <c r="K409">
        <f t="shared" si="35"/>
        <v>22486.189000000002</v>
      </c>
    </row>
    <row r="410" spans="1:11" x14ac:dyDescent="0.25">
      <c r="A410" t="str">
        <f>Original!A400</f>
        <v>ORD-2025-588029</v>
      </c>
      <c r="B410">
        <f>Original!R400</f>
        <v>1310.3</v>
      </c>
      <c r="C410">
        <f>Original!S400</f>
        <v>2875.8</v>
      </c>
      <c r="D410" s="6">
        <f>Original!T400</f>
        <v>8.3000000000000004E-2</v>
      </c>
      <c r="E410" s="6">
        <f>Original!V400</f>
        <v>5</v>
      </c>
      <c r="F410" s="6">
        <f t="shared" si="30"/>
        <v>0.05</v>
      </c>
      <c r="G410">
        <f t="shared" si="31"/>
        <v>1441.3300000000002</v>
      </c>
      <c r="H410">
        <f t="shared" si="32"/>
        <v>5</v>
      </c>
      <c r="I410">
        <f t="shared" si="33"/>
        <v>13660.05</v>
      </c>
      <c r="J410">
        <f t="shared" si="34"/>
        <v>6453.3999999999987</v>
      </c>
      <c r="K410">
        <f t="shared" si="35"/>
        <v>7206.6500000000005</v>
      </c>
    </row>
    <row r="411" spans="1:11" x14ac:dyDescent="0.25">
      <c r="A411" t="str">
        <f>Original!A401</f>
        <v>ORD-2024-972999</v>
      </c>
      <c r="B411">
        <f>Original!R401</f>
        <v>1174.17</v>
      </c>
      <c r="C411">
        <f>Original!S401</f>
        <v>1641.61</v>
      </c>
      <c r="D411" s="6">
        <f>Original!T401</f>
        <v>0.122</v>
      </c>
      <c r="E411" s="6">
        <f>Original!V401</f>
        <v>9</v>
      </c>
      <c r="F411" s="6">
        <f t="shared" si="30"/>
        <v>0.05</v>
      </c>
      <c r="G411">
        <f t="shared" si="31"/>
        <v>1291.5870000000002</v>
      </c>
      <c r="H411">
        <f t="shared" si="32"/>
        <v>9</v>
      </c>
      <c r="I411">
        <f t="shared" si="33"/>
        <v>14035.7655</v>
      </c>
      <c r="J411">
        <f t="shared" si="34"/>
        <v>2411.4824999999983</v>
      </c>
      <c r="K411">
        <f t="shared" si="35"/>
        <v>11624.283000000001</v>
      </c>
    </row>
    <row r="412" spans="1:11" x14ac:dyDescent="0.25">
      <c r="A412" t="str">
        <f>Original!A402</f>
        <v>ORD-2025-608069</v>
      </c>
      <c r="B412">
        <f>Original!R402</f>
        <v>1119.04</v>
      </c>
      <c r="C412">
        <f>Original!S402</f>
        <v>1299.02</v>
      </c>
      <c r="D412" s="6">
        <f>Original!T402</f>
        <v>2.5000000000000001E-2</v>
      </c>
      <c r="E412" s="6">
        <f>Original!V402</f>
        <v>14</v>
      </c>
      <c r="F412" s="6">
        <f t="shared" si="30"/>
        <v>2.5000000000000001E-2</v>
      </c>
      <c r="G412">
        <f t="shared" si="31"/>
        <v>1230.944</v>
      </c>
      <c r="H412">
        <f t="shared" si="32"/>
        <v>14</v>
      </c>
      <c r="I412">
        <f t="shared" si="33"/>
        <v>17731.623</v>
      </c>
      <c r="J412">
        <f t="shared" si="34"/>
        <v>498.40699999999924</v>
      </c>
      <c r="K412">
        <f t="shared" si="35"/>
        <v>17233.216</v>
      </c>
    </row>
    <row r="413" spans="1:11" x14ac:dyDescent="0.25">
      <c r="A413" t="str">
        <f>Original!A403</f>
        <v>ORD-2024-626750</v>
      </c>
      <c r="B413">
        <f>Original!R403</f>
        <v>850.7</v>
      </c>
      <c r="C413">
        <f>Original!S403</f>
        <v>1118.56</v>
      </c>
      <c r="D413" s="6">
        <f>Original!T403</f>
        <v>0.18</v>
      </c>
      <c r="E413" s="6">
        <f>Original!V403</f>
        <v>19</v>
      </c>
      <c r="F413" s="6">
        <f t="shared" si="30"/>
        <v>0.05</v>
      </c>
      <c r="G413">
        <f t="shared" si="31"/>
        <v>935.7700000000001</v>
      </c>
      <c r="H413">
        <f t="shared" si="32"/>
        <v>19</v>
      </c>
      <c r="I413">
        <f t="shared" si="33"/>
        <v>20190.007999999998</v>
      </c>
      <c r="J413">
        <f t="shared" si="34"/>
        <v>2410.377999999997</v>
      </c>
      <c r="K413">
        <f t="shared" si="35"/>
        <v>17779.63</v>
      </c>
    </row>
    <row r="414" spans="1:11" x14ac:dyDescent="0.25">
      <c r="A414" t="str">
        <f>Original!A404</f>
        <v>ORD-2024-170021</v>
      </c>
      <c r="B414">
        <f>Original!R404</f>
        <v>1020.4</v>
      </c>
      <c r="C414">
        <f>Original!S404</f>
        <v>1184.71</v>
      </c>
      <c r="D414" s="6">
        <f>Original!T404</f>
        <v>0.106</v>
      </c>
      <c r="E414" s="6">
        <f>Original!V404</f>
        <v>16</v>
      </c>
      <c r="F414" s="6">
        <f t="shared" si="30"/>
        <v>0.05</v>
      </c>
      <c r="G414">
        <f t="shared" si="31"/>
        <v>1122.44</v>
      </c>
      <c r="H414">
        <f t="shared" si="32"/>
        <v>16</v>
      </c>
      <c r="I414">
        <f t="shared" si="33"/>
        <v>18007.592000000001</v>
      </c>
      <c r="J414">
        <f t="shared" si="34"/>
        <v>48.55199999999968</v>
      </c>
      <c r="K414">
        <f t="shared" si="35"/>
        <v>17959.04</v>
      </c>
    </row>
    <row r="415" spans="1:11" x14ac:dyDescent="0.25">
      <c r="A415" t="str">
        <f>Original!A405</f>
        <v>ORD-2024-678110</v>
      </c>
      <c r="B415">
        <f>Original!R405</f>
        <v>501.5</v>
      </c>
      <c r="C415">
        <f>Original!S405</f>
        <v>1201.47</v>
      </c>
      <c r="D415" s="6">
        <f>Original!T405</f>
        <v>0.126</v>
      </c>
      <c r="E415" s="6">
        <f>Original!V405</f>
        <v>5</v>
      </c>
      <c r="F415" s="6">
        <f t="shared" si="30"/>
        <v>0.05</v>
      </c>
      <c r="G415">
        <f t="shared" si="31"/>
        <v>551.65000000000009</v>
      </c>
      <c r="H415">
        <f t="shared" si="32"/>
        <v>5</v>
      </c>
      <c r="I415">
        <f t="shared" si="33"/>
        <v>5706.9825000000001</v>
      </c>
      <c r="J415">
        <f t="shared" si="34"/>
        <v>2948.7324999999996</v>
      </c>
      <c r="K415">
        <f t="shared" si="35"/>
        <v>2758.2500000000005</v>
      </c>
    </row>
    <row r="416" spans="1:11" x14ac:dyDescent="0.25">
      <c r="A416" t="str">
        <f>Original!A406</f>
        <v>ORD-2025-909340</v>
      </c>
      <c r="B416">
        <f>Original!R406</f>
        <v>974.11</v>
      </c>
      <c r="C416">
        <f>Original!S406</f>
        <v>880.99</v>
      </c>
      <c r="D416" s="6">
        <f>Original!T406</f>
        <v>0.111</v>
      </c>
      <c r="E416" s="6">
        <f>Original!V406</f>
        <v>10</v>
      </c>
      <c r="F416" s="6">
        <f t="shared" ref="F416:F479" si="36">MIN(D416,$B$2)</f>
        <v>0.05</v>
      </c>
      <c r="G416">
        <f t="shared" ref="G416:G479" si="37">B416*(1+$B$3)</f>
        <v>1071.5210000000002</v>
      </c>
      <c r="H416">
        <f t="shared" ref="H416:H479" si="38">E416*(1+$B$4)</f>
        <v>10</v>
      </c>
      <c r="I416">
        <f t="shared" ref="I416:I479" si="39">C416*H416*(1-F416)</f>
        <v>8369.4049999999988</v>
      </c>
      <c r="J416">
        <f t="shared" ref="J416:J479" si="40">I416-K416</f>
        <v>-2345.8050000000039</v>
      </c>
      <c r="K416">
        <f t="shared" ref="K416:K479" si="41">G416*H416</f>
        <v>10715.210000000003</v>
      </c>
    </row>
    <row r="417" spans="1:11" x14ac:dyDescent="0.25">
      <c r="A417" t="str">
        <f>Original!A407</f>
        <v>ORD-2023-854471</v>
      </c>
      <c r="B417">
        <f>Original!R407</f>
        <v>1126.29</v>
      </c>
      <c r="C417">
        <f>Original!S407</f>
        <v>2050.87</v>
      </c>
      <c r="D417" s="6">
        <f>Original!T407</f>
        <v>6.4000000000000001E-2</v>
      </c>
      <c r="E417" s="6">
        <f>Original!V407</f>
        <v>7</v>
      </c>
      <c r="F417" s="6">
        <f t="shared" si="36"/>
        <v>0.05</v>
      </c>
      <c r="G417">
        <f t="shared" si="37"/>
        <v>1238.9190000000001</v>
      </c>
      <c r="H417">
        <f t="shared" si="38"/>
        <v>7</v>
      </c>
      <c r="I417">
        <f t="shared" si="39"/>
        <v>13638.2855</v>
      </c>
      <c r="J417">
        <f t="shared" si="40"/>
        <v>4965.8524999999991</v>
      </c>
      <c r="K417">
        <f t="shared" si="41"/>
        <v>8672.4330000000009</v>
      </c>
    </row>
    <row r="418" spans="1:11" x14ac:dyDescent="0.25">
      <c r="A418" t="str">
        <f>Original!A408</f>
        <v>ORD-2024-390951</v>
      </c>
      <c r="B418">
        <f>Original!R408</f>
        <v>1361.34</v>
      </c>
      <c r="C418">
        <f>Original!S408</f>
        <v>1737.9</v>
      </c>
      <c r="D418" s="6">
        <f>Original!T408</f>
        <v>7.6999999999999999E-2</v>
      </c>
      <c r="E418" s="6">
        <f>Original!V408</f>
        <v>14</v>
      </c>
      <c r="F418" s="6">
        <f t="shared" si="36"/>
        <v>0.05</v>
      </c>
      <c r="G418">
        <f t="shared" si="37"/>
        <v>1497.4739999999999</v>
      </c>
      <c r="H418">
        <f t="shared" si="38"/>
        <v>14</v>
      </c>
      <c r="I418">
        <f t="shared" si="39"/>
        <v>23114.07</v>
      </c>
      <c r="J418">
        <f t="shared" si="40"/>
        <v>2149.4340000000011</v>
      </c>
      <c r="K418">
        <f t="shared" si="41"/>
        <v>20964.635999999999</v>
      </c>
    </row>
    <row r="419" spans="1:11" x14ac:dyDescent="0.25">
      <c r="A419" t="str">
        <f>Original!A409</f>
        <v>ORD-2025-881624</v>
      </c>
      <c r="B419">
        <f>Original!R409</f>
        <v>1437.39</v>
      </c>
      <c r="C419">
        <f>Original!S409</f>
        <v>1388.31</v>
      </c>
      <c r="D419" s="6">
        <f>Original!T409</f>
        <v>0.13800000000000001</v>
      </c>
      <c r="E419" s="6">
        <f>Original!V409</f>
        <v>18</v>
      </c>
      <c r="F419" s="6">
        <f t="shared" si="36"/>
        <v>0.05</v>
      </c>
      <c r="G419">
        <f t="shared" si="37"/>
        <v>1581.1290000000001</v>
      </c>
      <c r="H419">
        <f t="shared" si="38"/>
        <v>18</v>
      </c>
      <c r="I419">
        <f t="shared" si="39"/>
        <v>23740.100999999999</v>
      </c>
      <c r="J419">
        <f t="shared" si="40"/>
        <v>-4720.221000000005</v>
      </c>
      <c r="K419">
        <f t="shared" si="41"/>
        <v>28460.322000000004</v>
      </c>
    </row>
    <row r="420" spans="1:11" x14ac:dyDescent="0.25">
      <c r="A420" t="str">
        <f>Original!A410</f>
        <v>ORD-2025-512310</v>
      </c>
      <c r="B420">
        <f>Original!R410</f>
        <v>475.66</v>
      </c>
      <c r="C420">
        <f>Original!S410</f>
        <v>529.14</v>
      </c>
      <c r="D420" s="6">
        <f>Original!T410</f>
        <v>0.19600000000000001</v>
      </c>
      <c r="E420" s="6">
        <f>Original!V410</f>
        <v>11</v>
      </c>
      <c r="F420" s="6">
        <f t="shared" si="36"/>
        <v>0.05</v>
      </c>
      <c r="G420">
        <f t="shared" si="37"/>
        <v>523.22600000000011</v>
      </c>
      <c r="H420">
        <f t="shared" si="38"/>
        <v>11</v>
      </c>
      <c r="I420">
        <f t="shared" si="39"/>
        <v>5529.5129999999999</v>
      </c>
      <c r="J420">
        <f t="shared" si="40"/>
        <v>-225.97300000000087</v>
      </c>
      <c r="K420">
        <f t="shared" si="41"/>
        <v>5755.4860000000008</v>
      </c>
    </row>
    <row r="421" spans="1:11" x14ac:dyDescent="0.25">
      <c r="A421" t="str">
        <f>Original!A411</f>
        <v>ORD-2023-674887</v>
      </c>
      <c r="B421">
        <f>Original!R411</f>
        <v>1415.05</v>
      </c>
      <c r="C421">
        <f>Original!S411</f>
        <v>1972.38</v>
      </c>
      <c r="D421" s="6">
        <f>Original!T411</f>
        <v>0</v>
      </c>
      <c r="E421" s="6">
        <f>Original!V411</f>
        <v>12</v>
      </c>
      <c r="F421" s="6">
        <f t="shared" si="36"/>
        <v>0</v>
      </c>
      <c r="G421">
        <f t="shared" si="37"/>
        <v>1556.5550000000001</v>
      </c>
      <c r="H421">
        <f t="shared" si="38"/>
        <v>12</v>
      </c>
      <c r="I421">
        <f t="shared" si="39"/>
        <v>23668.560000000001</v>
      </c>
      <c r="J421">
        <f t="shared" si="40"/>
        <v>4989.9000000000015</v>
      </c>
      <c r="K421">
        <f t="shared" si="41"/>
        <v>18678.66</v>
      </c>
    </row>
    <row r="422" spans="1:11" x14ac:dyDescent="0.25">
      <c r="A422" t="str">
        <f>Original!A412</f>
        <v>ORD-2024-542244</v>
      </c>
      <c r="B422">
        <f>Original!R412</f>
        <v>466.16</v>
      </c>
      <c r="C422">
        <f>Original!S412</f>
        <v>876.81</v>
      </c>
      <c r="D422" s="6">
        <f>Original!T412</f>
        <v>0.24099999999999999</v>
      </c>
      <c r="E422" s="6">
        <f>Original!V412</f>
        <v>8</v>
      </c>
      <c r="F422" s="6">
        <f t="shared" si="36"/>
        <v>0.05</v>
      </c>
      <c r="G422">
        <f t="shared" si="37"/>
        <v>512.77600000000007</v>
      </c>
      <c r="H422">
        <f t="shared" si="38"/>
        <v>8</v>
      </c>
      <c r="I422">
        <f t="shared" si="39"/>
        <v>6663.7559999999994</v>
      </c>
      <c r="J422">
        <f t="shared" si="40"/>
        <v>2561.5479999999989</v>
      </c>
      <c r="K422">
        <f t="shared" si="41"/>
        <v>4102.2080000000005</v>
      </c>
    </row>
    <row r="423" spans="1:11" x14ac:dyDescent="0.25">
      <c r="A423" t="str">
        <f>Original!A413</f>
        <v>ORD-2024-375848</v>
      </c>
      <c r="B423">
        <f>Original!R413</f>
        <v>663.66</v>
      </c>
      <c r="C423">
        <f>Original!S413</f>
        <v>824.26</v>
      </c>
      <c r="D423" s="6">
        <f>Original!T413</f>
        <v>0.23899999999999999</v>
      </c>
      <c r="E423" s="6">
        <f>Original!V413</f>
        <v>11</v>
      </c>
      <c r="F423" s="6">
        <f t="shared" si="36"/>
        <v>0.05</v>
      </c>
      <c r="G423">
        <f t="shared" si="37"/>
        <v>730.02600000000007</v>
      </c>
      <c r="H423">
        <f t="shared" si="38"/>
        <v>11</v>
      </c>
      <c r="I423">
        <f t="shared" si="39"/>
        <v>8613.5169999999998</v>
      </c>
      <c r="J423">
        <f t="shared" si="40"/>
        <v>583.23099999999886</v>
      </c>
      <c r="K423">
        <f t="shared" si="41"/>
        <v>8030.286000000001</v>
      </c>
    </row>
    <row r="424" spans="1:11" x14ac:dyDescent="0.25">
      <c r="A424" t="str">
        <f>Original!A414</f>
        <v>ORD-2023-933238</v>
      </c>
      <c r="B424">
        <f>Original!R414</f>
        <v>692.18</v>
      </c>
      <c r="C424">
        <f>Original!S414</f>
        <v>1159.3499999999999</v>
      </c>
      <c r="D424" s="6">
        <f>Original!T414</f>
        <v>0.112</v>
      </c>
      <c r="E424" s="6">
        <f>Original!V414</f>
        <v>2</v>
      </c>
      <c r="F424" s="6">
        <f t="shared" si="36"/>
        <v>0.05</v>
      </c>
      <c r="G424">
        <f t="shared" si="37"/>
        <v>761.39800000000002</v>
      </c>
      <c r="H424">
        <f t="shared" si="38"/>
        <v>2</v>
      </c>
      <c r="I424">
        <f t="shared" si="39"/>
        <v>2202.7649999999999</v>
      </c>
      <c r="J424">
        <f t="shared" si="40"/>
        <v>679.96899999999982</v>
      </c>
      <c r="K424">
        <f t="shared" si="41"/>
        <v>1522.796</v>
      </c>
    </row>
    <row r="425" spans="1:11" x14ac:dyDescent="0.25">
      <c r="A425" t="str">
        <f>Original!A415</f>
        <v>ORD-2023-732585</v>
      </c>
      <c r="B425">
        <f>Original!R415</f>
        <v>1196.83</v>
      </c>
      <c r="C425">
        <f>Original!S415</f>
        <v>2513.5100000000002</v>
      </c>
      <c r="D425" s="6">
        <f>Original!T415</f>
        <v>8.3000000000000004E-2</v>
      </c>
      <c r="E425" s="6">
        <f>Original!V415</f>
        <v>7</v>
      </c>
      <c r="F425" s="6">
        <f t="shared" si="36"/>
        <v>0.05</v>
      </c>
      <c r="G425">
        <f t="shared" si="37"/>
        <v>1316.5129999999999</v>
      </c>
      <c r="H425">
        <f t="shared" si="38"/>
        <v>7</v>
      </c>
      <c r="I425">
        <f t="shared" si="39"/>
        <v>16714.841499999999</v>
      </c>
      <c r="J425">
        <f t="shared" si="40"/>
        <v>7499.2504999999983</v>
      </c>
      <c r="K425">
        <f t="shared" si="41"/>
        <v>9215.5910000000003</v>
      </c>
    </row>
    <row r="426" spans="1:11" x14ac:dyDescent="0.25">
      <c r="A426" t="str">
        <f>Original!A416</f>
        <v>ORD-2024-465898</v>
      </c>
      <c r="B426">
        <f>Original!R416</f>
        <v>1253.25</v>
      </c>
      <c r="C426">
        <f>Original!S416</f>
        <v>3087.13</v>
      </c>
      <c r="D426" s="6">
        <f>Original!T416</f>
        <v>7.1999999999999995E-2</v>
      </c>
      <c r="E426" s="6">
        <f>Original!V416</f>
        <v>11</v>
      </c>
      <c r="F426" s="6">
        <f t="shared" si="36"/>
        <v>0.05</v>
      </c>
      <c r="G426">
        <f t="shared" si="37"/>
        <v>1378.575</v>
      </c>
      <c r="H426">
        <f t="shared" si="38"/>
        <v>11</v>
      </c>
      <c r="I426">
        <f t="shared" si="39"/>
        <v>32260.5085</v>
      </c>
      <c r="J426">
        <f t="shared" si="40"/>
        <v>17096.183499999999</v>
      </c>
      <c r="K426">
        <f t="shared" si="41"/>
        <v>15164.325000000001</v>
      </c>
    </row>
    <row r="427" spans="1:11" x14ac:dyDescent="0.25">
      <c r="A427" t="str">
        <f>Original!A417</f>
        <v>ORD-2023-987081</v>
      </c>
      <c r="B427">
        <f>Original!R417</f>
        <v>1287.6400000000001</v>
      </c>
      <c r="C427">
        <f>Original!S417</f>
        <v>2717.15</v>
      </c>
      <c r="D427" s="6">
        <f>Original!T417</f>
        <v>3.2000000000000001E-2</v>
      </c>
      <c r="E427" s="6">
        <f>Original!V417</f>
        <v>7</v>
      </c>
      <c r="F427" s="6">
        <f t="shared" si="36"/>
        <v>3.2000000000000001E-2</v>
      </c>
      <c r="G427">
        <f t="shared" si="37"/>
        <v>1416.4040000000002</v>
      </c>
      <c r="H427">
        <f t="shared" si="38"/>
        <v>7</v>
      </c>
      <c r="I427">
        <f t="shared" si="39"/>
        <v>18411.4084</v>
      </c>
      <c r="J427">
        <f t="shared" si="40"/>
        <v>8496.5803999999989</v>
      </c>
      <c r="K427">
        <f t="shared" si="41"/>
        <v>9914.8280000000013</v>
      </c>
    </row>
    <row r="428" spans="1:11" x14ac:dyDescent="0.25">
      <c r="A428" t="str">
        <f>Original!A418</f>
        <v>ORD-2024-655710</v>
      </c>
      <c r="B428">
        <f>Original!R418</f>
        <v>851.49</v>
      </c>
      <c r="C428">
        <f>Original!S418</f>
        <v>901.79</v>
      </c>
      <c r="D428" s="6">
        <f>Original!T418</f>
        <v>0.245</v>
      </c>
      <c r="E428" s="6">
        <f>Original!V418</f>
        <v>16</v>
      </c>
      <c r="F428" s="6">
        <f t="shared" si="36"/>
        <v>0.05</v>
      </c>
      <c r="G428">
        <f t="shared" si="37"/>
        <v>936.63900000000012</v>
      </c>
      <c r="H428">
        <f t="shared" si="38"/>
        <v>16</v>
      </c>
      <c r="I428">
        <f t="shared" si="39"/>
        <v>13707.207999999999</v>
      </c>
      <c r="J428">
        <f t="shared" si="40"/>
        <v>-1279.0160000000033</v>
      </c>
      <c r="K428">
        <f t="shared" si="41"/>
        <v>14986.224000000002</v>
      </c>
    </row>
    <row r="429" spans="1:11" x14ac:dyDescent="0.25">
      <c r="A429" t="str">
        <f>Original!A419</f>
        <v>ORD-2025-411385</v>
      </c>
      <c r="B429">
        <f>Original!R419</f>
        <v>618.69000000000005</v>
      </c>
      <c r="C429">
        <f>Original!S419</f>
        <v>796.15</v>
      </c>
      <c r="D429" s="6">
        <f>Original!T419</f>
        <v>0.09</v>
      </c>
      <c r="E429" s="6">
        <f>Original!V419</f>
        <v>11</v>
      </c>
      <c r="F429" s="6">
        <f t="shared" si="36"/>
        <v>0.05</v>
      </c>
      <c r="G429">
        <f t="shared" si="37"/>
        <v>680.55900000000008</v>
      </c>
      <c r="H429">
        <f t="shared" si="38"/>
        <v>11</v>
      </c>
      <c r="I429">
        <f t="shared" si="39"/>
        <v>8319.7674999999999</v>
      </c>
      <c r="J429">
        <f t="shared" si="40"/>
        <v>833.61849999999868</v>
      </c>
      <c r="K429">
        <f t="shared" si="41"/>
        <v>7486.1490000000013</v>
      </c>
    </row>
    <row r="430" spans="1:11" x14ac:dyDescent="0.25">
      <c r="A430" t="str">
        <f>Original!A420</f>
        <v>ORD-2025-222035</v>
      </c>
      <c r="B430">
        <f>Original!R420</f>
        <v>80.59</v>
      </c>
      <c r="C430">
        <f>Original!S420</f>
        <v>157.82</v>
      </c>
      <c r="D430" s="6">
        <f>Original!T420</f>
        <v>0.217</v>
      </c>
      <c r="E430" s="6">
        <f>Original!V420</f>
        <v>6</v>
      </c>
      <c r="F430" s="6">
        <f t="shared" si="36"/>
        <v>0.05</v>
      </c>
      <c r="G430">
        <f t="shared" si="37"/>
        <v>88.649000000000015</v>
      </c>
      <c r="H430">
        <f t="shared" si="38"/>
        <v>6</v>
      </c>
      <c r="I430">
        <f t="shared" si="39"/>
        <v>899.57399999999996</v>
      </c>
      <c r="J430">
        <f t="shared" si="40"/>
        <v>367.67999999999984</v>
      </c>
      <c r="K430">
        <f t="shared" si="41"/>
        <v>531.89400000000012</v>
      </c>
    </row>
    <row r="431" spans="1:11" x14ac:dyDescent="0.25">
      <c r="A431" t="str">
        <f>Original!A421</f>
        <v>ORD-2024-749242</v>
      </c>
      <c r="B431">
        <f>Original!R421</f>
        <v>504.93</v>
      </c>
      <c r="C431">
        <f>Original!S421</f>
        <v>819.06</v>
      </c>
      <c r="D431" s="6">
        <f>Original!T421</f>
        <v>0.22600000000000001</v>
      </c>
      <c r="E431" s="6">
        <f>Original!V421</f>
        <v>15</v>
      </c>
      <c r="F431" s="6">
        <f t="shared" si="36"/>
        <v>0.05</v>
      </c>
      <c r="G431">
        <f t="shared" si="37"/>
        <v>555.423</v>
      </c>
      <c r="H431">
        <f t="shared" si="38"/>
        <v>15</v>
      </c>
      <c r="I431">
        <f t="shared" si="39"/>
        <v>11671.605</v>
      </c>
      <c r="J431">
        <f t="shared" si="40"/>
        <v>3340.26</v>
      </c>
      <c r="K431">
        <f t="shared" si="41"/>
        <v>8331.3449999999993</v>
      </c>
    </row>
    <row r="432" spans="1:11" x14ac:dyDescent="0.25">
      <c r="A432" t="str">
        <f>Original!A422</f>
        <v>ORD-2023-623293</v>
      </c>
      <c r="B432">
        <f>Original!R422</f>
        <v>1102.19</v>
      </c>
      <c r="C432">
        <f>Original!S422</f>
        <v>1711.16</v>
      </c>
      <c r="D432" s="6">
        <f>Original!T422</f>
        <v>0.151</v>
      </c>
      <c r="E432" s="6">
        <f>Original!V422</f>
        <v>10</v>
      </c>
      <c r="F432" s="6">
        <f t="shared" si="36"/>
        <v>0.05</v>
      </c>
      <c r="G432">
        <f t="shared" si="37"/>
        <v>1212.4090000000001</v>
      </c>
      <c r="H432">
        <f t="shared" si="38"/>
        <v>10</v>
      </c>
      <c r="I432">
        <f t="shared" si="39"/>
        <v>16256.02</v>
      </c>
      <c r="J432">
        <f t="shared" si="40"/>
        <v>4131.93</v>
      </c>
      <c r="K432">
        <f t="shared" si="41"/>
        <v>12124.09</v>
      </c>
    </row>
    <row r="433" spans="1:11" x14ac:dyDescent="0.25">
      <c r="A433" t="str">
        <f>Original!A423</f>
        <v>ORD-2025-276968</v>
      </c>
      <c r="B433">
        <f>Original!R423</f>
        <v>1205.26</v>
      </c>
      <c r="C433">
        <f>Original!S423</f>
        <v>1696.35</v>
      </c>
      <c r="D433" s="6">
        <f>Original!T423</f>
        <v>1.9E-2</v>
      </c>
      <c r="E433" s="6">
        <f>Original!V423</f>
        <v>6</v>
      </c>
      <c r="F433" s="6">
        <f t="shared" si="36"/>
        <v>1.9E-2</v>
      </c>
      <c r="G433">
        <f t="shared" si="37"/>
        <v>1325.7860000000001</v>
      </c>
      <c r="H433">
        <f t="shared" si="38"/>
        <v>6</v>
      </c>
      <c r="I433">
        <f t="shared" si="39"/>
        <v>9984.7160999999978</v>
      </c>
      <c r="J433">
        <f t="shared" si="40"/>
        <v>2030.0000999999975</v>
      </c>
      <c r="K433">
        <f t="shared" si="41"/>
        <v>7954.7160000000003</v>
      </c>
    </row>
    <row r="434" spans="1:11" x14ac:dyDescent="0.25">
      <c r="A434" t="str">
        <f>Original!A424</f>
        <v>ORD-2025-650841</v>
      </c>
      <c r="B434">
        <f>Original!R424</f>
        <v>1313.3</v>
      </c>
      <c r="C434">
        <f>Original!S424</f>
        <v>2884.34</v>
      </c>
      <c r="D434" s="6">
        <f>Original!T424</f>
        <v>0.157</v>
      </c>
      <c r="E434" s="6">
        <f>Original!V424</f>
        <v>42</v>
      </c>
      <c r="F434" s="6">
        <f t="shared" si="36"/>
        <v>0.05</v>
      </c>
      <c r="G434">
        <f t="shared" si="37"/>
        <v>1444.63</v>
      </c>
      <c r="H434">
        <f t="shared" si="38"/>
        <v>42</v>
      </c>
      <c r="I434">
        <f t="shared" si="39"/>
        <v>115085.166</v>
      </c>
      <c r="J434">
        <f t="shared" si="40"/>
        <v>54410.705999999991</v>
      </c>
      <c r="K434">
        <f t="shared" si="41"/>
        <v>60674.460000000006</v>
      </c>
    </row>
    <row r="435" spans="1:11" x14ac:dyDescent="0.25">
      <c r="A435" t="str">
        <f>Original!A425</f>
        <v>ORD-2025-831576</v>
      </c>
      <c r="B435">
        <f>Original!R425</f>
        <v>1488.91</v>
      </c>
      <c r="C435">
        <f>Original!S425</f>
        <v>1483.74</v>
      </c>
      <c r="D435" s="6">
        <f>Original!T425</f>
        <v>0.16800000000000001</v>
      </c>
      <c r="E435" s="6">
        <f>Original!V425</f>
        <v>24</v>
      </c>
      <c r="F435" s="6">
        <f t="shared" si="36"/>
        <v>0.05</v>
      </c>
      <c r="G435">
        <f t="shared" si="37"/>
        <v>1637.8010000000002</v>
      </c>
      <c r="H435">
        <f t="shared" si="38"/>
        <v>24</v>
      </c>
      <c r="I435">
        <f t="shared" si="39"/>
        <v>33829.271999999997</v>
      </c>
      <c r="J435">
        <f t="shared" si="40"/>
        <v>-5477.9520000000048</v>
      </c>
      <c r="K435">
        <f t="shared" si="41"/>
        <v>39307.224000000002</v>
      </c>
    </row>
    <row r="436" spans="1:11" x14ac:dyDescent="0.25">
      <c r="A436" t="str">
        <f>Original!A426</f>
        <v>ORD-2024-468655</v>
      </c>
      <c r="B436">
        <f>Original!R426</f>
        <v>1477.84</v>
      </c>
      <c r="C436">
        <f>Original!S426</f>
        <v>3197.47</v>
      </c>
      <c r="D436" s="6">
        <f>Original!T426</f>
        <v>0.24299999999999999</v>
      </c>
      <c r="E436" s="6">
        <f>Original!V426</f>
        <v>24</v>
      </c>
      <c r="F436" s="6">
        <f t="shared" si="36"/>
        <v>0.05</v>
      </c>
      <c r="G436">
        <f t="shared" si="37"/>
        <v>1625.624</v>
      </c>
      <c r="H436">
        <f t="shared" si="38"/>
        <v>24</v>
      </c>
      <c r="I436">
        <f t="shared" si="39"/>
        <v>72902.315999999992</v>
      </c>
      <c r="J436">
        <f t="shared" si="40"/>
        <v>33887.339999999989</v>
      </c>
      <c r="K436">
        <f t="shared" si="41"/>
        <v>39014.976000000002</v>
      </c>
    </row>
    <row r="437" spans="1:11" x14ac:dyDescent="0.25">
      <c r="A437" t="str">
        <f>Original!A427</f>
        <v>ORD-2024-515105</v>
      </c>
      <c r="B437">
        <f>Original!R427</f>
        <v>1035.19</v>
      </c>
      <c r="C437">
        <f>Original!S427</f>
        <v>2322.6999999999998</v>
      </c>
      <c r="D437" s="6">
        <f>Original!T427</f>
        <v>0.17299999999999999</v>
      </c>
      <c r="E437" s="6">
        <f>Original!V427</f>
        <v>8</v>
      </c>
      <c r="F437" s="6">
        <f t="shared" si="36"/>
        <v>0.05</v>
      </c>
      <c r="G437">
        <f t="shared" si="37"/>
        <v>1138.7090000000001</v>
      </c>
      <c r="H437">
        <f t="shared" si="38"/>
        <v>8</v>
      </c>
      <c r="I437">
        <f t="shared" si="39"/>
        <v>17652.519999999997</v>
      </c>
      <c r="J437">
        <f t="shared" si="40"/>
        <v>8542.8479999999963</v>
      </c>
      <c r="K437">
        <f t="shared" si="41"/>
        <v>9109.6720000000005</v>
      </c>
    </row>
    <row r="438" spans="1:11" x14ac:dyDescent="0.25">
      <c r="A438" t="str">
        <f>Original!A428</f>
        <v>ORD-2025-803803</v>
      </c>
      <c r="B438">
        <f>Original!R428</f>
        <v>1271.0999999999999</v>
      </c>
      <c r="C438">
        <f>Original!S428</f>
        <v>1932.42</v>
      </c>
      <c r="D438" s="6">
        <f>Original!T428</f>
        <v>0.25</v>
      </c>
      <c r="E438" s="6">
        <f>Original!V428</f>
        <v>21</v>
      </c>
      <c r="F438" s="6">
        <f t="shared" si="36"/>
        <v>0.05</v>
      </c>
      <c r="G438">
        <f t="shared" si="37"/>
        <v>1398.21</v>
      </c>
      <c r="H438">
        <f t="shared" si="38"/>
        <v>21</v>
      </c>
      <c r="I438">
        <f t="shared" si="39"/>
        <v>38551.778999999995</v>
      </c>
      <c r="J438">
        <f t="shared" si="40"/>
        <v>9189.3689999999951</v>
      </c>
      <c r="K438">
        <f t="shared" si="41"/>
        <v>29362.41</v>
      </c>
    </row>
    <row r="439" spans="1:11" x14ac:dyDescent="0.25">
      <c r="A439" t="str">
        <f>Original!A429</f>
        <v>ORD-2024-993481</v>
      </c>
      <c r="B439">
        <f>Original!R429</f>
        <v>1154.03</v>
      </c>
      <c r="C439">
        <f>Original!S429</f>
        <v>1590.36</v>
      </c>
      <c r="D439" s="6">
        <f>Original!T429</f>
        <v>0.314</v>
      </c>
      <c r="E439" s="6">
        <f>Original!V429</f>
        <v>18</v>
      </c>
      <c r="F439" s="6">
        <f t="shared" si="36"/>
        <v>0.05</v>
      </c>
      <c r="G439">
        <f t="shared" si="37"/>
        <v>1269.433</v>
      </c>
      <c r="H439">
        <f t="shared" si="38"/>
        <v>18</v>
      </c>
      <c r="I439">
        <f t="shared" si="39"/>
        <v>27195.155999999999</v>
      </c>
      <c r="J439">
        <f t="shared" si="40"/>
        <v>4345.3619999999974</v>
      </c>
      <c r="K439">
        <f t="shared" si="41"/>
        <v>22849.794000000002</v>
      </c>
    </row>
    <row r="440" spans="1:11" x14ac:dyDescent="0.25">
      <c r="A440" t="str">
        <f>Original!A430</f>
        <v>ORD-2024-811752</v>
      </c>
      <c r="B440">
        <f>Original!R430</f>
        <v>322.44</v>
      </c>
      <c r="C440">
        <f>Original!S430</f>
        <v>395.61</v>
      </c>
      <c r="D440" s="6">
        <f>Original!T430</f>
        <v>0</v>
      </c>
      <c r="E440" s="6">
        <f>Original!V430</f>
        <v>34</v>
      </c>
      <c r="F440" s="6">
        <f t="shared" si="36"/>
        <v>0</v>
      </c>
      <c r="G440">
        <f t="shared" si="37"/>
        <v>354.68400000000003</v>
      </c>
      <c r="H440">
        <f t="shared" si="38"/>
        <v>34</v>
      </c>
      <c r="I440">
        <f t="shared" si="39"/>
        <v>13450.74</v>
      </c>
      <c r="J440">
        <f t="shared" si="40"/>
        <v>1391.4839999999986</v>
      </c>
      <c r="K440">
        <f t="shared" si="41"/>
        <v>12059.256000000001</v>
      </c>
    </row>
    <row r="441" spans="1:11" x14ac:dyDescent="0.25">
      <c r="A441" t="str">
        <f>Original!A431</f>
        <v>ORD-2025-673091</v>
      </c>
      <c r="B441">
        <f>Original!R431</f>
        <v>935.98</v>
      </c>
      <c r="C441">
        <f>Original!S431</f>
        <v>2077.69</v>
      </c>
      <c r="D441" s="6">
        <f>Original!T431</f>
        <v>0.17499999999999999</v>
      </c>
      <c r="E441" s="6">
        <f>Original!V431</f>
        <v>24</v>
      </c>
      <c r="F441" s="6">
        <f t="shared" si="36"/>
        <v>0.05</v>
      </c>
      <c r="G441">
        <f t="shared" si="37"/>
        <v>1029.5780000000002</v>
      </c>
      <c r="H441">
        <f t="shared" si="38"/>
        <v>24</v>
      </c>
      <c r="I441">
        <f t="shared" si="39"/>
        <v>47371.331999999995</v>
      </c>
      <c r="J441">
        <f t="shared" si="40"/>
        <v>22661.459999999992</v>
      </c>
      <c r="K441">
        <f t="shared" si="41"/>
        <v>24709.872000000003</v>
      </c>
    </row>
    <row r="442" spans="1:11" x14ac:dyDescent="0.25">
      <c r="A442" t="str">
        <f>Original!A432</f>
        <v>ORD-2024-381197</v>
      </c>
      <c r="B442">
        <f>Original!R432</f>
        <v>599.84</v>
      </c>
      <c r="C442">
        <f>Original!S432</f>
        <v>1330.85</v>
      </c>
      <c r="D442" s="6">
        <f>Original!T432</f>
        <v>0.115</v>
      </c>
      <c r="E442" s="6">
        <f>Original!V432</f>
        <v>11</v>
      </c>
      <c r="F442" s="6">
        <f t="shared" si="36"/>
        <v>0.05</v>
      </c>
      <c r="G442">
        <f t="shared" si="37"/>
        <v>659.82400000000007</v>
      </c>
      <c r="H442">
        <f t="shared" si="38"/>
        <v>11</v>
      </c>
      <c r="I442">
        <f t="shared" si="39"/>
        <v>13907.382499999998</v>
      </c>
      <c r="J442">
        <f t="shared" si="40"/>
        <v>6649.3184999999976</v>
      </c>
      <c r="K442">
        <f t="shared" si="41"/>
        <v>7258.0640000000003</v>
      </c>
    </row>
    <row r="443" spans="1:11" x14ac:dyDescent="0.25">
      <c r="A443" t="str">
        <f>Original!A433</f>
        <v>ORD-2024-651852</v>
      </c>
      <c r="B443">
        <f>Original!R433</f>
        <v>1201.31</v>
      </c>
      <c r="C443">
        <f>Original!S433</f>
        <v>2764.65</v>
      </c>
      <c r="D443" s="6">
        <f>Original!T433</f>
        <v>0</v>
      </c>
      <c r="E443" s="6">
        <f>Original!V433</f>
        <v>21</v>
      </c>
      <c r="F443" s="6">
        <f t="shared" si="36"/>
        <v>0</v>
      </c>
      <c r="G443">
        <f t="shared" si="37"/>
        <v>1321.441</v>
      </c>
      <c r="H443">
        <f t="shared" si="38"/>
        <v>21</v>
      </c>
      <c r="I443">
        <f t="shared" si="39"/>
        <v>58057.65</v>
      </c>
      <c r="J443">
        <f t="shared" si="40"/>
        <v>30307.388999999999</v>
      </c>
      <c r="K443">
        <f t="shared" si="41"/>
        <v>27750.261000000002</v>
      </c>
    </row>
    <row r="444" spans="1:11" x14ac:dyDescent="0.25">
      <c r="A444" t="str">
        <f>Original!A434</f>
        <v>ORD-2023-659070</v>
      </c>
      <c r="B444">
        <f>Original!R434</f>
        <v>384.19</v>
      </c>
      <c r="C444">
        <f>Original!S434</f>
        <v>278.35000000000002</v>
      </c>
      <c r="D444" s="6">
        <f>Original!T434</f>
        <v>5.6000000000000001E-2</v>
      </c>
      <c r="E444" s="6">
        <f>Original!V434</f>
        <v>10</v>
      </c>
      <c r="F444" s="6">
        <f t="shared" si="36"/>
        <v>0.05</v>
      </c>
      <c r="G444">
        <f t="shared" si="37"/>
        <v>422.60900000000004</v>
      </c>
      <c r="H444">
        <f t="shared" si="38"/>
        <v>10</v>
      </c>
      <c r="I444">
        <f t="shared" si="39"/>
        <v>2644.3249999999998</v>
      </c>
      <c r="J444">
        <f t="shared" si="40"/>
        <v>-1581.7650000000003</v>
      </c>
      <c r="K444">
        <f t="shared" si="41"/>
        <v>4226.09</v>
      </c>
    </row>
    <row r="445" spans="1:11" x14ac:dyDescent="0.25">
      <c r="A445" t="str">
        <f>Original!A435</f>
        <v>ORD-2024-837651</v>
      </c>
      <c r="B445">
        <f>Original!R435</f>
        <v>488.68</v>
      </c>
      <c r="C445">
        <f>Original!S435</f>
        <v>984.36</v>
      </c>
      <c r="D445" s="6">
        <f>Original!T435</f>
        <v>5.8999999999999997E-2</v>
      </c>
      <c r="E445" s="6">
        <f>Original!V435</f>
        <v>14</v>
      </c>
      <c r="F445" s="6">
        <f t="shared" si="36"/>
        <v>0.05</v>
      </c>
      <c r="G445">
        <f t="shared" si="37"/>
        <v>537.548</v>
      </c>
      <c r="H445">
        <f t="shared" si="38"/>
        <v>14</v>
      </c>
      <c r="I445">
        <f t="shared" si="39"/>
        <v>13091.987999999999</v>
      </c>
      <c r="J445">
        <f t="shared" si="40"/>
        <v>5566.3159999999989</v>
      </c>
      <c r="K445">
        <f t="shared" si="41"/>
        <v>7525.6720000000005</v>
      </c>
    </row>
    <row r="446" spans="1:11" x14ac:dyDescent="0.25">
      <c r="A446" t="str">
        <f>Original!A436</f>
        <v>ORD-2024-581530</v>
      </c>
      <c r="B446">
        <f>Original!R436</f>
        <v>181.74</v>
      </c>
      <c r="C446">
        <f>Original!S436</f>
        <v>190.84</v>
      </c>
      <c r="D446" s="6">
        <f>Original!T436</f>
        <v>0.214</v>
      </c>
      <c r="E446" s="6">
        <f>Original!V436</f>
        <v>13</v>
      </c>
      <c r="F446" s="6">
        <f t="shared" si="36"/>
        <v>0.05</v>
      </c>
      <c r="G446">
        <f t="shared" si="37"/>
        <v>199.91400000000002</v>
      </c>
      <c r="H446">
        <f t="shared" si="38"/>
        <v>13</v>
      </c>
      <c r="I446">
        <f t="shared" si="39"/>
        <v>2356.8739999999998</v>
      </c>
      <c r="J446">
        <f t="shared" si="40"/>
        <v>-242.00800000000027</v>
      </c>
      <c r="K446">
        <f t="shared" si="41"/>
        <v>2598.8820000000001</v>
      </c>
    </row>
    <row r="447" spans="1:11" x14ac:dyDescent="0.25">
      <c r="A447" t="str">
        <f>Original!A437</f>
        <v>ORD-2023-378104</v>
      </c>
      <c r="B447">
        <f>Original!R437</f>
        <v>774.12</v>
      </c>
      <c r="C447">
        <f>Original!S437</f>
        <v>908.3</v>
      </c>
      <c r="D447" s="6">
        <f>Original!T437</f>
        <v>0</v>
      </c>
      <c r="E447" s="6">
        <f>Original!V437</f>
        <v>30</v>
      </c>
      <c r="F447" s="6">
        <f t="shared" si="36"/>
        <v>0</v>
      </c>
      <c r="G447">
        <f t="shared" si="37"/>
        <v>851.53200000000004</v>
      </c>
      <c r="H447">
        <f t="shared" si="38"/>
        <v>30</v>
      </c>
      <c r="I447">
        <f t="shared" si="39"/>
        <v>27249</v>
      </c>
      <c r="J447">
        <f t="shared" si="40"/>
        <v>1703.0399999999972</v>
      </c>
      <c r="K447">
        <f t="shared" si="41"/>
        <v>25545.960000000003</v>
      </c>
    </row>
    <row r="448" spans="1:11" x14ac:dyDescent="0.25">
      <c r="A448" t="str">
        <f>Original!A438</f>
        <v>ORD-2024-972318</v>
      </c>
      <c r="B448">
        <f>Original!R438</f>
        <v>126.15</v>
      </c>
      <c r="C448">
        <f>Original!S438</f>
        <v>284.23</v>
      </c>
      <c r="D448" s="6">
        <f>Original!T438</f>
        <v>0.113</v>
      </c>
      <c r="E448" s="6">
        <f>Original!V438</f>
        <v>22</v>
      </c>
      <c r="F448" s="6">
        <f t="shared" si="36"/>
        <v>0.05</v>
      </c>
      <c r="G448">
        <f t="shared" si="37"/>
        <v>138.76500000000001</v>
      </c>
      <c r="H448">
        <f t="shared" si="38"/>
        <v>22</v>
      </c>
      <c r="I448">
        <f t="shared" si="39"/>
        <v>5940.4070000000002</v>
      </c>
      <c r="J448">
        <f t="shared" si="40"/>
        <v>2887.5769999999998</v>
      </c>
      <c r="K448">
        <f t="shared" si="41"/>
        <v>3052.8300000000004</v>
      </c>
    </row>
    <row r="449" spans="1:11" x14ac:dyDescent="0.25">
      <c r="A449" t="str">
        <f>Original!A439</f>
        <v>ORD-2023-752962</v>
      </c>
      <c r="B449">
        <f>Original!R439</f>
        <v>607.04</v>
      </c>
      <c r="C449">
        <f>Original!S439</f>
        <v>1229.3399999999999</v>
      </c>
      <c r="D449" s="6">
        <f>Original!T439</f>
        <v>0.14699999999999999</v>
      </c>
      <c r="E449" s="6">
        <f>Original!V439</f>
        <v>7</v>
      </c>
      <c r="F449" s="6">
        <f t="shared" si="36"/>
        <v>0.05</v>
      </c>
      <c r="G449">
        <f t="shared" si="37"/>
        <v>667.74400000000003</v>
      </c>
      <c r="H449">
        <f t="shared" si="38"/>
        <v>7</v>
      </c>
      <c r="I449">
        <f t="shared" si="39"/>
        <v>8175.110999999999</v>
      </c>
      <c r="J449">
        <f t="shared" si="40"/>
        <v>3500.9029999999984</v>
      </c>
      <c r="K449">
        <f t="shared" si="41"/>
        <v>4674.2080000000005</v>
      </c>
    </row>
    <row r="450" spans="1:11" x14ac:dyDescent="0.25">
      <c r="A450" t="str">
        <f>Original!A440</f>
        <v>ORD-2023-808024</v>
      </c>
      <c r="B450">
        <f>Original!R440</f>
        <v>861.1</v>
      </c>
      <c r="C450">
        <f>Original!S440</f>
        <v>1224.72</v>
      </c>
      <c r="D450" s="6">
        <f>Original!T440</f>
        <v>0.17399999999999999</v>
      </c>
      <c r="E450" s="6">
        <f>Original!V440</f>
        <v>24</v>
      </c>
      <c r="F450" s="6">
        <f t="shared" si="36"/>
        <v>0.05</v>
      </c>
      <c r="G450">
        <f t="shared" si="37"/>
        <v>947.21000000000015</v>
      </c>
      <c r="H450">
        <f t="shared" si="38"/>
        <v>24</v>
      </c>
      <c r="I450">
        <f t="shared" si="39"/>
        <v>27923.615999999998</v>
      </c>
      <c r="J450">
        <f t="shared" si="40"/>
        <v>5190.5759999999937</v>
      </c>
      <c r="K450">
        <f t="shared" si="41"/>
        <v>22733.040000000005</v>
      </c>
    </row>
    <row r="451" spans="1:11" x14ac:dyDescent="0.25">
      <c r="A451" t="str">
        <f>Original!A441</f>
        <v>ORD-2023-156396</v>
      </c>
      <c r="B451">
        <f>Original!R441</f>
        <v>352.65</v>
      </c>
      <c r="C451">
        <f>Original!S441</f>
        <v>485.86</v>
      </c>
      <c r="D451" s="6">
        <f>Original!T441</f>
        <v>4.1000000000000002E-2</v>
      </c>
      <c r="E451" s="6">
        <f>Original!V441</f>
        <v>6</v>
      </c>
      <c r="F451" s="6">
        <f t="shared" si="36"/>
        <v>4.1000000000000002E-2</v>
      </c>
      <c r="G451">
        <f t="shared" si="37"/>
        <v>387.91500000000002</v>
      </c>
      <c r="H451">
        <f t="shared" si="38"/>
        <v>6</v>
      </c>
      <c r="I451">
        <f t="shared" si="39"/>
        <v>2795.6384399999997</v>
      </c>
      <c r="J451">
        <f t="shared" si="40"/>
        <v>468.14843999999948</v>
      </c>
      <c r="K451">
        <f t="shared" si="41"/>
        <v>2327.4900000000002</v>
      </c>
    </row>
    <row r="452" spans="1:11" x14ac:dyDescent="0.25">
      <c r="A452" t="str">
        <f>Original!A442</f>
        <v>ORD-2023-184577</v>
      </c>
      <c r="B452">
        <f>Original!R442</f>
        <v>979.59</v>
      </c>
      <c r="C452">
        <f>Original!S442</f>
        <v>2210.94</v>
      </c>
      <c r="D452" s="6">
        <f>Original!T442</f>
        <v>0.15</v>
      </c>
      <c r="E452" s="6">
        <f>Original!V442</f>
        <v>11</v>
      </c>
      <c r="F452" s="6">
        <f t="shared" si="36"/>
        <v>0.05</v>
      </c>
      <c r="G452">
        <f t="shared" si="37"/>
        <v>1077.5490000000002</v>
      </c>
      <c r="H452">
        <f t="shared" si="38"/>
        <v>11</v>
      </c>
      <c r="I452">
        <f t="shared" si="39"/>
        <v>23104.323</v>
      </c>
      <c r="J452">
        <f t="shared" si="40"/>
        <v>11251.283999999998</v>
      </c>
      <c r="K452">
        <f t="shared" si="41"/>
        <v>11853.039000000002</v>
      </c>
    </row>
    <row r="453" spans="1:11" x14ac:dyDescent="0.25">
      <c r="A453" t="str">
        <f>Original!A443</f>
        <v>ORD-2024-446030</v>
      </c>
      <c r="B453">
        <f>Original!R443</f>
        <v>382.21</v>
      </c>
      <c r="C453">
        <f>Original!S443</f>
        <v>571.89</v>
      </c>
      <c r="D453" s="6">
        <f>Original!T443</f>
        <v>0.14799999999999999</v>
      </c>
      <c r="E453" s="6">
        <f>Original!V443</f>
        <v>26</v>
      </c>
      <c r="F453" s="6">
        <f t="shared" si="36"/>
        <v>0.05</v>
      </c>
      <c r="G453">
        <f t="shared" si="37"/>
        <v>420.43099999999998</v>
      </c>
      <c r="H453">
        <f t="shared" si="38"/>
        <v>26</v>
      </c>
      <c r="I453">
        <f t="shared" si="39"/>
        <v>14125.682999999999</v>
      </c>
      <c r="J453">
        <f t="shared" si="40"/>
        <v>3194.476999999999</v>
      </c>
      <c r="K453">
        <f t="shared" si="41"/>
        <v>10931.206</v>
      </c>
    </row>
    <row r="454" spans="1:11" x14ac:dyDescent="0.25">
      <c r="A454" t="str">
        <f>Original!A444</f>
        <v>ORD-2023-842820</v>
      </c>
      <c r="B454">
        <f>Original!R444</f>
        <v>1362.06</v>
      </c>
      <c r="C454">
        <f>Original!S444</f>
        <v>3398.37</v>
      </c>
      <c r="D454" s="6">
        <f>Original!T444</f>
        <v>0.157</v>
      </c>
      <c r="E454" s="6">
        <f>Original!V444</f>
        <v>11</v>
      </c>
      <c r="F454" s="6">
        <f t="shared" si="36"/>
        <v>0.05</v>
      </c>
      <c r="G454">
        <f t="shared" si="37"/>
        <v>1498.2660000000001</v>
      </c>
      <c r="H454">
        <f t="shared" si="38"/>
        <v>11</v>
      </c>
      <c r="I454">
        <f t="shared" si="39"/>
        <v>35512.966499999995</v>
      </c>
      <c r="J454">
        <f t="shared" si="40"/>
        <v>19032.040499999996</v>
      </c>
      <c r="K454">
        <f t="shared" si="41"/>
        <v>16480.925999999999</v>
      </c>
    </row>
    <row r="455" spans="1:11" x14ac:dyDescent="0.25">
      <c r="A455" t="str">
        <f>Original!A445</f>
        <v>ORD-2024-745424</v>
      </c>
      <c r="B455">
        <f>Original!R445</f>
        <v>90.04</v>
      </c>
      <c r="C455">
        <f>Original!S445</f>
        <v>194.62</v>
      </c>
      <c r="D455" s="6">
        <f>Original!T445</f>
        <v>4.2999999999999997E-2</v>
      </c>
      <c r="E455" s="6">
        <f>Original!V445</f>
        <v>32</v>
      </c>
      <c r="F455" s="6">
        <f t="shared" si="36"/>
        <v>4.2999999999999997E-2</v>
      </c>
      <c r="G455">
        <f t="shared" si="37"/>
        <v>99.044000000000011</v>
      </c>
      <c r="H455">
        <f t="shared" si="38"/>
        <v>32</v>
      </c>
      <c r="I455">
        <f t="shared" si="39"/>
        <v>5960.04288</v>
      </c>
      <c r="J455">
        <f t="shared" si="40"/>
        <v>2790.6348799999996</v>
      </c>
      <c r="K455">
        <f t="shared" si="41"/>
        <v>3169.4080000000004</v>
      </c>
    </row>
    <row r="456" spans="1:11" x14ac:dyDescent="0.25">
      <c r="A456" t="str">
        <f>Original!A446</f>
        <v>ORD-2024-510520</v>
      </c>
      <c r="B456">
        <f>Original!R446</f>
        <v>558.19000000000005</v>
      </c>
      <c r="C456">
        <f>Original!S446</f>
        <v>1031.6400000000001</v>
      </c>
      <c r="D456" s="6">
        <f>Original!T446</f>
        <v>0</v>
      </c>
      <c r="E456" s="6">
        <f>Original!V446</f>
        <v>21</v>
      </c>
      <c r="F456" s="6">
        <f t="shared" si="36"/>
        <v>0</v>
      </c>
      <c r="G456">
        <f t="shared" si="37"/>
        <v>614.00900000000013</v>
      </c>
      <c r="H456">
        <f t="shared" si="38"/>
        <v>21</v>
      </c>
      <c r="I456">
        <f t="shared" si="39"/>
        <v>21664.440000000002</v>
      </c>
      <c r="J456">
        <f t="shared" si="40"/>
        <v>8770.2510000000002</v>
      </c>
      <c r="K456">
        <f t="shared" si="41"/>
        <v>12894.189000000002</v>
      </c>
    </row>
    <row r="457" spans="1:11" x14ac:dyDescent="0.25">
      <c r="A457" t="str">
        <f>Original!A447</f>
        <v>ORD-2023-769774</v>
      </c>
      <c r="B457">
        <f>Original!R447</f>
        <v>247.07</v>
      </c>
      <c r="C457">
        <f>Original!S447</f>
        <v>495.19</v>
      </c>
      <c r="D457" s="6">
        <f>Original!T447</f>
        <v>2.8000000000000001E-2</v>
      </c>
      <c r="E457" s="6">
        <f>Original!V447</f>
        <v>4</v>
      </c>
      <c r="F457" s="6">
        <f t="shared" si="36"/>
        <v>2.8000000000000001E-2</v>
      </c>
      <c r="G457">
        <f t="shared" si="37"/>
        <v>271.77699999999999</v>
      </c>
      <c r="H457">
        <f t="shared" si="38"/>
        <v>4</v>
      </c>
      <c r="I457">
        <f t="shared" si="39"/>
        <v>1925.29872</v>
      </c>
      <c r="J457">
        <f t="shared" si="40"/>
        <v>838.19072000000006</v>
      </c>
      <c r="K457">
        <f t="shared" si="41"/>
        <v>1087.1079999999999</v>
      </c>
    </row>
    <row r="458" spans="1:11" x14ac:dyDescent="0.25">
      <c r="A458" t="str">
        <f>Original!A448</f>
        <v>ORD-2023-580751</v>
      </c>
      <c r="B458">
        <f>Original!R448</f>
        <v>625.37</v>
      </c>
      <c r="C458">
        <f>Original!S448</f>
        <v>1319.04</v>
      </c>
      <c r="D458" s="6">
        <f>Original!T448</f>
        <v>7.3999999999999996E-2</v>
      </c>
      <c r="E458" s="6">
        <f>Original!V448</f>
        <v>8</v>
      </c>
      <c r="F458" s="6">
        <f t="shared" si="36"/>
        <v>0.05</v>
      </c>
      <c r="G458">
        <f t="shared" si="37"/>
        <v>687.90700000000004</v>
      </c>
      <c r="H458">
        <f t="shared" si="38"/>
        <v>8</v>
      </c>
      <c r="I458">
        <f t="shared" si="39"/>
        <v>10024.704</v>
      </c>
      <c r="J458">
        <f t="shared" si="40"/>
        <v>4521.4479999999994</v>
      </c>
      <c r="K458">
        <f t="shared" si="41"/>
        <v>5503.2560000000003</v>
      </c>
    </row>
    <row r="459" spans="1:11" x14ac:dyDescent="0.25">
      <c r="A459" t="str">
        <f>Original!A449</f>
        <v>ORD-2025-473192</v>
      </c>
      <c r="B459">
        <f>Original!R449</f>
        <v>194.6</v>
      </c>
      <c r="C459">
        <f>Original!S449</f>
        <v>314.87</v>
      </c>
      <c r="D459" s="6">
        <f>Original!T449</f>
        <v>0.29299999999999998</v>
      </c>
      <c r="E459" s="6">
        <f>Original!V449</f>
        <v>25</v>
      </c>
      <c r="F459" s="6">
        <f t="shared" si="36"/>
        <v>0.05</v>
      </c>
      <c r="G459">
        <f t="shared" si="37"/>
        <v>214.06</v>
      </c>
      <c r="H459">
        <f t="shared" si="38"/>
        <v>25</v>
      </c>
      <c r="I459">
        <f t="shared" si="39"/>
        <v>7478.1624999999995</v>
      </c>
      <c r="J459">
        <f t="shared" si="40"/>
        <v>2126.6624999999995</v>
      </c>
      <c r="K459">
        <f t="shared" si="41"/>
        <v>5351.5</v>
      </c>
    </row>
    <row r="460" spans="1:11" x14ac:dyDescent="0.25">
      <c r="A460" t="str">
        <f>Original!A450</f>
        <v>ORD-2024-886939</v>
      </c>
      <c r="B460">
        <f>Original!R450</f>
        <v>1205.5</v>
      </c>
      <c r="C460">
        <f>Original!S450</f>
        <v>2210.17</v>
      </c>
      <c r="D460" s="6">
        <f>Original!T450</f>
        <v>0.104</v>
      </c>
      <c r="E460" s="6">
        <f>Original!V450</f>
        <v>23</v>
      </c>
      <c r="F460" s="6">
        <f t="shared" si="36"/>
        <v>0.05</v>
      </c>
      <c r="G460">
        <f t="shared" si="37"/>
        <v>1326.0500000000002</v>
      </c>
      <c r="H460">
        <f t="shared" si="38"/>
        <v>23</v>
      </c>
      <c r="I460">
        <f t="shared" si="39"/>
        <v>48292.214500000002</v>
      </c>
      <c r="J460">
        <f t="shared" si="40"/>
        <v>17793.064499999997</v>
      </c>
      <c r="K460">
        <f t="shared" si="41"/>
        <v>30499.150000000005</v>
      </c>
    </row>
    <row r="461" spans="1:11" x14ac:dyDescent="0.25">
      <c r="A461" t="str">
        <f>Original!A451</f>
        <v>ORD-2024-566589</v>
      </c>
      <c r="B461">
        <f>Original!R451</f>
        <v>895.54</v>
      </c>
      <c r="C461">
        <f>Original!S451</f>
        <v>1045</v>
      </c>
      <c r="D461" s="6">
        <f>Original!T451</f>
        <v>0.216</v>
      </c>
      <c r="E461" s="6">
        <f>Original!V451</f>
        <v>15</v>
      </c>
      <c r="F461" s="6">
        <f t="shared" si="36"/>
        <v>0.05</v>
      </c>
      <c r="G461">
        <f t="shared" si="37"/>
        <v>985.09400000000005</v>
      </c>
      <c r="H461">
        <f t="shared" si="38"/>
        <v>15</v>
      </c>
      <c r="I461">
        <f t="shared" si="39"/>
        <v>14891.25</v>
      </c>
      <c r="J461">
        <f t="shared" si="40"/>
        <v>114.84000000000015</v>
      </c>
      <c r="K461">
        <f t="shared" si="41"/>
        <v>14776.41</v>
      </c>
    </row>
    <row r="462" spans="1:11" x14ac:dyDescent="0.25">
      <c r="A462" t="str">
        <f>Original!A452</f>
        <v>ORD-2023-109927</v>
      </c>
      <c r="B462">
        <f>Original!R452</f>
        <v>946.99</v>
      </c>
      <c r="C462">
        <f>Original!S452</f>
        <v>2132.19</v>
      </c>
      <c r="D462" s="6">
        <f>Original!T452</f>
        <v>0.16500000000000001</v>
      </c>
      <c r="E462" s="6">
        <f>Original!V452</f>
        <v>7</v>
      </c>
      <c r="F462" s="6">
        <f t="shared" si="36"/>
        <v>0.05</v>
      </c>
      <c r="G462">
        <f t="shared" si="37"/>
        <v>1041.6890000000001</v>
      </c>
      <c r="H462">
        <f t="shared" si="38"/>
        <v>7</v>
      </c>
      <c r="I462">
        <f t="shared" si="39"/>
        <v>14179.063499999998</v>
      </c>
      <c r="J462">
        <f t="shared" si="40"/>
        <v>6887.2404999999981</v>
      </c>
      <c r="K462">
        <f t="shared" si="41"/>
        <v>7291.8230000000003</v>
      </c>
    </row>
    <row r="463" spans="1:11" x14ac:dyDescent="0.25">
      <c r="A463" t="str">
        <f>Original!A453</f>
        <v>ORD-2023-780206</v>
      </c>
      <c r="B463">
        <f>Original!R453</f>
        <v>873.06</v>
      </c>
      <c r="C463">
        <f>Original!S453</f>
        <v>2101.5500000000002</v>
      </c>
      <c r="D463" s="6">
        <f>Original!T453</f>
        <v>6.6000000000000003E-2</v>
      </c>
      <c r="E463" s="6">
        <f>Original!V453</f>
        <v>10</v>
      </c>
      <c r="F463" s="6">
        <f t="shared" si="36"/>
        <v>0.05</v>
      </c>
      <c r="G463">
        <f t="shared" si="37"/>
        <v>960.36599999999999</v>
      </c>
      <c r="H463">
        <f t="shared" si="38"/>
        <v>10</v>
      </c>
      <c r="I463">
        <f t="shared" si="39"/>
        <v>19964.724999999999</v>
      </c>
      <c r="J463">
        <f t="shared" si="40"/>
        <v>10361.064999999999</v>
      </c>
      <c r="K463">
        <f t="shared" si="41"/>
        <v>9603.66</v>
      </c>
    </row>
    <row r="464" spans="1:11" x14ac:dyDescent="0.25">
      <c r="A464" t="str">
        <f>Original!A454</f>
        <v>ORD-2024-851993</v>
      </c>
      <c r="B464">
        <f>Original!R454</f>
        <v>901.19</v>
      </c>
      <c r="C464">
        <f>Original!S454</f>
        <v>2125.44</v>
      </c>
      <c r="D464" s="6">
        <f>Original!T454</f>
        <v>7.0999999999999994E-2</v>
      </c>
      <c r="E464" s="6">
        <f>Original!V454</f>
        <v>12</v>
      </c>
      <c r="F464" s="6">
        <f t="shared" si="36"/>
        <v>0.05</v>
      </c>
      <c r="G464">
        <f t="shared" si="37"/>
        <v>991.3090000000002</v>
      </c>
      <c r="H464">
        <f t="shared" si="38"/>
        <v>12</v>
      </c>
      <c r="I464">
        <f t="shared" si="39"/>
        <v>24230.015999999996</v>
      </c>
      <c r="J464">
        <f t="shared" si="40"/>
        <v>12334.307999999994</v>
      </c>
      <c r="K464">
        <f t="shared" si="41"/>
        <v>11895.708000000002</v>
      </c>
    </row>
    <row r="465" spans="1:11" x14ac:dyDescent="0.25">
      <c r="A465" t="str">
        <f>Original!A455</f>
        <v>ORD-2025-417942</v>
      </c>
      <c r="B465">
        <f>Original!R455</f>
        <v>400.39</v>
      </c>
      <c r="C465">
        <f>Original!S455</f>
        <v>712.75</v>
      </c>
      <c r="D465" s="6">
        <f>Original!T455</f>
        <v>0.115</v>
      </c>
      <c r="E465" s="6">
        <f>Original!V455</f>
        <v>19</v>
      </c>
      <c r="F465" s="6">
        <f t="shared" si="36"/>
        <v>0.05</v>
      </c>
      <c r="G465">
        <f t="shared" si="37"/>
        <v>440.42900000000003</v>
      </c>
      <c r="H465">
        <f t="shared" si="38"/>
        <v>19</v>
      </c>
      <c r="I465">
        <f t="shared" si="39"/>
        <v>12865.137499999999</v>
      </c>
      <c r="J465">
        <f t="shared" si="40"/>
        <v>4496.9864999999991</v>
      </c>
      <c r="K465">
        <f t="shared" si="41"/>
        <v>8368.1509999999998</v>
      </c>
    </row>
    <row r="466" spans="1:11" x14ac:dyDescent="0.25">
      <c r="A466" t="str">
        <f>Original!A456</f>
        <v>ORD-2023-172095</v>
      </c>
      <c r="B466">
        <f>Original!R456</f>
        <v>813.97</v>
      </c>
      <c r="C466">
        <f>Original!S456</f>
        <v>1568.83</v>
      </c>
      <c r="D466" s="6">
        <f>Original!T456</f>
        <v>1.7000000000000001E-2</v>
      </c>
      <c r="E466" s="6">
        <f>Original!V456</f>
        <v>15</v>
      </c>
      <c r="F466" s="6">
        <f t="shared" si="36"/>
        <v>1.7000000000000001E-2</v>
      </c>
      <c r="G466">
        <f t="shared" si="37"/>
        <v>895.36700000000008</v>
      </c>
      <c r="H466">
        <f t="shared" si="38"/>
        <v>15</v>
      </c>
      <c r="I466">
        <f t="shared" si="39"/>
        <v>23132.398349999996</v>
      </c>
      <c r="J466">
        <f t="shared" si="40"/>
        <v>9701.8933499999948</v>
      </c>
      <c r="K466">
        <f t="shared" si="41"/>
        <v>13430.505000000001</v>
      </c>
    </row>
    <row r="467" spans="1:11" x14ac:dyDescent="0.25">
      <c r="A467" t="str">
        <f>Original!A457</f>
        <v>ORD-2024-257550</v>
      </c>
      <c r="B467">
        <f>Original!R457</f>
        <v>1146.72</v>
      </c>
      <c r="C467">
        <f>Original!S457</f>
        <v>2074.34</v>
      </c>
      <c r="D467" s="6">
        <f>Original!T457</f>
        <v>0.111</v>
      </c>
      <c r="E467" s="6">
        <f>Original!V457</f>
        <v>8</v>
      </c>
      <c r="F467" s="6">
        <f t="shared" si="36"/>
        <v>0.05</v>
      </c>
      <c r="G467">
        <f t="shared" si="37"/>
        <v>1261.3920000000001</v>
      </c>
      <c r="H467">
        <f t="shared" si="38"/>
        <v>8</v>
      </c>
      <c r="I467">
        <f t="shared" si="39"/>
        <v>15764.984</v>
      </c>
      <c r="J467">
        <f t="shared" si="40"/>
        <v>5673.848</v>
      </c>
      <c r="K467">
        <f t="shared" si="41"/>
        <v>10091.136</v>
      </c>
    </row>
    <row r="468" spans="1:11" x14ac:dyDescent="0.25">
      <c r="A468" t="str">
        <f>Original!A458</f>
        <v>ORD-2023-581799</v>
      </c>
      <c r="B468">
        <f>Original!R458</f>
        <v>307.43</v>
      </c>
      <c r="C468">
        <f>Original!S458</f>
        <v>495.19</v>
      </c>
      <c r="D468" s="6">
        <f>Original!T458</f>
        <v>0</v>
      </c>
      <c r="E468" s="6">
        <f>Original!V458</f>
        <v>42</v>
      </c>
      <c r="F468" s="6">
        <f t="shared" si="36"/>
        <v>0</v>
      </c>
      <c r="G468">
        <f t="shared" si="37"/>
        <v>338.17300000000006</v>
      </c>
      <c r="H468">
        <f t="shared" si="38"/>
        <v>42</v>
      </c>
      <c r="I468">
        <f t="shared" si="39"/>
        <v>20797.98</v>
      </c>
      <c r="J468">
        <f t="shared" si="40"/>
        <v>6594.7139999999963</v>
      </c>
      <c r="K468">
        <f t="shared" si="41"/>
        <v>14203.266000000003</v>
      </c>
    </row>
    <row r="469" spans="1:11" x14ac:dyDescent="0.25">
      <c r="A469" t="str">
        <f>Original!A459</f>
        <v>ORD-2023-880296</v>
      </c>
      <c r="B469">
        <f>Original!R459</f>
        <v>714.28</v>
      </c>
      <c r="C469">
        <f>Original!S459</f>
        <v>757.59</v>
      </c>
      <c r="D469" s="6">
        <f>Original!T459</f>
        <v>0.13600000000000001</v>
      </c>
      <c r="E469" s="6">
        <f>Original!V459</f>
        <v>12</v>
      </c>
      <c r="F469" s="6">
        <f t="shared" si="36"/>
        <v>0.05</v>
      </c>
      <c r="G469">
        <f t="shared" si="37"/>
        <v>785.70800000000008</v>
      </c>
      <c r="H469">
        <f t="shared" si="38"/>
        <v>12</v>
      </c>
      <c r="I469">
        <f t="shared" si="39"/>
        <v>8636.5259999999998</v>
      </c>
      <c r="J469">
        <f t="shared" si="40"/>
        <v>-791.97000000000116</v>
      </c>
      <c r="K469">
        <f t="shared" si="41"/>
        <v>9428.496000000001</v>
      </c>
    </row>
    <row r="470" spans="1:11" x14ac:dyDescent="0.25">
      <c r="A470" t="str">
        <f>Original!A460</f>
        <v>ORD-2023-191563</v>
      </c>
      <c r="B470">
        <f>Original!R460</f>
        <v>174.74</v>
      </c>
      <c r="C470">
        <f>Original!S460</f>
        <v>415.96</v>
      </c>
      <c r="D470" s="6">
        <f>Original!T460</f>
        <v>0.125</v>
      </c>
      <c r="E470" s="6">
        <f>Original!V460</f>
        <v>21</v>
      </c>
      <c r="F470" s="6">
        <f t="shared" si="36"/>
        <v>0.05</v>
      </c>
      <c r="G470">
        <f t="shared" si="37"/>
        <v>192.21400000000003</v>
      </c>
      <c r="H470">
        <f t="shared" si="38"/>
        <v>21</v>
      </c>
      <c r="I470">
        <f t="shared" si="39"/>
        <v>8298.402</v>
      </c>
      <c r="J470">
        <f t="shared" si="40"/>
        <v>4261.9079999999994</v>
      </c>
      <c r="K470">
        <f t="shared" si="41"/>
        <v>4036.4940000000006</v>
      </c>
    </row>
    <row r="471" spans="1:11" x14ac:dyDescent="0.25">
      <c r="A471" t="str">
        <f>Original!A461</f>
        <v>ORD-2024-202166</v>
      </c>
      <c r="B471">
        <f>Original!R461</f>
        <v>1264.04</v>
      </c>
      <c r="C471">
        <f>Original!S461</f>
        <v>1870.89</v>
      </c>
      <c r="D471" s="6">
        <f>Original!T461</f>
        <v>0</v>
      </c>
      <c r="E471" s="6">
        <f>Original!V461</f>
        <v>13</v>
      </c>
      <c r="F471" s="6">
        <f t="shared" si="36"/>
        <v>0</v>
      </c>
      <c r="G471">
        <f t="shared" si="37"/>
        <v>1390.444</v>
      </c>
      <c r="H471">
        <f t="shared" si="38"/>
        <v>13</v>
      </c>
      <c r="I471">
        <f t="shared" si="39"/>
        <v>24321.57</v>
      </c>
      <c r="J471">
        <f t="shared" si="40"/>
        <v>6245.7979999999989</v>
      </c>
      <c r="K471">
        <f t="shared" si="41"/>
        <v>18075.772000000001</v>
      </c>
    </row>
    <row r="472" spans="1:11" x14ac:dyDescent="0.25">
      <c r="A472" t="str">
        <f>Original!A462</f>
        <v>ORD-2023-539967</v>
      </c>
      <c r="B472">
        <f>Original!R462</f>
        <v>141.26</v>
      </c>
      <c r="C472">
        <f>Original!S462</f>
        <v>206.88</v>
      </c>
      <c r="D472" s="6">
        <f>Original!T462</f>
        <v>0.107</v>
      </c>
      <c r="E472" s="6">
        <f>Original!V462</f>
        <v>9</v>
      </c>
      <c r="F472" s="6">
        <f t="shared" si="36"/>
        <v>0.05</v>
      </c>
      <c r="G472">
        <f t="shared" si="37"/>
        <v>155.386</v>
      </c>
      <c r="H472">
        <f t="shared" si="38"/>
        <v>9</v>
      </c>
      <c r="I472">
        <f t="shared" si="39"/>
        <v>1768.8240000000001</v>
      </c>
      <c r="J472">
        <f t="shared" si="40"/>
        <v>370.35000000000014</v>
      </c>
      <c r="K472">
        <f t="shared" si="41"/>
        <v>1398.4739999999999</v>
      </c>
    </row>
    <row r="473" spans="1:11" x14ac:dyDescent="0.25">
      <c r="A473" t="str">
        <f>Original!A463</f>
        <v>ORD-2023-704111</v>
      </c>
      <c r="B473">
        <f>Original!R463</f>
        <v>40.89</v>
      </c>
      <c r="C473">
        <f>Original!S463</f>
        <v>62.82</v>
      </c>
      <c r="D473" s="6">
        <f>Original!T463</f>
        <v>0.129</v>
      </c>
      <c r="E473" s="6">
        <f>Original!V463</f>
        <v>17</v>
      </c>
      <c r="F473" s="6">
        <f t="shared" si="36"/>
        <v>0.05</v>
      </c>
      <c r="G473">
        <f t="shared" si="37"/>
        <v>44.979000000000006</v>
      </c>
      <c r="H473">
        <f t="shared" si="38"/>
        <v>17</v>
      </c>
      <c r="I473">
        <f t="shared" si="39"/>
        <v>1014.543</v>
      </c>
      <c r="J473">
        <f t="shared" si="40"/>
        <v>249.89999999999986</v>
      </c>
      <c r="K473">
        <f t="shared" si="41"/>
        <v>764.64300000000014</v>
      </c>
    </row>
    <row r="474" spans="1:11" x14ac:dyDescent="0.25">
      <c r="A474" t="str">
        <f>Original!A464</f>
        <v>ORD-2024-356812</v>
      </c>
      <c r="B474">
        <f>Original!R464</f>
        <v>738.16</v>
      </c>
      <c r="C474">
        <f>Original!S464</f>
        <v>956.49</v>
      </c>
      <c r="D474" s="6">
        <f>Original!T464</f>
        <v>0.152</v>
      </c>
      <c r="E474" s="6">
        <f>Original!V464</f>
        <v>5</v>
      </c>
      <c r="F474" s="6">
        <f t="shared" si="36"/>
        <v>0.05</v>
      </c>
      <c r="G474">
        <f t="shared" si="37"/>
        <v>811.976</v>
      </c>
      <c r="H474">
        <f t="shared" si="38"/>
        <v>5</v>
      </c>
      <c r="I474">
        <f t="shared" si="39"/>
        <v>4543.3274999999994</v>
      </c>
      <c r="J474">
        <f t="shared" si="40"/>
        <v>483.44749999999931</v>
      </c>
      <c r="K474">
        <f t="shared" si="41"/>
        <v>4059.88</v>
      </c>
    </row>
    <row r="475" spans="1:11" x14ac:dyDescent="0.25">
      <c r="A475" t="str">
        <f>Original!A465</f>
        <v>ORD-2025-306251</v>
      </c>
      <c r="B475">
        <f>Original!R465</f>
        <v>113.74</v>
      </c>
      <c r="C475">
        <f>Original!S465</f>
        <v>165.7</v>
      </c>
      <c r="D475" s="6">
        <f>Original!T465</f>
        <v>0.124</v>
      </c>
      <c r="E475" s="6">
        <f>Original!V465</f>
        <v>13</v>
      </c>
      <c r="F475" s="6">
        <f t="shared" si="36"/>
        <v>0.05</v>
      </c>
      <c r="G475">
        <f t="shared" si="37"/>
        <v>125.114</v>
      </c>
      <c r="H475">
        <f t="shared" si="38"/>
        <v>13</v>
      </c>
      <c r="I475">
        <f t="shared" si="39"/>
        <v>2046.3949999999998</v>
      </c>
      <c r="J475">
        <f t="shared" si="40"/>
        <v>419.91299999999978</v>
      </c>
      <c r="K475">
        <f t="shared" si="41"/>
        <v>1626.482</v>
      </c>
    </row>
    <row r="476" spans="1:11" x14ac:dyDescent="0.25">
      <c r="A476" t="str">
        <f>Original!A466</f>
        <v>ORD-2025-496178</v>
      </c>
      <c r="B476">
        <f>Original!R466</f>
        <v>275.43</v>
      </c>
      <c r="C476">
        <f>Original!S466</f>
        <v>608.36</v>
      </c>
      <c r="D476" s="6">
        <f>Original!T466</f>
        <v>0.25700000000000001</v>
      </c>
      <c r="E476" s="6">
        <f>Original!V466</f>
        <v>4</v>
      </c>
      <c r="F476" s="6">
        <f t="shared" si="36"/>
        <v>0.05</v>
      </c>
      <c r="G476">
        <f t="shared" si="37"/>
        <v>302.97300000000001</v>
      </c>
      <c r="H476">
        <f t="shared" si="38"/>
        <v>4</v>
      </c>
      <c r="I476">
        <f t="shared" si="39"/>
        <v>2311.768</v>
      </c>
      <c r="J476">
        <f t="shared" si="40"/>
        <v>1099.876</v>
      </c>
      <c r="K476">
        <f t="shared" si="41"/>
        <v>1211.8920000000001</v>
      </c>
    </row>
    <row r="477" spans="1:11" x14ac:dyDescent="0.25">
      <c r="A477" t="str">
        <f>Original!A467</f>
        <v>ORD-2024-508213</v>
      </c>
      <c r="B477">
        <f>Original!R467</f>
        <v>1335.76</v>
      </c>
      <c r="C477">
        <f>Original!S467</f>
        <v>2665.91</v>
      </c>
      <c r="D477" s="6">
        <f>Original!T467</f>
        <v>0.21099999999999999</v>
      </c>
      <c r="E477" s="6">
        <f>Original!V467</f>
        <v>40</v>
      </c>
      <c r="F477" s="6">
        <f t="shared" si="36"/>
        <v>0.05</v>
      </c>
      <c r="G477">
        <f t="shared" si="37"/>
        <v>1469.336</v>
      </c>
      <c r="H477">
        <f t="shared" si="38"/>
        <v>40</v>
      </c>
      <c r="I477">
        <f t="shared" si="39"/>
        <v>101304.57999999999</v>
      </c>
      <c r="J477">
        <f t="shared" si="40"/>
        <v>42531.139999999985</v>
      </c>
      <c r="K477">
        <f t="shared" si="41"/>
        <v>58773.440000000002</v>
      </c>
    </row>
    <row r="478" spans="1:11" x14ac:dyDescent="0.25">
      <c r="A478" t="str">
        <f>Original!A468</f>
        <v>ORD-2024-787018</v>
      </c>
      <c r="B478">
        <f>Original!R468</f>
        <v>242.31</v>
      </c>
      <c r="C478">
        <f>Original!S468</f>
        <v>587.95000000000005</v>
      </c>
      <c r="D478" s="6">
        <f>Original!T468</f>
        <v>0.22900000000000001</v>
      </c>
      <c r="E478" s="6">
        <f>Original!V468</f>
        <v>6</v>
      </c>
      <c r="F478" s="6">
        <f t="shared" si="36"/>
        <v>0.05</v>
      </c>
      <c r="G478">
        <f t="shared" si="37"/>
        <v>266.541</v>
      </c>
      <c r="H478">
        <f t="shared" si="38"/>
        <v>6</v>
      </c>
      <c r="I478">
        <f t="shared" si="39"/>
        <v>3351.3150000000001</v>
      </c>
      <c r="J478">
        <f t="shared" si="40"/>
        <v>1752.069</v>
      </c>
      <c r="K478">
        <f t="shared" si="41"/>
        <v>1599.2460000000001</v>
      </c>
    </row>
    <row r="479" spans="1:11" x14ac:dyDescent="0.25">
      <c r="A479" t="str">
        <f>Original!A469</f>
        <v>ORD-2023-728177</v>
      </c>
      <c r="B479">
        <f>Original!R469</f>
        <v>1408.3</v>
      </c>
      <c r="C479">
        <f>Original!S469</f>
        <v>2193.13</v>
      </c>
      <c r="D479" s="6">
        <f>Original!T469</f>
        <v>7.0999999999999994E-2</v>
      </c>
      <c r="E479" s="6">
        <f>Original!V469</f>
        <v>7</v>
      </c>
      <c r="F479" s="6">
        <f t="shared" si="36"/>
        <v>0.05</v>
      </c>
      <c r="G479">
        <f t="shared" si="37"/>
        <v>1549.13</v>
      </c>
      <c r="H479">
        <f t="shared" si="38"/>
        <v>7</v>
      </c>
      <c r="I479">
        <f t="shared" si="39"/>
        <v>14584.314499999999</v>
      </c>
      <c r="J479">
        <f t="shared" si="40"/>
        <v>3740.4044999999987</v>
      </c>
      <c r="K479">
        <f t="shared" si="41"/>
        <v>10843.91</v>
      </c>
    </row>
    <row r="480" spans="1:11" x14ac:dyDescent="0.25">
      <c r="A480" t="str">
        <f>Original!A470</f>
        <v>ORD-2025-795385</v>
      </c>
      <c r="B480">
        <f>Original!R470</f>
        <v>1171.42</v>
      </c>
      <c r="C480">
        <f>Original!S470</f>
        <v>2187.8000000000002</v>
      </c>
      <c r="D480" s="6">
        <f>Original!T470</f>
        <v>0.23</v>
      </c>
      <c r="E480" s="6">
        <f>Original!V470</f>
        <v>15</v>
      </c>
      <c r="F480" s="6">
        <f t="shared" ref="F480:F543" si="42">MIN(D480,$B$2)</f>
        <v>0.05</v>
      </c>
      <c r="G480">
        <f t="shared" ref="G480:G543" si="43">B480*(1+$B$3)</f>
        <v>1288.5620000000001</v>
      </c>
      <c r="H480">
        <f t="shared" ref="H480:H543" si="44">E480*(1+$B$4)</f>
        <v>15</v>
      </c>
      <c r="I480">
        <f t="shared" ref="I480:I543" si="45">C480*H480*(1-F480)</f>
        <v>31176.149999999998</v>
      </c>
      <c r="J480">
        <f t="shared" ref="J480:J543" si="46">I480-K480</f>
        <v>11847.719999999998</v>
      </c>
      <c r="K480">
        <f t="shared" ref="K480:K543" si="47">G480*H480</f>
        <v>19328.43</v>
      </c>
    </row>
    <row r="481" spans="1:11" x14ac:dyDescent="0.25">
      <c r="A481" t="str">
        <f>Original!A471</f>
        <v>ORD-2025-947929</v>
      </c>
      <c r="B481">
        <f>Original!R471</f>
        <v>663.61</v>
      </c>
      <c r="C481">
        <f>Original!S471</f>
        <v>1002.11</v>
      </c>
      <c r="D481" s="6">
        <f>Original!T471</f>
        <v>4.5999999999999999E-2</v>
      </c>
      <c r="E481" s="6">
        <f>Original!V471</f>
        <v>17</v>
      </c>
      <c r="F481" s="6">
        <f t="shared" si="42"/>
        <v>4.5999999999999999E-2</v>
      </c>
      <c r="G481">
        <f t="shared" si="43"/>
        <v>729.97100000000012</v>
      </c>
      <c r="H481">
        <f t="shared" si="44"/>
        <v>17</v>
      </c>
      <c r="I481">
        <f t="shared" si="45"/>
        <v>16252.219979999998</v>
      </c>
      <c r="J481">
        <f t="shared" si="46"/>
        <v>3842.7129799999966</v>
      </c>
      <c r="K481">
        <f t="shared" si="47"/>
        <v>12409.507000000001</v>
      </c>
    </row>
    <row r="482" spans="1:11" x14ac:dyDescent="0.25">
      <c r="A482" t="str">
        <f>Original!A472</f>
        <v>ORD-2023-931633</v>
      </c>
      <c r="B482">
        <f>Original!R472</f>
        <v>432.01</v>
      </c>
      <c r="C482">
        <f>Original!S472</f>
        <v>913.78</v>
      </c>
      <c r="D482" s="6">
        <f>Original!T472</f>
        <v>4.9000000000000002E-2</v>
      </c>
      <c r="E482" s="6">
        <f>Original!V472</f>
        <v>12</v>
      </c>
      <c r="F482" s="6">
        <f t="shared" si="42"/>
        <v>4.9000000000000002E-2</v>
      </c>
      <c r="G482">
        <f t="shared" si="43"/>
        <v>475.21100000000001</v>
      </c>
      <c r="H482">
        <f t="shared" si="44"/>
        <v>12</v>
      </c>
      <c r="I482">
        <f t="shared" si="45"/>
        <v>10428.057360000001</v>
      </c>
      <c r="J482">
        <f t="shared" si="46"/>
        <v>4725.5253600000005</v>
      </c>
      <c r="K482">
        <f t="shared" si="47"/>
        <v>5702.5320000000002</v>
      </c>
    </row>
    <row r="483" spans="1:11" x14ac:dyDescent="0.25">
      <c r="A483" t="str">
        <f>Original!A473</f>
        <v>ORD-2023-243704</v>
      </c>
      <c r="B483">
        <f>Original!R473</f>
        <v>784.46</v>
      </c>
      <c r="C483">
        <f>Original!S473</f>
        <v>1843.51</v>
      </c>
      <c r="D483" s="6">
        <f>Original!T473</f>
        <v>0.13800000000000001</v>
      </c>
      <c r="E483" s="6">
        <f>Original!V473</f>
        <v>23</v>
      </c>
      <c r="F483" s="6">
        <f t="shared" si="42"/>
        <v>0.05</v>
      </c>
      <c r="G483">
        <f t="shared" si="43"/>
        <v>862.90600000000006</v>
      </c>
      <c r="H483">
        <f t="shared" si="44"/>
        <v>23</v>
      </c>
      <c r="I483">
        <f t="shared" si="45"/>
        <v>40280.693500000001</v>
      </c>
      <c r="J483">
        <f t="shared" si="46"/>
        <v>20433.855500000001</v>
      </c>
      <c r="K483">
        <f t="shared" si="47"/>
        <v>19846.838</v>
      </c>
    </row>
    <row r="484" spans="1:11" x14ac:dyDescent="0.25">
      <c r="A484" t="str">
        <f>Original!A474</f>
        <v>ORD-2025-779659</v>
      </c>
      <c r="B484">
        <f>Original!R474</f>
        <v>647.36</v>
      </c>
      <c r="C484">
        <f>Original!S474</f>
        <v>1383.6</v>
      </c>
      <c r="D484" s="6">
        <f>Original!T474</f>
        <v>7.3999999999999996E-2</v>
      </c>
      <c r="E484" s="6">
        <f>Original!V474</f>
        <v>12</v>
      </c>
      <c r="F484" s="6">
        <f t="shared" si="42"/>
        <v>0.05</v>
      </c>
      <c r="G484">
        <f t="shared" si="43"/>
        <v>712.09600000000012</v>
      </c>
      <c r="H484">
        <f t="shared" si="44"/>
        <v>12</v>
      </c>
      <c r="I484">
        <f t="shared" si="45"/>
        <v>15773.039999999997</v>
      </c>
      <c r="J484">
        <f t="shared" si="46"/>
        <v>7227.8879999999954</v>
      </c>
      <c r="K484">
        <f t="shared" si="47"/>
        <v>8545.1520000000019</v>
      </c>
    </row>
    <row r="485" spans="1:11" x14ac:dyDescent="0.25">
      <c r="A485" t="str">
        <f>Original!A475</f>
        <v>ORD-2024-647571</v>
      </c>
      <c r="B485">
        <f>Original!R475</f>
        <v>834.93</v>
      </c>
      <c r="C485">
        <f>Original!S475</f>
        <v>1588.53</v>
      </c>
      <c r="D485" s="6">
        <f>Original!T475</f>
        <v>0.126</v>
      </c>
      <c r="E485" s="6">
        <f>Original!V475</f>
        <v>6</v>
      </c>
      <c r="F485" s="6">
        <f t="shared" si="42"/>
        <v>0.05</v>
      </c>
      <c r="G485">
        <f t="shared" si="43"/>
        <v>918.423</v>
      </c>
      <c r="H485">
        <f t="shared" si="44"/>
        <v>6</v>
      </c>
      <c r="I485">
        <f t="shared" si="45"/>
        <v>9054.6209999999992</v>
      </c>
      <c r="J485">
        <f t="shared" si="46"/>
        <v>3544.0829999999987</v>
      </c>
      <c r="K485">
        <f t="shared" si="47"/>
        <v>5510.5380000000005</v>
      </c>
    </row>
    <row r="486" spans="1:11" x14ac:dyDescent="0.25">
      <c r="A486" t="str">
        <f>Original!A476</f>
        <v>ORD-2025-683043</v>
      </c>
      <c r="B486">
        <f>Original!R476</f>
        <v>603.47</v>
      </c>
      <c r="C486">
        <f>Original!S476</f>
        <v>1344.05</v>
      </c>
      <c r="D486" s="6">
        <f>Original!T476</f>
        <v>0.20499999999999999</v>
      </c>
      <c r="E486" s="6">
        <f>Original!V476</f>
        <v>18</v>
      </c>
      <c r="F486" s="6">
        <f t="shared" si="42"/>
        <v>0.05</v>
      </c>
      <c r="G486">
        <f t="shared" si="43"/>
        <v>663.81700000000012</v>
      </c>
      <c r="H486">
        <f t="shared" si="44"/>
        <v>18</v>
      </c>
      <c r="I486">
        <f t="shared" si="45"/>
        <v>22983.254999999997</v>
      </c>
      <c r="J486">
        <f t="shared" si="46"/>
        <v>11034.548999999995</v>
      </c>
      <c r="K486">
        <f t="shared" si="47"/>
        <v>11948.706000000002</v>
      </c>
    </row>
    <row r="487" spans="1:11" x14ac:dyDescent="0.25">
      <c r="A487" t="str">
        <f>Original!A477</f>
        <v>ORD-2023-588455</v>
      </c>
      <c r="B487">
        <f>Original!R477</f>
        <v>690.49</v>
      </c>
      <c r="C487">
        <f>Original!S477</f>
        <v>1290.29</v>
      </c>
      <c r="D487" s="6">
        <f>Original!T477</f>
        <v>4.2000000000000003E-2</v>
      </c>
      <c r="E487" s="6">
        <f>Original!V477</f>
        <v>22</v>
      </c>
      <c r="F487" s="6">
        <f t="shared" si="42"/>
        <v>4.2000000000000003E-2</v>
      </c>
      <c r="G487">
        <f t="shared" si="43"/>
        <v>759.5390000000001</v>
      </c>
      <c r="H487">
        <f t="shared" si="44"/>
        <v>22</v>
      </c>
      <c r="I487">
        <f t="shared" si="45"/>
        <v>27194.152039999997</v>
      </c>
      <c r="J487">
        <f t="shared" si="46"/>
        <v>10484.294039999993</v>
      </c>
      <c r="K487">
        <f t="shared" si="47"/>
        <v>16709.858000000004</v>
      </c>
    </row>
    <row r="488" spans="1:11" x14ac:dyDescent="0.25">
      <c r="A488" t="str">
        <f>Original!A478</f>
        <v>ORD-2024-641220</v>
      </c>
      <c r="B488">
        <f>Original!R478</f>
        <v>210.76</v>
      </c>
      <c r="C488">
        <f>Original!S478</f>
        <v>221.58</v>
      </c>
      <c r="D488" s="6">
        <f>Original!T478</f>
        <v>8.8999999999999996E-2</v>
      </c>
      <c r="E488" s="6">
        <f>Original!V478</f>
        <v>5</v>
      </c>
      <c r="F488" s="6">
        <f t="shared" si="42"/>
        <v>0.05</v>
      </c>
      <c r="G488">
        <f t="shared" si="43"/>
        <v>231.83600000000001</v>
      </c>
      <c r="H488">
        <f t="shared" si="44"/>
        <v>5</v>
      </c>
      <c r="I488">
        <f t="shared" si="45"/>
        <v>1052.5050000000001</v>
      </c>
      <c r="J488">
        <f t="shared" si="46"/>
        <v>-106.67499999999995</v>
      </c>
      <c r="K488">
        <f t="shared" si="47"/>
        <v>1159.18</v>
      </c>
    </row>
    <row r="489" spans="1:11" x14ac:dyDescent="0.25">
      <c r="A489" t="str">
        <f>Original!A479</f>
        <v>ORD-2023-799597</v>
      </c>
      <c r="B489">
        <f>Original!R479</f>
        <v>472.33</v>
      </c>
      <c r="C489">
        <f>Original!S479</f>
        <v>360.34</v>
      </c>
      <c r="D489" s="6">
        <f>Original!T479</f>
        <v>0.16500000000000001</v>
      </c>
      <c r="E489" s="6">
        <f>Original!V479</f>
        <v>14</v>
      </c>
      <c r="F489" s="6">
        <f t="shared" si="42"/>
        <v>0.05</v>
      </c>
      <c r="G489">
        <f t="shared" si="43"/>
        <v>519.56299999999999</v>
      </c>
      <c r="H489">
        <f t="shared" si="44"/>
        <v>14</v>
      </c>
      <c r="I489">
        <f t="shared" si="45"/>
        <v>4792.521999999999</v>
      </c>
      <c r="J489">
        <f t="shared" si="46"/>
        <v>-2481.3600000000006</v>
      </c>
      <c r="K489">
        <f t="shared" si="47"/>
        <v>7273.8819999999996</v>
      </c>
    </row>
    <row r="490" spans="1:11" x14ac:dyDescent="0.25">
      <c r="A490" t="str">
        <f>Original!A480</f>
        <v>ORD-2023-569862</v>
      </c>
      <c r="B490">
        <f>Original!R480</f>
        <v>1039.03</v>
      </c>
      <c r="C490">
        <f>Original!S480</f>
        <v>2545.81</v>
      </c>
      <c r="D490" s="6">
        <f>Original!T480</f>
        <v>0.216</v>
      </c>
      <c r="E490" s="6">
        <f>Original!V480</f>
        <v>21</v>
      </c>
      <c r="F490" s="6">
        <f t="shared" si="42"/>
        <v>0.05</v>
      </c>
      <c r="G490">
        <f t="shared" si="43"/>
        <v>1142.933</v>
      </c>
      <c r="H490">
        <f t="shared" si="44"/>
        <v>21</v>
      </c>
      <c r="I490">
        <f t="shared" si="45"/>
        <v>50788.909500000002</v>
      </c>
      <c r="J490">
        <f t="shared" si="46"/>
        <v>26787.316500000001</v>
      </c>
      <c r="K490">
        <f t="shared" si="47"/>
        <v>24001.593000000001</v>
      </c>
    </row>
    <row r="491" spans="1:11" x14ac:dyDescent="0.25">
      <c r="A491" t="str">
        <f>Original!A481</f>
        <v>ORD-2023-609394</v>
      </c>
      <c r="B491">
        <f>Original!R481</f>
        <v>553.61</v>
      </c>
      <c r="C491">
        <f>Original!S481</f>
        <v>699.47</v>
      </c>
      <c r="D491" s="6">
        <f>Original!T481</f>
        <v>0.02</v>
      </c>
      <c r="E491" s="6">
        <f>Original!V481</f>
        <v>33</v>
      </c>
      <c r="F491" s="6">
        <f t="shared" si="42"/>
        <v>0.02</v>
      </c>
      <c r="G491">
        <f t="shared" si="43"/>
        <v>608.97100000000012</v>
      </c>
      <c r="H491">
        <f t="shared" si="44"/>
        <v>33</v>
      </c>
      <c r="I491">
        <f t="shared" si="45"/>
        <v>22620.859800000002</v>
      </c>
      <c r="J491">
        <f t="shared" si="46"/>
        <v>2524.8167999999969</v>
      </c>
      <c r="K491">
        <f t="shared" si="47"/>
        <v>20096.043000000005</v>
      </c>
    </row>
    <row r="492" spans="1:11" x14ac:dyDescent="0.25">
      <c r="A492" t="str">
        <f>Original!A482</f>
        <v>ORD-2024-105586</v>
      </c>
      <c r="B492">
        <f>Original!R482</f>
        <v>1219.06</v>
      </c>
      <c r="C492">
        <f>Original!S482</f>
        <v>2738.69</v>
      </c>
      <c r="D492" s="6">
        <f>Original!T482</f>
        <v>7.5999999999999998E-2</v>
      </c>
      <c r="E492" s="6">
        <f>Original!V482</f>
        <v>16</v>
      </c>
      <c r="F492" s="6">
        <f t="shared" si="42"/>
        <v>0.05</v>
      </c>
      <c r="G492">
        <f t="shared" si="43"/>
        <v>1340.9660000000001</v>
      </c>
      <c r="H492">
        <f t="shared" si="44"/>
        <v>16</v>
      </c>
      <c r="I492">
        <f t="shared" si="45"/>
        <v>41628.087999999996</v>
      </c>
      <c r="J492">
        <f t="shared" si="46"/>
        <v>20172.631999999994</v>
      </c>
      <c r="K492">
        <f t="shared" si="47"/>
        <v>21455.456000000002</v>
      </c>
    </row>
    <row r="493" spans="1:11" x14ac:dyDescent="0.25">
      <c r="A493" t="str">
        <f>Original!A483</f>
        <v>ORD-2024-207792</v>
      </c>
      <c r="B493">
        <f>Original!R483</f>
        <v>43.23</v>
      </c>
      <c r="C493">
        <f>Original!S483</f>
        <v>94.78</v>
      </c>
      <c r="D493" s="6">
        <f>Original!T483</f>
        <v>9.0999999999999998E-2</v>
      </c>
      <c r="E493" s="6">
        <f>Original!V483</f>
        <v>55</v>
      </c>
      <c r="F493" s="6">
        <f t="shared" si="42"/>
        <v>0.05</v>
      </c>
      <c r="G493">
        <f t="shared" si="43"/>
        <v>47.552999999999997</v>
      </c>
      <c r="H493">
        <f t="shared" si="44"/>
        <v>55</v>
      </c>
      <c r="I493">
        <f t="shared" si="45"/>
        <v>4952.2549999999992</v>
      </c>
      <c r="J493">
        <f t="shared" si="46"/>
        <v>2336.8399999999992</v>
      </c>
      <c r="K493">
        <f t="shared" si="47"/>
        <v>2615.415</v>
      </c>
    </row>
    <row r="494" spans="1:11" x14ac:dyDescent="0.25">
      <c r="A494" t="str">
        <f>Original!A484</f>
        <v>ORD-2025-417336</v>
      </c>
      <c r="B494">
        <f>Original!R484</f>
        <v>1286.56</v>
      </c>
      <c r="C494">
        <f>Original!S484</f>
        <v>2777.35</v>
      </c>
      <c r="D494" s="6">
        <f>Original!T484</f>
        <v>0.13200000000000001</v>
      </c>
      <c r="E494" s="6">
        <f>Original!V484</f>
        <v>15</v>
      </c>
      <c r="F494" s="6">
        <f t="shared" si="42"/>
        <v>0.05</v>
      </c>
      <c r="G494">
        <f t="shared" si="43"/>
        <v>1415.2160000000001</v>
      </c>
      <c r="H494">
        <f t="shared" si="44"/>
        <v>15</v>
      </c>
      <c r="I494">
        <f t="shared" si="45"/>
        <v>39577.237499999996</v>
      </c>
      <c r="J494">
        <f t="shared" si="46"/>
        <v>18348.997499999994</v>
      </c>
      <c r="K494">
        <f t="shared" si="47"/>
        <v>21228.240000000002</v>
      </c>
    </row>
    <row r="495" spans="1:11" x14ac:dyDescent="0.25">
      <c r="A495" t="str">
        <f>Original!A485</f>
        <v>ORD-2025-252117</v>
      </c>
      <c r="B495">
        <f>Original!R485</f>
        <v>350.76</v>
      </c>
      <c r="C495">
        <f>Original!S485</f>
        <v>492.18</v>
      </c>
      <c r="D495" s="6">
        <f>Original!T485</f>
        <v>5.2999999999999999E-2</v>
      </c>
      <c r="E495" s="6">
        <f>Original!V485</f>
        <v>11</v>
      </c>
      <c r="F495" s="6">
        <f t="shared" si="42"/>
        <v>0.05</v>
      </c>
      <c r="G495">
        <f t="shared" si="43"/>
        <v>385.83600000000001</v>
      </c>
      <c r="H495">
        <f t="shared" si="44"/>
        <v>11</v>
      </c>
      <c r="I495">
        <f t="shared" si="45"/>
        <v>5143.2809999999999</v>
      </c>
      <c r="J495">
        <f t="shared" si="46"/>
        <v>899.08500000000004</v>
      </c>
      <c r="K495">
        <f t="shared" si="47"/>
        <v>4244.1959999999999</v>
      </c>
    </row>
    <row r="496" spans="1:11" x14ac:dyDescent="0.25">
      <c r="A496" t="str">
        <f>Original!A486</f>
        <v>ORD-2023-867175</v>
      </c>
      <c r="B496">
        <f>Original!R486</f>
        <v>1307.52</v>
      </c>
      <c r="C496">
        <f>Original!S486</f>
        <v>1921.65</v>
      </c>
      <c r="D496" s="6">
        <f>Original!T486</f>
        <v>0.123</v>
      </c>
      <c r="E496" s="6">
        <f>Original!V486</f>
        <v>13</v>
      </c>
      <c r="F496" s="6">
        <f t="shared" si="42"/>
        <v>0.05</v>
      </c>
      <c r="G496">
        <f t="shared" si="43"/>
        <v>1438.2720000000002</v>
      </c>
      <c r="H496">
        <f t="shared" si="44"/>
        <v>13</v>
      </c>
      <c r="I496">
        <f t="shared" si="45"/>
        <v>23732.377499999999</v>
      </c>
      <c r="J496">
        <f t="shared" si="46"/>
        <v>5034.841499999995</v>
      </c>
      <c r="K496">
        <f t="shared" si="47"/>
        <v>18697.536000000004</v>
      </c>
    </row>
    <row r="497" spans="1:11" x14ac:dyDescent="0.25">
      <c r="A497" t="str">
        <f>Original!A487</f>
        <v>ORD-2024-382152</v>
      </c>
      <c r="B497">
        <f>Original!R487</f>
        <v>257.44</v>
      </c>
      <c r="C497">
        <f>Original!S487</f>
        <v>290.33</v>
      </c>
      <c r="D497" s="6">
        <f>Original!T487</f>
        <v>9.1999999999999998E-2</v>
      </c>
      <c r="E497" s="6">
        <f>Original!V487</f>
        <v>23</v>
      </c>
      <c r="F497" s="6">
        <f t="shared" si="42"/>
        <v>0.05</v>
      </c>
      <c r="G497">
        <f t="shared" si="43"/>
        <v>283.18400000000003</v>
      </c>
      <c r="H497">
        <f t="shared" si="44"/>
        <v>23</v>
      </c>
      <c r="I497">
        <f t="shared" si="45"/>
        <v>6343.7104999999992</v>
      </c>
      <c r="J497">
        <f t="shared" si="46"/>
        <v>-169.52150000000165</v>
      </c>
      <c r="K497">
        <f t="shared" si="47"/>
        <v>6513.2320000000009</v>
      </c>
    </row>
    <row r="498" spans="1:11" x14ac:dyDescent="0.25">
      <c r="A498" t="str">
        <f>Original!A488</f>
        <v>ORD-2023-597666</v>
      </c>
      <c r="B498">
        <f>Original!R488</f>
        <v>287.85000000000002</v>
      </c>
      <c r="C498">
        <f>Original!S488</f>
        <v>602.91999999999996</v>
      </c>
      <c r="D498" s="6">
        <f>Original!T488</f>
        <v>0.222</v>
      </c>
      <c r="E498" s="6">
        <f>Original!V488</f>
        <v>11</v>
      </c>
      <c r="F498" s="6">
        <f t="shared" si="42"/>
        <v>0.05</v>
      </c>
      <c r="G498">
        <f t="shared" si="43"/>
        <v>316.63500000000005</v>
      </c>
      <c r="H498">
        <f t="shared" si="44"/>
        <v>11</v>
      </c>
      <c r="I498">
        <f t="shared" si="45"/>
        <v>6300.5139999999992</v>
      </c>
      <c r="J498">
        <f t="shared" si="46"/>
        <v>2817.5289999999986</v>
      </c>
      <c r="K498">
        <f t="shared" si="47"/>
        <v>3482.9850000000006</v>
      </c>
    </row>
    <row r="499" spans="1:11" x14ac:dyDescent="0.25">
      <c r="A499" t="str">
        <f>Original!A489</f>
        <v>ORD-2024-371409</v>
      </c>
      <c r="B499">
        <f>Original!R489</f>
        <v>1008.16</v>
      </c>
      <c r="C499">
        <f>Original!S489</f>
        <v>2077.5</v>
      </c>
      <c r="D499" s="6">
        <f>Original!T489</f>
        <v>7.3999999999999996E-2</v>
      </c>
      <c r="E499" s="6">
        <f>Original!V489</f>
        <v>15</v>
      </c>
      <c r="F499" s="6">
        <f t="shared" si="42"/>
        <v>0.05</v>
      </c>
      <c r="G499">
        <f t="shared" si="43"/>
        <v>1108.9760000000001</v>
      </c>
      <c r="H499">
        <f t="shared" si="44"/>
        <v>15</v>
      </c>
      <c r="I499">
        <f t="shared" si="45"/>
        <v>29604.375</v>
      </c>
      <c r="J499">
        <f t="shared" si="46"/>
        <v>12969.734999999997</v>
      </c>
      <c r="K499">
        <f t="shared" si="47"/>
        <v>16634.640000000003</v>
      </c>
    </row>
    <row r="500" spans="1:11" x14ac:dyDescent="0.25">
      <c r="A500" t="str">
        <f>Original!A490</f>
        <v>ORD-2024-973420</v>
      </c>
      <c r="B500">
        <f>Original!R490</f>
        <v>111.02</v>
      </c>
      <c r="C500">
        <f>Original!S490</f>
        <v>172.88</v>
      </c>
      <c r="D500" s="6">
        <f>Original!T490</f>
        <v>0.19700000000000001</v>
      </c>
      <c r="E500" s="6">
        <f>Original!V490</f>
        <v>29</v>
      </c>
      <c r="F500" s="6">
        <f t="shared" si="42"/>
        <v>0.05</v>
      </c>
      <c r="G500">
        <f t="shared" si="43"/>
        <v>122.122</v>
      </c>
      <c r="H500">
        <f t="shared" si="44"/>
        <v>29</v>
      </c>
      <c r="I500">
        <f t="shared" si="45"/>
        <v>4762.8439999999991</v>
      </c>
      <c r="J500">
        <f t="shared" si="46"/>
        <v>1221.3059999999991</v>
      </c>
      <c r="K500">
        <f t="shared" si="47"/>
        <v>3541.538</v>
      </c>
    </row>
    <row r="501" spans="1:11" x14ac:dyDescent="0.25">
      <c r="A501" t="str">
        <f>Original!A491</f>
        <v>ORD-2025-254721</v>
      </c>
      <c r="B501">
        <f>Original!R491</f>
        <v>1466.5</v>
      </c>
      <c r="C501">
        <f>Original!S491</f>
        <v>2778.74</v>
      </c>
      <c r="D501" s="6">
        <f>Original!T491</f>
        <v>0.13500000000000001</v>
      </c>
      <c r="E501" s="6">
        <f>Original!V491</f>
        <v>4</v>
      </c>
      <c r="F501" s="6">
        <f t="shared" si="42"/>
        <v>0.05</v>
      </c>
      <c r="G501">
        <f t="shared" si="43"/>
        <v>1613.15</v>
      </c>
      <c r="H501">
        <f t="shared" si="44"/>
        <v>4</v>
      </c>
      <c r="I501">
        <f t="shared" si="45"/>
        <v>10559.212</v>
      </c>
      <c r="J501">
        <f t="shared" si="46"/>
        <v>4106.6119999999992</v>
      </c>
      <c r="K501">
        <f t="shared" si="47"/>
        <v>6452.6</v>
      </c>
    </row>
    <row r="502" spans="1:11" x14ac:dyDescent="0.25">
      <c r="A502" t="str">
        <f>Original!A492</f>
        <v>ORD-2024-247032</v>
      </c>
      <c r="B502">
        <f>Original!R492</f>
        <v>187.22</v>
      </c>
      <c r="C502">
        <f>Original!S492</f>
        <v>309.47000000000003</v>
      </c>
      <c r="D502" s="6">
        <f>Original!T492</f>
        <v>0</v>
      </c>
      <c r="E502" s="6">
        <f>Original!V492</f>
        <v>5</v>
      </c>
      <c r="F502" s="6">
        <f t="shared" si="42"/>
        <v>0</v>
      </c>
      <c r="G502">
        <f t="shared" si="43"/>
        <v>205.94200000000001</v>
      </c>
      <c r="H502">
        <f t="shared" si="44"/>
        <v>5</v>
      </c>
      <c r="I502">
        <f t="shared" si="45"/>
        <v>1547.3500000000001</v>
      </c>
      <c r="J502">
        <f t="shared" si="46"/>
        <v>517.6400000000001</v>
      </c>
      <c r="K502">
        <f t="shared" si="47"/>
        <v>1029.71</v>
      </c>
    </row>
    <row r="503" spans="1:11" x14ac:dyDescent="0.25">
      <c r="A503" t="str">
        <f>Original!A493</f>
        <v>ORD-2024-792353</v>
      </c>
      <c r="B503">
        <f>Original!R493</f>
        <v>297.58999999999997</v>
      </c>
      <c r="C503">
        <f>Original!S493</f>
        <v>666.41</v>
      </c>
      <c r="D503" s="6">
        <f>Original!T493</f>
        <v>0</v>
      </c>
      <c r="E503" s="6">
        <f>Original!V493</f>
        <v>10</v>
      </c>
      <c r="F503" s="6">
        <f t="shared" si="42"/>
        <v>0</v>
      </c>
      <c r="G503">
        <f t="shared" si="43"/>
        <v>327.34899999999999</v>
      </c>
      <c r="H503">
        <f t="shared" si="44"/>
        <v>10</v>
      </c>
      <c r="I503">
        <f t="shared" si="45"/>
        <v>6664.0999999999995</v>
      </c>
      <c r="J503">
        <f t="shared" si="46"/>
        <v>3390.6099999999997</v>
      </c>
      <c r="K503">
        <f t="shared" si="47"/>
        <v>3273.49</v>
      </c>
    </row>
    <row r="504" spans="1:11" x14ac:dyDescent="0.25">
      <c r="A504" t="str">
        <f>Original!A494</f>
        <v>ORD-2025-703623</v>
      </c>
      <c r="B504">
        <f>Original!R494</f>
        <v>896.09</v>
      </c>
      <c r="C504">
        <f>Original!S494</f>
        <v>744.27</v>
      </c>
      <c r="D504" s="6">
        <f>Original!T494</f>
        <v>8.3000000000000004E-2</v>
      </c>
      <c r="E504" s="6">
        <f>Original!V494</f>
        <v>11</v>
      </c>
      <c r="F504" s="6">
        <f t="shared" si="42"/>
        <v>0.05</v>
      </c>
      <c r="G504">
        <f t="shared" si="43"/>
        <v>985.69900000000007</v>
      </c>
      <c r="H504">
        <f t="shared" si="44"/>
        <v>11</v>
      </c>
      <c r="I504">
        <f t="shared" si="45"/>
        <v>7777.6214999999993</v>
      </c>
      <c r="J504">
        <f t="shared" si="46"/>
        <v>-3065.067500000001</v>
      </c>
      <c r="K504">
        <f t="shared" si="47"/>
        <v>10842.689</v>
      </c>
    </row>
    <row r="505" spans="1:11" x14ac:dyDescent="0.25">
      <c r="A505" t="str">
        <f>Original!A495</f>
        <v>ORD-2024-516704</v>
      </c>
      <c r="B505">
        <f>Original!R495</f>
        <v>5.34</v>
      </c>
      <c r="C505">
        <f>Original!S495</f>
        <v>12.69</v>
      </c>
      <c r="D505" s="6">
        <f>Original!T495</f>
        <v>0.13200000000000001</v>
      </c>
      <c r="E505" s="6">
        <f>Original!V495</f>
        <v>10</v>
      </c>
      <c r="F505" s="6">
        <f t="shared" si="42"/>
        <v>0.05</v>
      </c>
      <c r="G505">
        <f t="shared" si="43"/>
        <v>5.8740000000000006</v>
      </c>
      <c r="H505">
        <f t="shared" si="44"/>
        <v>10</v>
      </c>
      <c r="I505">
        <f t="shared" si="45"/>
        <v>120.55499999999999</v>
      </c>
      <c r="J505">
        <f t="shared" si="46"/>
        <v>61.814999999999984</v>
      </c>
      <c r="K505">
        <f t="shared" si="47"/>
        <v>58.740000000000009</v>
      </c>
    </row>
    <row r="506" spans="1:11" x14ac:dyDescent="0.25">
      <c r="A506" t="str">
        <f>Original!A496</f>
        <v>ORD-2024-578646</v>
      </c>
      <c r="B506">
        <f>Original!R496</f>
        <v>465.02</v>
      </c>
      <c r="C506">
        <f>Original!S496</f>
        <v>651.55999999999995</v>
      </c>
      <c r="D506" s="6">
        <f>Original!T496</f>
        <v>4.2000000000000003E-2</v>
      </c>
      <c r="E506" s="6">
        <f>Original!V496</f>
        <v>19</v>
      </c>
      <c r="F506" s="6">
        <f t="shared" si="42"/>
        <v>4.2000000000000003E-2</v>
      </c>
      <c r="G506">
        <f t="shared" si="43"/>
        <v>511.52200000000005</v>
      </c>
      <c r="H506">
        <f t="shared" si="44"/>
        <v>19</v>
      </c>
      <c r="I506">
        <f t="shared" si="45"/>
        <v>11859.695119999998</v>
      </c>
      <c r="J506">
        <f t="shared" si="46"/>
        <v>2140.777119999997</v>
      </c>
      <c r="K506">
        <f t="shared" si="47"/>
        <v>9718.9180000000015</v>
      </c>
    </row>
    <row r="507" spans="1:11" x14ac:dyDescent="0.25">
      <c r="A507" t="str">
        <f>Original!A497</f>
        <v>ORD-2024-433936</v>
      </c>
      <c r="B507">
        <f>Original!R497</f>
        <v>352.79</v>
      </c>
      <c r="C507">
        <f>Original!S497</f>
        <v>754.22</v>
      </c>
      <c r="D507" s="6">
        <f>Original!T497</f>
        <v>0.113</v>
      </c>
      <c r="E507" s="6">
        <f>Original!V497</f>
        <v>7</v>
      </c>
      <c r="F507" s="6">
        <f t="shared" si="42"/>
        <v>0.05</v>
      </c>
      <c r="G507">
        <f t="shared" si="43"/>
        <v>388.06900000000007</v>
      </c>
      <c r="H507">
        <f t="shared" si="44"/>
        <v>7</v>
      </c>
      <c r="I507">
        <f t="shared" si="45"/>
        <v>5015.5630000000001</v>
      </c>
      <c r="J507">
        <f t="shared" si="46"/>
        <v>2299.0799999999995</v>
      </c>
      <c r="K507">
        <f t="shared" si="47"/>
        <v>2716.4830000000006</v>
      </c>
    </row>
    <row r="508" spans="1:11" x14ac:dyDescent="0.25">
      <c r="A508" t="str">
        <f>Original!A498</f>
        <v>ORD-2023-434071</v>
      </c>
      <c r="B508">
        <f>Original!R498</f>
        <v>1292.8599999999999</v>
      </c>
      <c r="C508">
        <f>Original!S498</f>
        <v>2981.01</v>
      </c>
      <c r="D508" s="6">
        <f>Original!T498</f>
        <v>0.14199999999999999</v>
      </c>
      <c r="E508" s="6">
        <f>Original!V498</f>
        <v>12</v>
      </c>
      <c r="F508" s="6">
        <f t="shared" si="42"/>
        <v>0.05</v>
      </c>
      <c r="G508">
        <f t="shared" si="43"/>
        <v>1422.146</v>
      </c>
      <c r="H508">
        <f t="shared" si="44"/>
        <v>12</v>
      </c>
      <c r="I508">
        <f t="shared" si="45"/>
        <v>33983.514000000003</v>
      </c>
      <c r="J508">
        <f t="shared" si="46"/>
        <v>16917.762000000002</v>
      </c>
      <c r="K508">
        <f t="shared" si="47"/>
        <v>17065.752</v>
      </c>
    </row>
    <row r="509" spans="1:11" x14ac:dyDescent="0.25">
      <c r="A509" t="str">
        <f>Original!A499</f>
        <v>ORD-2024-728474</v>
      </c>
      <c r="B509">
        <f>Original!R499</f>
        <v>1133.08</v>
      </c>
      <c r="C509">
        <f>Original!S499</f>
        <v>976.17</v>
      </c>
      <c r="D509" s="6">
        <f>Original!T499</f>
        <v>4.2000000000000003E-2</v>
      </c>
      <c r="E509" s="6">
        <f>Original!V499</f>
        <v>27</v>
      </c>
      <c r="F509" s="6">
        <f t="shared" si="42"/>
        <v>4.2000000000000003E-2</v>
      </c>
      <c r="G509">
        <f t="shared" si="43"/>
        <v>1246.3879999999999</v>
      </c>
      <c r="H509">
        <f t="shared" si="44"/>
        <v>27</v>
      </c>
      <c r="I509">
        <f t="shared" si="45"/>
        <v>25249.613219999999</v>
      </c>
      <c r="J509">
        <f t="shared" si="46"/>
        <v>-8402.8627799999958</v>
      </c>
      <c r="K509">
        <f t="shared" si="47"/>
        <v>33652.475999999995</v>
      </c>
    </row>
    <row r="510" spans="1:11" x14ac:dyDescent="0.25">
      <c r="A510" t="str">
        <f>Original!A500</f>
        <v>ORD-2023-406606</v>
      </c>
      <c r="B510">
        <f>Original!R500</f>
        <v>509.31</v>
      </c>
      <c r="C510">
        <f>Original!S500</f>
        <v>1145.9000000000001</v>
      </c>
      <c r="D510" s="6">
        <f>Original!T500</f>
        <v>5.7000000000000002E-2</v>
      </c>
      <c r="E510" s="6">
        <f>Original!V500</f>
        <v>8</v>
      </c>
      <c r="F510" s="6">
        <f t="shared" si="42"/>
        <v>0.05</v>
      </c>
      <c r="G510">
        <f t="shared" si="43"/>
        <v>560.2410000000001</v>
      </c>
      <c r="H510">
        <f t="shared" si="44"/>
        <v>8</v>
      </c>
      <c r="I510">
        <f t="shared" si="45"/>
        <v>8708.84</v>
      </c>
      <c r="J510">
        <f t="shared" si="46"/>
        <v>4226.9119999999994</v>
      </c>
      <c r="K510">
        <f t="shared" si="47"/>
        <v>4481.9280000000008</v>
      </c>
    </row>
    <row r="511" spans="1:11" x14ac:dyDescent="0.25">
      <c r="A511" t="str">
        <f>Original!A501</f>
        <v>ORD-2025-823055</v>
      </c>
      <c r="B511">
        <f>Original!R501</f>
        <v>660.78</v>
      </c>
      <c r="C511">
        <f>Original!S501</f>
        <v>1630.39</v>
      </c>
      <c r="D511" s="6">
        <f>Original!T501</f>
        <v>0.218</v>
      </c>
      <c r="E511" s="6">
        <f>Original!V501</f>
        <v>13</v>
      </c>
      <c r="F511" s="6">
        <f t="shared" si="42"/>
        <v>0.05</v>
      </c>
      <c r="G511">
        <f t="shared" si="43"/>
        <v>726.85800000000006</v>
      </c>
      <c r="H511">
        <f t="shared" si="44"/>
        <v>13</v>
      </c>
      <c r="I511">
        <f t="shared" si="45"/>
        <v>20135.316499999997</v>
      </c>
      <c r="J511">
        <f t="shared" si="46"/>
        <v>10686.162499999997</v>
      </c>
      <c r="K511">
        <f t="shared" si="47"/>
        <v>9449.1540000000005</v>
      </c>
    </row>
    <row r="512" spans="1:11" x14ac:dyDescent="0.25">
      <c r="A512" t="str">
        <f>Original!A502</f>
        <v>ORD-2023-573656</v>
      </c>
      <c r="B512">
        <f>Original!R502</f>
        <v>475.37</v>
      </c>
      <c r="C512">
        <f>Original!S502</f>
        <v>963.73</v>
      </c>
      <c r="D512" s="6">
        <f>Original!T502</f>
        <v>4.1000000000000002E-2</v>
      </c>
      <c r="E512" s="6">
        <f>Original!V502</f>
        <v>22</v>
      </c>
      <c r="F512" s="6">
        <f t="shared" si="42"/>
        <v>4.1000000000000002E-2</v>
      </c>
      <c r="G512">
        <f t="shared" si="43"/>
        <v>522.90700000000004</v>
      </c>
      <c r="H512">
        <f t="shared" si="44"/>
        <v>22</v>
      </c>
      <c r="I512">
        <f t="shared" si="45"/>
        <v>20332.775539999999</v>
      </c>
      <c r="J512">
        <f t="shared" si="46"/>
        <v>8828.8215399999972</v>
      </c>
      <c r="K512">
        <f t="shared" si="47"/>
        <v>11503.954000000002</v>
      </c>
    </row>
    <row r="513" spans="1:11" x14ac:dyDescent="0.25">
      <c r="A513" t="str">
        <f>Original!A503</f>
        <v>ORD-2024-567435</v>
      </c>
      <c r="B513">
        <f>Original!R503</f>
        <v>1232.77</v>
      </c>
      <c r="C513">
        <f>Original!S503</f>
        <v>891.73</v>
      </c>
      <c r="D513" s="6">
        <f>Original!T503</f>
        <v>0.16700000000000001</v>
      </c>
      <c r="E513" s="6">
        <f>Original!V503</f>
        <v>10</v>
      </c>
      <c r="F513" s="6">
        <f t="shared" si="42"/>
        <v>0.05</v>
      </c>
      <c r="G513">
        <f t="shared" si="43"/>
        <v>1356.047</v>
      </c>
      <c r="H513">
        <f t="shared" si="44"/>
        <v>10</v>
      </c>
      <c r="I513">
        <f t="shared" si="45"/>
        <v>8471.4349999999995</v>
      </c>
      <c r="J513">
        <f t="shared" si="46"/>
        <v>-5089.0350000000017</v>
      </c>
      <c r="K513">
        <f t="shared" si="47"/>
        <v>13560.470000000001</v>
      </c>
    </row>
    <row r="514" spans="1:11" x14ac:dyDescent="0.25">
      <c r="A514" t="str">
        <f>Original!A504</f>
        <v>ORD-2023-744942</v>
      </c>
      <c r="B514">
        <f>Original!R504</f>
        <v>770.11</v>
      </c>
      <c r="C514">
        <f>Original!S504</f>
        <v>1667.82</v>
      </c>
      <c r="D514" s="6">
        <f>Original!T504</f>
        <v>6.9000000000000006E-2</v>
      </c>
      <c r="E514" s="6">
        <f>Original!V504</f>
        <v>7</v>
      </c>
      <c r="F514" s="6">
        <f t="shared" si="42"/>
        <v>0.05</v>
      </c>
      <c r="G514">
        <f t="shared" si="43"/>
        <v>847.12100000000009</v>
      </c>
      <c r="H514">
        <f t="shared" si="44"/>
        <v>7</v>
      </c>
      <c r="I514">
        <f t="shared" si="45"/>
        <v>11091.002999999999</v>
      </c>
      <c r="J514">
        <f t="shared" si="46"/>
        <v>5161.1559999999981</v>
      </c>
      <c r="K514">
        <f t="shared" si="47"/>
        <v>5929.8470000000007</v>
      </c>
    </row>
    <row r="515" spans="1:11" x14ac:dyDescent="0.25">
      <c r="A515" t="str">
        <f>Original!A505</f>
        <v>ORD-2025-331237</v>
      </c>
      <c r="B515">
        <f>Original!R505</f>
        <v>1133.03</v>
      </c>
      <c r="C515">
        <f>Original!S505</f>
        <v>1921.51</v>
      </c>
      <c r="D515" s="6">
        <f>Original!T505</f>
        <v>0.10100000000000001</v>
      </c>
      <c r="E515" s="6">
        <f>Original!V505</f>
        <v>5</v>
      </c>
      <c r="F515" s="6">
        <f t="shared" si="42"/>
        <v>0.05</v>
      </c>
      <c r="G515">
        <f t="shared" si="43"/>
        <v>1246.3330000000001</v>
      </c>
      <c r="H515">
        <f t="shared" si="44"/>
        <v>5</v>
      </c>
      <c r="I515">
        <f t="shared" si="45"/>
        <v>9127.1724999999988</v>
      </c>
      <c r="J515">
        <f t="shared" si="46"/>
        <v>2895.5074999999979</v>
      </c>
      <c r="K515">
        <f t="shared" si="47"/>
        <v>6231.6650000000009</v>
      </c>
    </row>
    <row r="516" spans="1:11" x14ac:dyDescent="0.25">
      <c r="A516" t="str">
        <f>Original!A506</f>
        <v>ORD-2025-680118</v>
      </c>
      <c r="B516">
        <f>Original!R506</f>
        <v>996.73</v>
      </c>
      <c r="C516">
        <f>Original!S506</f>
        <v>1217.43</v>
      </c>
      <c r="D516" s="6">
        <f>Original!T506</f>
        <v>7.0000000000000007E-2</v>
      </c>
      <c r="E516" s="6">
        <f>Original!V506</f>
        <v>9</v>
      </c>
      <c r="F516" s="6">
        <f t="shared" si="42"/>
        <v>0.05</v>
      </c>
      <c r="G516">
        <f t="shared" si="43"/>
        <v>1096.403</v>
      </c>
      <c r="H516">
        <f t="shared" si="44"/>
        <v>9</v>
      </c>
      <c r="I516">
        <f t="shared" si="45"/>
        <v>10409.0265</v>
      </c>
      <c r="J516">
        <f t="shared" si="46"/>
        <v>541.39949999999953</v>
      </c>
      <c r="K516">
        <f t="shared" si="47"/>
        <v>9867.6270000000004</v>
      </c>
    </row>
    <row r="517" spans="1:11" x14ac:dyDescent="0.25">
      <c r="A517" t="str">
        <f>Original!A507</f>
        <v>ORD-2024-310809</v>
      </c>
      <c r="B517">
        <f>Original!R507</f>
        <v>395.07</v>
      </c>
      <c r="C517">
        <f>Original!S507</f>
        <v>970.27</v>
      </c>
      <c r="D517" s="6">
        <f>Original!T507</f>
        <v>0.123</v>
      </c>
      <c r="E517" s="6">
        <f>Original!V507</f>
        <v>38</v>
      </c>
      <c r="F517" s="6">
        <f t="shared" si="42"/>
        <v>0.05</v>
      </c>
      <c r="G517">
        <f t="shared" si="43"/>
        <v>434.57700000000006</v>
      </c>
      <c r="H517">
        <f t="shared" si="44"/>
        <v>38</v>
      </c>
      <c r="I517">
        <f t="shared" si="45"/>
        <v>35026.747000000003</v>
      </c>
      <c r="J517">
        <f t="shared" si="46"/>
        <v>18512.821</v>
      </c>
      <c r="K517">
        <f t="shared" si="47"/>
        <v>16513.926000000003</v>
      </c>
    </row>
    <row r="518" spans="1:11" x14ac:dyDescent="0.25">
      <c r="A518" t="str">
        <f>Original!A508</f>
        <v>ORD-2025-474368</v>
      </c>
      <c r="B518">
        <f>Original!R508</f>
        <v>932.26</v>
      </c>
      <c r="C518">
        <f>Original!S508</f>
        <v>1624.67</v>
      </c>
      <c r="D518" s="6">
        <f>Original!T508</f>
        <v>0.23499999999999999</v>
      </c>
      <c r="E518" s="6">
        <f>Original!V508</f>
        <v>28</v>
      </c>
      <c r="F518" s="6">
        <f t="shared" si="42"/>
        <v>0.05</v>
      </c>
      <c r="G518">
        <f t="shared" si="43"/>
        <v>1025.4860000000001</v>
      </c>
      <c r="H518">
        <f t="shared" si="44"/>
        <v>28</v>
      </c>
      <c r="I518">
        <f t="shared" si="45"/>
        <v>43216.222000000002</v>
      </c>
      <c r="J518">
        <f t="shared" si="46"/>
        <v>14502.613999999998</v>
      </c>
      <c r="K518">
        <f t="shared" si="47"/>
        <v>28713.608000000004</v>
      </c>
    </row>
    <row r="519" spans="1:11" x14ac:dyDescent="0.25">
      <c r="A519" t="str">
        <f>Original!A509</f>
        <v>ORD-2024-732543</v>
      </c>
      <c r="B519">
        <f>Original!R509</f>
        <v>1331.77</v>
      </c>
      <c r="C519">
        <f>Original!S509</f>
        <v>2606.11</v>
      </c>
      <c r="D519" s="6">
        <f>Original!T509</f>
        <v>0.02</v>
      </c>
      <c r="E519" s="6">
        <f>Original!V509</f>
        <v>6</v>
      </c>
      <c r="F519" s="6">
        <f t="shared" si="42"/>
        <v>0.02</v>
      </c>
      <c r="G519">
        <f t="shared" si="43"/>
        <v>1464.9470000000001</v>
      </c>
      <c r="H519">
        <f t="shared" si="44"/>
        <v>6</v>
      </c>
      <c r="I519">
        <f t="shared" si="45"/>
        <v>15323.926799999999</v>
      </c>
      <c r="J519">
        <f t="shared" si="46"/>
        <v>6534.2447999999986</v>
      </c>
      <c r="K519">
        <f t="shared" si="47"/>
        <v>8789.6820000000007</v>
      </c>
    </row>
    <row r="520" spans="1:11" x14ac:dyDescent="0.25">
      <c r="A520" t="str">
        <f>Original!A510</f>
        <v>ORD-2023-867166</v>
      </c>
      <c r="B520">
        <f>Original!R510</f>
        <v>227.02</v>
      </c>
      <c r="C520">
        <f>Original!S510</f>
        <v>434.72</v>
      </c>
      <c r="D520" s="6">
        <f>Original!T510</f>
        <v>9.8000000000000004E-2</v>
      </c>
      <c r="E520" s="6">
        <f>Original!V510</f>
        <v>10</v>
      </c>
      <c r="F520" s="6">
        <f t="shared" si="42"/>
        <v>0.05</v>
      </c>
      <c r="G520">
        <f t="shared" si="43"/>
        <v>249.72200000000004</v>
      </c>
      <c r="H520">
        <f t="shared" si="44"/>
        <v>10</v>
      </c>
      <c r="I520">
        <f t="shared" si="45"/>
        <v>4129.84</v>
      </c>
      <c r="J520">
        <f t="shared" si="46"/>
        <v>1632.62</v>
      </c>
      <c r="K520">
        <f t="shared" si="47"/>
        <v>2497.2200000000003</v>
      </c>
    </row>
    <row r="521" spans="1:11" x14ac:dyDescent="0.25">
      <c r="A521" t="str">
        <f>Original!A511</f>
        <v>ORD-2024-776337</v>
      </c>
      <c r="B521">
        <f>Original!R511</f>
        <v>903.41</v>
      </c>
      <c r="C521">
        <f>Original!S511</f>
        <v>1860.41</v>
      </c>
      <c r="D521" s="6">
        <f>Original!T511</f>
        <v>0.108</v>
      </c>
      <c r="E521" s="6">
        <f>Original!V511</f>
        <v>5</v>
      </c>
      <c r="F521" s="6">
        <f t="shared" si="42"/>
        <v>0.05</v>
      </c>
      <c r="G521">
        <f t="shared" si="43"/>
        <v>993.75100000000009</v>
      </c>
      <c r="H521">
        <f t="shared" si="44"/>
        <v>5</v>
      </c>
      <c r="I521">
        <f t="shared" si="45"/>
        <v>8836.9475000000002</v>
      </c>
      <c r="J521">
        <f t="shared" si="46"/>
        <v>3868.1925000000001</v>
      </c>
      <c r="K521">
        <f t="shared" si="47"/>
        <v>4968.7550000000001</v>
      </c>
    </row>
    <row r="522" spans="1:11" x14ac:dyDescent="0.25">
      <c r="A522" t="str">
        <f>Original!A512</f>
        <v>ORD-2023-913592</v>
      </c>
      <c r="B522">
        <f>Original!R512</f>
        <v>622.6</v>
      </c>
      <c r="C522">
        <f>Original!S512</f>
        <v>833.69</v>
      </c>
      <c r="D522" s="6">
        <f>Original!T512</f>
        <v>0.20899999999999999</v>
      </c>
      <c r="E522" s="6">
        <f>Original!V512</f>
        <v>14</v>
      </c>
      <c r="F522" s="6">
        <f t="shared" si="42"/>
        <v>0.05</v>
      </c>
      <c r="G522">
        <f t="shared" si="43"/>
        <v>684.86000000000013</v>
      </c>
      <c r="H522">
        <f t="shared" si="44"/>
        <v>14</v>
      </c>
      <c r="I522">
        <f t="shared" si="45"/>
        <v>11088.076999999999</v>
      </c>
      <c r="J522">
        <f t="shared" si="46"/>
        <v>1500.0369999999984</v>
      </c>
      <c r="K522">
        <f t="shared" si="47"/>
        <v>9588.0400000000009</v>
      </c>
    </row>
    <row r="523" spans="1:11" x14ac:dyDescent="0.25">
      <c r="A523" t="str">
        <f>Original!A513</f>
        <v>ORD-2024-961501</v>
      </c>
      <c r="B523">
        <f>Original!R513</f>
        <v>225.01</v>
      </c>
      <c r="C523">
        <f>Original!S513</f>
        <v>333.48</v>
      </c>
      <c r="D523" s="6">
        <f>Original!T513</f>
        <v>0.11899999999999999</v>
      </c>
      <c r="E523" s="6">
        <f>Original!V513</f>
        <v>12</v>
      </c>
      <c r="F523" s="6">
        <f t="shared" si="42"/>
        <v>0.05</v>
      </c>
      <c r="G523">
        <f t="shared" si="43"/>
        <v>247.51100000000002</v>
      </c>
      <c r="H523">
        <f t="shared" si="44"/>
        <v>12</v>
      </c>
      <c r="I523">
        <f t="shared" si="45"/>
        <v>3801.672</v>
      </c>
      <c r="J523">
        <f t="shared" si="46"/>
        <v>831.53999999999951</v>
      </c>
      <c r="K523">
        <f t="shared" si="47"/>
        <v>2970.1320000000005</v>
      </c>
    </row>
    <row r="524" spans="1:11" x14ac:dyDescent="0.25">
      <c r="A524" t="str">
        <f>Original!A514</f>
        <v>ORD-2024-964950</v>
      </c>
      <c r="B524">
        <f>Original!R514</f>
        <v>1389.46</v>
      </c>
      <c r="C524">
        <f>Original!S514</f>
        <v>1784.7</v>
      </c>
      <c r="D524" s="6">
        <f>Original!T514</f>
        <v>0.14599999999999999</v>
      </c>
      <c r="E524" s="6">
        <f>Original!V514</f>
        <v>33</v>
      </c>
      <c r="F524" s="6">
        <f t="shared" si="42"/>
        <v>0.05</v>
      </c>
      <c r="G524">
        <f t="shared" si="43"/>
        <v>1528.4060000000002</v>
      </c>
      <c r="H524">
        <f t="shared" si="44"/>
        <v>33</v>
      </c>
      <c r="I524">
        <f t="shared" si="45"/>
        <v>55950.344999999994</v>
      </c>
      <c r="J524">
        <f t="shared" si="46"/>
        <v>5512.9469999999856</v>
      </c>
      <c r="K524">
        <f t="shared" si="47"/>
        <v>50437.398000000008</v>
      </c>
    </row>
    <row r="525" spans="1:11" x14ac:dyDescent="0.25">
      <c r="A525" t="str">
        <f>Original!A515</f>
        <v>ORD-2023-349264</v>
      </c>
      <c r="B525">
        <f>Original!R515</f>
        <v>804.17</v>
      </c>
      <c r="C525">
        <f>Original!S515</f>
        <v>1072.29</v>
      </c>
      <c r="D525" s="6">
        <f>Original!T515</f>
        <v>3.2000000000000001E-2</v>
      </c>
      <c r="E525" s="6">
        <f>Original!V515</f>
        <v>5</v>
      </c>
      <c r="F525" s="6">
        <f t="shared" si="42"/>
        <v>3.2000000000000001E-2</v>
      </c>
      <c r="G525">
        <f t="shared" si="43"/>
        <v>884.58699999999999</v>
      </c>
      <c r="H525">
        <f t="shared" si="44"/>
        <v>5</v>
      </c>
      <c r="I525">
        <f t="shared" si="45"/>
        <v>5189.8836000000001</v>
      </c>
      <c r="J525">
        <f t="shared" si="46"/>
        <v>766.94860000000062</v>
      </c>
      <c r="K525">
        <f t="shared" si="47"/>
        <v>4422.9349999999995</v>
      </c>
    </row>
    <row r="526" spans="1:11" x14ac:dyDescent="0.25">
      <c r="A526" t="str">
        <f>Original!A516</f>
        <v>ORD-2025-137394</v>
      </c>
      <c r="B526">
        <f>Original!R516</f>
        <v>1428.33</v>
      </c>
      <c r="C526">
        <f>Original!S516</f>
        <v>3028.05</v>
      </c>
      <c r="D526" s="6">
        <f>Original!T516</f>
        <v>0</v>
      </c>
      <c r="E526" s="6">
        <f>Original!V516</f>
        <v>11</v>
      </c>
      <c r="F526" s="6">
        <f t="shared" si="42"/>
        <v>0</v>
      </c>
      <c r="G526">
        <f t="shared" si="43"/>
        <v>1571.163</v>
      </c>
      <c r="H526">
        <f t="shared" si="44"/>
        <v>11</v>
      </c>
      <c r="I526">
        <f t="shared" si="45"/>
        <v>33308.550000000003</v>
      </c>
      <c r="J526">
        <f t="shared" si="46"/>
        <v>16025.757000000001</v>
      </c>
      <c r="K526">
        <f t="shared" si="47"/>
        <v>17282.793000000001</v>
      </c>
    </row>
    <row r="527" spans="1:11" x14ac:dyDescent="0.25">
      <c r="A527" t="str">
        <f>Original!A517</f>
        <v>ORD-2025-635337</v>
      </c>
      <c r="B527">
        <f>Original!R517</f>
        <v>638.54</v>
      </c>
      <c r="C527">
        <f>Original!S517</f>
        <v>987.24</v>
      </c>
      <c r="D527" s="6">
        <f>Original!T517</f>
        <v>0</v>
      </c>
      <c r="E527" s="6">
        <f>Original!V517</f>
        <v>11</v>
      </c>
      <c r="F527" s="6">
        <f t="shared" si="42"/>
        <v>0</v>
      </c>
      <c r="G527">
        <f t="shared" si="43"/>
        <v>702.39400000000001</v>
      </c>
      <c r="H527">
        <f t="shared" si="44"/>
        <v>11</v>
      </c>
      <c r="I527">
        <f t="shared" si="45"/>
        <v>10859.64</v>
      </c>
      <c r="J527">
        <f t="shared" si="46"/>
        <v>3133.3059999999996</v>
      </c>
      <c r="K527">
        <f t="shared" si="47"/>
        <v>7726.3339999999998</v>
      </c>
    </row>
    <row r="528" spans="1:11" x14ac:dyDescent="0.25">
      <c r="A528" t="str">
        <f>Original!A518</f>
        <v>ORD-2023-568013</v>
      </c>
      <c r="B528">
        <f>Original!R518</f>
        <v>649.13</v>
      </c>
      <c r="C528">
        <f>Original!S518</f>
        <v>975.43</v>
      </c>
      <c r="D528" s="6">
        <f>Original!T518</f>
        <v>0.157</v>
      </c>
      <c r="E528" s="6">
        <f>Original!V518</f>
        <v>27</v>
      </c>
      <c r="F528" s="6">
        <f t="shared" si="42"/>
        <v>0.05</v>
      </c>
      <c r="G528">
        <f t="shared" si="43"/>
        <v>714.04300000000001</v>
      </c>
      <c r="H528">
        <f t="shared" si="44"/>
        <v>27</v>
      </c>
      <c r="I528">
        <f t="shared" si="45"/>
        <v>25019.779499999997</v>
      </c>
      <c r="J528">
        <f t="shared" si="46"/>
        <v>5740.6184999999969</v>
      </c>
      <c r="K528">
        <f t="shared" si="47"/>
        <v>19279.161</v>
      </c>
    </row>
    <row r="529" spans="1:11" x14ac:dyDescent="0.25">
      <c r="A529" t="str">
        <f>Original!A519</f>
        <v>ORD-2025-828263</v>
      </c>
      <c r="B529">
        <f>Original!R519</f>
        <v>66.400000000000006</v>
      </c>
      <c r="C529">
        <f>Original!S519</f>
        <v>141.43</v>
      </c>
      <c r="D529" s="6">
        <f>Original!T519</f>
        <v>0.107</v>
      </c>
      <c r="E529" s="6">
        <f>Original!V519</f>
        <v>8</v>
      </c>
      <c r="F529" s="6">
        <f t="shared" si="42"/>
        <v>0.05</v>
      </c>
      <c r="G529">
        <f t="shared" si="43"/>
        <v>73.040000000000006</v>
      </c>
      <c r="H529">
        <f t="shared" si="44"/>
        <v>8</v>
      </c>
      <c r="I529">
        <f t="shared" si="45"/>
        <v>1074.8679999999999</v>
      </c>
      <c r="J529">
        <f t="shared" si="46"/>
        <v>490.54799999999989</v>
      </c>
      <c r="K529">
        <f t="shared" si="47"/>
        <v>584.32000000000005</v>
      </c>
    </row>
    <row r="530" spans="1:11" x14ac:dyDescent="0.25">
      <c r="A530" t="str">
        <f>Original!A520</f>
        <v>ORD-2024-402240</v>
      </c>
      <c r="B530">
        <f>Original!R520</f>
        <v>930.71</v>
      </c>
      <c r="C530">
        <f>Original!S520</f>
        <v>1625.42</v>
      </c>
      <c r="D530" s="6">
        <f>Original!T520</f>
        <v>0.13800000000000001</v>
      </c>
      <c r="E530" s="6">
        <f>Original!V520</f>
        <v>7</v>
      </c>
      <c r="F530" s="6">
        <f t="shared" si="42"/>
        <v>0.05</v>
      </c>
      <c r="G530">
        <f t="shared" si="43"/>
        <v>1023.7810000000002</v>
      </c>
      <c r="H530">
        <f t="shared" si="44"/>
        <v>7</v>
      </c>
      <c r="I530">
        <f t="shared" si="45"/>
        <v>10809.043</v>
      </c>
      <c r="J530">
        <f t="shared" si="46"/>
        <v>3642.5759999999982</v>
      </c>
      <c r="K530">
        <f t="shared" si="47"/>
        <v>7166.4670000000015</v>
      </c>
    </row>
    <row r="531" spans="1:11" x14ac:dyDescent="0.25">
      <c r="A531" t="str">
        <f>Original!A521</f>
        <v>ORD-2023-125739</v>
      </c>
      <c r="B531">
        <f>Original!R521</f>
        <v>327.97</v>
      </c>
      <c r="C531">
        <f>Original!S521</f>
        <v>299.94</v>
      </c>
      <c r="D531" s="6">
        <f>Original!T521</f>
        <v>4.9000000000000002E-2</v>
      </c>
      <c r="E531" s="6">
        <f>Original!V521</f>
        <v>3</v>
      </c>
      <c r="F531" s="6">
        <f t="shared" si="42"/>
        <v>4.9000000000000002E-2</v>
      </c>
      <c r="G531">
        <f t="shared" si="43"/>
        <v>360.76700000000005</v>
      </c>
      <c r="H531">
        <f t="shared" si="44"/>
        <v>3</v>
      </c>
      <c r="I531">
        <f t="shared" si="45"/>
        <v>855.72881999999993</v>
      </c>
      <c r="J531">
        <f t="shared" si="46"/>
        <v>-226.57218000000023</v>
      </c>
      <c r="K531">
        <f t="shared" si="47"/>
        <v>1082.3010000000002</v>
      </c>
    </row>
    <row r="532" spans="1:11" x14ac:dyDescent="0.25">
      <c r="A532" t="str">
        <f>Original!A522</f>
        <v>ORD-2024-892879</v>
      </c>
      <c r="B532">
        <f>Original!R522</f>
        <v>1062.3800000000001</v>
      </c>
      <c r="C532">
        <f>Original!S522</f>
        <v>1503.96</v>
      </c>
      <c r="D532" s="6">
        <f>Original!T522</f>
        <v>0.18</v>
      </c>
      <c r="E532" s="6">
        <f>Original!V522</f>
        <v>6</v>
      </c>
      <c r="F532" s="6">
        <f t="shared" si="42"/>
        <v>0.05</v>
      </c>
      <c r="G532">
        <f t="shared" si="43"/>
        <v>1168.6180000000002</v>
      </c>
      <c r="H532">
        <f t="shared" si="44"/>
        <v>6</v>
      </c>
      <c r="I532">
        <f t="shared" si="45"/>
        <v>8572.5720000000001</v>
      </c>
      <c r="J532">
        <f t="shared" si="46"/>
        <v>1560.8639999999996</v>
      </c>
      <c r="K532">
        <f t="shared" si="47"/>
        <v>7011.7080000000005</v>
      </c>
    </row>
    <row r="533" spans="1:11" x14ac:dyDescent="0.25">
      <c r="A533" t="str">
        <f>Original!A523</f>
        <v>ORD-2023-472050</v>
      </c>
      <c r="B533">
        <f>Original!R523</f>
        <v>1286.1600000000001</v>
      </c>
      <c r="C533">
        <f>Original!S523</f>
        <v>3101.11</v>
      </c>
      <c r="D533" s="6">
        <f>Original!T523</f>
        <v>0.1</v>
      </c>
      <c r="E533" s="6">
        <f>Original!V523</f>
        <v>23</v>
      </c>
      <c r="F533" s="6">
        <f t="shared" si="42"/>
        <v>0.05</v>
      </c>
      <c r="G533">
        <f t="shared" si="43"/>
        <v>1414.7760000000003</v>
      </c>
      <c r="H533">
        <f t="shared" si="44"/>
        <v>23</v>
      </c>
      <c r="I533">
        <f t="shared" si="45"/>
        <v>67759.253499999992</v>
      </c>
      <c r="J533">
        <f t="shared" si="46"/>
        <v>35219.405499999986</v>
      </c>
      <c r="K533">
        <f t="shared" si="47"/>
        <v>32539.848000000005</v>
      </c>
    </row>
    <row r="534" spans="1:11" x14ac:dyDescent="0.25">
      <c r="A534" t="str">
        <f>Original!A524</f>
        <v>ORD-2024-468615</v>
      </c>
      <c r="B534">
        <f>Original!R524</f>
        <v>748.39</v>
      </c>
      <c r="C534">
        <f>Original!S524</f>
        <v>979.42</v>
      </c>
      <c r="D534" s="6">
        <f>Original!T524</f>
        <v>0</v>
      </c>
      <c r="E534" s="6">
        <f>Original!V524</f>
        <v>23</v>
      </c>
      <c r="F534" s="6">
        <f t="shared" si="42"/>
        <v>0</v>
      </c>
      <c r="G534">
        <f t="shared" si="43"/>
        <v>823.22900000000004</v>
      </c>
      <c r="H534">
        <f t="shared" si="44"/>
        <v>23</v>
      </c>
      <c r="I534">
        <f t="shared" si="45"/>
        <v>22526.66</v>
      </c>
      <c r="J534">
        <f t="shared" si="46"/>
        <v>3592.393</v>
      </c>
      <c r="K534">
        <f t="shared" si="47"/>
        <v>18934.267</v>
      </c>
    </row>
    <row r="535" spans="1:11" x14ac:dyDescent="0.25">
      <c r="A535" t="str">
        <f>Original!A525</f>
        <v>ORD-2024-833375</v>
      </c>
      <c r="B535">
        <f>Original!R525</f>
        <v>513.30999999999995</v>
      </c>
      <c r="C535">
        <f>Original!S525</f>
        <v>1186.26</v>
      </c>
      <c r="D535" s="6">
        <f>Original!T525</f>
        <v>9.4E-2</v>
      </c>
      <c r="E535" s="6">
        <f>Original!V525</f>
        <v>15</v>
      </c>
      <c r="F535" s="6">
        <f t="shared" si="42"/>
        <v>0.05</v>
      </c>
      <c r="G535">
        <f t="shared" si="43"/>
        <v>564.64099999999996</v>
      </c>
      <c r="H535">
        <f t="shared" si="44"/>
        <v>15</v>
      </c>
      <c r="I535">
        <f t="shared" si="45"/>
        <v>16904.205000000002</v>
      </c>
      <c r="J535">
        <f t="shared" si="46"/>
        <v>8434.590000000002</v>
      </c>
      <c r="K535">
        <f t="shared" si="47"/>
        <v>8469.6149999999998</v>
      </c>
    </row>
    <row r="536" spans="1:11" x14ac:dyDescent="0.25">
      <c r="A536" t="str">
        <f>Original!A526</f>
        <v>ORD-2024-206311</v>
      </c>
      <c r="B536">
        <f>Original!R526</f>
        <v>1061.3699999999999</v>
      </c>
      <c r="C536">
        <f>Original!S526</f>
        <v>1938.33</v>
      </c>
      <c r="D536" s="6">
        <f>Original!T526</f>
        <v>0.17</v>
      </c>
      <c r="E536" s="6">
        <f>Original!V526</f>
        <v>4</v>
      </c>
      <c r="F536" s="6">
        <f t="shared" si="42"/>
        <v>0.05</v>
      </c>
      <c r="G536">
        <f t="shared" si="43"/>
        <v>1167.5070000000001</v>
      </c>
      <c r="H536">
        <f t="shared" si="44"/>
        <v>4</v>
      </c>
      <c r="I536">
        <f t="shared" si="45"/>
        <v>7365.6539999999995</v>
      </c>
      <c r="J536">
        <f t="shared" si="46"/>
        <v>2695.6259999999993</v>
      </c>
      <c r="K536">
        <f t="shared" si="47"/>
        <v>4670.0280000000002</v>
      </c>
    </row>
    <row r="537" spans="1:11" x14ac:dyDescent="0.25">
      <c r="A537" t="str">
        <f>Original!A527</f>
        <v>ORD-2024-364080</v>
      </c>
      <c r="B537">
        <f>Original!R527</f>
        <v>401.3</v>
      </c>
      <c r="C537">
        <f>Original!S527</f>
        <v>826.47</v>
      </c>
      <c r="D537" s="6">
        <f>Original!T527</f>
        <v>0.22500000000000001</v>
      </c>
      <c r="E537" s="6">
        <f>Original!V527</f>
        <v>13</v>
      </c>
      <c r="F537" s="6">
        <f t="shared" si="42"/>
        <v>0.05</v>
      </c>
      <c r="G537">
        <f t="shared" si="43"/>
        <v>441.43000000000006</v>
      </c>
      <c r="H537">
        <f t="shared" si="44"/>
        <v>13</v>
      </c>
      <c r="I537">
        <f t="shared" si="45"/>
        <v>10206.904500000001</v>
      </c>
      <c r="J537">
        <f t="shared" si="46"/>
        <v>4468.3144999999995</v>
      </c>
      <c r="K537">
        <f t="shared" si="47"/>
        <v>5738.5900000000011</v>
      </c>
    </row>
    <row r="538" spans="1:11" x14ac:dyDescent="0.25">
      <c r="A538" t="str">
        <f>Original!A528</f>
        <v>ORD-2025-460466</v>
      </c>
      <c r="B538">
        <f>Original!R528</f>
        <v>90.68</v>
      </c>
      <c r="C538">
        <f>Original!S528</f>
        <v>118.17</v>
      </c>
      <c r="D538" s="6">
        <f>Original!T528</f>
        <v>0.13500000000000001</v>
      </c>
      <c r="E538" s="6">
        <f>Original!V528</f>
        <v>21</v>
      </c>
      <c r="F538" s="6">
        <f t="shared" si="42"/>
        <v>0.05</v>
      </c>
      <c r="G538">
        <f t="shared" si="43"/>
        <v>99.748000000000019</v>
      </c>
      <c r="H538">
        <f t="shared" si="44"/>
        <v>21</v>
      </c>
      <c r="I538">
        <f t="shared" si="45"/>
        <v>2357.4915000000001</v>
      </c>
      <c r="J538">
        <f t="shared" si="46"/>
        <v>262.78349999999955</v>
      </c>
      <c r="K538">
        <f t="shared" si="47"/>
        <v>2094.7080000000005</v>
      </c>
    </row>
    <row r="539" spans="1:11" x14ac:dyDescent="0.25">
      <c r="A539" t="str">
        <f>Original!A529</f>
        <v>ORD-2023-700699</v>
      </c>
      <c r="B539">
        <f>Original!R529</f>
        <v>1083.0899999999999</v>
      </c>
      <c r="C539">
        <f>Original!S529</f>
        <v>1425.87</v>
      </c>
      <c r="D539" s="6">
        <f>Original!T529</f>
        <v>0</v>
      </c>
      <c r="E539" s="6">
        <f>Original!V529</f>
        <v>8</v>
      </c>
      <c r="F539" s="6">
        <f t="shared" si="42"/>
        <v>0</v>
      </c>
      <c r="G539">
        <f t="shared" si="43"/>
        <v>1191.3990000000001</v>
      </c>
      <c r="H539">
        <f t="shared" si="44"/>
        <v>8</v>
      </c>
      <c r="I539">
        <f t="shared" si="45"/>
        <v>11406.96</v>
      </c>
      <c r="J539">
        <f t="shared" si="46"/>
        <v>1875.7679999999982</v>
      </c>
      <c r="K539">
        <f t="shared" si="47"/>
        <v>9531.1920000000009</v>
      </c>
    </row>
    <row r="540" spans="1:11" x14ac:dyDescent="0.25">
      <c r="A540" t="str">
        <f>Original!A530</f>
        <v>ORD-2024-713332</v>
      </c>
      <c r="B540">
        <f>Original!R530</f>
        <v>1208.74</v>
      </c>
      <c r="C540">
        <f>Original!S530</f>
        <v>1594.78</v>
      </c>
      <c r="D540" s="6">
        <f>Original!T530</f>
        <v>5.8999999999999997E-2</v>
      </c>
      <c r="E540" s="6">
        <f>Original!V530</f>
        <v>39</v>
      </c>
      <c r="F540" s="6">
        <f t="shared" si="42"/>
        <v>0.05</v>
      </c>
      <c r="G540">
        <f t="shared" si="43"/>
        <v>1329.614</v>
      </c>
      <c r="H540">
        <f t="shared" si="44"/>
        <v>39</v>
      </c>
      <c r="I540">
        <f t="shared" si="45"/>
        <v>59086.598999999995</v>
      </c>
      <c r="J540">
        <f t="shared" si="46"/>
        <v>7231.6529999999912</v>
      </c>
      <c r="K540">
        <f t="shared" si="47"/>
        <v>51854.946000000004</v>
      </c>
    </row>
    <row r="541" spans="1:11" x14ac:dyDescent="0.25">
      <c r="A541" t="str">
        <f>Original!A531</f>
        <v>ORD-2023-640022</v>
      </c>
      <c r="B541">
        <f>Original!R531</f>
        <v>1399.64</v>
      </c>
      <c r="C541">
        <f>Original!S531</f>
        <v>3342.11</v>
      </c>
      <c r="D541" s="6">
        <f>Original!T531</f>
        <v>0</v>
      </c>
      <c r="E541" s="6">
        <f>Original!V531</f>
        <v>10</v>
      </c>
      <c r="F541" s="6">
        <f t="shared" si="42"/>
        <v>0</v>
      </c>
      <c r="G541">
        <f t="shared" si="43"/>
        <v>1539.6040000000003</v>
      </c>
      <c r="H541">
        <f t="shared" si="44"/>
        <v>10</v>
      </c>
      <c r="I541">
        <f t="shared" si="45"/>
        <v>33421.1</v>
      </c>
      <c r="J541">
        <f t="shared" si="46"/>
        <v>18025.059999999998</v>
      </c>
      <c r="K541">
        <f t="shared" si="47"/>
        <v>15396.040000000003</v>
      </c>
    </row>
    <row r="542" spans="1:11" x14ac:dyDescent="0.25">
      <c r="A542" t="str">
        <f>Original!A532</f>
        <v>ORD-2024-532184</v>
      </c>
      <c r="B542">
        <f>Original!R532</f>
        <v>937.16</v>
      </c>
      <c r="C542">
        <f>Original!S532</f>
        <v>1069.77</v>
      </c>
      <c r="D542" s="6">
        <f>Original!T532</f>
        <v>3.7999999999999999E-2</v>
      </c>
      <c r="E542" s="6">
        <f>Original!V532</f>
        <v>9</v>
      </c>
      <c r="F542" s="6">
        <f t="shared" si="42"/>
        <v>3.7999999999999999E-2</v>
      </c>
      <c r="G542">
        <f t="shared" si="43"/>
        <v>1030.876</v>
      </c>
      <c r="H542">
        <f t="shared" si="44"/>
        <v>9</v>
      </c>
      <c r="I542">
        <f t="shared" si="45"/>
        <v>9262.0686600000008</v>
      </c>
      <c r="J542">
        <f t="shared" si="46"/>
        <v>-15.815339999999196</v>
      </c>
      <c r="K542">
        <f t="shared" si="47"/>
        <v>9277.884</v>
      </c>
    </row>
    <row r="543" spans="1:11" x14ac:dyDescent="0.25">
      <c r="A543" t="str">
        <f>Original!A533</f>
        <v>ORD-2025-926547</v>
      </c>
      <c r="B543">
        <f>Original!R533</f>
        <v>116.97</v>
      </c>
      <c r="C543">
        <f>Original!S533</f>
        <v>140.82</v>
      </c>
      <c r="D543" s="6">
        <f>Original!T533</f>
        <v>0.122</v>
      </c>
      <c r="E543" s="6">
        <f>Original!V533</f>
        <v>5</v>
      </c>
      <c r="F543" s="6">
        <f t="shared" si="42"/>
        <v>0.05</v>
      </c>
      <c r="G543">
        <f t="shared" si="43"/>
        <v>128.667</v>
      </c>
      <c r="H543">
        <f t="shared" si="44"/>
        <v>5</v>
      </c>
      <c r="I543">
        <f t="shared" si="45"/>
        <v>668.89499999999987</v>
      </c>
      <c r="J543">
        <f t="shared" si="46"/>
        <v>25.559999999999832</v>
      </c>
      <c r="K543">
        <f t="shared" si="47"/>
        <v>643.33500000000004</v>
      </c>
    </row>
    <row r="544" spans="1:11" x14ac:dyDescent="0.25">
      <c r="A544" t="str">
        <f>Original!A534</f>
        <v>ORD-2025-778145</v>
      </c>
      <c r="B544">
        <f>Original!R534</f>
        <v>59.51</v>
      </c>
      <c r="C544">
        <f>Original!S534</f>
        <v>67.040000000000006</v>
      </c>
      <c r="D544" s="6">
        <f>Original!T534</f>
        <v>0.114</v>
      </c>
      <c r="E544" s="6">
        <f>Original!V534</f>
        <v>9</v>
      </c>
      <c r="F544" s="6">
        <f t="shared" ref="F544:F607" si="48">MIN(D544,$B$2)</f>
        <v>0.05</v>
      </c>
      <c r="G544">
        <f t="shared" ref="G544:G607" si="49">B544*(1+$B$3)</f>
        <v>65.460999999999999</v>
      </c>
      <c r="H544">
        <f t="shared" ref="H544:H607" si="50">E544*(1+$B$4)</f>
        <v>9</v>
      </c>
      <c r="I544">
        <f t="shared" ref="I544:I607" si="51">C544*H544*(1-F544)</f>
        <v>573.19200000000001</v>
      </c>
      <c r="J544">
        <f t="shared" ref="J544:J607" si="52">I544-K544</f>
        <v>-15.956999999999994</v>
      </c>
      <c r="K544">
        <f t="shared" ref="K544:K607" si="53">G544*H544</f>
        <v>589.149</v>
      </c>
    </row>
    <row r="545" spans="1:11" x14ac:dyDescent="0.25">
      <c r="A545" t="str">
        <f>Original!A535</f>
        <v>ORD-2023-525643</v>
      </c>
      <c r="B545">
        <f>Original!R535</f>
        <v>676.37</v>
      </c>
      <c r="C545">
        <f>Original!S535</f>
        <v>1276.67</v>
      </c>
      <c r="D545" s="6">
        <f>Original!T535</f>
        <v>6.6000000000000003E-2</v>
      </c>
      <c r="E545" s="6">
        <f>Original!V535</f>
        <v>10</v>
      </c>
      <c r="F545" s="6">
        <f t="shared" si="48"/>
        <v>0.05</v>
      </c>
      <c r="G545">
        <f t="shared" si="49"/>
        <v>744.00700000000006</v>
      </c>
      <c r="H545">
        <f t="shared" si="50"/>
        <v>10</v>
      </c>
      <c r="I545">
        <f t="shared" si="51"/>
        <v>12128.365</v>
      </c>
      <c r="J545">
        <f t="shared" si="52"/>
        <v>4688.2949999999992</v>
      </c>
      <c r="K545">
        <f t="shared" si="53"/>
        <v>7440.0700000000006</v>
      </c>
    </row>
    <row r="546" spans="1:11" x14ac:dyDescent="0.25">
      <c r="A546" t="str">
        <f>Original!A536</f>
        <v>ORD-2025-312803</v>
      </c>
      <c r="B546">
        <f>Original!R536</f>
        <v>1151.06</v>
      </c>
      <c r="C546">
        <f>Original!S536</f>
        <v>2821.36</v>
      </c>
      <c r="D546" s="6">
        <f>Original!T536</f>
        <v>0.248</v>
      </c>
      <c r="E546" s="6">
        <f>Original!V536</f>
        <v>20</v>
      </c>
      <c r="F546" s="6">
        <f t="shared" si="48"/>
        <v>0.05</v>
      </c>
      <c r="G546">
        <f t="shared" si="49"/>
        <v>1266.1659999999999</v>
      </c>
      <c r="H546">
        <f t="shared" si="50"/>
        <v>20</v>
      </c>
      <c r="I546">
        <f t="shared" si="51"/>
        <v>53605.840000000004</v>
      </c>
      <c r="J546">
        <f t="shared" si="52"/>
        <v>28282.520000000004</v>
      </c>
      <c r="K546">
        <f t="shared" si="53"/>
        <v>25323.32</v>
      </c>
    </row>
    <row r="547" spans="1:11" x14ac:dyDescent="0.25">
      <c r="A547" t="str">
        <f>Original!A537</f>
        <v>ORD-2025-149156</v>
      </c>
      <c r="B547">
        <f>Original!R537</f>
        <v>725.62</v>
      </c>
      <c r="C547">
        <f>Original!S537</f>
        <v>1559.19</v>
      </c>
      <c r="D547" s="6">
        <f>Original!T537</f>
        <v>0.19</v>
      </c>
      <c r="E547" s="6">
        <f>Original!V537</f>
        <v>12</v>
      </c>
      <c r="F547" s="6">
        <f t="shared" si="48"/>
        <v>0.05</v>
      </c>
      <c r="G547">
        <f t="shared" si="49"/>
        <v>798.18200000000002</v>
      </c>
      <c r="H547">
        <f t="shared" si="50"/>
        <v>12</v>
      </c>
      <c r="I547">
        <f t="shared" si="51"/>
        <v>17774.766</v>
      </c>
      <c r="J547">
        <f t="shared" si="52"/>
        <v>8196.5819999999985</v>
      </c>
      <c r="K547">
        <f t="shared" si="53"/>
        <v>9578.1840000000011</v>
      </c>
    </row>
    <row r="548" spans="1:11" x14ac:dyDescent="0.25">
      <c r="A548" t="str">
        <f>Original!A538</f>
        <v>ORD-2023-215819</v>
      </c>
      <c r="B548">
        <f>Original!R538</f>
        <v>479.5</v>
      </c>
      <c r="C548">
        <f>Original!S538</f>
        <v>656.66</v>
      </c>
      <c r="D548" s="6">
        <f>Original!T538</f>
        <v>0.14899999999999999</v>
      </c>
      <c r="E548" s="6">
        <f>Original!V538</f>
        <v>14</v>
      </c>
      <c r="F548" s="6">
        <f t="shared" si="48"/>
        <v>0.05</v>
      </c>
      <c r="G548">
        <f t="shared" si="49"/>
        <v>527.45000000000005</v>
      </c>
      <c r="H548">
        <f t="shared" si="50"/>
        <v>14</v>
      </c>
      <c r="I548">
        <f t="shared" si="51"/>
        <v>8733.5779999999995</v>
      </c>
      <c r="J548">
        <f t="shared" si="52"/>
        <v>1349.2779999999984</v>
      </c>
      <c r="K548">
        <f t="shared" si="53"/>
        <v>7384.3000000000011</v>
      </c>
    </row>
    <row r="549" spans="1:11" x14ac:dyDescent="0.25">
      <c r="A549" t="str">
        <f>Original!A539</f>
        <v>ORD-2024-353078</v>
      </c>
      <c r="B549">
        <f>Original!R539</f>
        <v>1291.7</v>
      </c>
      <c r="C549">
        <f>Original!S539</f>
        <v>2657.84</v>
      </c>
      <c r="D549" s="6">
        <f>Original!T539</f>
        <v>8.6999999999999994E-2</v>
      </c>
      <c r="E549" s="6">
        <f>Original!V539</f>
        <v>21</v>
      </c>
      <c r="F549" s="6">
        <f t="shared" si="48"/>
        <v>0.05</v>
      </c>
      <c r="G549">
        <f t="shared" si="49"/>
        <v>1420.8700000000001</v>
      </c>
      <c r="H549">
        <f t="shared" si="50"/>
        <v>21</v>
      </c>
      <c r="I549">
        <f t="shared" si="51"/>
        <v>53023.907999999996</v>
      </c>
      <c r="J549">
        <f t="shared" si="52"/>
        <v>23185.637999999992</v>
      </c>
      <c r="K549">
        <f t="shared" si="53"/>
        <v>29838.270000000004</v>
      </c>
    </row>
    <row r="550" spans="1:11" x14ac:dyDescent="0.25">
      <c r="A550" t="str">
        <f>Original!A540</f>
        <v>ORD-2023-621393</v>
      </c>
      <c r="B550">
        <f>Original!R540</f>
        <v>612.59</v>
      </c>
      <c r="C550">
        <f>Original!S540</f>
        <v>1424.74</v>
      </c>
      <c r="D550" s="6">
        <f>Original!T540</f>
        <v>4.3999999999999997E-2</v>
      </c>
      <c r="E550" s="6">
        <f>Original!V540</f>
        <v>15</v>
      </c>
      <c r="F550" s="6">
        <f t="shared" si="48"/>
        <v>4.3999999999999997E-2</v>
      </c>
      <c r="G550">
        <f t="shared" si="49"/>
        <v>673.84900000000005</v>
      </c>
      <c r="H550">
        <f t="shared" si="50"/>
        <v>15</v>
      </c>
      <c r="I550">
        <f t="shared" si="51"/>
        <v>20430.771599999996</v>
      </c>
      <c r="J550">
        <f t="shared" si="52"/>
        <v>10323.036599999996</v>
      </c>
      <c r="K550">
        <f t="shared" si="53"/>
        <v>10107.735000000001</v>
      </c>
    </row>
    <row r="551" spans="1:11" x14ac:dyDescent="0.25">
      <c r="A551" t="str">
        <f>Original!A541</f>
        <v>ORD-2023-974506</v>
      </c>
      <c r="B551">
        <f>Original!R541</f>
        <v>1141.8</v>
      </c>
      <c r="C551">
        <f>Original!S541</f>
        <v>2318.7399999999998</v>
      </c>
      <c r="D551" s="6">
        <f>Original!T541</f>
        <v>0.107</v>
      </c>
      <c r="E551" s="6">
        <f>Original!V541</f>
        <v>32</v>
      </c>
      <c r="F551" s="6">
        <f t="shared" si="48"/>
        <v>0.05</v>
      </c>
      <c r="G551">
        <f t="shared" si="49"/>
        <v>1255.98</v>
      </c>
      <c r="H551">
        <f t="shared" si="50"/>
        <v>32</v>
      </c>
      <c r="I551">
        <f t="shared" si="51"/>
        <v>70489.695999999996</v>
      </c>
      <c r="J551">
        <f t="shared" si="52"/>
        <v>30298.335999999996</v>
      </c>
      <c r="K551">
        <f t="shared" si="53"/>
        <v>40191.360000000001</v>
      </c>
    </row>
    <row r="552" spans="1:11" x14ac:dyDescent="0.25">
      <c r="A552" t="str">
        <f>Original!A542</f>
        <v>ORD-2023-811823</v>
      </c>
      <c r="B552">
        <f>Original!R542</f>
        <v>492.62</v>
      </c>
      <c r="C552">
        <f>Original!S542</f>
        <v>366.7</v>
      </c>
      <c r="D552" s="6">
        <f>Original!T542</f>
        <v>8.8999999999999996E-2</v>
      </c>
      <c r="E552" s="6">
        <f>Original!V542</f>
        <v>10</v>
      </c>
      <c r="F552" s="6">
        <f t="shared" si="48"/>
        <v>0.05</v>
      </c>
      <c r="G552">
        <f t="shared" si="49"/>
        <v>541.88200000000006</v>
      </c>
      <c r="H552">
        <f t="shared" si="50"/>
        <v>10</v>
      </c>
      <c r="I552">
        <f t="shared" si="51"/>
        <v>3483.6499999999996</v>
      </c>
      <c r="J552">
        <f t="shared" si="52"/>
        <v>-1935.170000000001</v>
      </c>
      <c r="K552">
        <f t="shared" si="53"/>
        <v>5418.8200000000006</v>
      </c>
    </row>
    <row r="553" spans="1:11" x14ac:dyDescent="0.25">
      <c r="A553" t="str">
        <f>Original!A543</f>
        <v>ORD-2023-286720</v>
      </c>
      <c r="B553">
        <f>Original!R543</f>
        <v>1258.72</v>
      </c>
      <c r="C553">
        <f>Original!S543</f>
        <v>2797.41</v>
      </c>
      <c r="D553" s="6">
        <f>Original!T543</f>
        <v>0</v>
      </c>
      <c r="E553" s="6">
        <f>Original!V543</f>
        <v>7</v>
      </c>
      <c r="F553" s="6">
        <f t="shared" si="48"/>
        <v>0</v>
      </c>
      <c r="G553">
        <f t="shared" si="49"/>
        <v>1384.5920000000001</v>
      </c>
      <c r="H553">
        <f t="shared" si="50"/>
        <v>7</v>
      </c>
      <c r="I553">
        <f t="shared" si="51"/>
        <v>19581.87</v>
      </c>
      <c r="J553">
        <f t="shared" si="52"/>
        <v>9889.7259999999987</v>
      </c>
      <c r="K553">
        <f t="shared" si="53"/>
        <v>9692.1440000000002</v>
      </c>
    </row>
    <row r="554" spans="1:11" x14ac:dyDescent="0.25">
      <c r="A554" t="str">
        <f>Original!A544</f>
        <v>ORD-2024-626925</v>
      </c>
      <c r="B554">
        <f>Original!R544</f>
        <v>1370.28</v>
      </c>
      <c r="C554">
        <f>Original!S544</f>
        <v>2209.66</v>
      </c>
      <c r="D554" s="6">
        <f>Original!T544</f>
        <v>0.13300000000000001</v>
      </c>
      <c r="E554" s="6">
        <f>Original!V544</f>
        <v>16</v>
      </c>
      <c r="F554" s="6">
        <f t="shared" si="48"/>
        <v>0.05</v>
      </c>
      <c r="G554">
        <f t="shared" si="49"/>
        <v>1507.308</v>
      </c>
      <c r="H554">
        <f t="shared" si="50"/>
        <v>16</v>
      </c>
      <c r="I554">
        <f t="shared" si="51"/>
        <v>33586.831999999995</v>
      </c>
      <c r="J554">
        <f t="shared" si="52"/>
        <v>9469.903999999995</v>
      </c>
      <c r="K554">
        <f t="shared" si="53"/>
        <v>24116.928</v>
      </c>
    </row>
    <row r="555" spans="1:11" x14ac:dyDescent="0.25">
      <c r="A555" t="str">
        <f>Original!A545</f>
        <v>ORD-2023-960380</v>
      </c>
      <c r="B555">
        <f>Original!R545</f>
        <v>944.61</v>
      </c>
      <c r="C555">
        <f>Original!S545</f>
        <v>839.04</v>
      </c>
      <c r="D555" s="6">
        <f>Original!T545</f>
        <v>5.8999999999999997E-2</v>
      </c>
      <c r="E555" s="6">
        <f>Original!V545</f>
        <v>6</v>
      </c>
      <c r="F555" s="6">
        <f t="shared" si="48"/>
        <v>0.05</v>
      </c>
      <c r="G555">
        <f t="shared" si="49"/>
        <v>1039.0710000000001</v>
      </c>
      <c r="H555">
        <f t="shared" si="50"/>
        <v>6</v>
      </c>
      <c r="I555">
        <f t="shared" si="51"/>
        <v>4782.5279999999993</v>
      </c>
      <c r="J555">
        <f t="shared" si="52"/>
        <v>-1451.898000000002</v>
      </c>
      <c r="K555">
        <f t="shared" si="53"/>
        <v>6234.4260000000013</v>
      </c>
    </row>
    <row r="556" spans="1:11" x14ac:dyDescent="0.25">
      <c r="A556" t="str">
        <f>Original!A546</f>
        <v>ORD-2023-453699</v>
      </c>
      <c r="B556">
        <f>Original!R546</f>
        <v>460.21</v>
      </c>
      <c r="C556">
        <f>Original!S546</f>
        <v>1139.1500000000001</v>
      </c>
      <c r="D556" s="6">
        <f>Original!T546</f>
        <v>0.115</v>
      </c>
      <c r="E556" s="6">
        <f>Original!V546</f>
        <v>14</v>
      </c>
      <c r="F556" s="6">
        <f t="shared" si="48"/>
        <v>0.05</v>
      </c>
      <c r="G556">
        <f t="shared" si="49"/>
        <v>506.23099999999999</v>
      </c>
      <c r="H556">
        <f t="shared" si="50"/>
        <v>14</v>
      </c>
      <c r="I556">
        <f t="shared" si="51"/>
        <v>15150.695000000002</v>
      </c>
      <c r="J556">
        <f t="shared" si="52"/>
        <v>8063.4610000000011</v>
      </c>
      <c r="K556">
        <f t="shared" si="53"/>
        <v>7087.2340000000004</v>
      </c>
    </row>
    <row r="557" spans="1:11" x14ac:dyDescent="0.25">
      <c r="A557" t="str">
        <f>Original!A547</f>
        <v>ORD-2025-960931</v>
      </c>
      <c r="B557">
        <f>Original!R547</f>
        <v>1304.95</v>
      </c>
      <c r="C557">
        <f>Original!S547</f>
        <v>1712.03</v>
      </c>
      <c r="D557" s="6">
        <f>Original!T547</f>
        <v>0.21199999999999999</v>
      </c>
      <c r="E557" s="6">
        <f>Original!V547</f>
        <v>8</v>
      </c>
      <c r="F557" s="6">
        <f t="shared" si="48"/>
        <v>0.05</v>
      </c>
      <c r="G557">
        <f t="shared" si="49"/>
        <v>1435.4450000000002</v>
      </c>
      <c r="H557">
        <f t="shared" si="50"/>
        <v>8</v>
      </c>
      <c r="I557">
        <f t="shared" si="51"/>
        <v>13011.428</v>
      </c>
      <c r="J557">
        <f t="shared" si="52"/>
        <v>1527.8679999999986</v>
      </c>
      <c r="K557">
        <f t="shared" si="53"/>
        <v>11483.560000000001</v>
      </c>
    </row>
    <row r="558" spans="1:11" x14ac:dyDescent="0.25">
      <c r="A558" t="str">
        <f>Original!A548</f>
        <v>ORD-2024-419248</v>
      </c>
      <c r="B558">
        <f>Original!R548</f>
        <v>441.08</v>
      </c>
      <c r="C558">
        <f>Original!S548</f>
        <v>1054.29</v>
      </c>
      <c r="D558" s="6">
        <f>Original!T548</f>
        <v>0.23699999999999999</v>
      </c>
      <c r="E558" s="6">
        <f>Original!V548</f>
        <v>6</v>
      </c>
      <c r="F558" s="6">
        <f t="shared" si="48"/>
        <v>0.05</v>
      </c>
      <c r="G558">
        <f t="shared" si="49"/>
        <v>485.18800000000005</v>
      </c>
      <c r="H558">
        <f t="shared" si="50"/>
        <v>6</v>
      </c>
      <c r="I558">
        <f t="shared" si="51"/>
        <v>6009.4529999999995</v>
      </c>
      <c r="J558">
        <f t="shared" si="52"/>
        <v>3098.3249999999994</v>
      </c>
      <c r="K558">
        <f t="shared" si="53"/>
        <v>2911.1280000000002</v>
      </c>
    </row>
    <row r="559" spans="1:11" x14ac:dyDescent="0.25">
      <c r="A559" t="str">
        <f>Original!A549</f>
        <v>ORD-2023-488227</v>
      </c>
      <c r="B559">
        <f>Original!R549</f>
        <v>1299.03</v>
      </c>
      <c r="C559">
        <f>Original!S549</f>
        <v>2451.2199999999998</v>
      </c>
      <c r="D559" s="6">
        <f>Original!T549</f>
        <v>0.20799999999999999</v>
      </c>
      <c r="E559" s="6">
        <f>Original!V549</f>
        <v>8</v>
      </c>
      <c r="F559" s="6">
        <f t="shared" si="48"/>
        <v>0.05</v>
      </c>
      <c r="G559">
        <f t="shared" si="49"/>
        <v>1428.933</v>
      </c>
      <c r="H559">
        <f t="shared" si="50"/>
        <v>8</v>
      </c>
      <c r="I559">
        <f t="shared" si="51"/>
        <v>18629.271999999997</v>
      </c>
      <c r="J559">
        <f t="shared" si="52"/>
        <v>7197.8079999999973</v>
      </c>
      <c r="K559">
        <f t="shared" si="53"/>
        <v>11431.464</v>
      </c>
    </row>
    <row r="560" spans="1:11" x14ac:dyDescent="0.25">
      <c r="A560" t="str">
        <f>Original!A550</f>
        <v>ORD-2023-472078</v>
      </c>
      <c r="B560">
        <f>Original!R550</f>
        <v>880.02</v>
      </c>
      <c r="C560">
        <f>Original!S550</f>
        <v>1251.21</v>
      </c>
      <c r="D560" s="6">
        <f>Original!T550</f>
        <v>0.123</v>
      </c>
      <c r="E560" s="6">
        <f>Original!V550</f>
        <v>29</v>
      </c>
      <c r="F560" s="6">
        <f t="shared" si="48"/>
        <v>0.05</v>
      </c>
      <c r="G560">
        <f t="shared" si="49"/>
        <v>968.02200000000005</v>
      </c>
      <c r="H560">
        <f t="shared" si="50"/>
        <v>29</v>
      </c>
      <c r="I560">
        <f t="shared" si="51"/>
        <v>34470.835500000001</v>
      </c>
      <c r="J560">
        <f t="shared" si="52"/>
        <v>6398.1974999999984</v>
      </c>
      <c r="K560">
        <f t="shared" si="53"/>
        <v>28072.638000000003</v>
      </c>
    </row>
    <row r="561" spans="1:11" x14ac:dyDescent="0.25">
      <c r="A561" t="str">
        <f>Original!A551</f>
        <v>ORD-2024-202877</v>
      </c>
      <c r="B561">
        <f>Original!R551</f>
        <v>702.98</v>
      </c>
      <c r="C561">
        <f>Original!S551</f>
        <v>1104.8</v>
      </c>
      <c r="D561" s="6">
        <f>Original!T551</f>
        <v>0.17499999999999999</v>
      </c>
      <c r="E561" s="6">
        <f>Original!V551</f>
        <v>12</v>
      </c>
      <c r="F561" s="6">
        <f t="shared" si="48"/>
        <v>0.05</v>
      </c>
      <c r="G561">
        <f t="shared" si="49"/>
        <v>773.27800000000013</v>
      </c>
      <c r="H561">
        <f t="shared" si="50"/>
        <v>12</v>
      </c>
      <c r="I561">
        <f t="shared" si="51"/>
        <v>12594.719999999998</v>
      </c>
      <c r="J561">
        <f t="shared" si="52"/>
        <v>3315.3839999999964</v>
      </c>
      <c r="K561">
        <f t="shared" si="53"/>
        <v>9279.3360000000011</v>
      </c>
    </row>
    <row r="562" spans="1:11" x14ac:dyDescent="0.25">
      <c r="A562" t="str">
        <f>Original!A552</f>
        <v>ORD-2024-140633</v>
      </c>
      <c r="B562">
        <f>Original!R552</f>
        <v>1035.24</v>
      </c>
      <c r="C562">
        <f>Original!S552</f>
        <v>2383.41</v>
      </c>
      <c r="D562" s="6">
        <f>Original!T552</f>
        <v>0.17</v>
      </c>
      <c r="E562" s="6">
        <f>Original!V552</f>
        <v>15</v>
      </c>
      <c r="F562" s="6">
        <f t="shared" si="48"/>
        <v>0.05</v>
      </c>
      <c r="G562">
        <f t="shared" si="49"/>
        <v>1138.7640000000001</v>
      </c>
      <c r="H562">
        <f t="shared" si="50"/>
        <v>15</v>
      </c>
      <c r="I562">
        <f t="shared" si="51"/>
        <v>33963.592499999992</v>
      </c>
      <c r="J562">
        <f t="shared" si="52"/>
        <v>16882.132499999989</v>
      </c>
      <c r="K562">
        <f t="shared" si="53"/>
        <v>17081.460000000003</v>
      </c>
    </row>
    <row r="563" spans="1:11" x14ac:dyDescent="0.25">
      <c r="A563" t="str">
        <f>Original!A553</f>
        <v>ORD-2025-419532</v>
      </c>
      <c r="B563">
        <f>Original!R553</f>
        <v>86.64</v>
      </c>
      <c r="C563">
        <f>Original!S553</f>
        <v>213.06</v>
      </c>
      <c r="D563" s="6">
        <f>Original!T553</f>
        <v>0.21199999999999999</v>
      </c>
      <c r="E563" s="6">
        <f>Original!V553</f>
        <v>11</v>
      </c>
      <c r="F563" s="6">
        <f t="shared" si="48"/>
        <v>0.05</v>
      </c>
      <c r="G563">
        <f t="shared" si="49"/>
        <v>95.304000000000002</v>
      </c>
      <c r="H563">
        <f t="shared" si="50"/>
        <v>11</v>
      </c>
      <c r="I563">
        <f t="shared" si="51"/>
        <v>2226.4769999999999</v>
      </c>
      <c r="J563">
        <f t="shared" si="52"/>
        <v>1178.1329999999998</v>
      </c>
      <c r="K563">
        <f t="shared" si="53"/>
        <v>1048.3440000000001</v>
      </c>
    </row>
    <row r="564" spans="1:11" x14ac:dyDescent="0.25">
      <c r="A564" t="str">
        <f>Original!A554</f>
        <v>ORD-2023-139236</v>
      </c>
      <c r="B564">
        <f>Original!R554</f>
        <v>1171.17</v>
      </c>
      <c r="C564">
        <f>Original!S554</f>
        <v>2030.64</v>
      </c>
      <c r="D564" s="6">
        <f>Original!T554</f>
        <v>0.157</v>
      </c>
      <c r="E564" s="6">
        <f>Original!V554</f>
        <v>11</v>
      </c>
      <c r="F564" s="6">
        <f t="shared" si="48"/>
        <v>0.05</v>
      </c>
      <c r="G564">
        <f t="shared" si="49"/>
        <v>1288.2870000000003</v>
      </c>
      <c r="H564">
        <f t="shared" si="50"/>
        <v>11</v>
      </c>
      <c r="I564">
        <f t="shared" si="51"/>
        <v>21220.187999999998</v>
      </c>
      <c r="J564">
        <f t="shared" si="52"/>
        <v>7049.0309999999954</v>
      </c>
      <c r="K564">
        <f t="shared" si="53"/>
        <v>14171.157000000003</v>
      </c>
    </row>
    <row r="565" spans="1:11" x14ac:dyDescent="0.25">
      <c r="A565" t="str">
        <f>Original!A555</f>
        <v>ORD-2025-337268</v>
      </c>
      <c r="B565">
        <f>Original!R555</f>
        <v>730.42</v>
      </c>
      <c r="C565">
        <f>Original!S555</f>
        <v>956.7</v>
      </c>
      <c r="D565" s="6">
        <f>Original!T555</f>
        <v>4.2000000000000003E-2</v>
      </c>
      <c r="E565" s="6">
        <f>Original!V555</f>
        <v>22</v>
      </c>
      <c r="F565" s="6">
        <f t="shared" si="48"/>
        <v>4.2000000000000003E-2</v>
      </c>
      <c r="G565">
        <f t="shared" si="49"/>
        <v>803.46199999999999</v>
      </c>
      <c r="H565">
        <f t="shared" si="50"/>
        <v>22</v>
      </c>
      <c r="I565">
        <f t="shared" si="51"/>
        <v>20163.409200000002</v>
      </c>
      <c r="J565">
        <f t="shared" si="52"/>
        <v>2487.2452000000012</v>
      </c>
      <c r="K565">
        <f t="shared" si="53"/>
        <v>17676.164000000001</v>
      </c>
    </row>
    <row r="566" spans="1:11" x14ac:dyDescent="0.25">
      <c r="A566" t="str">
        <f>Original!A556</f>
        <v>ORD-2025-332931</v>
      </c>
      <c r="B566">
        <f>Original!R556</f>
        <v>1162.8599999999999</v>
      </c>
      <c r="C566">
        <f>Original!S556</f>
        <v>1447.68</v>
      </c>
      <c r="D566" s="6">
        <f>Original!T556</f>
        <v>8.6999999999999994E-2</v>
      </c>
      <c r="E566" s="6">
        <f>Original!V556</f>
        <v>12</v>
      </c>
      <c r="F566" s="6">
        <f t="shared" si="48"/>
        <v>0.05</v>
      </c>
      <c r="G566">
        <f t="shared" si="49"/>
        <v>1279.146</v>
      </c>
      <c r="H566">
        <f t="shared" si="50"/>
        <v>12</v>
      </c>
      <c r="I566">
        <f t="shared" si="51"/>
        <v>16503.552</v>
      </c>
      <c r="J566">
        <f t="shared" si="52"/>
        <v>1153.7999999999993</v>
      </c>
      <c r="K566">
        <f t="shared" si="53"/>
        <v>15349.752</v>
      </c>
    </row>
    <row r="567" spans="1:11" x14ac:dyDescent="0.25">
      <c r="A567" t="str">
        <f>Original!A557</f>
        <v>ORD-2024-536442</v>
      </c>
      <c r="B567">
        <f>Original!R557</f>
        <v>1189.03</v>
      </c>
      <c r="C567">
        <f>Original!S557</f>
        <v>2949.62</v>
      </c>
      <c r="D567" s="6">
        <f>Original!T557</f>
        <v>0.125</v>
      </c>
      <c r="E567" s="6">
        <f>Original!V557</f>
        <v>13</v>
      </c>
      <c r="F567" s="6">
        <f t="shared" si="48"/>
        <v>0.05</v>
      </c>
      <c r="G567">
        <f t="shared" si="49"/>
        <v>1307.933</v>
      </c>
      <c r="H567">
        <f t="shared" si="50"/>
        <v>13</v>
      </c>
      <c r="I567">
        <f t="shared" si="51"/>
        <v>36427.806999999993</v>
      </c>
      <c r="J567">
        <f t="shared" si="52"/>
        <v>19424.677999999993</v>
      </c>
      <c r="K567">
        <f t="shared" si="53"/>
        <v>17003.129000000001</v>
      </c>
    </row>
    <row r="568" spans="1:11" x14ac:dyDescent="0.25">
      <c r="A568" t="str">
        <f>Original!A558</f>
        <v>ORD-2023-957692</v>
      </c>
      <c r="B568">
        <f>Original!R558</f>
        <v>1443.28</v>
      </c>
      <c r="C568">
        <f>Original!S558</f>
        <v>2580.5700000000002</v>
      </c>
      <c r="D568" s="6">
        <f>Original!T558</f>
        <v>0</v>
      </c>
      <c r="E568" s="6">
        <f>Original!V558</f>
        <v>18</v>
      </c>
      <c r="F568" s="6">
        <f t="shared" si="48"/>
        <v>0</v>
      </c>
      <c r="G568">
        <f t="shared" si="49"/>
        <v>1587.6080000000002</v>
      </c>
      <c r="H568">
        <f t="shared" si="50"/>
        <v>18</v>
      </c>
      <c r="I568">
        <f t="shared" si="51"/>
        <v>46450.26</v>
      </c>
      <c r="J568">
        <f t="shared" si="52"/>
        <v>17873.315999999999</v>
      </c>
      <c r="K568">
        <f t="shared" si="53"/>
        <v>28576.944000000003</v>
      </c>
    </row>
    <row r="569" spans="1:11" x14ac:dyDescent="0.25">
      <c r="A569" t="str">
        <f>Original!A559</f>
        <v>ORD-2025-874124</v>
      </c>
      <c r="B569">
        <f>Original!R559</f>
        <v>883.5</v>
      </c>
      <c r="C569">
        <f>Original!S559</f>
        <v>1978.91</v>
      </c>
      <c r="D569" s="6">
        <f>Original!T559</f>
        <v>5.3999999999999999E-2</v>
      </c>
      <c r="E569" s="6">
        <f>Original!V559</f>
        <v>27</v>
      </c>
      <c r="F569" s="6">
        <f t="shared" si="48"/>
        <v>0.05</v>
      </c>
      <c r="G569">
        <f t="shared" si="49"/>
        <v>971.85</v>
      </c>
      <c r="H569">
        <f t="shared" si="50"/>
        <v>27</v>
      </c>
      <c r="I569">
        <f t="shared" si="51"/>
        <v>50759.041499999999</v>
      </c>
      <c r="J569">
        <f t="shared" si="52"/>
        <v>24519.091499999999</v>
      </c>
      <c r="K569">
        <f t="shared" si="53"/>
        <v>26239.95</v>
      </c>
    </row>
    <row r="570" spans="1:11" x14ac:dyDescent="0.25">
      <c r="A570" t="str">
        <f>Original!A560</f>
        <v>ORD-2024-687073</v>
      </c>
      <c r="B570">
        <f>Original!R560</f>
        <v>710.98</v>
      </c>
      <c r="C570">
        <f>Original!S560</f>
        <v>1481.45</v>
      </c>
      <c r="D570" s="6">
        <f>Original!T560</f>
        <v>0.21099999999999999</v>
      </c>
      <c r="E570" s="6">
        <f>Original!V560</f>
        <v>9</v>
      </c>
      <c r="F570" s="6">
        <f t="shared" si="48"/>
        <v>0.05</v>
      </c>
      <c r="G570">
        <f t="shared" si="49"/>
        <v>782.07800000000009</v>
      </c>
      <c r="H570">
        <f t="shared" si="50"/>
        <v>9</v>
      </c>
      <c r="I570">
        <f t="shared" si="51"/>
        <v>12666.397500000001</v>
      </c>
      <c r="J570">
        <f t="shared" si="52"/>
        <v>5627.6954999999998</v>
      </c>
      <c r="K570">
        <f t="shared" si="53"/>
        <v>7038.7020000000011</v>
      </c>
    </row>
    <row r="571" spans="1:11" x14ac:dyDescent="0.25">
      <c r="A571" t="str">
        <f>Original!A561</f>
        <v>ORD-2024-555229</v>
      </c>
      <c r="B571">
        <f>Original!R561</f>
        <v>857.42</v>
      </c>
      <c r="C571">
        <f>Original!S561</f>
        <v>1658.92</v>
      </c>
      <c r="D571" s="6">
        <f>Original!T561</f>
        <v>0.122</v>
      </c>
      <c r="E571" s="6">
        <f>Original!V561</f>
        <v>9</v>
      </c>
      <c r="F571" s="6">
        <f t="shared" si="48"/>
        <v>0.05</v>
      </c>
      <c r="G571">
        <f t="shared" si="49"/>
        <v>943.16200000000003</v>
      </c>
      <c r="H571">
        <f t="shared" si="50"/>
        <v>9</v>
      </c>
      <c r="I571">
        <f t="shared" si="51"/>
        <v>14183.766</v>
      </c>
      <c r="J571">
        <f t="shared" si="52"/>
        <v>5695.3079999999991</v>
      </c>
      <c r="K571">
        <f t="shared" si="53"/>
        <v>8488.4580000000005</v>
      </c>
    </row>
    <row r="572" spans="1:11" x14ac:dyDescent="0.25">
      <c r="A572" t="str">
        <f>Original!A562</f>
        <v>ORD-2024-872291</v>
      </c>
      <c r="B572">
        <f>Original!R562</f>
        <v>802.32</v>
      </c>
      <c r="C572">
        <f>Original!S562</f>
        <v>602.34</v>
      </c>
      <c r="D572" s="6">
        <f>Original!T562</f>
        <v>0.12</v>
      </c>
      <c r="E572" s="6">
        <f>Original!V562</f>
        <v>25</v>
      </c>
      <c r="F572" s="6">
        <f t="shared" si="48"/>
        <v>0.05</v>
      </c>
      <c r="G572">
        <f t="shared" si="49"/>
        <v>882.55200000000013</v>
      </c>
      <c r="H572">
        <f t="shared" si="50"/>
        <v>25</v>
      </c>
      <c r="I572">
        <f t="shared" si="51"/>
        <v>14305.574999999999</v>
      </c>
      <c r="J572">
        <f t="shared" si="52"/>
        <v>-7758.225000000004</v>
      </c>
      <c r="K572">
        <f t="shared" si="53"/>
        <v>22063.800000000003</v>
      </c>
    </row>
    <row r="573" spans="1:11" x14ac:dyDescent="0.25">
      <c r="A573" t="str">
        <f>Original!A563</f>
        <v>ORD-2024-250862</v>
      </c>
      <c r="B573">
        <f>Original!R563</f>
        <v>446.66</v>
      </c>
      <c r="C573">
        <f>Original!S563</f>
        <v>527.64</v>
      </c>
      <c r="D573" s="6">
        <f>Original!T563</f>
        <v>0.14499999999999999</v>
      </c>
      <c r="E573" s="6">
        <f>Original!V563</f>
        <v>15</v>
      </c>
      <c r="F573" s="6">
        <f t="shared" si="48"/>
        <v>0.05</v>
      </c>
      <c r="G573">
        <f t="shared" si="49"/>
        <v>491.32600000000008</v>
      </c>
      <c r="H573">
        <f t="shared" si="50"/>
        <v>15</v>
      </c>
      <c r="I573">
        <f t="shared" si="51"/>
        <v>7518.869999999999</v>
      </c>
      <c r="J573">
        <f t="shared" si="52"/>
        <v>148.97999999999774</v>
      </c>
      <c r="K573">
        <f t="shared" si="53"/>
        <v>7369.8900000000012</v>
      </c>
    </row>
    <row r="574" spans="1:11" x14ac:dyDescent="0.25">
      <c r="A574" t="str">
        <f>Original!A564</f>
        <v>ORD-2024-331226</v>
      </c>
      <c r="B574">
        <f>Original!R564</f>
        <v>1195.98</v>
      </c>
      <c r="C574">
        <f>Original!S564</f>
        <v>1841.9</v>
      </c>
      <c r="D574" s="6">
        <f>Original!T564</f>
        <v>5.5E-2</v>
      </c>
      <c r="E574" s="6">
        <f>Original!V564</f>
        <v>19</v>
      </c>
      <c r="F574" s="6">
        <f t="shared" si="48"/>
        <v>0.05</v>
      </c>
      <c r="G574">
        <f t="shared" si="49"/>
        <v>1315.5780000000002</v>
      </c>
      <c r="H574">
        <f t="shared" si="50"/>
        <v>19</v>
      </c>
      <c r="I574">
        <f t="shared" si="51"/>
        <v>33246.294999999998</v>
      </c>
      <c r="J574">
        <f t="shared" si="52"/>
        <v>8250.3129999999946</v>
      </c>
      <c r="K574">
        <f t="shared" si="53"/>
        <v>24995.982000000004</v>
      </c>
    </row>
    <row r="575" spans="1:11" x14ac:dyDescent="0.25">
      <c r="A575" t="str">
        <f>Original!A565</f>
        <v>ORD-2023-356427</v>
      </c>
      <c r="B575">
        <f>Original!R565</f>
        <v>671.05</v>
      </c>
      <c r="C575">
        <f>Original!S565</f>
        <v>1645.48</v>
      </c>
      <c r="D575" s="6">
        <f>Original!T565</f>
        <v>0.13700000000000001</v>
      </c>
      <c r="E575" s="6">
        <f>Original!V565</f>
        <v>6</v>
      </c>
      <c r="F575" s="6">
        <f t="shared" si="48"/>
        <v>0.05</v>
      </c>
      <c r="G575">
        <f t="shared" si="49"/>
        <v>738.15499999999997</v>
      </c>
      <c r="H575">
        <f t="shared" si="50"/>
        <v>6</v>
      </c>
      <c r="I575">
        <f t="shared" si="51"/>
        <v>9379.2360000000008</v>
      </c>
      <c r="J575">
        <f t="shared" si="52"/>
        <v>4950.3060000000005</v>
      </c>
      <c r="K575">
        <f t="shared" si="53"/>
        <v>4428.93</v>
      </c>
    </row>
    <row r="576" spans="1:11" x14ac:dyDescent="0.25">
      <c r="A576" t="str">
        <f>Original!A566</f>
        <v>ORD-2025-659650</v>
      </c>
      <c r="B576">
        <f>Original!R566</f>
        <v>586.21</v>
      </c>
      <c r="C576">
        <f>Original!S566</f>
        <v>727.22</v>
      </c>
      <c r="D576" s="6">
        <f>Original!T566</f>
        <v>6.8000000000000005E-2</v>
      </c>
      <c r="E576" s="6">
        <f>Original!V566</f>
        <v>15</v>
      </c>
      <c r="F576" s="6">
        <f t="shared" si="48"/>
        <v>0.05</v>
      </c>
      <c r="G576">
        <f t="shared" si="49"/>
        <v>644.83100000000013</v>
      </c>
      <c r="H576">
        <f t="shared" si="50"/>
        <v>15</v>
      </c>
      <c r="I576">
        <f t="shared" si="51"/>
        <v>10362.885</v>
      </c>
      <c r="J576">
        <f t="shared" si="52"/>
        <v>690.41999999999825</v>
      </c>
      <c r="K576">
        <f t="shared" si="53"/>
        <v>9672.465000000002</v>
      </c>
    </row>
    <row r="577" spans="1:11" x14ac:dyDescent="0.25">
      <c r="A577" t="str">
        <f>Original!A567</f>
        <v>ORD-2024-207669</v>
      </c>
      <c r="B577">
        <f>Original!R567</f>
        <v>525.34</v>
      </c>
      <c r="C577">
        <f>Original!S567</f>
        <v>1233.79</v>
      </c>
      <c r="D577" s="6">
        <f>Original!T567</f>
        <v>0.14299999999999999</v>
      </c>
      <c r="E577" s="6">
        <f>Original!V567</f>
        <v>4</v>
      </c>
      <c r="F577" s="6">
        <f t="shared" si="48"/>
        <v>0.05</v>
      </c>
      <c r="G577">
        <f t="shared" si="49"/>
        <v>577.87400000000014</v>
      </c>
      <c r="H577">
        <f t="shared" si="50"/>
        <v>4</v>
      </c>
      <c r="I577">
        <f t="shared" si="51"/>
        <v>4688.402</v>
      </c>
      <c r="J577">
        <f t="shared" si="52"/>
        <v>2376.9059999999995</v>
      </c>
      <c r="K577">
        <f t="shared" si="53"/>
        <v>2311.4960000000005</v>
      </c>
    </row>
    <row r="578" spans="1:11" x14ac:dyDescent="0.25">
      <c r="A578" t="str">
        <f>Original!A568</f>
        <v>ORD-2024-979401</v>
      </c>
      <c r="B578">
        <f>Original!R568</f>
        <v>1233.52</v>
      </c>
      <c r="C578">
        <f>Original!S568</f>
        <v>1543.76</v>
      </c>
      <c r="D578" s="6">
        <f>Original!T568</f>
        <v>0.126</v>
      </c>
      <c r="E578" s="6">
        <f>Original!V568</f>
        <v>13</v>
      </c>
      <c r="F578" s="6">
        <f t="shared" si="48"/>
        <v>0.05</v>
      </c>
      <c r="G578">
        <f t="shared" si="49"/>
        <v>1356.8720000000001</v>
      </c>
      <c r="H578">
        <f t="shared" si="50"/>
        <v>13</v>
      </c>
      <c r="I578">
        <f t="shared" si="51"/>
        <v>19065.436000000002</v>
      </c>
      <c r="J578">
        <f t="shared" si="52"/>
        <v>1426.1000000000022</v>
      </c>
      <c r="K578">
        <f t="shared" si="53"/>
        <v>17639.335999999999</v>
      </c>
    </row>
    <row r="579" spans="1:11" x14ac:dyDescent="0.25">
      <c r="A579" t="str">
        <f>Original!A569</f>
        <v>ORD-2025-929414</v>
      </c>
      <c r="B579">
        <f>Original!R569</f>
        <v>1170.1500000000001</v>
      </c>
      <c r="C579">
        <f>Original!S569</f>
        <v>2115.19</v>
      </c>
      <c r="D579" s="6">
        <f>Original!T569</f>
        <v>9.1999999999999998E-2</v>
      </c>
      <c r="E579" s="6">
        <f>Original!V569</f>
        <v>23</v>
      </c>
      <c r="F579" s="6">
        <f t="shared" si="48"/>
        <v>0.05</v>
      </c>
      <c r="G579">
        <f t="shared" si="49"/>
        <v>1287.1650000000002</v>
      </c>
      <c r="H579">
        <f t="shared" si="50"/>
        <v>23</v>
      </c>
      <c r="I579">
        <f t="shared" si="51"/>
        <v>46216.9015</v>
      </c>
      <c r="J579">
        <f t="shared" si="52"/>
        <v>16612.106499999994</v>
      </c>
      <c r="K579">
        <f t="shared" si="53"/>
        <v>29604.795000000006</v>
      </c>
    </row>
    <row r="580" spans="1:11" x14ac:dyDescent="0.25">
      <c r="A580" t="str">
        <f>Original!A570</f>
        <v>ORD-2024-766980</v>
      </c>
      <c r="B580">
        <f>Original!R570</f>
        <v>740.68</v>
      </c>
      <c r="C580">
        <f>Original!S570</f>
        <v>1837.19</v>
      </c>
      <c r="D580" s="6">
        <f>Original!T570</f>
        <v>0.19700000000000001</v>
      </c>
      <c r="E580" s="6">
        <f>Original!V570</f>
        <v>17</v>
      </c>
      <c r="F580" s="6">
        <f t="shared" si="48"/>
        <v>0.05</v>
      </c>
      <c r="G580">
        <f t="shared" si="49"/>
        <v>814.74800000000005</v>
      </c>
      <c r="H580">
        <f t="shared" si="50"/>
        <v>17</v>
      </c>
      <c r="I580">
        <f t="shared" si="51"/>
        <v>29670.618499999997</v>
      </c>
      <c r="J580">
        <f t="shared" si="52"/>
        <v>15819.902499999997</v>
      </c>
      <c r="K580">
        <f t="shared" si="53"/>
        <v>13850.716</v>
      </c>
    </row>
    <row r="581" spans="1:11" x14ac:dyDescent="0.25">
      <c r="A581" t="str">
        <f>Original!A571</f>
        <v>ORD-2024-437164</v>
      </c>
      <c r="B581">
        <f>Original!R571</f>
        <v>1407.05</v>
      </c>
      <c r="C581">
        <f>Original!S571</f>
        <v>2858.93</v>
      </c>
      <c r="D581" s="6">
        <f>Original!T571</f>
        <v>0</v>
      </c>
      <c r="E581" s="6">
        <f>Original!V571</f>
        <v>12</v>
      </c>
      <c r="F581" s="6">
        <f t="shared" si="48"/>
        <v>0</v>
      </c>
      <c r="G581">
        <f t="shared" si="49"/>
        <v>1547.7550000000001</v>
      </c>
      <c r="H581">
        <f t="shared" si="50"/>
        <v>12</v>
      </c>
      <c r="I581">
        <f t="shared" si="51"/>
        <v>34307.159999999996</v>
      </c>
      <c r="J581">
        <f t="shared" si="52"/>
        <v>15734.099999999995</v>
      </c>
      <c r="K581">
        <f t="shared" si="53"/>
        <v>18573.060000000001</v>
      </c>
    </row>
    <row r="582" spans="1:11" x14ac:dyDescent="0.25">
      <c r="A582" t="str">
        <f>Original!A572</f>
        <v>ORD-2025-169093</v>
      </c>
      <c r="B582">
        <f>Original!R572</f>
        <v>138.9</v>
      </c>
      <c r="C582">
        <f>Original!S572</f>
        <v>289.92</v>
      </c>
      <c r="D582" s="6">
        <f>Original!T572</f>
        <v>2.9000000000000001E-2</v>
      </c>
      <c r="E582" s="6">
        <f>Original!V572</f>
        <v>12</v>
      </c>
      <c r="F582" s="6">
        <f t="shared" si="48"/>
        <v>2.9000000000000001E-2</v>
      </c>
      <c r="G582">
        <f t="shared" si="49"/>
        <v>152.79000000000002</v>
      </c>
      <c r="H582">
        <f t="shared" si="50"/>
        <v>12</v>
      </c>
      <c r="I582">
        <f t="shared" si="51"/>
        <v>3378.1478400000001</v>
      </c>
      <c r="J582">
        <f t="shared" si="52"/>
        <v>1544.6678399999998</v>
      </c>
      <c r="K582">
        <f t="shared" si="53"/>
        <v>1833.4800000000002</v>
      </c>
    </row>
    <row r="583" spans="1:11" x14ac:dyDescent="0.25">
      <c r="A583" t="str">
        <f>Original!A573</f>
        <v>ORD-2023-868460</v>
      </c>
      <c r="B583">
        <f>Original!R573</f>
        <v>669.37</v>
      </c>
      <c r="C583">
        <f>Original!S573</f>
        <v>997.2</v>
      </c>
      <c r="D583" s="6">
        <f>Original!T573</f>
        <v>8.2000000000000003E-2</v>
      </c>
      <c r="E583" s="6">
        <f>Original!V573</f>
        <v>5</v>
      </c>
      <c r="F583" s="6">
        <f t="shared" si="48"/>
        <v>0.05</v>
      </c>
      <c r="G583">
        <f t="shared" si="49"/>
        <v>736.30700000000002</v>
      </c>
      <c r="H583">
        <f t="shared" si="50"/>
        <v>5</v>
      </c>
      <c r="I583">
        <f t="shared" si="51"/>
        <v>4736.7</v>
      </c>
      <c r="J583">
        <f t="shared" si="52"/>
        <v>1055.165</v>
      </c>
      <c r="K583">
        <f t="shared" si="53"/>
        <v>3681.5349999999999</v>
      </c>
    </row>
    <row r="584" spans="1:11" x14ac:dyDescent="0.25">
      <c r="A584" t="str">
        <f>Original!A574</f>
        <v>ORD-2025-177994</v>
      </c>
      <c r="B584">
        <f>Original!R574</f>
        <v>23.83</v>
      </c>
      <c r="C584">
        <f>Original!S574</f>
        <v>47.29</v>
      </c>
      <c r="D584" s="6">
        <f>Original!T574</f>
        <v>6.4000000000000001E-2</v>
      </c>
      <c r="E584" s="6">
        <f>Original!V574</f>
        <v>19</v>
      </c>
      <c r="F584" s="6">
        <f t="shared" si="48"/>
        <v>0.05</v>
      </c>
      <c r="G584">
        <f t="shared" si="49"/>
        <v>26.213000000000001</v>
      </c>
      <c r="H584">
        <f t="shared" si="50"/>
        <v>19</v>
      </c>
      <c r="I584">
        <f t="shared" si="51"/>
        <v>853.58449999999993</v>
      </c>
      <c r="J584">
        <f t="shared" si="52"/>
        <v>355.53749999999991</v>
      </c>
      <c r="K584">
        <f t="shared" si="53"/>
        <v>498.04700000000003</v>
      </c>
    </row>
    <row r="585" spans="1:11" x14ac:dyDescent="0.25">
      <c r="A585" t="str">
        <f>Original!A575</f>
        <v>ORD-2024-355095</v>
      </c>
      <c r="B585">
        <f>Original!R575</f>
        <v>444.41</v>
      </c>
      <c r="C585">
        <f>Original!S575</f>
        <v>754.24</v>
      </c>
      <c r="D585" s="6">
        <f>Original!T575</f>
        <v>0.20699999999999999</v>
      </c>
      <c r="E585" s="6">
        <f>Original!V575</f>
        <v>32</v>
      </c>
      <c r="F585" s="6">
        <f t="shared" si="48"/>
        <v>0.05</v>
      </c>
      <c r="G585">
        <f t="shared" si="49"/>
        <v>488.85100000000006</v>
      </c>
      <c r="H585">
        <f t="shared" si="50"/>
        <v>32</v>
      </c>
      <c r="I585">
        <f t="shared" si="51"/>
        <v>22928.896000000001</v>
      </c>
      <c r="J585">
        <f t="shared" si="52"/>
        <v>7285.6639999999989</v>
      </c>
      <c r="K585">
        <f t="shared" si="53"/>
        <v>15643.232000000002</v>
      </c>
    </row>
    <row r="586" spans="1:11" x14ac:dyDescent="0.25">
      <c r="A586" t="str">
        <f>Original!A576</f>
        <v>ORD-2023-126505</v>
      </c>
      <c r="B586">
        <f>Original!R576</f>
        <v>856.1</v>
      </c>
      <c r="C586">
        <f>Original!S576</f>
        <v>901.48</v>
      </c>
      <c r="D586" s="6">
        <f>Original!T576</f>
        <v>5.6000000000000001E-2</v>
      </c>
      <c r="E586" s="6">
        <f>Original!V576</f>
        <v>17</v>
      </c>
      <c r="F586" s="6">
        <f t="shared" si="48"/>
        <v>0.05</v>
      </c>
      <c r="G586">
        <f t="shared" si="49"/>
        <v>941.71000000000015</v>
      </c>
      <c r="H586">
        <f t="shared" si="50"/>
        <v>17</v>
      </c>
      <c r="I586">
        <f t="shared" si="51"/>
        <v>14558.902</v>
      </c>
      <c r="J586">
        <f t="shared" si="52"/>
        <v>-1450.1680000000033</v>
      </c>
      <c r="K586">
        <f t="shared" si="53"/>
        <v>16009.070000000003</v>
      </c>
    </row>
    <row r="587" spans="1:11" x14ac:dyDescent="0.25">
      <c r="A587" t="str">
        <f>Original!A577</f>
        <v>ORD-2023-340056</v>
      </c>
      <c r="B587">
        <f>Original!R577</f>
        <v>81.489999999999995</v>
      </c>
      <c r="C587">
        <f>Original!S577</f>
        <v>113.08</v>
      </c>
      <c r="D587" s="6">
        <f>Original!T577</f>
        <v>0.121</v>
      </c>
      <c r="E587" s="6">
        <f>Original!V577</f>
        <v>5</v>
      </c>
      <c r="F587" s="6">
        <f t="shared" si="48"/>
        <v>0.05</v>
      </c>
      <c r="G587">
        <f t="shared" si="49"/>
        <v>89.638999999999996</v>
      </c>
      <c r="H587">
        <f t="shared" si="50"/>
        <v>5</v>
      </c>
      <c r="I587">
        <f t="shared" si="51"/>
        <v>537.13</v>
      </c>
      <c r="J587">
        <f t="shared" si="52"/>
        <v>88.935000000000002</v>
      </c>
      <c r="K587">
        <f t="shared" si="53"/>
        <v>448.19499999999999</v>
      </c>
    </row>
    <row r="588" spans="1:11" x14ac:dyDescent="0.25">
      <c r="A588" t="str">
        <f>Original!A578</f>
        <v>ORD-2025-281413</v>
      </c>
      <c r="B588">
        <f>Original!R578</f>
        <v>698.66</v>
      </c>
      <c r="C588">
        <f>Original!S578</f>
        <v>868.62</v>
      </c>
      <c r="D588" s="6">
        <f>Original!T578</f>
        <v>7.1999999999999995E-2</v>
      </c>
      <c r="E588" s="6">
        <f>Original!V578</f>
        <v>15</v>
      </c>
      <c r="F588" s="6">
        <f t="shared" si="48"/>
        <v>0.05</v>
      </c>
      <c r="G588">
        <f t="shared" si="49"/>
        <v>768.52600000000007</v>
      </c>
      <c r="H588">
        <f t="shared" si="50"/>
        <v>15</v>
      </c>
      <c r="I588">
        <f t="shared" si="51"/>
        <v>12377.834999999999</v>
      </c>
      <c r="J588">
        <f t="shared" si="52"/>
        <v>849.94499999999789</v>
      </c>
      <c r="K588">
        <f t="shared" si="53"/>
        <v>11527.890000000001</v>
      </c>
    </row>
    <row r="589" spans="1:11" x14ac:dyDescent="0.25">
      <c r="A589" t="str">
        <f>Original!A579</f>
        <v>ORD-2023-713614</v>
      </c>
      <c r="B589">
        <f>Original!R579</f>
        <v>175.38</v>
      </c>
      <c r="C589">
        <f>Original!S579</f>
        <v>347.9</v>
      </c>
      <c r="D589" s="6">
        <f>Original!T579</f>
        <v>7.1999999999999995E-2</v>
      </c>
      <c r="E589" s="6">
        <f>Original!V579</f>
        <v>43</v>
      </c>
      <c r="F589" s="6">
        <f t="shared" si="48"/>
        <v>0.05</v>
      </c>
      <c r="G589">
        <f t="shared" si="49"/>
        <v>192.91800000000001</v>
      </c>
      <c r="H589">
        <f t="shared" si="50"/>
        <v>43</v>
      </c>
      <c r="I589">
        <f t="shared" si="51"/>
        <v>14211.714999999998</v>
      </c>
      <c r="J589">
        <f t="shared" si="52"/>
        <v>5916.2409999999982</v>
      </c>
      <c r="K589">
        <f t="shared" si="53"/>
        <v>8295.4740000000002</v>
      </c>
    </row>
    <row r="590" spans="1:11" x14ac:dyDescent="0.25">
      <c r="A590" t="str">
        <f>Original!A580</f>
        <v>ORD-2023-173313</v>
      </c>
      <c r="B590">
        <f>Original!R580</f>
        <v>751.28</v>
      </c>
      <c r="C590">
        <f>Original!S580</f>
        <v>1111.8800000000001</v>
      </c>
      <c r="D590" s="6">
        <f>Original!T580</f>
        <v>0.13500000000000001</v>
      </c>
      <c r="E590" s="6">
        <f>Original!V580</f>
        <v>7</v>
      </c>
      <c r="F590" s="6">
        <f t="shared" si="48"/>
        <v>0.05</v>
      </c>
      <c r="G590">
        <f t="shared" si="49"/>
        <v>826.40800000000002</v>
      </c>
      <c r="H590">
        <f t="shared" si="50"/>
        <v>7</v>
      </c>
      <c r="I590">
        <f t="shared" si="51"/>
        <v>7394.0020000000004</v>
      </c>
      <c r="J590">
        <f t="shared" si="52"/>
        <v>1609.1460000000006</v>
      </c>
      <c r="K590">
        <f t="shared" si="53"/>
        <v>5784.8559999999998</v>
      </c>
    </row>
    <row r="591" spans="1:11" x14ac:dyDescent="0.25">
      <c r="A591" t="str">
        <f>Original!A581</f>
        <v>ORD-2024-496601</v>
      </c>
      <c r="B591">
        <f>Original!R581</f>
        <v>164.53</v>
      </c>
      <c r="C591">
        <f>Original!S581</f>
        <v>327.72</v>
      </c>
      <c r="D591" s="6">
        <f>Original!T581</f>
        <v>6.7000000000000004E-2</v>
      </c>
      <c r="E591" s="6">
        <f>Original!V581</f>
        <v>14</v>
      </c>
      <c r="F591" s="6">
        <f t="shared" si="48"/>
        <v>0.05</v>
      </c>
      <c r="G591">
        <f t="shared" si="49"/>
        <v>180.983</v>
      </c>
      <c r="H591">
        <f t="shared" si="50"/>
        <v>14</v>
      </c>
      <c r="I591">
        <f t="shared" si="51"/>
        <v>4358.6759999999995</v>
      </c>
      <c r="J591">
        <f t="shared" si="52"/>
        <v>1824.9139999999993</v>
      </c>
      <c r="K591">
        <f t="shared" si="53"/>
        <v>2533.7620000000002</v>
      </c>
    </row>
    <row r="592" spans="1:11" x14ac:dyDescent="0.25">
      <c r="A592" t="str">
        <f>Original!A582</f>
        <v>ORD-2025-155182</v>
      </c>
      <c r="B592">
        <f>Original!R582</f>
        <v>389.93</v>
      </c>
      <c r="C592">
        <f>Original!S582</f>
        <v>486.13</v>
      </c>
      <c r="D592" s="6">
        <f>Original!T582</f>
        <v>0.13200000000000001</v>
      </c>
      <c r="E592" s="6">
        <f>Original!V582</f>
        <v>17</v>
      </c>
      <c r="F592" s="6">
        <f t="shared" si="48"/>
        <v>0.05</v>
      </c>
      <c r="G592">
        <f t="shared" si="49"/>
        <v>428.92300000000006</v>
      </c>
      <c r="H592">
        <f t="shared" si="50"/>
        <v>17</v>
      </c>
      <c r="I592">
        <f t="shared" si="51"/>
        <v>7850.999499999999</v>
      </c>
      <c r="J592">
        <f t="shared" si="52"/>
        <v>559.30849999999828</v>
      </c>
      <c r="K592">
        <f t="shared" si="53"/>
        <v>7291.6910000000007</v>
      </c>
    </row>
    <row r="593" spans="1:11" x14ac:dyDescent="0.25">
      <c r="A593" t="str">
        <f>Original!A583</f>
        <v>ORD-2023-244375</v>
      </c>
      <c r="B593">
        <f>Original!R583</f>
        <v>860.4</v>
      </c>
      <c r="C593">
        <f>Original!S583</f>
        <v>2066.6</v>
      </c>
      <c r="D593" s="6">
        <f>Original!T583</f>
        <v>0.01</v>
      </c>
      <c r="E593" s="6">
        <f>Original!V583</f>
        <v>3</v>
      </c>
      <c r="F593" s="6">
        <f t="shared" si="48"/>
        <v>0.01</v>
      </c>
      <c r="G593">
        <f t="shared" si="49"/>
        <v>946.44</v>
      </c>
      <c r="H593">
        <f t="shared" si="50"/>
        <v>3</v>
      </c>
      <c r="I593">
        <f t="shared" si="51"/>
        <v>6137.8019999999988</v>
      </c>
      <c r="J593">
        <f t="shared" si="52"/>
        <v>3298.4819999999986</v>
      </c>
      <c r="K593">
        <f t="shared" si="53"/>
        <v>2839.32</v>
      </c>
    </row>
    <row r="594" spans="1:11" x14ac:dyDescent="0.25">
      <c r="A594" t="str">
        <f>Original!A584</f>
        <v>ORD-2023-856322</v>
      </c>
      <c r="B594">
        <f>Original!R584</f>
        <v>41.84</v>
      </c>
      <c r="C594">
        <f>Original!S584</f>
        <v>86.2</v>
      </c>
      <c r="D594" s="6">
        <f>Original!T584</f>
        <v>0.22600000000000001</v>
      </c>
      <c r="E594" s="6">
        <f>Original!V584</f>
        <v>27</v>
      </c>
      <c r="F594" s="6">
        <f t="shared" si="48"/>
        <v>0.05</v>
      </c>
      <c r="G594">
        <f t="shared" si="49"/>
        <v>46.024000000000008</v>
      </c>
      <c r="H594">
        <f t="shared" si="50"/>
        <v>27</v>
      </c>
      <c r="I594">
        <f t="shared" si="51"/>
        <v>2211.0300000000002</v>
      </c>
      <c r="J594">
        <f t="shared" si="52"/>
        <v>968.38200000000006</v>
      </c>
      <c r="K594">
        <f t="shared" si="53"/>
        <v>1242.6480000000001</v>
      </c>
    </row>
    <row r="595" spans="1:11" x14ac:dyDescent="0.25">
      <c r="A595" t="str">
        <f>Original!A585</f>
        <v>ORD-2024-594527</v>
      </c>
      <c r="B595">
        <f>Original!R585</f>
        <v>1368.17</v>
      </c>
      <c r="C595">
        <f>Original!S585</f>
        <v>2307.75</v>
      </c>
      <c r="D595" s="6">
        <f>Original!T585</f>
        <v>0.16300000000000001</v>
      </c>
      <c r="E595" s="6">
        <f>Original!V585</f>
        <v>21</v>
      </c>
      <c r="F595" s="6">
        <f t="shared" si="48"/>
        <v>0.05</v>
      </c>
      <c r="G595">
        <f t="shared" si="49"/>
        <v>1504.9870000000003</v>
      </c>
      <c r="H595">
        <f t="shared" si="50"/>
        <v>21</v>
      </c>
      <c r="I595">
        <f t="shared" si="51"/>
        <v>46039.612499999996</v>
      </c>
      <c r="J595">
        <f t="shared" si="52"/>
        <v>14434.885499999989</v>
      </c>
      <c r="K595">
        <f t="shared" si="53"/>
        <v>31604.727000000006</v>
      </c>
    </row>
    <row r="596" spans="1:11" x14ac:dyDescent="0.25">
      <c r="A596" t="str">
        <f>Original!A586</f>
        <v>ORD-2024-689872</v>
      </c>
      <c r="B596">
        <f>Original!R586</f>
        <v>643.21</v>
      </c>
      <c r="C596">
        <f>Original!S586</f>
        <v>1112.81</v>
      </c>
      <c r="D596" s="6">
        <f>Original!T586</f>
        <v>0.14099999999999999</v>
      </c>
      <c r="E596" s="6">
        <f>Original!V586</f>
        <v>4</v>
      </c>
      <c r="F596" s="6">
        <f t="shared" si="48"/>
        <v>0.05</v>
      </c>
      <c r="G596">
        <f t="shared" si="49"/>
        <v>707.53100000000006</v>
      </c>
      <c r="H596">
        <f t="shared" si="50"/>
        <v>4</v>
      </c>
      <c r="I596">
        <f t="shared" si="51"/>
        <v>4228.6779999999999</v>
      </c>
      <c r="J596">
        <f t="shared" si="52"/>
        <v>1398.5539999999996</v>
      </c>
      <c r="K596">
        <f t="shared" si="53"/>
        <v>2830.1240000000003</v>
      </c>
    </row>
    <row r="597" spans="1:11" x14ac:dyDescent="0.25">
      <c r="A597" t="str">
        <f>Original!A587</f>
        <v>ORD-2025-246692</v>
      </c>
      <c r="B597">
        <f>Original!R587</f>
        <v>719.41</v>
      </c>
      <c r="C597">
        <f>Original!S587</f>
        <v>1125.99</v>
      </c>
      <c r="D597" s="6">
        <f>Original!T587</f>
        <v>4.1000000000000002E-2</v>
      </c>
      <c r="E597" s="6">
        <f>Original!V587</f>
        <v>21</v>
      </c>
      <c r="F597" s="6">
        <f t="shared" si="48"/>
        <v>4.1000000000000002E-2</v>
      </c>
      <c r="G597">
        <f t="shared" si="49"/>
        <v>791.351</v>
      </c>
      <c r="H597">
        <f t="shared" si="50"/>
        <v>21</v>
      </c>
      <c r="I597">
        <f t="shared" si="51"/>
        <v>22676.312610000001</v>
      </c>
      <c r="J597">
        <f t="shared" si="52"/>
        <v>6057.9416100000017</v>
      </c>
      <c r="K597">
        <f t="shared" si="53"/>
        <v>16618.370999999999</v>
      </c>
    </row>
    <row r="598" spans="1:11" x14ac:dyDescent="0.25">
      <c r="A598" t="str">
        <f>Original!A588</f>
        <v>ORD-2023-378676</v>
      </c>
      <c r="B598">
        <f>Original!R588</f>
        <v>64.5</v>
      </c>
      <c r="C598">
        <f>Original!S588</f>
        <v>123.62</v>
      </c>
      <c r="D598" s="6">
        <f>Original!T588</f>
        <v>0</v>
      </c>
      <c r="E598" s="6">
        <f>Original!V588</f>
        <v>3</v>
      </c>
      <c r="F598" s="6">
        <f t="shared" si="48"/>
        <v>0</v>
      </c>
      <c r="G598">
        <f t="shared" si="49"/>
        <v>70.95</v>
      </c>
      <c r="H598">
        <f t="shared" si="50"/>
        <v>3</v>
      </c>
      <c r="I598">
        <f t="shared" si="51"/>
        <v>370.86</v>
      </c>
      <c r="J598">
        <f t="shared" si="52"/>
        <v>158.01</v>
      </c>
      <c r="K598">
        <f t="shared" si="53"/>
        <v>212.85000000000002</v>
      </c>
    </row>
    <row r="599" spans="1:11" x14ac:dyDescent="0.25">
      <c r="A599" t="str">
        <f>Original!A589</f>
        <v>ORD-2024-243988</v>
      </c>
      <c r="B599">
        <f>Original!R589</f>
        <v>1232.78</v>
      </c>
      <c r="C599">
        <f>Original!S589</f>
        <v>1731.75</v>
      </c>
      <c r="D599" s="6">
        <f>Original!T589</f>
        <v>9.2999999999999999E-2</v>
      </c>
      <c r="E599" s="6">
        <f>Original!V589</f>
        <v>16</v>
      </c>
      <c r="F599" s="6">
        <f t="shared" si="48"/>
        <v>0.05</v>
      </c>
      <c r="G599">
        <f t="shared" si="49"/>
        <v>1356.058</v>
      </c>
      <c r="H599">
        <f t="shared" si="50"/>
        <v>16</v>
      </c>
      <c r="I599">
        <f t="shared" si="51"/>
        <v>26322.6</v>
      </c>
      <c r="J599">
        <f t="shared" si="52"/>
        <v>4625.6719999999987</v>
      </c>
      <c r="K599">
        <f t="shared" si="53"/>
        <v>21696.928</v>
      </c>
    </row>
    <row r="600" spans="1:11" x14ac:dyDescent="0.25">
      <c r="A600" t="str">
        <f>Original!A590</f>
        <v>ORD-2024-572312</v>
      </c>
      <c r="B600">
        <f>Original!R590</f>
        <v>1367.13</v>
      </c>
      <c r="C600">
        <f>Original!S590</f>
        <v>3062.01</v>
      </c>
      <c r="D600" s="6">
        <f>Original!T590</f>
        <v>0.10299999999999999</v>
      </c>
      <c r="E600" s="6">
        <f>Original!V590</f>
        <v>25</v>
      </c>
      <c r="F600" s="6">
        <f t="shared" si="48"/>
        <v>0.05</v>
      </c>
      <c r="G600">
        <f t="shared" si="49"/>
        <v>1503.8430000000003</v>
      </c>
      <c r="H600">
        <f t="shared" si="50"/>
        <v>25</v>
      </c>
      <c r="I600">
        <f t="shared" si="51"/>
        <v>72722.737500000003</v>
      </c>
      <c r="J600">
        <f t="shared" si="52"/>
        <v>35126.662499999999</v>
      </c>
      <c r="K600">
        <f t="shared" si="53"/>
        <v>37596.075000000004</v>
      </c>
    </row>
    <row r="601" spans="1:11" x14ac:dyDescent="0.25">
      <c r="A601" t="str">
        <f>Original!A591</f>
        <v>ORD-2025-281062</v>
      </c>
      <c r="B601">
        <f>Original!R591</f>
        <v>1027.26</v>
      </c>
      <c r="C601">
        <f>Original!S591</f>
        <v>2200.41</v>
      </c>
      <c r="D601" s="6">
        <f>Original!T591</f>
        <v>8.7999999999999995E-2</v>
      </c>
      <c r="E601" s="6">
        <f>Original!V591</f>
        <v>6</v>
      </c>
      <c r="F601" s="6">
        <f t="shared" si="48"/>
        <v>0.05</v>
      </c>
      <c r="G601">
        <f t="shared" si="49"/>
        <v>1129.9860000000001</v>
      </c>
      <c r="H601">
        <f t="shared" si="50"/>
        <v>6</v>
      </c>
      <c r="I601">
        <f t="shared" si="51"/>
        <v>12542.336999999998</v>
      </c>
      <c r="J601">
        <f t="shared" si="52"/>
        <v>5762.4209999999966</v>
      </c>
      <c r="K601">
        <f t="shared" si="53"/>
        <v>6779.9160000000011</v>
      </c>
    </row>
    <row r="602" spans="1:11" x14ac:dyDescent="0.25">
      <c r="A602" t="str">
        <f>Original!A592</f>
        <v>ORD-2023-727290</v>
      </c>
      <c r="B602">
        <f>Original!R592</f>
        <v>790.54</v>
      </c>
      <c r="C602">
        <f>Original!S592</f>
        <v>601.49</v>
      </c>
      <c r="D602" s="6">
        <f>Original!T592</f>
        <v>0</v>
      </c>
      <c r="E602" s="6">
        <f>Original!V592</f>
        <v>15</v>
      </c>
      <c r="F602" s="6">
        <f t="shared" si="48"/>
        <v>0</v>
      </c>
      <c r="G602">
        <f t="shared" si="49"/>
        <v>869.59400000000005</v>
      </c>
      <c r="H602">
        <f t="shared" si="50"/>
        <v>15</v>
      </c>
      <c r="I602">
        <f t="shared" si="51"/>
        <v>9022.35</v>
      </c>
      <c r="J602">
        <f t="shared" si="52"/>
        <v>-4021.5599999999995</v>
      </c>
      <c r="K602">
        <f t="shared" si="53"/>
        <v>13043.91</v>
      </c>
    </row>
    <row r="603" spans="1:11" x14ac:dyDescent="0.25">
      <c r="A603" t="str">
        <f>Original!A593</f>
        <v>ORD-2025-993993</v>
      </c>
      <c r="B603">
        <f>Original!R593</f>
        <v>663.9</v>
      </c>
      <c r="C603">
        <f>Original!S593</f>
        <v>947.77</v>
      </c>
      <c r="D603" s="6">
        <f>Original!T593</f>
        <v>0.17399999999999999</v>
      </c>
      <c r="E603" s="6">
        <f>Original!V593</f>
        <v>15</v>
      </c>
      <c r="F603" s="6">
        <f t="shared" si="48"/>
        <v>0.05</v>
      </c>
      <c r="G603">
        <f t="shared" si="49"/>
        <v>730.29000000000008</v>
      </c>
      <c r="H603">
        <f t="shared" si="50"/>
        <v>15</v>
      </c>
      <c r="I603">
        <f t="shared" si="51"/>
        <v>13505.722499999998</v>
      </c>
      <c r="J603">
        <f t="shared" si="52"/>
        <v>2551.3724999999977</v>
      </c>
      <c r="K603">
        <f t="shared" si="53"/>
        <v>10954.35</v>
      </c>
    </row>
    <row r="604" spans="1:11" x14ac:dyDescent="0.25">
      <c r="A604" t="str">
        <f>Original!A594</f>
        <v>ORD-2023-619493</v>
      </c>
      <c r="B604">
        <f>Original!R594</f>
        <v>1015.91</v>
      </c>
      <c r="C604">
        <f>Original!S594</f>
        <v>2331.48</v>
      </c>
      <c r="D604" s="6">
        <f>Original!T594</f>
        <v>0.14599999999999999</v>
      </c>
      <c r="E604" s="6">
        <f>Original!V594</f>
        <v>26</v>
      </c>
      <c r="F604" s="6">
        <f t="shared" si="48"/>
        <v>0.05</v>
      </c>
      <c r="G604">
        <f t="shared" si="49"/>
        <v>1117.501</v>
      </c>
      <c r="H604">
        <f t="shared" si="50"/>
        <v>26</v>
      </c>
      <c r="I604">
        <f t="shared" si="51"/>
        <v>57587.555999999997</v>
      </c>
      <c r="J604">
        <f t="shared" si="52"/>
        <v>28532.53</v>
      </c>
      <c r="K604">
        <f t="shared" si="53"/>
        <v>29055.025999999998</v>
      </c>
    </row>
    <row r="605" spans="1:11" x14ac:dyDescent="0.25">
      <c r="A605" t="str">
        <f>Original!A595</f>
        <v>ORD-2024-947056</v>
      </c>
      <c r="B605">
        <f>Original!R595</f>
        <v>1252.52</v>
      </c>
      <c r="C605">
        <f>Original!S595</f>
        <v>1417.24</v>
      </c>
      <c r="D605" s="6">
        <f>Original!T595</f>
        <v>0.192</v>
      </c>
      <c r="E605" s="6">
        <f>Original!V595</f>
        <v>5</v>
      </c>
      <c r="F605" s="6">
        <f t="shared" si="48"/>
        <v>0.05</v>
      </c>
      <c r="G605">
        <f t="shared" si="49"/>
        <v>1377.7720000000002</v>
      </c>
      <c r="H605">
        <f t="shared" si="50"/>
        <v>5</v>
      </c>
      <c r="I605">
        <f t="shared" si="51"/>
        <v>6731.8899999999994</v>
      </c>
      <c r="J605">
        <f t="shared" si="52"/>
        <v>-156.97000000000116</v>
      </c>
      <c r="K605">
        <f t="shared" si="53"/>
        <v>6888.8600000000006</v>
      </c>
    </row>
    <row r="606" spans="1:11" x14ac:dyDescent="0.25">
      <c r="A606" t="str">
        <f>Original!A596</f>
        <v>ORD-2025-856556</v>
      </c>
      <c r="B606">
        <f>Original!R596</f>
        <v>318.83</v>
      </c>
      <c r="C606">
        <f>Original!S596</f>
        <v>699.5</v>
      </c>
      <c r="D606" s="6">
        <f>Original!T596</f>
        <v>0.08</v>
      </c>
      <c r="E606" s="6">
        <f>Original!V596</f>
        <v>13</v>
      </c>
      <c r="F606" s="6">
        <f t="shared" si="48"/>
        <v>0.05</v>
      </c>
      <c r="G606">
        <f t="shared" si="49"/>
        <v>350.71300000000002</v>
      </c>
      <c r="H606">
        <f t="shared" si="50"/>
        <v>13</v>
      </c>
      <c r="I606">
        <f t="shared" si="51"/>
        <v>8638.8249999999989</v>
      </c>
      <c r="J606">
        <f t="shared" si="52"/>
        <v>4079.5559999999987</v>
      </c>
      <c r="K606">
        <f t="shared" si="53"/>
        <v>4559.2690000000002</v>
      </c>
    </row>
    <row r="607" spans="1:11" x14ac:dyDescent="0.25">
      <c r="A607" t="str">
        <f>Original!A597</f>
        <v>ORD-2024-442776</v>
      </c>
      <c r="B607">
        <f>Original!R597</f>
        <v>753.43</v>
      </c>
      <c r="C607">
        <f>Original!S597</f>
        <v>1787.2</v>
      </c>
      <c r="D607" s="6">
        <f>Original!T597</f>
        <v>7.2999999999999995E-2</v>
      </c>
      <c r="E607" s="6">
        <f>Original!V597</f>
        <v>9</v>
      </c>
      <c r="F607" s="6">
        <f t="shared" si="48"/>
        <v>0.05</v>
      </c>
      <c r="G607">
        <f t="shared" si="49"/>
        <v>828.77300000000002</v>
      </c>
      <c r="H607">
        <f t="shared" si="50"/>
        <v>9</v>
      </c>
      <c r="I607">
        <f t="shared" si="51"/>
        <v>15280.56</v>
      </c>
      <c r="J607">
        <f t="shared" si="52"/>
        <v>7821.6029999999992</v>
      </c>
      <c r="K607">
        <f t="shared" si="53"/>
        <v>7458.9570000000003</v>
      </c>
    </row>
    <row r="608" spans="1:11" x14ac:dyDescent="0.25">
      <c r="A608" t="str">
        <f>Original!A598</f>
        <v>ORD-2025-705398</v>
      </c>
      <c r="B608">
        <f>Original!R598</f>
        <v>1133.47</v>
      </c>
      <c r="C608">
        <f>Original!S598</f>
        <v>1698.75</v>
      </c>
      <c r="D608" s="6">
        <f>Original!T598</f>
        <v>4.2999999999999997E-2</v>
      </c>
      <c r="E608" s="6">
        <f>Original!V598</f>
        <v>5</v>
      </c>
      <c r="F608" s="6">
        <f t="shared" ref="F608:F662" si="54">MIN(D608,$B$2)</f>
        <v>4.2999999999999997E-2</v>
      </c>
      <c r="G608">
        <f t="shared" ref="G608:G662" si="55">B608*(1+$B$3)</f>
        <v>1246.8170000000002</v>
      </c>
      <c r="H608">
        <f t="shared" ref="H608:H662" si="56">E608*(1+$B$4)</f>
        <v>5</v>
      </c>
      <c r="I608">
        <f t="shared" ref="I608:I662" si="57">C608*H608*(1-F608)</f>
        <v>8128.5187499999993</v>
      </c>
      <c r="J608">
        <f t="shared" ref="J608:J662" si="58">I608-K608</f>
        <v>1894.4337499999983</v>
      </c>
      <c r="K608">
        <f t="shared" ref="K608:K662" si="59">G608*H608</f>
        <v>6234.0850000000009</v>
      </c>
    </row>
    <row r="609" spans="1:11" x14ac:dyDescent="0.25">
      <c r="A609" t="str">
        <f>Original!A599</f>
        <v>ORD-2023-689428</v>
      </c>
      <c r="B609">
        <f>Original!R599</f>
        <v>299.02</v>
      </c>
      <c r="C609">
        <f>Original!S599</f>
        <v>724.7</v>
      </c>
      <c r="D609" s="6">
        <f>Original!T599</f>
        <v>0.14000000000000001</v>
      </c>
      <c r="E609" s="6">
        <f>Original!V599</f>
        <v>5</v>
      </c>
      <c r="F609" s="6">
        <f t="shared" si="54"/>
        <v>0.05</v>
      </c>
      <c r="G609">
        <f t="shared" si="55"/>
        <v>328.92200000000003</v>
      </c>
      <c r="H609">
        <f t="shared" si="56"/>
        <v>5</v>
      </c>
      <c r="I609">
        <f t="shared" si="57"/>
        <v>3442.3249999999998</v>
      </c>
      <c r="J609">
        <f t="shared" si="58"/>
        <v>1797.7149999999997</v>
      </c>
      <c r="K609">
        <f t="shared" si="59"/>
        <v>1644.6100000000001</v>
      </c>
    </row>
    <row r="610" spans="1:11" x14ac:dyDescent="0.25">
      <c r="A610" t="str">
        <f>Original!A600</f>
        <v>ORD-2025-683247</v>
      </c>
      <c r="B610">
        <f>Original!R600</f>
        <v>783.72</v>
      </c>
      <c r="C610">
        <f>Original!S600</f>
        <v>1355.94</v>
      </c>
      <c r="D610" s="6">
        <f>Original!T600</f>
        <v>0.187</v>
      </c>
      <c r="E610" s="6">
        <f>Original!V600</f>
        <v>4</v>
      </c>
      <c r="F610" s="6">
        <f t="shared" si="54"/>
        <v>0.05</v>
      </c>
      <c r="G610">
        <f t="shared" si="55"/>
        <v>862.0920000000001</v>
      </c>
      <c r="H610">
        <f t="shared" si="56"/>
        <v>4</v>
      </c>
      <c r="I610">
        <f t="shared" si="57"/>
        <v>5152.5720000000001</v>
      </c>
      <c r="J610">
        <f t="shared" si="58"/>
        <v>1704.2039999999997</v>
      </c>
      <c r="K610">
        <f t="shared" si="59"/>
        <v>3448.3680000000004</v>
      </c>
    </row>
    <row r="611" spans="1:11" x14ac:dyDescent="0.25">
      <c r="A611" t="str">
        <f>Original!A601</f>
        <v>ORD-2024-585443</v>
      </c>
      <c r="B611">
        <f>Original!R601</f>
        <v>165.3</v>
      </c>
      <c r="C611">
        <f>Original!S601</f>
        <v>275.07</v>
      </c>
      <c r="D611" s="6">
        <f>Original!T601</f>
        <v>0.13300000000000001</v>
      </c>
      <c r="E611" s="6">
        <f>Original!V601</f>
        <v>25</v>
      </c>
      <c r="F611" s="6">
        <f t="shared" si="54"/>
        <v>0.05</v>
      </c>
      <c r="G611">
        <f t="shared" si="55"/>
        <v>181.83000000000004</v>
      </c>
      <c r="H611">
        <f t="shared" si="56"/>
        <v>25</v>
      </c>
      <c r="I611">
        <f t="shared" si="57"/>
        <v>6532.9124999999995</v>
      </c>
      <c r="J611">
        <f t="shared" si="58"/>
        <v>1987.1624999999985</v>
      </c>
      <c r="K611">
        <f t="shared" si="59"/>
        <v>4545.7500000000009</v>
      </c>
    </row>
    <row r="612" spans="1:11" x14ac:dyDescent="0.25">
      <c r="A612" t="str">
        <f>Original!A602</f>
        <v>ORD-2024-907733</v>
      </c>
      <c r="B612">
        <f>Original!R602</f>
        <v>985.45</v>
      </c>
      <c r="C612">
        <f>Original!S602</f>
        <v>1802.44</v>
      </c>
      <c r="D612" s="6">
        <f>Original!T602</f>
        <v>8.9999999999999993E-3</v>
      </c>
      <c r="E612" s="6">
        <f>Original!V602</f>
        <v>19</v>
      </c>
      <c r="F612" s="6">
        <f t="shared" si="54"/>
        <v>8.9999999999999993E-3</v>
      </c>
      <c r="G612">
        <f t="shared" si="55"/>
        <v>1083.9950000000001</v>
      </c>
      <c r="H612">
        <f t="shared" si="56"/>
        <v>19</v>
      </c>
      <c r="I612">
        <f t="shared" si="57"/>
        <v>33938.142760000002</v>
      </c>
      <c r="J612">
        <f t="shared" si="58"/>
        <v>13342.23776</v>
      </c>
      <c r="K612">
        <f t="shared" si="59"/>
        <v>20595.905000000002</v>
      </c>
    </row>
    <row r="613" spans="1:11" x14ac:dyDescent="0.25">
      <c r="A613" t="str">
        <f>Original!A603</f>
        <v>ORD-2024-550400</v>
      </c>
      <c r="B613">
        <f>Original!R603</f>
        <v>1337.01</v>
      </c>
      <c r="C613">
        <f>Original!S603</f>
        <v>1269.78</v>
      </c>
      <c r="D613" s="6">
        <f>Original!T603</f>
        <v>0.16</v>
      </c>
      <c r="E613" s="6">
        <f>Original!V603</f>
        <v>7</v>
      </c>
      <c r="F613" s="6">
        <f t="shared" si="54"/>
        <v>0.05</v>
      </c>
      <c r="G613">
        <f t="shared" si="55"/>
        <v>1470.711</v>
      </c>
      <c r="H613">
        <f t="shared" si="56"/>
        <v>7</v>
      </c>
      <c r="I613">
        <f t="shared" si="57"/>
        <v>8444.0369999999984</v>
      </c>
      <c r="J613">
        <f t="shared" si="58"/>
        <v>-1850.9400000000023</v>
      </c>
      <c r="K613">
        <f t="shared" si="59"/>
        <v>10294.977000000001</v>
      </c>
    </row>
    <row r="614" spans="1:11" x14ac:dyDescent="0.25">
      <c r="A614" t="str">
        <f>Original!A604</f>
        <v>ORD-2025-189846</v>
      </c>
      <c r="B614">
        <f>Original!R604</f>
        <v>416.16</v>
      </c>
      <c r="C614">
        <f>Original!S604</f>
        <v>571.9</v>
      </c>
      <c r="D614" s="6">
        <f>Original!T604</f>
        <v>7.0999999999999994E-2</v>
      </c>
      <c r="E614" s="6">
        <f>Original!V604</f>
        <v>2</v>
      </c>
      <c r="F614" s="6">
        <f t="shared" si="54"/>
        <v>0.05</v>
      </c>
      <c r="G614">
        <f t="shared" si="55"/>
        <v>457.77600000000007</v>
      </c>
      <c r="H614">
        <f t="shared" si="56"/>
        <v>2</v>
      </c>
      <c r="I614">
        <f t="shared" si="57"/>
        <v>1086.6099999999999</v>
      </c>
      <c r="J614">
        <f t="shared" si="58"/>
        <v>171.05799999999977</v>
      </c>
      <c r="K614">
        <f t="shared" si="59"/>
        <v>915.55200000000013</v>
      </c>
    </row>
    <row r="615" spans="1:11" x14ac:dyDescent="0.25">
      <c r="A615" t="str">
        <f>Original!A605</f>
        <v>ORD-2025-752192</v>
      </c>
      <c r="B615">
        <f>Original!R605</f>
        <v>1144.3800000000001</v>
      </c>
      <c r="C615">
        <f>Original!S605</f>
        <v>2755.04</v>
      </c>
      <c r="D615" s="6">
        <f>Original!T605</f>
        <v>0.15</v>
      </c>
      <c r="E615" s="6">
        <f>Original!V605</f>
        <v>17</v>
      </c>
      <c r="F615" s="6">
        <f t="shared" si="54"/>
        <v>0.05</v>
      </c>
      <c r="G615">
        <f t="shared" si="55"/>
        <v>1258.8180000000002</v>
      </c>
      <c r="H615">
        <f t="shared" si="56"/>
        <v>17</v>
      </c>
      <c r="I615">
        <f t="shared" si="57"/>
        <v>44493.896000000001</v>
      </c>
      <c r="J615">
        <f t="shared" si="58"/>
        <v>23093.989999999998</v>
      </c>
      <c r="K615">
        <f t="shared" si="59"/>
        <v>21399.906000000003</v>
      </c>
    </row>
    <row r="616" spans="1:11" x14ac:dyDescent="0.25">
      <c r="A616" t="str">
        <f>Original!A606</f>
        <v>ORD-2023-294716</v>
      </c>
      <c r="B616">
        <f>Original!R606</f>
        <v>405.66</v>
      </c>
      <c r="C616">
        <f>Original!S606</f>
        <v>962.51</v>
      </c>
      <c r="D616" s="6">
        <f>Original!T606</f>
        <v>0.19</v>
      </c>
      <c r="E616" s="6">
        <f>Original!V606</f>
        <v>7</v>
      </c>
      <c r="F616" s="6">
        <f t="shared" si="54"/>
        <v>0.05</v>
      </c>
      <c r="G616">
        <f t="shared" si="55"/>
        <v>446.22600000000006</v>
      </c>
      <c r="H616">
        <f t="shared" si="56"/>
        <v>7</v>
      </c>
      <c r="I616">
        <f t="shared" si="57"/>
        <v>6400.691499999999</v>
      </c>
      <c r="J616">
        <f t="shared" si="58"/>
        <v>3277.1094999999987</v>
      </c>
      <c r="K616">
        <f t="shared" si="59"/>
        <v>3123.5820000000003</v>
      </c>
    </row>
    <row r="617" spans="1:11" x14ac:dyDescent="0.25">
      <c r="A617" t="str">
        <f>Original!A607</f>
        <v>ORD-2023-552115</v>
      </c>
      <c r="B617">
        <f>Original!R607</f>
        <v>689.33</v>
      </c>
      <c r="C617">
        <f>Original!S607</f>
        <v>668.27</v>
      </c>
      <c r="D617" s="6">
        <f>Original!T607</f>
        <v>0.186</v>
      </c>
      <c r="E617" s="6">
        <f>Original!V607</f>
        <v>13</v>
      </c>
      <c r="F617" s="6">
        <f t="shared" si="54"/>
        <v>0.05</v>
      </c>
      <c r="G617">
        <f t="shared" si="55"/>
        <v>758.26300000000015</v>
      </c>
      <c r="H617">
        <f t="shared" si="56"/>
        <v>13</v>
      </c>
      <c r="I617">
        <f t="shared" si="57"/>
        <v>8253.1345000000001</v>
      </c>
      <c r="J617">
        <f t="shared" si="58"/>
        <v>-1604.2845000000016</v>
      </c>
      <c r="K617">
        <f t="shared" si="59"/>
        <v>9857.4190000000017</v>
      </c>
    </row>
    <row r="618" spans="1:11" x14ac:dyDescent="0.25">
      <c r="A618" t="str">
        <f>Original!A608</f>
        <v>ORD-2023-107265</v>
      </c>
      <c r="B618">
        <f>Original!R608</f>
        <v>1209.22</v>
      </c>
      <c r="C618">
        <f>Original!S608</f>
        <v>1404.33</v>
      </c>
      <c r="D618" s="6">
        <f>Original!T608</f>
        <v>0.10299999999999999</v>
      </c>
      <c r="E618" s="6">
        <f>Original!V608</f>
        <v>11</v>
      </c>
      <c r="F618" s="6">
        <f t="shared" si="54"/>
        <v>0.05</v>
      </c>
      <c r="G618">
        <f t="shared" si="55"/>
        <v>1330.1420000000001</v>
      </c>
      <c r="H618">
        <f t="shared" si="56"/>
        <v>11</v>
      </c>
      <c r="I618">
        <f t="shared" si="57"/>
        <v>14675.248499999998</v>
      </c>
      <c r="J618">
        <f t="shared" si="58"/>
        <v>43.686499999997977</v>
      </c>
      <c r="K618">
        <f t="shared" si="59"/>
        <v>14631.562</v>
      </c>
    </row>
    <row r="619" spans="1:11" x14ac:dyDescent="0.25">
      <c r="A619" t="str">
        <f>Original!A609</f>
        <v>ORD-2025-262434</v>
      </c>
      <c r="B619">
        <f>Original!R609</f>
        <v>1466.27</v>
      </c>
      <c r="C619">
        <f>Original!S609</f>
        <v>3589.89</v>
      </c>
      <c r="D619" s="6">
        <f>Original!T609</f>
        <v>9.7000000000000003E-2</v>
      </c>
      <c r="E619" s="6">
        <f>Original!V609</f>
        <v>9</v>
      </c>
      <c r="F619" s="6">
        <f t="shared" si="54"/>
        <v>0.05</v>
      </c>
      <c r="G619">
        <f t="shared" si="55"/>
        <v>1612.8970000000002</v>
      </c>
      <c r="H619">
        <f t="shared" si="56"/>
        <v>9</v>
      </c>
      <c r="I619">
        <f t="shared" si="57"/>
        <v>30693.559499999996</v>
      </c>
      <c r="J619">
        <f t="shared" si="58"/>
        <v>16177.486499999994</v>
      </c>
      <c r="K619">
        <f t="shared" si="59"/>
        <v>14516.073000000002</v>
      </c>
    </row>
    <row r="620" spans="1:11" x14ac:dyDescent="0.25">
      <c r="A620" t="str">
        <f>Original!A610</f>
        <v>ORD-2024-266562</v>
      </c>
      <c r="B620">
        <f>Original!R610</f>
        <v>143.33000000000001</v>
      </c>
      <c r="C620">
        <f>Original!S610</f>
        <v>233.51</v>
      </c>
      <c r="D620" s="6">
        <f>Original!T610</f>
        <v>0.16300000000000001</v>
      </c>
      <c r="E620" s="6">
        <f>Original!V610</f>
        <v>14</v>
      </c>
      <c r="F620" s="6">
        <f t="shared" si="54"/>
        <v>0.05</v>
      </c>
      <c r="G620">
        <f t="shared" si="55"/>
        <v>157.66300000000004</v>
      </c>
      <c r="H620">
        <f t="shared" si="56"/>
        <v>14</v>
      </c>
      <c r="I620">
        <f t="shared" si="57"/>
        <v>3105.6829999999995</v>
      </c>
      <c r="J620">
        <f t="shared" si="58"/>
        <v>898.40099999999893</v>
      </c>
      <c r="K620">
        <f t="shared" si="59"/>
        <v>2207.2820000000006</v>
      </c>
    </row>
    <row r="621" spans="1:11" x14ac:dyDescent="0.25">
      <c r="A621" t="str">
        <f>Original!A611</f>
        <v>ORD-2024-838925</v>
      </c>
      <c r="B621">
        <f>Original!R611</f>
        <v>109.75</v>
      </c>
      <c r="C621">
        <f>Original!S611</f>
        <v>124.25</v>
      </c>
      <c r="D621" s="6">
        <f>Original!T611</f>
        <v>0.12</v>
      </c>
      <c r="E621" s="6">
        <f>Original!V611</f>
        <v>19</v>
      </c>
      <c r="F621" s="6">
        <f t="shared" si="54"/>
        <v>0.05</v>
      </c>
      <c r="G621">
        <f t="shared" si="55"/>
        <v>120.72500000000001</v>
      </c>
      <c r="H621">
        <f t="shared" si="56"/>
        <v>19</v>
      </c>
      <c r="I621">
        <f t="shared" si="57"/>
        <v>2242.7125000000001</v>
      </c>
      <c r="J621">
        <f t="shared" si="58"/>
        <v>-51.0625</v>
      </c>
      <c r="K621">
        <f t="shared" si="59"/>
        <v>2293.7750000000001</v>
      </c>
    </row>
    <row r="622" spans="1:11" x14ac:dyDescent="0.25">
      <c r="A622" t="str">
        <f>Original!A612</f>
        <v>ORD-2023-664790</v>
      </c>
      <c r="B622">
        <f>Original!R612</f>
        <v>1099.1500000000001</v>
      </c>
      <c r="C622">
        <f>Original!S612</f>
        <v>1431.37</v>
      </c>
      <c r="D622" s="6">
        <f>Original!T612</f>
        <v>0.104</v>
      </c>
      <c r="E622" s="6">
        <f>Original!V612</f>
        <v>8</v>
      </c>
      <c r="F622" s="6">
        <f t="shared" si="54"/>
        <v>0.05</v>
      </c>
      <c r="G622">
        <f t="shared" si="55"/>
        <v>1209.0650000000003</v>
      </c>
      <c r="H622">
        <f t="shared" si="56"/>
        <v>8</v>
      </c>
      <c r="I622">
        <f t="shared" si="57"/>
        <v>10878.411999999998</v>
      </c>
      <c r="J622">
        <f t="shared" si="58"/>
        <v>1205.8919999999962</v>
      </c>
      <c r="K622">
        <f t="shared" si="59"/>
        <v>9672.5200000000023</v>
      </c>
    </row>
    <row r="623" spans="1:11" x14ac:dyDescent="0.25">
      <c r="A623" t="str">
        <f>Original!A613</f>
        <v>ORD-2024-331408</v>
      </c>
      <c r="B623">
        <f>Original!R613</f>
        <v>714.43</v>
      </c>
      <c r="C623">
        <f>Original!S613</f>
        <v>1595.52</v>
      </c>
      <c r="D623" s="6">
        <f>Original!T613</f>
        <v>0.19400000000000001</v>
      </c>
      <c r="E623" s="6">
        <f>Original!V613</f>
        <v>14</v>
      </c>
      <c r="F623" s="6">
        <f t="shared" si="54"/>
        <v>0.05</v>
      </c>
      <c r="G623">
        <f t="shared" si="55"/>
        <v>785.87300000000005</v>
      </c>
      <c r="H623">
        <f t="shared" si="56"/>
        <v>14</v>
      </c>
      <c r="I623">
        <f t="shared" si="57"/>
        <v>21220.415999999997</v>
      </c>
      <c r="J623">
        <f t="shared" si="58"/>
        <v>10218.193999999996</v>
      </c>
      <c r="K623">
        <f t="shared" si="59"/>
        <v>11002.222000000002</v>
      </c>
    </row>
    <row r="624" spans="1:11" x14ac:dyDescent="0.25">
      <c r="A624" t="str">
        <f>Original!A614</f>
        <v>ORD-2024-741404</v>
      </c>
      <c r="B624">
        <f>Original!R614</f>
        <v>942.02</v>
      </c>
      <c r="C624">
        <f>Original!S614</f>
        <v>1028.46</v>
      </c>
      <c r="D624" s="6">
        <f>Original!T614</f>
        <v>0</v>
      </c>
      <c r="E624" s="6">
        <f>Original!V614</f>
        <v>9</v>
      </c>
      <c r="F624" s="6">
        <f t="shared" si="54"/>
        <v>0</v>
      </c>
      <c r="G624">
        <f t="shared" si="55"/>
        <v>1036.222</v>
      </c>
      <c r="H624">
        <f t="shared" si="56"/>
        <v>9</v>
      </c>
      <c r="I624">
        <f t="shared" si="57"/>
        <v>9256.14</v>
      </c>
      <c r="J624">
        <f t="shared" si="58"/>
        <v>-69.858000000000175</v>
      </c>
      <c r="K624">
        <f t="shared" si="59"/>
        <v>9325.9979999999996</v>
      </c>
    </row>
    <row r="625" spans="1:11" x14ac:dyDescent="0.25">
      <c r="A625" t="str">
        <f>Original!A615</f>
        <v>ORD-2024-341535</v>
      </c>
      <c r="B625">
        <f>Original!R615</f>
        <v>1323.55</v>
      </c>
      <c r="C625">
        <f>Original!S615</f>
        <v>3230.35</v>
      </c>
      <c r="D625" s="6">
        <f>Original!T615</f>
        <v>2.1999999999999999E-2</v>
      </c>
      <c r="E625" s="6">
        <f>Original!V615</f>
        <v>26</v>
      </c>
      <c r="F625" s="6">
        <f t="shared" si="54"/>
        <v>2.1999999999999999E-2</v>
      </c>
      <c r="G625">
        <f t="shared" si="55"/>
        <v>1455.905</v>
      </c>
      <c r="H625">
        <f t="shared" si="56"/>
        <v>26</v>
      </c>
      <c r="I625">
        <f t="shared" si="57"/>
        <v>82141.339799999987</v>
      </c>
      <c r="J625">
        <f t="shared" si="58"/>
        <v>44287.809799999988</v>
      </c>
      <c r="K625">
        <f t="shared" si="59"/>
        <v>37853.53</v>
      </c>
    </row>
    <row r="626" spans="1:11" x14ac:dyDescent="0.25">
      <c r="A626" t="str">
        <f>Original!A616</f>
        <v>ORD-2023-451931</v>
      </c>
      <c r="B626">
        <f>Original!R616</f>
        <v>1418.51</v>
      </c>
      <c r="C626">
        <f>Original!S616</f>
        <v>2789.61</v>
      </c>
      <c r="D626" s="6">
        <f>Original!T616</f>
        <v>0.17100000000000001</v>
      </c>
      <c r="E626" s="6">
        <f>Original!V616</f>
        <v>8</v>
      </c>
      <c r="F626" s="6">
        <f t="shared" si="54"/>
        <v>0.05</v>
      </c>
      <c r="G626">
        <f t="shared" si="55"/>
        <v>1560.3610000000001</v>
      </c>
      <c r="H626">
        <f t="shared" si="56"/>
        <v>8</v>
      </c>
      <c r="I626">
        <f t="shared" si="57"/>
        <v>21201.036</v>
      </c>
      <c r="J626">
        <f t="shared" si="58"/>
        <v>8718.1479999999992</v>
      </c>
      <c r="K626">
        <f t="shared" si="59"/>
        <v>12482.888000000001</v>
      </c>
    </row>
    <row r="627" spans="1:11" x14ac:dyDescent="0.25">
      <c r="A627" t="str">
        <f>Original!A617</f>
        <v>ORD-2025-532859</v>
      </c>
      <c r="B627">
        <f>Original!R617</f>
        <v>1317.58</v>
      </c>
      <c r="C627">
        <f>Original!S617</f>
        <v>1897.74</v>
      </c>
      <c r="D627" s="6">
        <f>Original!T617</f>
        <v>8.1000000000000003E-2</v>
      </c>
      <c r="E627" s="6">
        <f>Original!V617</f>
        <v>6</v>
      </c>
      <c r="F627" s="6">
        <f t="shared" si="54"/>
        <v>0.05</v>
      </c>
      <c r="G627">
        <f t="shared" si="55"/>
        <v>1449.338</v>
      </c>
      <c r="H627">
        <f t="shared" si="56"/>
        <v>6</v>
      </c>
      <c r="I627">
        <f t="shared" si="57"/>
        <v>10817.118</v>
      </c>
      <c r="J627">
        <f t="shared" si="58"/>
        <v>2121.09</v>
      </c>
      <c r="K627">
        <f t="shared" si="59"/>
        <v>8696.0280000000002</v>
      </c>
    </row>
    <row r="628" spans="1:11" x14ac:dyDescent="0.25">
      <c r="A628" t="str">
        <f>Original!A618</f>
        <v>ORD-2023-502205</v>
      </c>
      <c r="B628">
        <f>Original!R618</f>
        <v>391.16</v>
      </c>
      <c r="C628">
        <f>Original!S618</f>
        <v>902.47</v>
      </c>
      <c r="D628" s="6">
        <f>Original!T618</f>
        <v>4.0000000000000001E-3</v>
      </c>
      <c r="E628" s="6">
        <f>Original!V618</f>
        <v>12</v>
      </c>
      <c r="F628" s="6">
        <f t="shared" si="54"/>
        <v>4.0000000000000001E-3</v>
      </c>
      <c r="G628">
        <f t="shared" si="55"/>
        <v>430.27600000000007</v>
      </c>
      <c r="H628">
        <f t="shared" si="56"/>
        <v>12</v>
      </c>
      <c r="I628">
        <f t="shared" si="57"/>
        <v>10786.32144</v>
      </c>
      <c r="J628">
        <f t="shared" si="58"/>
        <v>5623.0094399999989</v>
      </c>
      <c r="K628">
        <f t="shared" si="59"/>
        <v>5163.3120000000008</v>
      </c>
    </row>
    <row r="629" spans="1:11" x14ac:dyDescent="0.25">
      <c r="A629" t="str">
        <f>Original!A619</f>
        <v>ORD-2024-930679</v>
      </c>
      <c r="B629">
        <f>Original!R619</f>
        <v>722.87</v>
      </c>
      <c r="C629">
        <f>Original!S619</f>
        <v>33.659999999999997</v>
      </c>
      <c r="D629" s="6">
        <f>Original!T619</f>
        <v>0.10199999999999999</v>
      </c>
      <c r="E629" s="6">
        <f>Original!V619</f>
        <v>28</v>
      </c>
      <c r="F629" s="6">
        <f t="shared" si="54"/>
        <v>0.05</v>
      </c>
      <c r="G629">
        <f t="shared" si="55"/>
        <v>795.15700000000004</v>
      </c>
      <c r="H629">
        <f t="shared" si="56"/>
        <v>28</v>
      </c>
      <c r="I629">
        <f t="shared" si="57"/>
        <v>895.35599999999988</v>
      </c>
      <c r="J629">
        <f t="shared" si="58"/>
        <v>-21369.040000000001</v>
      </c>
      <c r="K629">
        <f t="shared" si="59"/>
        <v>22264.396000000001</v>
      </c>
    </row>
    <row r="630" spans="1:11" x14ac:dyDescent="0.25">
      <c r="A630" t="str">
        <f>Original!A620</f>
        <v>ORD-2025-150713</v>
      </c>
      <c r="B630">
        <f>Original!R620</f>
        <v>930.03</v>
      </c>
      <c r="C630">
        <f>Original!S620</f>
        <v>1086.68</v>
      </c>
      <c r="D630" s="6">
        <f>Original!T620</f>
        <v>0.109</v>
      </c>
      <c r="E630" s="6">
        <f>Original!V620</f>
        <v>26</v>
      </c>
      <c r="F630" s="6">
        <f t="shared" si="54"/>
        <v>0.05</v>
      </c>
      <c r="G630">
        <f t="shared" si="55"/>
        <v>1023.033</v>
      </c>
      <c r="H630">
        <f t="shared" si="56"/>
        <v>26</v>
      </c>
      <c r="I630">
        <f t="shared" si="57"/>
        <v>26840.995999999999</v>
      </c>
      <c r="J630">
        <f t="shared" si="58"/>
        <v>242.13799999999901</v>
      </c>
      <c r="K630">
        <f t="shared" si="59"/>
        <v>26598.858</v>
      </c>
    </row>
    <row r="631" spans="1:11" x14ac:dyDescent="0.25">
      <c r="A631" t="str">
        <f>Original!A621</f>
        <v>ORD-2024-756884</v>
      </c>
      <c r="B631">
        <f>Original!R621</f>
        <v>816.7</v>
      </c>
      <c r="C631">
        <f>Original!S621</f>
        <v>1010.75</v>
      </c>
      <c r="D631" s="6">
        <f>Original!T621</f>
        <v>4.7E-2</v>
      </c>
      <c r="E631" s="6">
        <f>Original!V621</f>
        <v>43</v>
      </c>
      <c r="F631" s="6">
        <f t="shared" si="54"/>
        <v>4.7E-2</v>
      </c>
      <c r="G631">
        <f t="shared" si="55"/>
        <v>898.37000000000012</v>
      </c>
      <c r="H631">
        <f t="shared" si="56"/>
        <v>43</v>
      </c>
      <c r="I631">
        <f t="shared" si="57"/>
        <v>41419.524249999995</v>
      </c>
      <c r="J631">
        <f t="shared" si="58"/>
        <v>2789.6142499999914</v>
      </c>
      <c r="K631">
        <f t="shared" si="59"/>
        <v>38629.910000000003</v>
      </c>
    </row>
    <row r="632" spans="1:11" x14ac:dyDescent="0.25">
      <c r="A632" t="str">
        <f>Original!A622</f>
        <v>ORD-2023-755337</v>
      </c>
      <c r="B632">
        <f>Original!R622</f>
        <v>251.03</v>
      </c>
      <c r="C632">
        <f>Original!S622</f>
        <v>411.48</v>
      </c>
      <c r="D632" s="6">
        <f>Original!T622</f>
        <v>0.16500000000000001</v>
      </c>
      <c r="E632" s="6">
        <f>Original!V622</f>
        <v>3</v>
      </c>
      <c r="F632" s="6">
        <f t="shared" si="54"/>
        <v>0.05</v>
      </c>
      <c r="G632">
        <f t="shared" si="55"/>
        <v>276.13300000000004</v>
      </c>
      <c r="H632">
        <f t="shared" si="56"/>
        <v>3</v>
      </c>
      <c r="I632">
        <f t="shared" si="57"/>
        <v>1172.7180000000001</v>
      </c>
      <c r="J632">
        <f t="shared" si="58"/>
        <v>344.31899999999996</v>
      </c>
      <c r="K632">
        <f t="shared" si="59"/>
        <v>828.39900000000011</v>
      </c>
    </row>
    <row r="633" spans="1:11" x14ac:dyDescent="0.25">
      <c r="A633" t="str">
        <f>Original!A623</f>
        <v>ORD-2025-907040</v>
      </c>
      <c r="B633">
        <f>Original!R623</f>
        <v>168.68</v>
      </c>
      <c r="C633">
        <f>Original!S623</f>
        <v>413.34</v>
      </c>
      <c r="D633" s="6">
        <f>Original!T623</f>
        <v>0.186</v>
      </c>
      <c r="E633" s="6">
        <f>Original!V623</f>
        <v>7</v>
      </c>
      <c r="F633" s="6">
        <f t="shared" si="54"/>
        <v>0.05</v>
      </c>
      <c r="G633">
        <f t="shared" si="55"/>
        <v>185.54800000000003</v>
      </c>
      <c r="H633">
        <f t="shared" si="56"/>
        <v>7</v>
      </c>
      <c r="I633">
        <f t="shared" si="57"/>
        <v>2748.7109999999993</v>
      </c>
      <c r="J633">
        <f t="shared" si="58"/>
        <v>1449.8749999999991</v>
      </c>
      <c r="K633">
        <f t="shared" si="59"/>
        <v>1298.8360000000002</v>
      </c>
    </row>
    <row r="634" spans="1:11" x14ac:dyDescent="0.25">
      <c r="A634" t="str">
        <f>Original!A624</f>
        <v>ORD-2024-817997</v>
      </c>
      <c r="B634">
        <f>Original!R624</f>
        <v>1339.24</v>
      </c>
      <c r="C634">
        <f>Original!S624</f>
        <v>1558.89</v>
      </c>
      <c r="D634" s="6">
        <f>Original!T624</f>
        <v>0.192</v>
      </c>
      <c r="E634" s="6">
        <f>Original!V624</f>
        <v>24</v>
      </c>
      <c r="F634" s="6">
        <f t="shared" si="54"/>
        <v>0.05</v>
      </c>
      <c r="G634">
        <f t="shared" si="55"/>
        <v>1473.1640000000002</v>
      </c>
      <c r="H634">
        <f t="shared" si="56"/>
        <v>24</v>
      </c>
      <c r="I634">
        <f t="shared" si="57"/>
        <v>35542.691999999995</v>
      </c>
      <c r="J634">
        <f t="shared" si="58"/>
        <v>186.75599999999395</v>
      </c>
      <c r="K634">
        <f t="shared" si="59"/>
        <v>35355.936000000002</v>
      </c>
    </row>
    <row r="635" spans="1:11" x14ac:dyDescent="0.25">
      <c r="A635" t="str">
        <f>Original!A625</f>
        <v>ORD-2025-649633</v>
      </c>
      <c r="B635">
        <f>Original!R625</f>
        <v>619.64</v>
      </c>
      <c r="C635">
        <f>Original!S625</f>
        <v>861.16</v>
      </c>
      <c r="D635" s="6">
        <f>Original!T625</f>
        <v>0.113</v>
      </c>
      <c r="E635" s="6">
        <f>Original!V625</f>
        <v>14</v>
      </c>
      <c r="F635" s="6">
        <f t="shared" si="54"/>
        <v>0.05</v>
      </c>
      <c r="G635">
        <f t="shared" si="55"/>
        <v>681.60400000000004</v>
      </c>
      <c r="H635">
        <f t="shared" si="56"/>
        <v>14</v>
      </c>
      <c r="I635">
        <f t="shared" si="57"/>
        <v>11453.428</v>
      </c>
      <c r="J635">
        <f t="shared" si="58"/>
        <v>1910.9719999999998</v>
      </c>
      <c r="K635">
        <f t="shared" si="59"/>
        <v>9542.4560000000001</v>
      </c>
    </row>
    <row r="636" spans="1:11" x14ac:dyDescent="0.25">
      <c r="A636" t="str">
        <f>Original!A626</f>
        <v>ORD-2023-885216</v>
      </c>
      <c r="B636">
        <f>Original!R626</f>
        <v>1021.97</v>
      </c>
      <c r="C636">
        <f>Original!S626</f>
        <v>2296.25</v>
      </c>
      <c r="D636" s="6">
        <f>Original!T626</f>
        <v>0.161</v>
      </c>
      <c r="E636" s="6">
        <f>Original!V626</f>
        <v>26</v>
      </c>
      <c r="F636" s="6">
        <f t="shared" si="54"/>
        <v>0.05</v>
      </c>
      <c r="G636">
        <f t="shared" si="55"/>
        <v>1124.1670000000001</v>
      </c>
      <c r="H636">
        <f t="shared" si="56"/>
        <v>26</v>
      </c>
      <c r="I636">
        <f t="shared" si="57"/>
        <v>56717.375</v>
      </c>
      <c r="J636">
        <f t="shared" si="58"/>
        <v>27489.032999999996</v>
      </c>
      <c r="K636">
        <f t="shared" si="59"/>
        <v>29228.342000000004</v>
      </c>
    </row>
    <row r="637" spans="1:11" x14ac:dyDescent="0.25">
      <c r="A637" t="str">
        <f>Original!A627</f>
        <v>ORD-2023-561823</v>
      </c>
      <c r="B637">
        <f>Original!R627</f>
        <v>1349.04</v>
      </c>
      <c r="C637">
        <f>Original!S627</f>
        <v>2636.6</v>
      </c>
      <c r="D637" s="6">
        <f>Original!T627</f>
        <v>0.114</v>
      </c>
      <c r="E637" s="6">
        <f>Original!V627</f>
        <v>14</v>
      </c>
      <c r="F637" s="6">
        <f t="shared" si="54"/>
        <v>0.05</v>
      </c>
      <c r="G637">
        <f t="shared" si="55"/>
        <v>1483.9440000000002</v>
      </c>
      <c r="H637">
        <f t="shared" si="56"/>
        <v>14</v>
      </c>
      <c r="I637">
        <f t="shared" si="57"/>
        <v>35066.78</v>
      </c>
      <c r="J637">
        <f t="shared" si="58"/>
        <v>14291.563999999995</v>
      </c>
      <c r="K637">
        <f t="shared" si="59"/>
        <v>20775.216000000004</v>
      </c>
    </row>
    <row r="638" spans="1:11" x14ac:dyDescent="0.25">
      <c r="A638" t="str">
        <f>Original!A628</f>
        <v>ORD-2023-249805</v>
      </c>
      <c r="B638">
        <f>Original!R628</f>
        <v>1346.81</v>
      </c>
      <c r="C638">
        <f>Original!S628</f>
        <v>978.09</v>
      </c>
      <c r="D638" s="6">
        <f>Original!T628</f>
        <v>0.159</v>
      </c>
      <c r="E638" s="6">
        <f>Original!V628</f>
        <v>17</v>
      </c>
      <c r="F638" s="6">
        <f t="shared" si="54"/>
        <v>0.05</v>
      </c>
      <c r="G638">
        <f t="shared" si="55"/>
        <v>1481.491</v>
      </c>
      <c r="H638">
        <f t="shared" si="56"/>
        <v>17</v>
      </c>
      <c r="I638">
        <f t="shared" si="57"/>
        <v>15796.153499999999</v>
      </c>
      <c r="J638">
        <f t="shared" si="58"/>
        <v>-9389.193500000003</v>
      </c>
      <c r="K638">
        <f t="shared" si="59"/>
        <v>25185.347000000002</v>
      </c>
    </row>
    <row r="639" spans="1:11" x14ac:dyDescent="0.25">
      <c r="A639" t="str">
        <f>Original!A629</f>
        <v>ORD-2023-548934</v>
      </c>
      <c r="B639">
        <f>Original!R629</f>
        <v>226.04</v>
      </c>
      <c r="C639">
        <f>Original!S629</f>
        <v>545.72</v>
      </c>
      <c r="D639" s="6">
        <f>Original!T629</f>
        <v>0.151</v>
      </c>
      <c r="E639" s="6">
        <f>Original!V629</f>
        <v>11</v>
      </c>
      <c r="F639" s="6">
        <f t="shared" si="54"/>
        <v>0.05</v>
      </c>
      <c r="G639">
        <f t="shared" si="55"/>
        <v>248.64400000000001</v>
      </c>
      <c r="H639">
        <f t="shared" si="56"/>
        <v>11</v>
      </c>
      <c r="I639">
        <f t="shared" si="57"/>
        <v>5702.7739999999994</v>
      </c>
      <c r="J639">
        <f t="shared" si="58"/>
        <v>2967.6899999999996</v>
      </c>
      <c r="K639">
        <f t="shared" si="59"/>
        <v>2735.0839999999998</v>
      </c>
    </row>
    <row r="640" spans="1:11" x14ac:dyDescent="0.25">
      <c r="A640" t="str">
        <f>Original!A630</f>
        <v>ORD-2023-921939</v>
      </c>
      <c r="B640">
        <f>Original!R630</f>
        <v>807.02</v>
      </c>
      <c r="C640">
        <f>Original!S630</f>
        <v>1435.54</v>
      </c>
      <c r="D640" s="6">
        <f>Original!T630</f>
        <v>0</v>
      </c>
      <c r="E640" s="6">
        <f>Original!V630</f>
        <v>23</v>
      </c>
      <c r="F640" s="6">
        <f t="shared" si="54"/>
        <v>0</v>
      </c>
      <c r="G640">
        <f t="shared" si="55"/>
        <v>887.72200000000009</v>
      </c>
      <c r="H640">
        <f t="shared" si="56"/>
        <v>23</v>
      </c>
      <c r="I640">
        <f t="shared" si="57"/>
        <v>33017.42</v>
      </c>
      <c r="J640">
        <f t="shared" si="58"/>
        <v>12599.813999999995</v>
      </c>
      <c r="K640">
        <f t="shared" si="59"/>
        <v>20417.606000000003</v>
      </c>
    </row>
    <row r="641" spans="1:11" x14ac:dyDescent="0.25">
      <c r="A641" t="str">
        <f>Original!A631</f>
        <v>ORD-2023-961864</v>
      </c>
      <c r="B641">
        <f>Original!R631</f>
        <v>1071.99</v>
      </c>
      <c r="C641">
        <f>Original!S631</f>
        <v>2397.3000000000002</v>
      </c>
      <c r="D641" s="6">
        <f>Original!T631</f>
        <v>6.2E-2</v>
      </c>
      <c r="E641" s="6">
        <f>Original!V631</f>
        <v>18</v>
      </c>
      <c r="F641" s="6">
        <f t="shared" si="54"/>
        <v>0.05</v>
      </c>
      <c r="G641">
        <f t="shared" si="55"/>
        <v>1179.1890000000001</v>
      </c>
      <c r="H641">
        <f t="shared" si="56"/>
        <v>18</v>
      </c>
      <c r="I641">
        <f t="shared" si="57"/>
        <v>40993.83</v>
      </c>
      <c r="J641">
        <f t="shared" si="58"/>
        <v>19768.428</v>
      </c>
      <c r="K641">
        <f t="shared" si="59"/>
        <v>21225.402000000002</v>
      </c>
    </row>
    <row r="642" spans="1:11" x14ac:dyDescent="0.25">
      <c r="A642" t="str">
        <f>Original!A632</f>
        <v>ORD-2023-455933</v>
      </c>
      <c r="B642">
        <f>Original!R632</f>
        <v>807.11</v>
      </c>
      <c r="C642">
        <f>Original!S632</f>
        <v>1853.86</v>
      </c>
      <c r="D642" s="6">
        <f>Original!T632</f>
        <v>0.13900000000000001</v>
      </c>
      <c r="E642" s="6">
        <f>Original!V632</f>
        <v>8</v>
      </c>
      <c r="F642" s="6">
        <f t="shared" si="54"/>
        <v>0.05</v>
      </c>
      <c r="G642">
        <f t="shared" si="55"/>
        <v>887.82100000000014</v>
      </c>
      <c r="H642">
        <f t="shared" si="56"/>
        <v>8</v>
      </c>
      <c r="I642">
        <f t="shared" si="57"/>
        <v>14089.335999999999</v>
      </c>
      <c r="J642">
        <f t="shared" si="58"/>
        <v>6986.7679999999982</v>
      </c>
      <c r="K642">
        <f t="shared" si="59"/>
        <v>7102.5680000000011</v>
      </c>
    </row>
    <row r="643" spans="1:11" x14ac:dyDescent="0.25">
      <c r="A643" t="str">
        <f>Original!A633</f>
        <v>ORD-2025-728935</v>
      </c>
      <c r="B643">
        <f>Original!R633</f>
        <v>51.86</v>
      </c>
      <c r="C643">
        <f>Original!S633</f>
        <v>45.98</v>
      </c>
      <c r="D643" s="6">
        <f>Original!T633</f>
        <v>0.17299999999999999</v>
      </c>
      <c r="E643" s="6">
        <f>Original!V633</f>
        <v>7</v>
      </c>
      <c r="F643" s="6">
        <f t="shared" si="54"/>
        <v>0.05</v>
      </c>
      <c r="G643">
        <f t="shared" si="55"/>
        <v>57.046000000000006</v>
      </c>
      <c r="H643">
        <f t="shared" si="56"/>
        <v>7</v>
      </c>
      <c r="I643">
        <f t="shared" si="57"/>
        <v>305.76699999999994</v>
      </c>
      <c r="J643">
        <f t="shared" si="58"/>
        <v>-93.555000000000121</v>
      </c>
      <c r="K643">
        <f t="shared" si="59"/>
        <v>399.32200000000006</v>
      </c>
    </row>
    <row r="644" spans="1:11" x14ac:dyDescent="0.25">
      <c r="A644">
        <f>Original!A634</f>
        <v>632</v>
      </c>
      <c r="B644">
        <f>Original!R634</f>
        <v>0</v>
      </c>
      <c r="C644">
        <f>Original!S634</f>
        <v>0</v>
      </c>
      <c r="D644" s="6">
        <f>Original!T634</f>
        <v>0</v>
      </c>
      <c r="E644" s="6">
        <f>Original!V634</f>
        <v>0</v>
      </c>
      <c r="F644" s="6">
        <f t="shared" si="54"/>
        <v>0</v>
      </c>
      <c r="G644">
        <f t="shared" si="55"/>
        <v>0</v>
      </c>
      <c r="H644">
        <f t="shared" si="56"/>
        <v>0</v>
      </c>
      <c r="I644">
        <f t="shared" si="57"/>
        <v>0</v>
      </c>
      <c r="J644">
        <f t="shared" si="58"/>
        <v>0</v>
      </c>
      <c r="K644">
        <f t="shared" si="59"/>
        <v>0</v>
      </c>
    </row>
    <row r="645" spans="1:11" x14ac:dyDescent="0.25">
      <c r="A645">
        <f>Original!A635</f>
        <v>0</v>
      </c>
      <c r="B645">
        <f>Original!R635</f>
        <v>0</v>
      </c>
      <c r="C645">
        <f>Original!S635</f>
        <v>0</v>
      </c>
      <c r="D645" s="6">
        <f>Original!T635</f>
        <v>0</v>
      </c>
      <c r="E645" s="6">
        <f>Original!V635</f>
        <v>0</v>
      </c>
      <c r="F645" s="6">
        <f t="shared" si="54"/>
        <v>0</v>
      </c>
      <c r="G645">
        <f t="shared" si="55"/>
        <v>0</v>
      </c>
      <c r="H645">
        <f t="shared" si="56"/>
        <v>0</v>
      </c>
      <c r="I645">
        <f t="shared" si="57"/>
        <v>0</v>
      </c>
      <c r="J645">
        <f t="shared" si="58"/>
        <v>0</v>
      </c>
      <c r="K645">
        <f t="shared" si="59"/>
        <v>0</v>
      </c>
    </row>
    <row r="646" spans="1:11" x14ac:dyDescent="0.25">
      <c r="A646">
        <f>Original!A636</f>
        <v>0</v>
      </c>
      <c r="B646">
        <f>Original!R636</f>
        <v>0</v>
      </c>
      <c r="C646">
        <f>Original!S636</f>
        <v>0</v>
      </c>
      <c r="D646" s="6">
        <f>Original!T636</f>
        <v>0</v>
      </c>
      <c r="E646" s="6">
        <f>Original!V636</f>
        <v>0</v>
      </c>
      <c r="F646" s="6">
        <f t="shared" si="54"/>
        <v>0</v>
      </c>
      <c r="G646">
        <f t="shared" si="55"/>
        <v>0</v>
      </c>
      <c r="H646">
        <f t="shared" si="56"/>
        <v>0</v>
      </c>
      <c r="I646">
        <f t="shared" si="57"/>
        <v>0</v>
      </c>
      <c r="J646">
        <f t="shared" si="58"/>
        <v>0</v>
      </c>
      <c r="K646">
        <f t="shared" si="59"/>
        <v>0</v>
      </c>
    </row>
    <row r="647" spans="1:11" x14ac:dyDescent="0.25">
      <c r="A647">
        <f>Original!A637</f>
        <v>0</v>
      </c>
      <c r="B647">
        <f>Original!R637</f>
        <v>0</v>
      </c>
      <c r="C647">
        <f>Original!S637</f>
        <v>0</v>
      </c>
      <c r="D647" s="6">
        <f>Original!T637</f>
        <v>0</v>
      </c>
      <c r="E647" s="6">
        <f>Original!V637</f>
        <v>0</v>
      </c>
      <c r="F647" s="6">
        <f t="shared" si="54"/>
        <v>0</v>
      </c>
      <c r="G647">
        <f t="shared" si="55"/>
        <v>0</v>
      </c>
      <c r="H647">
        <f t="shared" si="56"/>
        <v>0</v>
      </c>
      <c r="I647">
        <f t="shared" si="57"/>
        <v>0</v>
      </c>
      <c r="J647">
        <f t="shared" si="58"/>
        <v>0</v>
      </c>
      <c r="K647">
        <f t="shared" si="59"/>
        <v>0</v>
      </c>
    </row>
    <row r="648" spans="1:11" x14ac:dyDescent="0.25">
      <c r="A648">
        <f>Original!A638</f>
        <v>0</v>
      </c>
      <c r="B648">
        <f>Original!R638</f>
        <v>0</v>
      </c>
      <c r="C648">
        <f>Original!S638</f>
        <v>0</v>
      </c>
      <c r="D648" s="6">
        <f>Original!T638</f>
        <v>0</v>
      </c>
      <c r="E648" s="6">
        <f>Original!V638</f>
        <v>0</v>
      </c>
      <c r="F648" s="6">
        <f t="shared" si="54"/>
        <v>0</v>
      </c>
      <c r="G648">
        <f t="shared" si="55"/>
        <v>0</v>
      </c>
      <c r="H648">
        <f t="shared" si="56"/>
        <v>0</v>
      </c>
      <c r="I648">
        <f t="shared" si="57"/>
        <v>0</v>
      </c>
      <c r="J648">
        <f t="shared" si="58"/>
        <v>0</v>
      </c>
      <c r="K648">
        <f t="shared" si="59"/>
        <v>0</v>
      </c>
    </row>
    <row r="649" spans="1:11" x14ac:dyDescent="0.25">
      <c r="A649">
        <f>Original!A639</f>
        <v>0</v>
      </c>
      <c r="B649">
        <f>Original!R639</f>
        <v>0</v>
      </c>
      <c r="C649">
        <f>Original!S639</f>
        <v>0</v>
      </c>
      <c r="D649" s="6">
        <f>Original!T639</f>
        <v>0</v>
      </c>
      <c r="E649" s="6">
        <f>Original!V639</f>
        <v>0</v>
      </c>
      <c r="F649" s="6">
        <f t="shared" si="54"/>
        <v>0</v>
      </c>
      <c r="G649">
        <f t="shared" si="55"/>
        <v>0</v>
      </c>
      <c r="H649">
        <f t="shared" si="56"/>
        <v>0</v>
      </c>
      <c r="I649">
        <f t="shared" si="57"/>
        <v>0</v>
      </c>
      <c r="J649">
        <f t="shared" si="58"/>
        <v>0</v>
      </c>
      <c r="K649">
        <f t="shared" si="59"/>
        <v>0</v>
      </c>
    </row>
    <row r="650" spans="1:11" x14ac:dyDescent="0.25">
      <c r="A650">
        <f>Original!A640</f>
        <v>0</v>
      </c>
      <c r="B650">
        <f>Original!R640</f>
        <v>0</v>
      </c>
      <c r="C650">
        <f>Original!S640</f>
        <v>0</v>
      </c>
      <c r="D650" s="6">
        <f>Original!T640</f>
        <v>0</v>
      </c>
      <c r="E650" s="6">
        <f>Original!V640</f>
        <v>0</v>
      </c>
      <c r="F650" s="6">
        <f t="shared" si="54"/>
        <v>0</v>
      </c>
      <c r="G650">
        <f t="shared" si="55"/>
        <v>0</v>
      </c>
      <c r="H650">
        <f t="shared" si="56"/>
        <v>0</v>
      </c>
      <c r="I650">
        <f t="shared" si="57"/>
        <v>0</v>
      </c>
      <c r="J650">
        <f t="shared" si="58"/>
        <v>0</v>
      </c>
      <c r="K650">
        <f t="shared" si="59"/>
        <v>0</v>
      </c>
    </row>
    <row r="651" spans="1:11" x14ac:dyDescent="0.25">
      <c r="A651">
        <f>Original!A641</f>
        <v>0</v>
      </c>
      <c r="B651">
        <f>Original!R641</f>
        <v>0</v>
      </c>
      <c r="C651">
        <f>Original!S641</f>
        <v>0</v>
      </c>
      <c r="D651" s="6">
        <f>Original!T641</f>
        <v>0</v>
      </c>
      <c r="E651" s="6">
        <f>Original!V641</f>
        <v>0</v>
      </c>
      <c r="F651" s="6">
        <f t="shared" si="54"/>
        <v>0</v>
      </c>
      <c r="G651">
        <f t="shared" si="55"/>
        <v>0</v>
      </c>
      <c r="H651">
        <f t="shared" si="56"/>
        <v>0</v>
      </c>
      <c r="I651">
        <f t="shared" si="57"/>
        <v>0</v>
      </c>
      <c r="J651">
        <f t="shared" si="58"/>
        <v>0</v>
      </c>
      <c r="K651">
        <f t="shared" si="59"/>
        <v>0</v>
      </c>
    </row>
    <row r="652" spans="1:11" x14ac:dyDescent="0.25">
      <c r="A652">
        <f>Original!A642</f>
        <v>0</v>
      </c>
      <c r="B652">
        <f>Original!R642</f>
        <v>0</v>
      </c>
      <c r="C652">
        <f>Original!S642</f>
        <v>0</v>
      </c>
      <c r="D652" s="6">
        <f>Original!T642</f>
        <v>0</v>
      </c>
      <c r="E652" s="6">
        <f>Original!V642</f>
        <v>0</v>
      </c>
      <c r="F652" s="6">
        <f t="shared" si="54"/>
        <v>0</v>
      </c>
      <c r="G652">
        <f t="shared" si="55"/>
        <v>0</v>
      </c>
      <c r="H652">
        <f t="shared" si="56"/>
        <v>0</v>
      </c>
      <c r="I652">
        <f t="shared" si="57"/>
        <v>0</v>
      </c>
      <c r="J652">
        <f t="shared" si="58"/>
        <v>0</v>
      </c>
      <c r="K652">
        <f t="shared" si="59"/>
        <v>0</v>
      </c>
    </row>
    <row r="653" spans="1:11" x14ac:dyDescent="0.25">
      <c r="A653">
        <f>Original!A643</f>
        <v>0</v>
      </c>
      <c r="B653">
        <f>Original!R643</f>
        <v>0</v>
      </c>
      <c r="C653">
        <f>Original!S643</f>
        <v>0</v>
      </c>
      <c r="D653" s="6">
        <f>Original!T643</f>
        <v>0</v>
      </c>
      <c r="E653" s="6">
        <f>Original!V643</f>
        <v>0</v>
      </c>
      <c r="F653" s="6">
        <f t="shared" si="54"/>
        <v>0</v>
      </c>
      <c r="G653">
        <f t="shared" si="55"/>
        <v>0</v>
      </c>
      <c r="H653">
        <f t="shared" si="56"/>
        <v>0</v>
      </c>
      <c r="I653">
        <f t="shared" si="57"/>
        <v>0</v>
      </c>
      <c r="J653">
        <f t="shared" si="58"/>
        <v>0</v>
      </c>
      <c r="K653">
        <f t="shared" si="59"/>
        <v>0</v>
      </c>
    </row>
    <row r="654" spans="1:11" x14ac:dyDescent="0.25">
      <c r="A654">
        <f>Original!A644</f>
        <v>0</v>
      </c>
      <c r="B654">
        <f>Original!R644</f>
        <v>0</v>
      </c>
      <c r="C654">
        <f>Original!S644</f>
        <v>0</v>
      </c>
      <c r="D654" s="6">
        <f>Original!T644</f>
        <v>0</v>
      </c>
      <c r="E654" s="6">
        <f>Original!V644</f>
        <v>0</v>
      </c>
      <c r="F654" s="6">
        <f t="shared" si="54"/>
        <v>0</v>
      </c>
      <c r="G654">
        <f t="shared" si="55"/>
        <v>0</v>
      </c>
      <c r="H654">
        <f t="shared" si="56"/>
        <v>0</v>
      </c>
      <c r="I654">
        <f t="shared" si="57"/>
        <v>0</v>
      </c>
      <c r="J654">
        <f t="shared" si="58"/>
        <v>0</v>
      </c>
      <c r="K654">
        <f t="shared" si="59"/>
        <v>0</v>
      </c>
    </row>
    <row r="655" spans="1:11" x14ac:dyDescent="0.25">
      <c r="A655">
        <f>Original!A645</f>
        <v>0</v>
      </c>
      <c r="B655">
        <f>Original!R645</f>
        <v>0</v>
      </c>
      <c r="C655">
        <f>Original!S645</f>
        <v>0</v>
      </c>
      <c r="D655" s="6">
        <f>Original!T645</f>
        <v>0</v>
      </c>
      <c r="E655" s="6">
        <f>Original!V645</f>
        <v>0</v>
      </c>
      <c r="F655" s="6">
        <f t="shared" si="54"/>
        <v>0</v>
      </c>
      <c r="G655">
        <f t="shared" si="55"/>
        <v>0</v>
      </c>
      <c r="H655">
        <f t="shared" si="56"/>
        <v>0</v>
      </c>
      <c r="I655">
        <f t="shared" si="57"/>
        <v>0</v>
      </c>
      <c r="J655">
        <f t="shared" si="58"/>
        <v>0</v>
      </c>
      <c r="K655">
        <f t="shared" si="59"/>
        <v>0</v>
      </c>
    </row>
    <row r="656" spans="1:11" x14ac:dyDescent="0.25">
      <c r="A656">
        <f>Original!A646</f>
        <v>0</v>
      </c>
      <c r="B656">
        <f>Original!R646</f>
        <v>0</v>
      </c>
      <c r="C656">
        <f>Original!S646</f>
        <v>0</v>
      </c>
      <c r="D656" s="6">
        <f>Original!T646</f>
        <v>0</v>
      </c>
      <c r="E656" s="6">
        <f>Original!V646</f>
        <v>0</v>
      </c>
      <c r="F656" s="6">
        <f t="shared" si="54"/>
        <v>0</v>
      </c>
      <c r="G656">
        <f t="shared" si="55"/>
        <v>0</v>
      </c>
      <c r="H656">
        <f t="shared" si="56"/>
        <v>0</v>
      </c>
      <c r="I656">
        <f t="shared" si="57"/>
        <v>0</v>
      </c>
      <c r="J656">
        <f t="shared" si="58"/>
        <v>0</v>
      </c>
      <c r="K656">
        <f t="shared" si="59"/>
        <v>0</v>
      </c>
    </row>
    <row r="657" spans="1:11" x14ac:dyDescent="0.25">
      <c r="A657">
        <f>Original!A647</f>
        <v>0</v>
      </c>
      <c r="B657">
        <f>Original!R647</f>
        <v>0</v>
      </c>
      <c r="C657">
        <f>Original!S647</f>
        <v>0</v>
      </c>
      <c r="D657" s="6">
        <f>Original!T647</f>
        <v>0</v>
      </c>
      <c r="E657" s="6">
        <f>Original!V647</f>
        <v>0</v>
      </c>
      <c r="F657" s="6">
        <f t="shared" si="54"/>
        <v>0</v>
      </c>
      <c r="G657">
        <f t="shared" si="55"/>
        <v>0</v>
      </c>
      <c r="H657">
        <f t="shared" si="56"/>
        <v>0</v>
      </c>
      <c r="I657">
        <f t="shared" si="57"/>
        <v>0</v>
      </c>
      <c r="J657">
        <f t="shared" si="58"/>
        <v>0</v>
      </c>
      <c r="K657">
        <f t="shared" si="59"/>
        <v>0</v>
      </c>
    </row>
    <row r="658" spans="1:11" x14ac:dyDescent="0.25">
      <c r="A658">
        <f>Original!A648</f>
        <v>0</v>
      </c>
      <c r="B658">
        <f>Original!R648</f>
        <v>0</v>
      </c>
      <c r="C658">
        <f>Original!S648</f>
        <v>0</v>
      </c>
      <c r="D658" s="6">
        <f>Original!T648</f>
        <v>0</v>
      </c>
      <c r="E658" s="6">
        <f>Original!V648</f>
        <v>0</v>
      </c>
      <c r="F658" s="6">
        <f t="shared" si="54"/>
        <v>0</v>
      </c>
      <c r="G658">
        <f t="shared" si="55"/>
        <v>0</v>
      </c>
      <c r="H658">
        <f t="shared" si="56"/>
        <v>0</v>
      </c>
      <c r="I658">
        <f t="shared" si="57"/>
        <v>0</v>
      </c>
      <c r="J658">
        <f t="shared" si="58"/>
        <v>0</v>
      </c>
      <c r="K658">
        <f t="shared" si="59"/>
        <v>0</v>
      </c>
    </row>
    <row r="659" spans="1:11" x14ac:dyDescent="0.25">
      <c r="A659">
        <f>Original!A649</f>
        <v>0</v>
      </c>
      <c r="B659">
        <f>Original!R649</f>
        <v>0</v>
      </c>
      <c r="C659">
        <f>Original!S649</f>
        <v>0</v>
      </c>
      <c r="D659" s="6">
        <f>Original!T649</f>
        <v>0</v>
      </c>
      <c r="E659" s="6">
        <f>Original!V649</f>
        <v>0</v>
      </c>
      <c r="F659" s="6">
        <f t="shared" si="54"/>
        <v>0</v>
      </c>
      <c r="G659">
        <f t="shared" si="55"/>
        <v>0</v>
      </c>
      <c r="H659">
        <f t="shared" si="56"/>
        <v>0</v>
      </c>
      <c r="I659">
        <f t="shared" si="57"/>
        <v>0</v>
      </c>
      <c r="J659">
        <f t="shared" si="58"/>
        <v>0</v>
      </c>
      <c r="K659">
        <f t="shared" si="59"/>
        <v>0</v>
      </c>
    </row>
    <row r="660" spans="1:11" x14ac:dyDescent="0.25">
      <c r="A660">
        <f>Original!A650</f>
        <v>0</v>
      </c>
      <c r="B660">
        <f>Original!R650</f>
        <v>0</v>
      </c>
      <c r="C660">
        <f>Original!S650</f>
        <v>0</v>
      </c>
      <c r="D660" s="6">
        <f>Original!T650</f>
        <v>0</v>
      </c>
      <c r="E660" s="6">
        <f>Original!V650</f>
        <v>0</v>
      </c>
      <c r="F660" s="6">
        <f t="shared" si="54"/>
        <v>0</v>
      </c>
      <c r="G660">
        <f t="shared" si="55"/>
        <v>0</v>
      </c>
      <c r="H660">
        <f t="shared" si="56"/>
        <v>0</v>
      </c>
      <c r="I660">
        <f t="shared" si="57"/>
        <v>0</v>
      </c>
      <c r="J660">
        <f t="shared" si="58"/>
        <v>0</v>
      </c>
      <c r="K660">
        <f t="shared" si="59"/>
        <v>0</v>
      </c>
    </row>
    <row r="661" spans="1:11" x14ac:dyDescent="0.25">
      <c r="A661">
        <f>Original!A651</f>
        <v>0</v>
      </c>
      <c r="B661">
        <f>Original!R651</f>
        <v>0</v>
      </c>
      <c r="C661">
        <f>Original!S651</f>
        <v>0</v>
      </c>
      <c r="D661" s="6">
        <f>Original!T651</f>
        <v>0</v>
      </c>
      <c r="E661" s="6">
        <f>Original!V651</f>
        <v>0</v>
      </c>
      <c r="F661" s="6">
        <f t="shared" si="54"/>
        <v>0</v>
      </c>
      <c r="G661">
        <f t="shared" si="55"/>
        <v>0</v>
      </c>
      <c r="H661">
        <f t="shared" si="56"/>
        <v>0</v>
      </c>
      <c r="I661">
        <f t="shared" si="57"/>
        <v>0</v>
      </c>
      <c r="J661">
        <f t="shared" si="58"/>
        <v>0</v>
      </c>
      <c r="K661">
        <f t="shared" si="59"/>
        <v>0</v>
      </c>
    </row>
    <row r="662" spans="1:11" x14ac:dyDescent="0.25">
      <c r="A662">
        <f>Original!A652</f>
        <v>0</v>
      </c>
      <c r="B662">
        <f>Original!R652</f>
        <v>0</v>
      </c>
      <c r="C662">
        <f>Original!S652</f>
        <v>0</v>
      </c>
      <c r="D662" s="6">
        <f>Original!T652</f>
        <v>0</v>
      </c>
      <c r="E662" s="6">
        <f>Original!V652</f>
        <v>0</v>
      </c>
      <c r="F662" s="6">
        <f t="shared" si="54"/>
        <v>0</v>
      </c>
      <c r="G662">
        <f t="shared" si="55"/>
        <v>0</v>
      </c>
      <c r="H662">
        <f t="shared" si="56"/>
        <v>0</v>
      </c>
      <c r="I662">
        <f t="shared" si="57"/>
        <v>0</v>
      </c>
      <c r="J662">
        <f t="shared" si="58"/>
        <v>0</v>
      </c>
      <c r="K662">
        <f t="shared" si="59"/>
        <v>0</v>
      </c>
    </row>
  </sheetData>
  <scenarios current="0">
    <scenario name="conservative" locked="1" count="3" user="User" comment="Created by User on 19/06/2026_x000a_Modified by User on 19/06/2026">
      <inputCells r="B1" val="0.1" numFmtId="10"/>
      <inputCells r="B2" val="0.1" numFmtId="10"/>
      <inputCells r="B3" val="0" numFmtId="10"/>
    </scenario>
    <scenario name="expected" locked="1" count="3" user="User" comment="Created by User on 19/06/2026_x000a_Modified by User on 19/06/2026">
      <inputCells r="B1" val="0.15" numFmtId="10"/>
      <inputCells r="B2" val="0.05" numFmtId="10"/>
      <inputCells r="B3" val="0.1" numFmtId="10"/>
    </scenario>
    <scenario name="aggressive growth" locked="1" count="3" user="User" comment="Created by User on 19/06/2026">
      <inputCells r="B1" val="0.2" numFmtId="10"/>
      <inputCells r="B2" val="0" numFmtId="10"/>
      <inputCells r="B3" val="0.2" numFmtId="10"/>
    </scenario>
  </scenarios>
  <mergeCells count="2">
    <mergeCell ref="B8:B12"/>
    <mergeCell ref="D6:H6"/>
  </mergeCells>
  <conditionalFormatting sqref="D8:H12">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65D31-04EC-4C83-8846-443505BE5008}">
  <dimension ref="A3:K102"/>
  <sheetViews>
    <sheetView topLeftCell="H1" workbookViewId="0">
      <selection activeCell="H11" sqref="H11"/>
    </sheetView>
  </sheetViews>
  <sheetFormatPr defaultRowHeight="15" x14ac:dyDescent="0.25"/>
  <cols>
    <col min="1" max="1" width="17.85546875" bestFit="1" customWidth="1"/>
    <col min="2" max="2" width="16.28515625" style="8" bestFit="1" customWidth="1"/>
    <col min="3" max="3" width="12.28515625" bestFit="1" customWidth="1"/>
    <col min="4" max="4" width="7.85546875" bestFit="1" customWidth="1"/>
    <col min="5" max="5" width="9.140625" bestFit="1" customWidth="1"/>
    <col min="6" max="6" width="11.42578125" bestFit="1" customWidth="1"/>
    <col min="7" max="7" width="7.5703125" bestFit="1" customWidth="1"/>
    <col min="8" max="8" width="8" bestFit="1" customWidth="1"/>
    <col min="9" max="11" width="11.28515625" bestFit="1" customWidth="1"/>
    <col min="12" max="12" width="14.7109375" bestFit="1" customWidth="1"/>
    <col min="13" max="13" width="7" bestFit="1" customWidth="1"/>
    <col min="14" max="14" width="15.28515625" bestFit="1" customWidth="1"/>
    <col min="15" max="15" width="13.7109375" bestFit="1" customWidth="1"/>
    <col min="16" max="16" width="7.28515625" bestFit="1" customWidth="1"/>
    <col min="17" max="17" width="6" bestFit="1" customWidth="1"/>
    <col min="18" max="18" width="7" bestFit="1" customWidth="1"/>
    <col min="19" max="19" width="8.7109375" bestFit="1" customWidth="1"/>
    <col min="20" max="23" width="7" bestFit="1" customWidth="1"/>
    <col min="24" max="24" width="11.28515625" bestFit="1" customWidth="1"/>
    <col min="25" max="25" width="14.7109375" bestFit="1" customWidth="1"/>
    <col min="26" max="26" width="7" bestFit="1" customWidth="1"/>
    <col min="27" max="27" width="16.5703125" bestFit="1" customWidth="1"/>
    <col min="28" max="28" width="9.7109375" bestFit="1" customWidth="1"/>
    <col min="29" max="29" width="7.28515625" bestFit="1" customWidth="1"/>
    <col min="30" max="31" width="7" bestFit="1" customWidth="1"/>
    <col min="32" max="32" width="8.7109375" bestFit="1" customWidth="1"/>
    <col min="33" max="36" width="7" bestFit="1" customWidth="1"/>
    <col min="37" max="37" width="11.28515625" bestFit="1" customWidth="1"/>
    <col min="38" max="38" width="14.7109375" bestFit="1" customWidth="1"/>
    <col min="39" max="39" width="7" bestFit="1" customWidth="1"/>
    <col min="40" max="40" width="12.28515625" bestFit="1" customWidth="1"/>
    <col min="41" max="41" width="10.7109375" bestFit="1" customWidth="1"/>
    <col min="42" max="42" width="7.28515625" bestFit="1" customWidth="1"/>
    <col min="43" max="44" width="7" bestFit="1" customWidth="1"/>
    <col min="45" max="45" width="8.7109375" bestFit="1" customWidth="1"/>
    <col min="46" max="47" width="7" bestFit="1" customWidth="1"/>
    <col min="48" max="48" width="6.28515625" bestFit="1" customWidth="1"/>
    <col min="49" max="49" width="7" bestFit="1" customWidth="1"/>
    <col min="50" max="50" width="11.28515625" bestFit="1" customWidth="1"/>
    <col min="51" max="51" width="14.7109375" bestFit="1" customWidth="1"/>
    <col min="52" max="52" width="6" bestFit="1" customWidth="1"/>
    <col min="53" max="53" width="13.42578125" bestFit="1" customWidth="1"/>
    <col min="54" max="54" width="12.7109375" bestFit="1" customWidth="1"/>
    <col min="55" max="55" width="7.28515625" bestFit="1" customWidth="1"/>
    <col min="56" max="57" width="7" bestFit="1" customWidth="1"/>
    <col min="58" max="58" width="8.7109375" bestFit="1" customWidth="1"/>
    <col min="59" max="59" width="7" bestFit="1" customWidth="1"/>
    <col min="60" max="60" width="6" bestFit="1" customWidth="1"/>
    <col min="61" max="62" width="7" bestFit="1" customWidth="1"/>
    <col min="63" max="63" width="11.28515625" bestFit="1" customWidth="1"/>
    <col min="64" max="64" width="14.7109375" bestFit="1" customWidth="1"/>
    <col min="65" max="65" width="7" bestFit="1" customWidth="1"/>
    <col min="66" max="66" width="15.5703125" bestFit="1" customWidth="1"/>
    <col min="67" max="67" width="9.28515625" bestFit="1" customWidth="1"/>
    <col min="68" max="68" width="7.28515625" bestFit="1" customWidth="1"/>
    <col min="69" max="69" width="7" bestFit="1" customWidth="1"/>
    <col min="70" max="70" width="6.5703125" bestFit="1" customWidth="1"/>
    <col min="71" max="71" width="8.7109375" bestFit="1" customWidth="1"/>
    <col min="72" max="72" width="7" bestFit="1" customWidth="1"/>
    <col min="73" max="73" width="6" bestFit="1" customWidth="1"/>
    <col min="74" max="75" width="7" bestFit="1" customWidth="1"/>
    <col min="76" max="76" width="11.28515625" bestFit="1" customWidth="1"/>
    <col min="77" max="77" width="14.7109375" bestFit="1" customWidth="1"/>
    <col min="78" max="78" width="7" bestFit="1" customWidth="1"/>
    <col min="79" max="79" width="11.85546875" bestFit="1" customWidth="1"/>
    <col min="80" max="80" width="9.42578125" bestFit="1" customWidth="1"/>
    <col min="81" max="81" width="7.28515625" bestFit="1" customWidth="1"/>
    <col min="82" max="82" width="6" bestFit="1" customWidth="1"/>
    <col min="83" max="83" width="7" bestFit="1" customWidth="1"/>
    <col min="84" max="84" width="8.7109375" bestFit="1" customWidth="1"/>
    <col min="85" max="88" width="7" bestFit="1" customWidth="1"/>
    <col min="89" max="89" width="11.28515625" bestFit="1" customWidth="1"/>
    <col min="90" max="90" width="14.7109375" bestFit="1" customWidth="1"/>
    <col min="91" max="91" width="7" bestFit="1" customWidth="1"/>
    <col min="92" max="92" width="12.140625" bestFit="1" customWidth="1"/>
    <col min="93" max="93" width="9" bestFit="1" customWidth="1"/>
    <col min="94" max="94" width="11.7109375" bestFit="1" customWidth="1"/>
    <col min="95" max="95" width="10.7109375" bestFit="1" customWidth="1"/>
  </cols>
  <sheetData>
    <row r="3" spans="1:9" x14ac:dyDescent="0.25">
      <c r="A3" s="15" t="s">
        <v>1497</v>
      </c>
      <c r="B3" s="15" t="s">
        <v>1438</v>
      </c>
    </row>
    <row r="4" spans="1:9" x14ac:dyDescent="0.25">
      <c r="A4" s="15" t="s">
        <v>1432</v>
      </c>
      <c r="B4" t="s">
        <v>733</v>
      </c>
      <c r="C4" t="s">
        <v>727</v>
      </c>
      <c r="D4" t="s">
        <v>731</v>
      </c>
      <c r="E4" t="s">
        <v>732</v>
      </c>
      <c r="F4" t="s">
        <v>729</v>
      </c>
      <c r="G4" t="s">
        <v>730</v>
      </c>
      <c r="H4" t="s">
        <v>728</v>
      </c>
      <c r="I4" t="s">
        <v>1434</v>
      </c>
    </row>
    <row r="5" spans="1:9" x14ac:dyDescent="0.25">
      <c r="A5" s="16" t="s">
        <v>655</v>
      </c>
      <c r="B5" s="8">
        <v>0.3</v>
      </c>
      <c r="C5" s="8">
        <v>0.14285714285714285</v>
      </c>
      <c r="D5" s="8">
        <v>0.2</v>
      </c>
      <c r="E5" s="8">
        <v>8.3333333333333329E-2</v>
      </c>
      <c r="F5" s="8">
        <v>0.16666666666666666</v>
      </c>
      <c r="G5" s="8">
        <v>0.44444444444444442</v>
      </c>
      <c r="H5" s="8">
        <v>0.14285714285714285</v>
      </c>
      <c r="I5" s="8">
        <v>0.20967741935483872</v>
      </c>
    </row>
    <row r="6" spans="1:9" x14ac:dyDescent="0.25">
      <c r="A6" s="16" t="s">
        <v>653</v>
      </c>
      <c r="B6" s="8">
        <v>0.16666666666666666</v>
      </c>
      <c r="C6" s="8">
        <v>0.33333333333333331</v>
      </c>
      <c r="D6" s="8">
        <v>0.33333333333333331</v>
      </c>
      <c r="E6" s="8">
        <v>0</v>
      </c>
      <c r="F6" s="8">
        <v>0</v>
      </c>
      <c r="G6" s="8">
        <v>0</v>
      </c>
      <c r="H6" s="8">
        <v>7.6923076923076927E-2</v>
      </c>
      <c r="I6" s="8">
        <v>0.13636363636363635</v>
      </c>
    </row>
    <row r="7" spans="1:9" x14ac:dyDescent="0.25">
      <c r="A7" s="16" t="s">
        <v>659</v>
      </c>
      <c r="B7" s="8">
        <v>0.75</v>
      </c>
      <c r="C7" s="8">
        <v>0</v>
      </c>
      <c r="D7" s="8">
        <v>0.2</v>
      </c>
      <c r="E7" s="8">
        <v>0.16666666666666666</v>
      </c>
      <c r="F7" s="8">
        <v>0.375</v>
      </c>
      <c r="G7" s="8">
        <v>0.14285714285714285</v>
      </c>
      <c r="H7" s="8">
        <v>0</v>
      </c>
      <c r="I7" s="8">
        <v>0.17647058823529413</v>
      </c>
    </row>
    <row r="8" spans="1:9" x14ac:dyDescent="0.25">
      <c r="A8" s="16" t="s">
        <v>657</v>
      </c>
      <c r="B8" s="8">
        <v>0.14285714285714285</v>
      </c>
      <c r="C8" s="8">
        <v>0.3</v>
      </c>
      <c r="D8" s="8">
        <v>0.33333333333333331</v>
      </c>
      <c r="E8" s="8">
        <v>0.3</v>
      </c>
      <c r="F8" s="8">
        <v>0.16666666666666666</v>
      </c>
      <c r="G8" s="8">
        <v>0</v>
      </c>
      <c r="H8" s="8">
        <v>0.16666666666666666</v>
      </c>
      <c r="I8" s="8">
        <v>0.22222222222222221</v>
      </c>
    </row>
    <row r="9" spans="1:9" x14ac:dyDescent="0.25">
      <c r="A9" s="16" t="s">
        <v>656</v>
      </c>
      <c r="B9" s="8">
        <v>0.44444444444444442</v>
      </c>
      <c r="C9" s="8">
        <v>0.33333333333333331</v>
      </c>
      <c r="D9" s="8">
        <v>0.2857142857142857</v>
      </c>
      <c r="E9" s="8">
        <v>0</v>
      </c>
      <c r="F9" s="8">
        <v>0.25</v>
      </c>
      <c r="G9" s="8">
        <v>0.14285714285714285</v>
      </c>
      <c r="H9" s="8">
        <v>0.125</v>
      </c>
      <c r="I9" s="8">
        <v>0.21568627450980393</v>
      </c>
    </row>
    <row r="10" spans="1:9" x14ac:dyDescent="0.25">
      <c r="A10" s="16" t="s">
        <v>654</v>
      </c>
      <c r="B10" s="8">
        <v>0.25</v>
      </c>
      <c r="C10" s="8">
        <v>0.2</v>
      </c>
      <c r="D10" s="8">
        <v>0.1111111111111111</v>
      </c>
      <c r="E10" s="8">
        <v>0.16666666666666666</v>
      </c>
      <c r="F10" s="8">
        <v>0.14285714285714285</v>
      </c>
      <c r="G10" s="8">
        <v>0.22222222222222221</v>
      </c>
      <c r="H10" s="8">
        <v>0.16666666666666666</v>
      </c>
      <c r="I10" s="8">
        <v>0.18032786885245902</v>
      </c>
    </row>
    <row r="11" spans="1:9" x14ac:dyDescent="0.25">
      <c r="A11" s="16" t="s">
        <v>652</v>
      </c>
      <c r="B11" s="8">
        <v>0.2</v>
      </c>
      <c r="C11" s="8">
        <v>0.25</v>
      </c>
      <c r="D11" s="8">
        <v>0.2857142857142857</v>
      </c>
      <c r="E11" s="8">
        <v>0.2857142857142857</v>
      </c>
      <c r="F11" s="8">
        <v>0</v>
      </c>
      <c r="G11" s="8">
        <v>9.0909090909090912E-2</v>
      </c>
      <c r="H11" s="8">
        <v>0.22222222222222221</v>
      </c>
      <c r="I11" s="8">
        <v>0.16949152542372881</v>
      </c>
    </row>
    <row r="12" spans="1:9" x14ac:dyDescent="0.25">
      <c r="A12" s="16" t="s">
        <v>650</v>
      </c>
      <c r="B12" s="8">
        <v>0.4</v>
      </c>
      <c r="C12" s="8">
        <v>0.2</v>
      </c>
      <c r="D12" s="8">
        <v>0.5</v>
      </c>
      <c r="E12" s="8">
        <v>0</v>
      </c>
      <c r="F12" s="8">
        <v>0.33333333333333331</v>
      </c>
      <c r="G12" s="8">
        <v>0.13333333333333333</v>
      </c>
      <c r="H12" s="8">
        <v>0.125</v>
      </c>
      <c r="I12" s="8">
        <v>0.26785714285714285</v>
      </c>
    </row>
    <row r="13" spans="1:9" x14ac:dyDescent="0.25">
      <c r="A13" s="16" t="s">
        <v>651</v>
      </c>
      <c r="B13" s="8">
        <v>0.30769230769230771</v>
      </c>
      <c r="C13" s="8">
        <v>0.16666666666666666</v>
      </c>
      <c r="D13" s="8">
        <v>0.5</v>
      </c>
      <c r="E13" s="8">
        <v>0.6</v>
      </c>
      <c r="F13" s="8">
        <v>0.5</v>
      </c>
      <c r="G13" s="8">
        <v>0.16666666666666666</v>
      </c>
      <c r="H13" s="8">
        <v>0.16666666666666666</v>
      </c>
      <c r="I13" s="8">
        <v>0.31818181818181818</v>
      </c>
    </row>
    <row r="14" spans="1:9" x14ac:dyDescent="0.25">
      <c r="A14" s="16" t="s">
        <v>661</v>
      </c>
      <c r="B14" s="8">
        <v>0.5</v>
      </c>
      <c r="C14" s="8">
        <v>0.18181818181818182</v>
      </c>
      <c r="D14" s="8">
        <v>0</v>
      </c>
      <c r="E14" s="8">
        <v>0.14285714285714285</v>
      </c>
      <c r="F14" s="8">
        <v>0.2857142857142857</v>
      </c>
      <c r="G14" s="8">
        <v>0.5</v>
      </c>
      <c r="H14" s="8">
        <v>0.2</v>
      </c>
      <c r="I14" s="8">
        <v>0.22222222222222221</v>
      </c>
    </row>
    <row r="15" spans="1:9" x14ac:dyDescent="0.25">
      <c r="A15" s="16" t="s">
        <v>658</v>
      </c>
      <c r="B15" s="8">
        <v>0.125</v>
      </c>
      <c r="C15" s="8">
        <v>0.2857142857142857</v>
      </c>
      <c r="D15" s="8">
        <v>0.33333333333333331</v>
      </c>
      <c r="E15" s="8">
        <v>0.2857142857142857</v>
      </c>
      <c r="F15" s="8">
        <v>0.22222222222222221</v>
      </c>
      <c r="G15" s="8">
        <v>0</v>
      </c>
      <c r="H15" s="8">
        <v>0.3</v>
      </c>
      <c r="I15" s="8">
        <v>0.24074074074074073</v>
      </c>
    </row>
    <row r="16" spans="1:9" x14ac:dyDescent="0.25">
      <c r="A16" s="16" t="s">
        <v>660</v>
      </c>
      <c r="B16" s="8">
        <v>0.5</v>
      </c>
      <c r="C16" s="8">
        <v>0.4</v>
      </c>
      <c r="D16" s="8">
        <v>0.2</v>
      </c>
      <c r="E16" s="8">
        <v>0</v>
      </c>
      <c r="F16" s="8">
        <v>0.2</v>
      </c>
      <c r="G16" s="8">
        <v>0.1</v>
      </c>
      <c r="H16" s="8">
        <v>0.75</v>
      </c>
      <c r="I16" s="8">
        <v>0.27450980392156865</v>
      </c>
    </row>
    <row r="17" spans="1:11" x14ac:dyDescent="0.25">
      <c r="A17" s="16" t="s">
        <v>1434</v>
      </c>
      <c r="B17" s="8">
        <v>0.31818181818181818</v>
      </c>
      <c r="C17" s="8">
        <v>0.21978021978021978</v>
      </c>
      <c r="D17" s="8">
        <v>0.28048780487804881</v>
      </c>
      <c r="E17" s="8">
        <v>0.15957446808510639</v>
      </c>
      <c r="F17" s="8">
        <v>0.19767441860465115</v>
      </c>
      <c r="G17" s="8">
        <v>0.17045454545454544</v>
      </c>
      <c r="H17" s="8">
        <v>0.1941747572815534</v>
      </c>
      <c r="I17" s="8">
        <v>0.21835443037974683</v>
      </c>
    </row>
    <row r="18" spans="1:11" x14ac:dyDescent="0.25">
      <c r="B18"/>
    </row>
    <row r="19" spans="1:11" x14ac:dyDescent="0.25">
      <c r="B19"/>
    </row>
    <row r="20" spans="1:11" x14ac:dyDescent="0.25">
      <c r="B20"/>
    </row>
    <row r="21" spans="1:11" x14ac:dyDescent="0.25">
      <c r="B21"/>
    </row>
    <row r="22" spans="1:11" x14ac:dyDescent="0.25">
      <c r="B22"/>
      <c r="K22" t="s">
        <v>1532</v>
      </c>
    </row>
    <row r="23" spans="1:11" x14ac:dyDescent="0.25">
      <c r="B23"/>
    </row>
    <row r="24" spans="1:11" x14ac:dyDescent="0.25">
      <c r="B24"/>
    </row>
    <row r="25" spans="1:11" x14ac:dyDescent="0.25">
      <c r="B25"/>
    </row>
    <row r="26" spans="1:11" x14ac:dyDescent="0.25">
      <c r="B26"/>
    </row>
    <row r="27" spans="1:11" x14ac:dyDescent="0.25">
      <c r="B27"/>
    </row>
    <row r="28" spans="1:11" x14ac:dyDescent="0.25">
      <c r="B28"/>
    </row>
    <row r="29" spans="1:11" x14ac:dyDescent="0.25">
      <c r="B29"/>
    </row>
    <row r="30" spans="1:11" x14ac:dyDescent="0.25">
      <c r="B30"/>
    </row>
    <row r="31" spans="1:11" x14ac:dyDescent="0.25">
      <c r="B31"/>
    </row>
    <row r="32" spans="1:11"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row r="41" spans="2:2" x14ac:dyDescent="0.25">
      <c r="B41"/>
    </row>
    <row r="42" spans="2:2" x14ac:dyDescent="0.25">
      <c r="B42"/>
    </row>
    <row r="43" spans="2:2" x14ac:dyDescent="0.25">
      <c r="B43"/>
    </row>
    <row r="44" spans="2:2" x14ac:dyDescent="0.25">
      <c r="B44"/>
    </row>
    <row r="45" spans="2:2" x14ac:dyDescent="0.25">
      <c r="B45"/>
    </row>
    <row r="46" spans="2:2" x14ac:dyDescent="0.25">
      <c r="B46"/>
    </row>
    <row r="47" spans="2:2" x14ac:dyDescent="0.25">
      <c r="B47"/>
    </row>
    <row r="48" spans="2:2" x14ac:dyDescent="0.25">
      <c r="B48"/>
    </row>
    <row r="49" spans="2:2" x14ac:dyDescent="0.25">
      <c r="B49"/>
    </row>
    <row r="50" spans="2:2" x14ac:dyDescent="0.25">
      <c r="B50"/>
    </row>
    <row r="51" spans="2:2" x14ac:dyDescent="0.25">
      <c r="B51"/>
    </row>
    <row r="52" spans="2:2" x14ac:dyDescent="0.25">
      <c r="B52"/>
    </row>
    <row r="53" spans="2:2" x14ac:dyDescent="0.25">
      <c r="B53"/>
    </row>
    <row r="54" spans="2:2" x14ac:dyDescent="0.25">
      <c r="B54"/>
    </row>
    <row r="55" spans="2:2" x14ac:dyDescent="0.25">
      <c r="B55"/>
    </row>
    <row r="56" spans="2:2" x14ac:dyDescent="0.25">
      <c r="B56"/>
    </row>
    <row r="57" spans="2:2" x14ac:dyDescent="0.25">
      <c r="B57"/>
    </row>
    <row r="58" spans="2:2" x14ac:dyDescent="0.25">
      <c r="B58"/>
    </row>
    <row r="59" spans="2:2" x14ac:dyDescent="0.25">
      <c r="B59"/>
    </row>
    <row r="60" spans="2:2" x14ac:dyDescent="0.25">
      <c r="B60"/>
    </row>
    <row r="61" spans="2:2" x14ac:dyDescent="0.25">
      <c r="B61"/>
    </row>
    <row r="62" spans="2:2" x14ac:dyDescent="0.25">
      <c r="B62"/>
    </row>
    <row r="63" spans="2:2" x14ac:dyDescent="0.25">
      <c r="B63"/>
    </row>
    <row r="64" spans="2:2"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252FB-E6B5-40D7-87F2-FED9EBFA574A}">
  <sheetPr>
    <tabColor theme="5"/>
  </sheetPr>
  <dimension ref="Y34:AE40"/>
  <sheetViews>
    <sheetView tabSelected="1" zoomScale="47" workbookViewId="0">
      <selection activeCell="AG9" sqref="AG9"/>
    </sheetView>
  </sheetViews>
  <sheetFormatPr defaultColWidth="8.85546875" defaultRowHeight="15" x14ac:dyDescent="0.25"/>
  <cols>
    <col min="1" max="24" width="8.85546875" style="44"/>
    <col min="25" max="25" width="3.7109375" style="44" bestFit="1" customWidth="1"/>
    <col min="26" max="26" width="8.85546875" style="44" customWidth="1"/>
    <col min="27" max="27" width="15" style="44" customWidth="1"/>
    <col min="28" max="32" width="12" style="44" bestFit="1" customWidth="1"/>
    <col min="33" max="16384" width="8.85546875" style="44"/>
  </cols>
  <sheetData>
    <row r="34" spans="25:31" x14ac:dyDescent="0.25">
      <c r="AA34" s="48" t="s">
        <v>1528</v>
      </c>
      <c r="AB34" s="45"/>
      <c r="AC34" s="45"/>
      <c r="AD34" s="45"/>
      <c r="AE34" s="45"/>
    </row>
    <row r="35" spans="25:31" x14ac:dyDescent="0.25">
      <c r="Z35" s="44">
        <f>AH64</f>
        <v>0</v>
      </c>
      <c r="AA35" s="46">
        <v>0</v>
      </c>
      <c r="AB35" s="46">
        <v>0.05</v>
      </c>
      <c r="AC35" s="46">
        <v>0.1</v>
      </c>
      <c r="AD35" s="46">
        <v>0.15000000000000002</v>
      </c>
      <c r="AE35" s="46">
        <v>0.2</v>
      </c>
    </row>
    <row r="36" spans="25:31" x14ac:dyDescent="0.25">
      <c r="Y36" s="47" t="s">
        <v>1529</v>
      </c>
      <c r="Z36" s="46">
        <v>0</v>
      </c>
      <c r="AA36" s="46">
        <v>19975.662919999995</v>
      </c>
      <c r="AB36" s="44">
        <v>19975.662919999995</v>
      </c>
      <c r="AC36" s="44">
        <v>19975.662919999995</v>
      </c>
      <c r="AD36" s="44">
        <v>19975.662919999995</v>
      </c>
      <c r="AE36" s="44">
        <v>19975.662919999995</v>
      </c>
    </row>
    <row r="37" spans="25:31" x14ac:dyDescent="0.25">
      <c r="Y37" s="47"/>
      <c r="Z37" s="46">
        <v>0.05</v>
      </c>
      <c r="AA37" s="46">
        <v>19011.260919999993</v>
      </c>
      <c r="AB37" s="44">
        <v>19011.260919999993</v>
      </c>
      <c r="AC37" s="44">
        <v>19011.260919999993</v>
      </c>
      <c r="AD37" s="44">
        <v>19011.260919999993</v>
      </c>
      <c r="AE37" s="44">
        <v>19011.260919999993</v>
      </c>
    </row>
    <row r="38" spans="25:31" x14ac:dyDescent="0.25">
      <c r="Y38" s="47"/>
      <c r="Z38" s="46">
        <v>0.1</v>
      </c>
      <c r="AA38" s="46">
        <v>18046.858919999991</v>
      </c>
      <c r="AB38" s="44">
        <v>18046.858919999991</v>
      </c>
      <c r="AC38" s="44">
        <v>18046.858919999991</v>
      </c>
      <c r="AD38" s="44">
        <v>18046.858919999991</v>
      </c>
      <c r="AE38" s="44">
        <v>18046.858919999991</v>
      </c>
    </row>
    <row r="39" spans="25:31" x14ac:dyDescent="0.25">
      <c r="Y39" s="47"/>
      <c r="Z39" s="46">
        <v>0.15000000000000002</v>
      </c>
      <c r="AA39" s="46">
        <v>17082.456919999997</v>
      </c>
      <c r="AB39" s="44">
        <v>17082.456919999997</v>
      </c>
      <c r="AC39" s="44">
        <v>17082.456919999997</v>
      </c>
      <c r="AD39" s="44">
        <v>17082.456919999997</v>
      </c>
      <c r="AE39" s="44">
        <v>17082.456919999997</v>
      </c>
    </row>
    <row r="40" spans="25:31" x14ac:dyDescent="0.25">
      <c r="Y40" s="47"/>
      <c r="Z40" s="46">
        <v>0.2</v>
      </c>
      <c r="AA40" s="46">
        <v>16118.054919999995</v>
      </c>
      <c r="AB40" s="44">
        <v>16118.054919999995</v>
      </c>
      <c r="AC40" s="44">
        <v>16118.054919999995</v>
      </c>
      <c r="AD40" s="44">
        <v>16118.054919999995</v>
      </c>
      <c r="AE40" s="44">
        <v>16118.054919999995</v>
      </c>
    </row>
  </sheetData>
  <mergeCells count="1">
    <mergeCell ref="Y36:Y40"/>
  </mergeCells>
  <conditionalFormatting sqref="AA36:AE40">
    <cfRule type="colorScale" priority="1">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7"/>
  <sheetViews>
    <sheetView topLeftCell="A33" workbookViewId="0">
      <selection activeCell="A46" sqref="A46"/>
    </sheetView>
  </sheetViews>
  <sheetFormatPr defaultRowHeight="15" x14ac:dyDescent="0.25"/>
  <cols>
    <col min="1" max="1" width="142.85546875" bestFit="1" customWidth="1"/>
  </cols>
  <sheetData>
    <row r="1" spans="1:1" x14ac:dyDescent="0.25">
      <c r="A1" s="1" t="s">
        <v>1364</v>
      </c>
    </row>
    <row r="2" spans="1:1" x14ac:dyDescent="0.25">
      <c r="A2" t="s">
        <v>1365</v>
      </c>
    </row>
    <row r="4" spans="1:1" x14ac:dyDescent="0.25">
      <c r="A4" t="s">
        <v>1366</v>
      </c>
    </row>
    <row r="5" spans="1:1" x14ac:dyDescent="0.25">
      <c r="A5" t="s">
        <v>1367</v>
      </c>
    </row>
    <row r="6" spans="1:1" x14ac:dyDescent="0.25">
      <c r="A6" t="s">
        <v>1368</v>
      </c>
    </row>
    <row r="8" spans="1:1" x14ac:dyDescent="0.25">
      <c r="A8" t="s">
        <v>1369</v>
      </c>
    </row>
    <row r="9" spans="1:1" x14ac:dyDescent="0.25">
      <c r="A9" t="s">
        <v>1370</v>
      </c>
    </row>
    <row r="10" spans="1:1" x14ac:dyDescent="0.25">
      <c r="A10" t="s">
        <v>1417</v>
      </c>
    </row>
    <row r="11" spans="1:1" x14ac:dyDescent="0.25">
      <c r="A11" t="s">
        <v>1419</v>
      </c>
    </row>
    <row r="12" spans="1:1" x14ac:dyDescent="0.25">
      <c r="A12" t="s">
        <v>1420</v>
      </c>
    </row>
    <row r="13" spans="1:1" x14ac:dyDescent="0.25">
      <c r="A13" t="s">
        <v>1421</v>
      </c>
    </row>
    <row r="14" spans="1:1" x14ac:dyDescent="0.25">
      <c r="A14" t="s">
        <v>1371</v>
      </c>
    </row>
    <row r="15" spans="1:1" x14ac:dyDescent="0.25">
      <c r="A15" t="s">
        <v>1372</v>
      </c>
    </row>
    <row r="17" spans="1:1" x14ac:dyDescent="0.25">
      <c r="A17" t="s">
        <v>1373</v>
      </c>
    </row>
    <row r="18" spans="1:1" x14ac:dyDescent="0.25">
      <c r="A18" t="s">
        <v>1374</v>
      </c>
    </row>
    <row r="19" spans="1:1" x14ac:dyDescent="0.25">
      <c r="A19" t="s">
        <v>1375</v>
      </c>
    </row>
    <row r="20" spans="1:1" x14ac:dyDescent="0.25">
      <c r="A20" t="s">
        <v>1376</v>
      </c>
    </row>
    <row r="21" spans="1:1" x14ac:dyDescent="0.25">
      <c r="A21" t="s">
        <v>1377</v>
      </c>
    </row>
    <row r="23" spans="1:1" x14ac:dyDescent="0.25">
      <c r="A23" t="s">
        <v>1378</v>
      </c>
    </row>
    <row r="24" spans="1:1" x14ac:dyDescent="0.25">
      <c r="A24" t="s">
        <v>1379</v>
      </c>
    </row>
    <row r="25" spans="1:1" x14ac:dyDescent="0.25">
      <c r="A25" t="s">
        <v>1380</v>
      </c>
    </row>
    <row r="26" spans="1:1" x14ac:dyDescent="0.25">
      <c r="A26" t="s">
        <v>1381</v>
      </c>
    </row>
    <row r="27" spans="1:1" x14ac:dyDescent="0.25">
      <c r="A27" t="s">
        <v>1430</v>
      </c>
    </row>
    <row r="29" spans="1:1" x14ac:dyDescent="0.25">
      <c r="A29" t="s">
        <v>1382</v>
      </c>
    </row>
    <row r="30" spans="1:1" x14ac:dyDescent="0.25">
      <c r="A30" t="s">
        <v>1383</v>
      </c>
    </row>
    <row r="31" spans="1:1" x14ac:dyDescent="0.25">
      <c r="A31" t="s">
        <v>1384</v>
      </c>
    </row>
    <row r="32" spans="1:1" x14ac:dyDescent="0.25">
      <c r="A32" t="s">
        <v>1385</v>
      </c>
    </row>
    <row r="33" spans="1:1" x14ac:dyDescent="0.25">
      <c r="A33" t="s">
        <v>1386</v>
      </c>
    </row>
    <row r="34" spans="1:1" x14ac:dyDescent="0.25">
      <c r="A34" t="s">
        <v>1387</v>
      </c>
    </row>
    <row r="35" spans="1:1" x14ac:dyDescent="0.25">
      <c r="A35" t="s">
        <v>1388</v>
      </c>
    </row>
    <row r="36" spans="1:1" x14ac:dyDescent="0.25">
      <c r="A36" t="s">
        <v>1389</v>
      </c>
    </row>
    <row r="37" spans="1:1" x14ac:dyDescent="0.25">
      <c r="A37" t="s">
        <v>1390</v>
      </c>
    </row>
    <row r="38" spans="1:1" x14ac:dyDescent="0.25">
      <c r="A38" t="s">
        <v>1391</v>
      </c>
    </row>
    <row r="39" spans="1:1" x14ac:dyDescent="0.25">
      <c r="A39" t="s">
        <v>1392</v>
      </c>
    </row>
    <row r="40" spans="1:1" x14ac:dyDescent="0.25">
      <c r="A40" t="s">
        <v>1393</v>
      </c>
    </row>
    <row r="41" spans="1:1" x14ac:dyDescent="0.25">
      <c r="A41" t="s">
        <v>1394</v>
      </c>
    </row>
    <row r="43" spans="1:1" x14ac:dyDescent="0.25">
      <c r="A43" t="s">
        <v>1395</v>
      </c>
    </row>
    <row r="44" spans="1:1" x14ac:dyDescent="0.25">
      <c r="A44" t="s">
        <v>1396</v>
      </c>
    </row>
    <row r="45" spans="1:1" x14ac:dyDescent="0.25">
      <c r="A45" t="s">
        <v>1397</v>
      </c>
    </row>
    <row r="46" spans="1:1" x14ac:dyDescent="0.25">
      <c r="A46" t="s">
        <v>1398</v>
      </c>
    </row>
    <row r="47" spans="1:1" x14ac:dyDescent="0.25">
      <c r="A47" t="s">
        <v>1399</v>
      </c>
    </row>
    <row r="48" spans="1:1" x14ac:dyDescent="0.25">
      <c r="A48" t="s">
        <v>1400</v>
      </c>
    </row>
    <row r="50" spans="1:1" x14ac:dyDescent="0.25">
      <c r="A50" t="s">
        <v>1401</v>
      </c>
    </row>
    <row r="51" spans="1:1" x14ac:dyDescent="0.25">
      <c r="A51" t="s">
        <v>1402</v>
      </c>
    </row>
    <row r="52" spans="1:1" x14ac:dyDescent="0.25">
      <c r="A52" t="s">
        <v>1403</v>
      </c>
    </row>
    <row r="53" spans="1:1" x14ac:dyDescent="0.25">
      <c r="A53" t="s">
        <v>1404</v>
      </c>
    </row>
    <row r="54" spans="1:1" x14ac:dyDescent="0.25">
      <c r="A54" t="s">
        <v>1405</v>
      </c>
    </row>
    <row r="55" spans="1:1" x14ac:dyDescent="0.25">
      <c r="A55" t="s">
        <v>1406</v>
      </c>
    </row>
    <row r="56" spans="1:1" x14ac:dyDescent="0.25">
      <c r="A56" t="s">
        <v>1407</v>
      </c>
    </row>
    <row r="57" spans="1:1" x14ac:dyDescent="0.25">
      <c r="A57" t="s">
        <v>1408</v>
      </c>
    </row>
    <row r="58" spans="1:1" x14ac:dyDescent="0.25">
      <c r="A58" t="s">
        <v>1409</v>
      </c>
    </row>
    <row r="59" spans="1:1" x14ac:dyDescent="0.25">
      <c r="A59" t="s">
        <v>1410</v>
      </c>
    </row>
    <row r="61" spans="1:1" x14ac:dyDescent="0.25">
      <c r="A61" t="s">
        <v>1411</v>
      </c>
    </row>
    <row r="62" spans="1:1" x14ac:dyDescent="0.25">
      <c r="A62" t="s">
        <v>1412</v>
      </c>
    </row>
    <row r="64" spans="1:1" x14ac:dyDescent="0.25">
      <c r="A64" t="s">
        <v>1413</v>
      </c>
    </row>
    <row r="65" spans="1:1" x14ac:dyDescent="0.25">
      <c r="A65" t="s">
        <v>1414</v>
      </c>
    </row>
    <row r="66" spans="1:1" x14ac:dyDescent="0.25">
      <c r="A66" t="s">
        <v>1415</v>
      </c>
    </row>
    <row r="67" spans="1:1" x14ac:dyDescent="0.25">
      <c r="A67" t="s">
        <v>1416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167DA-CF6D-4861-AC4E-CF29E7CA717D}">
  <dimension ref="A3:B37"/>
  <sheetViews>
    <sheetView topLeftCell="A7" workbookViewId="0">
      <selection activeCell="B8" sqref="B8"/>
    </sheetView>
  </sheetViews>
  <sheetFormatPr defaultRowHeight="15" x14ac:dyDescent="0.25"/>
  <cols>
    <col min="1" max="1" width="13.140625" bestFit="1" customWidth="1"/>
    <col min="2" max="2" width="20.7109375" bestFit="1" customWidth="1"/>
  </cols>
  <sheetData>
    <row r="3" spans="1:2" x14ac:dyDescent="0.25">
      <c r="A3" s="15" t="s">
        <v>1432</v>
      </c>
      <c r="B3" t="s">
        <v>1474</v>
      </c>
    </row>
    <row r="4" spans="1:2" x14ac:dyDescent="0.25">
      <c r="A4" s="16" t="s">
        <v>1441</v>
      </c>
      <c r="B4">
        <v>371604.58273999998</v>
      </c>
    </row>
    <row r="5" spans="1:2" x14ac:dyDescent="0.25">
      <c r="A5" s="16" t="s">
        <v>1442</v>
      </c>
      <c r="B5">
        <v>239506.82714000004</v>
      </c>
    </row>
    <row r="6" spans="1:2" x14ac:dyDescent="0.25">
      <c r="A6" s="16" t="s">
        <v>1443</v>
      </c>
      <c r="B6">
        <v>336135.16749999998</v>
      </c>
    </row>
    <row r="7" spans="1:2" x14ac:dyDescent="0.25">
      <c r="A7" s="16" t="s">
        <v>1444</v>
      </c>
      <c r="B7">
        <v>339044.67039000004</v>
      </c>
    </row>
    <row r="8" spans="1:2" x14ac:dyDescent="0.25">
      <c r="A8" s="16" t="s">
        <v>1445</v>
      </c>
      <c r="B8">
        <v>383755.4196599999</v>
      </c>
    </row>
    <row r="9" spans="1:2" x14ac:dyDescent="0.25">
      <c r="A9" s="16" t="s">
        <v>1446</v>
      </c>
      <c r="B9">
        <v>366808.72249999997</v>
      </c>
    </row>
    <row r="10" spans="1:2" x14ac:dyDescent="0.25">
      <c r="A10" s="16" t="s">
        <v>1447</v>
      </c>
      <c r="B10">
        <v>382101.36680000002</v>
      </c>
    </row>
    <row r="11" spans="1:2" x14ac:dyDescent="0.25">
      <c r="A11" s="16" t="s">
        <v>1448</v>
      </c>
      <c r="B11">
        <v>354378.93716000003</v>
      </c>
    </row>
    <row r="12" spans="1:2" x14ac:dyDescent="0.25">
      <c r="A12" s="16" t="s">
        <v>1449</v>
      </c>
      <c r="B12">
        <v>433788.64049000002</v>
      </c>
    </row>
    <row r="13" spans="1:2" x14ac:dyDescent="0.25">
      <c r="A13" s="16" t="s">
        <v>1450</v>
      </c>
      <c r="B13">
        <v>307793.71461999998</v>
      </c>
    </row>
    <row r="14" spans="1:2" x14ac:dyDescent="0.25">
      <c r="A14" s="16" t="s">
        <v>1451</v>
      </c>
      <c r="B14">
        <v>221608.49786999999</v>
      </c>
    </row>
    <row r="15" spans="1:2" x14ac:dyDescent="0.25">
      <c r="A15" s="16" t="s">
        <v>1452</v>
      </c>
      <c r="B15">
        <v>178642.73714999997</v>
      </c>
    </row>
    <row r="16" spans="1:2" x14ac:dyDescent="0.25">
      <c r="A16" s="16" t="s">
        <v>1453</v>
      </c>
      <c r="B16">
        <v>299100.37307999999</v>
      </c>
    </row>
    <row r="17" spans="1:2" x14ac:dyDescent="0.25">
      <c r="A17" s="16" t="s">
        <v>1454</v>
      </c>
      <c r="B17">
        <v>223498.20032000003</v>
      </c>
    </row>
    <row r="18" spans="1:2" x14ac:dyDescent="0.25">
      <c r="A18" s="16" t="s">
        <v>1455</v>
      </c>
      <c r="B18">
        <v>550462.84643999999</v>
      </c>
    </row>
    <row r="19" spans="1:2" x14ac:dyDescent="0.25">
      <c r="A19" s="16" t="s">
        <v>1456</v>
      </c>
      <c r="B19">
        <v>275628.61962999997</v>
      </c>
    </row>
    <row r="20" spans="1:2" x14ac:dyDescent="0.25">
      <c r="A20" s="16" t="s">
        <v>1457</v>
      </c>
      <c r="B20">
        <v>486970.83348000003</v>
      </c>
    </row>
    <row r="21" spans="1:2" x14ac:dyDescent="0.25">
      <c r="A21" s="16" t="s">
        <v>1458</v>
      </c>
      <c r="B21">
        <v>236474.06157000002</v>
      </c>
    </row>
    <row r="22" spans="1:2" x14ac:dyDescent="0.25">
      <c r="A22" s="16" t="s">
        <v>1459</v>
      </c>
      <c r="B22">
        <v>634490.72337999998</v>
      </c>
    </row>
    <row r="23" spans="1:2" x14ac:dyDescent="0.25">
      <c r="A23" s="16" t="s">
        <v>1460</v>
      </c>
      <c r="B23">
        <v>382009.37596000009</v>
      </c>
    </row>
    <row r="24" spans="1:2" x14ac:dyDescent="0.25">
      <c r="A24" s="16" t="s">
        <v>1461</v>
      </c>
      <c r="B24">
        <v>215576.67437999998</v>
      </c>
    </row>
    <row r="25" spans="1:2" x14ac:dyDescent="0.25">
      <c r="A25" s="16" t="s">
        <v>1462</v>
      </c>
      <c r="B25">
        <v>374300.10981000005</v>
      </c>
    </row>
    <row r="26" spans="1:2" x14ac:dyDescent="0.25">
      <c r="A26" s="16" t="s">
        <v>1463</v>
      </c>
      <c r="B26">
        <v>209101.52076000004</v>
      </c>
    </row>
    <row r="27" spans="1:2" x14ac:dyDescent="0.25">
      <c r="A27" s="16" t="s">
        <v>1464</v>
      </c>
      <c r="B27">
        <v>469902.36901999998</v>
      </c>
    </row>
    <row r="28" spans="1:2" x14ac:dyDescent="0.25">
      <c r="A28" s="16" t="s">
        <v>1465</v>
      </c>
      <c r="B28">
        <v>416985.76567000011</v>
      </c>
    </row>
    <row r="29" spans="1:2" x14ac:dyDescent="0.25">
      <c r="A29" s="16" t="s">
        <v>1466</v>
      </c>
      <c r="B29">
        <v>375285.78266000003</v>
      </c>
    </row>
    <row r="30" spans="1:2" x14ac:dyDescent="0.25">
      <c r="A30" s="16" t="s">
        <v>1467</v>
      </c>
      <c r="B30">
        <v>127009.5058</v>
      </c>
    </row>
    <row r="31" spans="1:2" x14ac:dyDescent="0.25">
      <c r="A31" s="16" t="s">
        <v>1468</v>
      </c>
      <c r="B31">
        <v>416944.18554999994</v>
      </c>
    </row>
    <row r="32" spans="1:2" x14ac:dyDescent="0.25">
      <c r="A32" s="16" t="s">
        <v>1469</v>
      </c>
      <c r="B32">
        <v>241851.10650000002</v>
      </c>
    </row>
    <row r="33" spans="1:2" x14ac:dyDescent="0.25">
      <c r="A33" s="16" t="s">
        <v>1470</v>
      </c>
      <c r="B33">
        <v>416924.94901000004</v>
      </c>
    </row>
    <row r="34" spans="1:2" x14ac:dyDescent="0.25">
      <c r="A34" s="16" t="s">
        <v>1471</v>
      </c>
      <c r="B34">
        <v>141266.51418999999</v>
      </c>
    </row>
    <row r="35" spans="1:2" x14ac:dyDescent="0.25">
      <c r="A35" s="16" t="s">
        <v>1472</v>
      </c>
      <c r="B35">
        <v>347613.18767000007</v>
      </c>
    </row>
    <row r="36" spans="1:2" x14ac:dyDescent="0.25">
      <c r="A36" s="16" t="s">
        <v>1473</v>
      </c>
      <c r="B36">
        <v>172279.72760000001</v>
      </c>
    </row>
    <row r="37" spans="1:2" x14ac:dyDescent="0.25">
      <c r="A37" s="16" t="s">
        <v>1434</v>
      </c>
      <c r="B37">
        <v>10928845.716499999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64BB5-1F01-4E98-B558-8375F043FB7B}">
  <dimension ref="A3:F11"/>
  <sheetViews>
    <sheetView topLeftCell="E1" workbookViewId="0">
      <selection activeCell="G8" sqref="G8"/>
    </sheetView>
  </sheetViews>
  <sheetFormatPr defaultRowHeight="15" x14ac:dyDescent="0.25"/>
  <cols>
    <col min="1" max="1" width="17.85546875" bestFit="1" customWidth="1"/>
    <col min="2" max="2" width="16.28515625" bestFit="1" customWidth="1"/>
    <col min="3" max="7" width="12" bestFit="1" customWidth="1"/>
    <col min="8" max="8" width="7" bestFit="1" customWidth="1"/>
    <col min="9" max="9" width="12" bestFit="1" customWidth="1"/>
  </cols>
  <sheetData>
    <row r="3" spans="1:6" x14ac:dyDescent="0.25">
      <c r="A3" s="15" t="s">
        <v>1490</v>
      </c>
      <c r="B3" s="15" t="s">
        <v>1438</v>
      </c>
    </row>
    <row r="4" spans="1:6" x14ac:dyDescent="0.25">
      <c r="A4" s="15" t="s">
        <v>1432</v>
      </c>
      <c r="B4" t="s">
        <v>646</v>
      </c>
      <c r="C4" t="s">
        <v>648</v>
      </c>
      <c r="D4" t="s">
        <v>647</v>
      </c>
      <c r="E4" t="s">
        <v>649</v>
      </c>
      <c r="F4" t="s">
        <v>1434</v>
      </c>
    </row>
    <row r="5" spans="1:6" x14ac:dyDescent="0.25">
      <c r="A5" s="16" t="s">
        <v>711</v>
      </c>
      <c r="B5">
        <v>177919.81969999999</v>
      </c>
      <c r="C5">
        <v>258674.92591000002</v>
      </c>
      <c r="D5">
        <v>229217.47858</v>
      </c>
      <c r="E5">
        <v>292716.95204</v>
      </c>
      <c r="F5">
        <v>958529.17622999998</v>
      </c>
    </row>
    <row r="6" spans="1:6" x14ac:dyDescent="0.25">
      <c r="A6" s="16" t="s">
        <v>710</v>
      </c>
      <c r="B6">
        <v>192042.35206999999</v>
      </c>
      <c r="C6">
        <v>175298.68431999997</v>
      </c>
      <c r="D6">
        <v>151146.74599000002</v>
      </c>
      <c r="E6">
        <v>105550.85220000002</v>
      </c>
      <c r="F6">
        <v>624038.63458000007</v>
      </c>
    </row>
    <row r="7" spans="1:6" x14ac:dyDescent="0.25">
      <c r="A7" s="16" t="s">
        <v>709</v>
      </c>
      <c r="B7">
        <v>164839.30455999999</v>
      </c>
      <c r="C7">
        <v>96609.647519999999</v>
      </c>
      <c r="D7">
        <v>128045.00806000001</v>
      </c>
      <c r="E7">
        <v>111692.81024999999</v>
      </c>
      <c r="F7">
        <v>501186.77038999996</v>
      </c>
    </row>
    <row r="8" spans="1:6" x14ac:dyDescent="0.25">
      <c r="A8" s="16" t="s">
        <v>708</v>
      </c>
      <c r="B8">
        <v>145453.94626999996</v>
      </c>
      <c r="C8">
        <v>261943.84436999995</v>
      </c>
      <c r="D8">
        <v>149042.38968999998</v>
      </c>
      <c r="E8">
        <v>200067.16276999997</v>
      </c>
      <c r="F8">
        <v>756507.34309999982</v>
      </c>
    </row>
    <row r="9" spans="1:6" x14ac:dyDescent="0.25">
      <c r="A9" s="16" t="s">
        <v>707</v>
      </c>
      <c r="B9">
        <v>141171.08466999998</v>
      </c>
      <c r="C9">
        <v>69035.709220000004</v>
      </c>
      <c r="D9">
        <v>153258.55984000003</v>
      </c>
      <c r="E9">
        <v>151779.17228999996</v>
      </c>
      <c r="F9">
        <v>515244.52601999993</v>
      </c>
    </row>
    <row r="10" spans="1:6" x14ac:dyDescent="0.25">
      <c r="A10" s="16" t="s">
        <v>1418</v>
      </c>
      <c r="B10">
        <v>16237.344229999999</v>
      </c>
      <c r="C10">
        <v>777.95999999999913</v>
      </c>
      <c r="D10">
        <v>20547.545489999997</v>
      </c>
      <c r="E10">
        <v>8028.7064599999994</v>
      </c>
      <c r="F10">
        <v>45591.55618</v>
      </c>
    </row>
    <row r="11" spans="1:6" x14ac:dyDescent="0.25">
      <c r="A11" s="16" t="s">
        <v>1434</v>
      </c>
      <c r="B11">
        <v>837663.85149999999</v>
      </c>
      <c r="C11">
        <v>862340.77133999986</v>
      </c>
      <c r="D11">
        <v>831257.72765000013</v>
      </c>
      <c r="E11">
        <v>869835.65601000004</v>
      </c>
      <c r="F11">
        <v>3401098.0064999997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B969-C82E-4C25-A6A5-67A225C22720}">
  <dimension ref="A3:B635"/>
  <sheetViews>
    <sheetView workbookViewId="0">
      <selection activeCell="L15" sqref="L15"/>
    </sheetView>
  </sheetViews>
  <sheetFormatPr defaultRowHeight="15" x14ac:dyDescent="0.25"/>
  <cols>
    <col min="1" max="1" width="13.140625" bestFit="1" customWidth="1"/>
    <col min="2" max="2" width="20.7109375" style="6" bestFit="1" customWidth="1"/>
  </cols>
  <sheetData>
    <row r="3" spans="1:2" x14ac:dyDescent="0.25">
      <c r="A3" s="15" t="s">
        <v>1432</v>
      </c>
      <c r="B3" s="6" t="s">
        <v>1474</v>
      </c>
    </row>
    <row r="4" spans="1:2" x14ac:dyDescent="0.25">
      <c r="A4" s="16" t="s">
        <v>971</v>
      </c>
      <c r="B4" s="6">
        <v>139277.83032000001</v>
      </c>
    </row>
    <row r="5" spans="1:2" x14ac:dyDescent="0.25">
      <c r="A5" s="16" t="s">
        <v>781</v>
      </c>
      <c r="B5" s="6">
        <v>109244</v>
      </c>
    </row>
    <row r="6" spans="1:2" x14ac:dyDescent="0.25">
      <c r="A6" s="16" t="s">
        <v>1155</v>
      </c>
      <c r="B6" s="6">
        <v>102122.94203999999</v>
      </c>
    </row>
    <row r="7" spans="1:2" x14ac:dyDescent="0.25">
      <c r="A7" s="16" t="s">
        <v>909</v>
      </c>
      <c r="B7" s="6">
        <v>92715.25</v>
      </c>
    </row>
    <row r="8" spans="1:2" x14ac:dyDescent="0.25">
      <c r="A8" s="16" t="s">
        <v>874</v>
      </c>
      <c r="B8" s="6">
        <v>87404.929919999995</v>
      </c>
    </row>
    <row r="9" spans="1:2" x14ac:dyDescent="0.25">
      <c r="A9" s="16" t="s">
        <v>899</v>
      </c>
      <c r="B9" s="6">
        <v>85637.740319999997</v>
      </c>
    </row>
    <row r="10" spans="1:2" x14ac:dyDescent="0.25">
      <c r="A10" s="16" t="s">
        <v>1198</v>
      </c>
      <c r="B10" s="6">
        <v>84136.119600000005</v>
      </c>
    </row>
    <row r="11" spans="1:2" x14ac:dyDescent="0.25">
      <c r="A11" s="16" t="s">
        <v>1096</v>
      </c>
      <c r="B11" s="6">
        <v>82514.711519999997</v>
      </c>
    </row>
    <row r="12" spans="1:2" x14ac:dyDescent="0.25">
      <c r="A12" s="16" t="s">
        <v>1345</v>
      </c>
      <c r="B12" s="6">
        <v>82141.339799999987</v>
      </c>
    </row>
    <row r="13" spans="1:2" x14ac:dyDescent="0.25">
      <c r="A13" s="16" t="s">
        <v>1010</v>
      </c>
      <c r="B13" s="6">
        <v>79548.755999999994</v>
      </c>
    </row>
    <row r="14" spans="1:2" x14ac:dyDescent="0.25">
      <c r="A14" s="16" t="s">
        <v>1434</v>
      </c>
      <c r="B14" s="6">
        <v>944743.61951999995</v>
      </c>
    </row>
    <row r="15" spans="1:2" x14ac:dyDescent="0.25">
      <c r="B15"/>
    </row>
    <row r="16" spans="1:2" x14ac:dyDescent="0.25">
      <c r="B16"/>
    </row>
    <row r="17" spans="2:2" x14ac:dyDescent="0.25">
      <c r="B17"/>
    </row>
    <row r="18" spans="2:2" x14ac:dyDescent="0.25">
      <c r="B18"/>
    </row>
    <row r="19" spans="2:2" x14ac:dyDescent="0.25">
      <c r="B19"/>
    </row>
    <row r="20" spans="2:2" x14ac:dyDescent="0.25">
      <c r="B20"/>
    </row>
    <row r="21" spans="2:2" x14ac:dyDescent="0.25">
      <c r="B21"/>
    </row>
    <row r="22" spans="2:2" x14ac:dyDescent="0.25">
      <c r="B22"/>
    </row>
    <row r="23" spans="2:2" x14ac:dyDescent="0.25">
      <c r="B23"/>
    </row>
    <row r="24" spans="2:2" x14ac:dyDescent="0.25">
      <c r="B24"/>
    </row>
    <row r="25" spans="2:2" x14ac:dyDescent="0.25">
      <c r="B25"/>
    </row>
    <row r="26" spans="2:2" x14ac:dyDescent="0.25">
      <c r="B26"/>
    </row>
    <row r="27" spans="2:2" x14ac:dyDescent="0.25">
      <c r="B27"/>
    </row>
    <row r="28" spans="2:2" x14ac:dyDescent="0.25">
      <c r="B28"/>
    </row>
    <row r="29" spans="2:2" x14ac:dyDescent="0.25">
      <c r="B29"/>
    </row>
    <row r="30" spans="2:2" x14ac:dyDescent="0.25">
      <c r="B30"/>
    </row>
    <row r="31" spans="2:2" x14ac:dyDescent="0.25">
      <c r="B31"/>
    </row>
    <row r="32" spans="2:2"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row r="41" spans="2:2" x14ac:dyDescent="0.25">
      <c r="B41"/>
    </row>
    <row r="42" spans="2:2" x14ac:dyDescent="0.25">
      <c r="B42"/>
    </row>
    <row r="43" spans="2:2" x14ac:dyDescent="0.25">
      <c r="B43"/>
    </row>
    <row r="44" spans="2:2" x14ac:dyDescent="0.25">
      <c r="B44"/>
    </row>
    <row r="45" spans="2:2" x14ac:dyDescent="0.25">
      <c r="B45"/>
    </row>
    <row r="46" spans="2:2" x14ac:dyDescent="0.25">
      <c r="B46"/>
    </row>
    <row r="47" spans="2:2" x14ac:dyDescent="0.25">
      <c r="B47"/>
    </row>
    <row r="48" spans="2:2" x14ac:dyDescent="0.25">
      <c r="B48"/>
    </row>
    <row r="49" spans="2:2" x14ac:dyDescent="0.25">
      <c r="B49"/>
    </row>
    <row r="50" spans="2:2" x14ac:dyDescent="0.25">
      <c r="B50"/>
    </row>
    <row r="51" spans="2:2" x14ac:dyDescent="0.25">
      <c r="B51"/>
    </row>
    <row r="52" spans="2:2" x14ac:dyDescent="0.25">
      <c r="B52"/>
    </row>
    <row r="53" spans="2:2" x14ac:dyDescent="0.25">
      <c r="B53"/>
    </row>
    <row r="54" spans="2:2" x14ac:dyDescent="0.25">
      <c r="B54"/>
    </row>
    <row r="55" spans="2:2" x14ac:dyDescent="0.25">
      <c r="B55"/>
    </row>
    <row r="56" spans="2:2" x14ac:dyDescent="0.25">
      <c r="B56"/>
    </row>
    <row r="57" spans="2:2" x14ac:dyDescent="0.25">
      <c r="B57"/>
    </row>
    <row r="58" spans="2:2" x14ac:dyDescent="0.25">
      <c r="B58"/>
    </row>
    <row r="59" spans="2:2" x14ac:dyDescent="0.25">
      <c r="B59"/>
    </row>
    <row r="60" spans="2:2" x14ac:dyDescent="0.25">
      <c r="B60"/>
    </row>
    <row r="61" spans="2:2" x14ac:dyDescent="0.25">
      <c r="B61"/>
    </row>
    <row r="62" spans="2:2" x14ac:dyDescent="0.25">
      <c r="B62"/>
    </row>
    <row r="63" spans="2:2" x14ac:dyDescent="0.25">
      <c r="B63"/>
    </row>
    <row r="64" spans="2:2"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x14ac:dyDescent="0.25">
      <c r="B158"/>
    </row>
    <row r="159" spans="2:2" x14ac:dyDescent="0.25">
      <c r="B159"/>
    </row>
    <row r="160" spans="2:2" x14ac:dyDescent="0.25">
      <c r="B160"/>
    </row>
    <row r="161" spans="2:2" x14ac:dyDescent="0.25">
      <c r="B161"/>
    </row>
    <row r="162" spans="2:2" x14ac:dyDescent="0.25">
      <c r="B162"/>
    </row>
    <row r="163" spans="2:2" x14ac:dyDescent="0.25">
      <c r="B163"/>
    </row>
    <row r="164" spans="2:2" x14ac:dyDescent="0.25">
      <c r="B164"/>
    </row>
    <row r="165" spans="2:2" x14ac:dyDescent="0.25">
      <c r="B165"/>
    </row>
    <row r="166" spans="2:2" x14ac:dyDescent="0.25">
      <c r="B166"/>
    </row>
    <row r="167" spans="2:2" x14ac:dyDescent="0.25">
      <c r="B167"/>
    </row>
    <row r="168" spans="2:2" x14ac:dyDescent="0.25">
      <c r="B168"/>
    </row>
    <row r="169" spans="2:2" x14ac:dyDescent="0.25">
      <c r="B169"/>
    </row>
    <row r="170" spans="2:2" x14ac:dyDescent="0.25">
      <c r="B170"/>
    </row>
    <row r="171" spans="2:2" x14ac:dyDescent="0.25">
      <c r="B171"/>
    </row>
    <row r="172" spans="2:2" x14ac:dyDescent="0.25">
      <c r="B172"/>
    </row>
    <row r="173" spans="2:2" x14ac:dyDescent="0.25">
      <c r="B173"/>
    </row>
    <row r="174" spans="2:2" x14ac:dyDescent="0.25">
      <c r="B174"/>
    </row>
    <row r="175" spans="2:2" x14ac:dyDescent="0.25">
      <c r="B175"/>
    </row>
    <row r="176" spans="2:2" x14ac:dyDescent="0.25">
      <c r="B176"/>
    </row>
    <row r="177" spans="2:2" x14ac:dyDescent="0.25">
      <c r="B177"/>
    </row>
    <row r="178" spans="2:2" x14ac:dyDescent="0.25">
      <c r="B178"/>
    </row>
    <row r="179" spans="2:2" x14ac:dyDescent="0.25">
      <c r="B179"/>
    </row>
    <row r="180" spans="2:2" x14ac:dyDescent="0.25">
      <c r="B180"/>
    </row>
    <row r="181" spans="2:2" x14ac:dyDescent="0.25">
      <c r="B181"/>
    </row>
    <row r="182" spans="2:2" x14ac:dyDescent="0.25">
      <c r="B182"/>
    </row>
    <row r="183" spans="2:2" x14ac:dyDescent="0.25">
      <c r="B183"/>
    </row>
    <row r="184" spans="2:2" x14ac:dyDescent="0.25">
      <c r="B184"/>
    </row>
    <row r="185" spans="2:2" x14ac:dyDescent="0.25">
      <c r="B185"/>
    </row>
    <row r="186" spans="2:2" x14ac:dyDescent="0.25">
      <c r="B186"/>
    </row>
    <row r="187" spans="2:2" x14ac:dyDescent="0.25">
      <c r="B187"/>
    </row>
    <row r="188" spans="2:2" x14ac:dyDescent="0.25">
      <c r="B188"/>
    </row>
    <row r="189" spans="2:2" x14ac:dyDescent="0.25">
      <c r="B189"/>
    </row>
    <row r="190" spans="2:2" x14ac:dyDescent="0.25">
      <c r="B190"/>
    </row>
    <row r="191" spans="2:2" x14ac:dyDescent="0.25">
      <c r="B191"/>
    </row>
    <row r="192" spans="2:2" x14ac:dyDescent="0.25">
      <c r="B192"/>
    </row>
    <row r="193" spans="2:2" x14ac:dyDescent="0.25">
      <c r="B193"/>
    </row>
    <row r="194" spans="2:2" x14ac:dyDescent="0.25">
      <c r="B194"/>
    </row>
    <row r="195" spans="2:2" x14ac:dyDescent="0.25">
      <c r="B195"/>
    </row>
    <row r="196" spans="2:2" x14ac:dyDescent="0.25">
      <c r="B196"/>
    </row>
    <row r="197" spans="2:2" x14ac:dyDescent="0.25">
      <c r="B197"/>
    </row>
    <row r="198" spans="2:2" x14ac:dyDescent="0.25">
      <c r="B198"/>
    </row>
    <row r="199" spans="2:2" x14ac:dyDescent="0.25">
      <c r="B199"/>
    </row>
    <row r="200" spans="2:2" x14ac:dyDescent="0.25">
      <c r="B200"/>
    </row>
    <row r="201" spans="2:2" x14ac:dyDescent="0.25">
      <c r="B201"/>
    </row>
    <row r="202" spans="2:2" x14ac:dyDescent="0.25">
      <c r="B202"/>
    </row>
    <row r="203" spans="2:2" x14ac:dyDescent="0.25">
      <c r="B203"/>
    </row>
    <row r="204" spans="2:2" x14ac:dyDescent="0.25">
      <c r="B204"/>
    </row>
    <row r="205" spans="2:2" x14ac:dyDescent="0.25">
      <c r="B205"/>
    </row>
    <row r="206" spans="2:2" x14ac:dyDescent="0.25">
      <c r="B206"/>
    </row>
    <row r="207" spans="2:2" x14ac:dyDescent="0.25">
      <c r="B207"/>
    </row>
    <row r="208" spans="2:2" x14ac:dyDescent="0.25">
      <c r="B208"/>
    </row>
    <row r="209" spans="2:2" x14ac:dyDescent="0.25">
      <c r="B209"/>
    </row>
    <row r="210" spans="2:2" x14ac:dyDescent="0.25">
      <c r="B210"/>
    </row>
    <row r="211" spans="2:2" x14ac:dyDescent="0.25">
      <c r="B211"/>
    </row>
    <row r="212" spans="2:2" x14ac:dyDescent="0.25">
      <c r="B212"/>
    </row>
    <row r="213" spans="2:2" x14ac:dyDescent="0.25">
      <c r="B213"/>
    </row>
    <row r="214" spans="2:2" x14ac:dyDescent="0.25">
      <c r="B214"/>
    </row>
    <row r="215" spans="2:2" x14ac:dyDescent="0.25">
      <c r="B215"/>
    </row>
    <row r="216" spans="2:2" x14ac:dyDescent="0.25">
      <c r="B216"/>
    </row>
    <row r="217" spans="2:2" x14ac:dyDescent="0.25">
      <c r="B217"/>
    </row>
    <row r="218" spans="2:2" x14ac:dyDescent="0.25">
      <c r="B218"/>
    </row>
    <row r="219" spans="2:2" x14ac:dyDescent="0.25">
      <c r="B219"/>
    </row>
    <row r="220" spans="2:2" x14ac:dyDescent="0.25">
      <c r="B220"/>
    </row>
    <row r="221" spans="2:2" x14ac:dyDescent="0.25">
      <c r="B221"/>
    </row>
    <row r="222" spans="2:2" x14ac:dyDescent="0.25">
      <c r="B222"/>
    </row>
    <row r="223" spans="2:2" x14ac:dyDescent="0.25">
      <c r="B223"/>
    </row>
    <row r="224" spans="2:2" x14ac:dyDescent="0.25">
      <c r="B224"/>
    </row>
    <row r="225" spans="2:2" x14ac:dyDescent="0.25">
      <c r="B225"/>
    </row>
    <row r="226" spans="2:2" x14ac:dyDescent="0.25">
      <c r="B226"/>
    </row>
    <row r="227" spans="2:2" x14ac:dyDescent="0.25">
      <c r="B227"/>
    </row>
    <row r="228" spans="2:2" x14ac:dyDescent="0.25">
      <c r="B228"/>
    </row>
    <row r="229" spans="2:2" x14ac:dyDescent="0.25">
      <c r="B229"/>
    </row>
    <row r="230" spans="2:2" x14ac:dyDescent="0.25">
      <c r="B230"/>
    </row>
    <row r="231" spans="2:2" x14ac:dyDescent="0.25">
      <c r="B231"/>
    </row>
    <row r="232" spans="2:2" x14ac:dyDescent="0.25">
      <c r="B232"/>
    </row>
    <row r="233" spans="2:2" x14ac:dyDescent="0.25">
      <c r="B233"/>
    </row>
    <row r="234" spans="2:2" x14ac:dyDescent="0.25">
      <c r="B234"/>
    </row>
    <row r="235" spans="2:2" x14ac:dyDescent="0.25">
      <c r="B235"/>
    </row>
    <row r="236" spans="2:2" x14ac:dyDescent="0.25">
      <c r="B236"/>
    </row>
    <row r="237" spans="2:2" x14ac:dyDescent="0.25">
      <c r="B237"/>
    </row>
    <row r="238" spans="2:2" x14ac:dyDescent="0.25">
      <c r="B238"/>
    </row>
    <row r="239" spans="2:2" x14ac:dyDescent="0.25">
      <c r="B239"/>
    </row>
    <row r="240" spans="2:2" x14ac:dyDescent="0.25">
      <c r="B240"/>
    </row>
    <row r="241" spans="2:2" x14ac:dyDescent="0.25">
      <c r="B241"/>
    </row>
    <row r="242" spans="2:2" x14ac:dyDescent="0.25">
      <c r="B242"/>
    </row>
    <row r="243" spans="2:2" x14ac:dyDescent="0.25">
      <c r="B243"/>
    </row>
    <row r="244" spans="2:2" x14ac:dyDescent="0.25">
      <c r="B244"/>
    </row>
    <row r="245" spans="2:2" x14ac:dyDescent="0.25">
      <c r="B245"/>
    </row>
    <row r="246" spans="2:2" x14ac:dyDescent="0.25">
      <c r="B246"/>
    </row>
    <row r="247" spans="2:2" x14ac:dyDescent="0.25">
      <c r="B247"/>
    </row>
    <row r="248" spans="2:2" x14ac:dyDescent="0.25">
      <c r="B248"/>
    </row>
    <row r="249" spans="2:2" x14ac:dyDescent="0.25">
      <c r="B249"/>
    </row>
    <row r="250" spans="2:2" x14ac:dyDescent="0.25">
      <c r="B250"/>
    </row>
    <row r="251" spans="2:2" x14ac:dyDescent="0.25">
      <c r="B251"/>
    </row>
    <row r="252" spans="2:2" x14ac:dyDescent="0.25">
      <c r="B252"/>
    </row>
    <row r="253" spans="2:2" x14ac:dyDescent="0.25">
      <c r="B253"/>
    </row>
    <row r="254" spans="2:2" x14ac:dyDescent="0.25">
      <c r="B254"/>
    </row>
    <row r="255" spans="2:2" x14ac:dyDescent="0.25">
      <c r="B255"/>
    </row>
    <row r="256" spans="2:2" x14ac:dyDescent="0.25">
      <c r="B256"/>
    </row>
    <row r="257" spans="2:2" x14ac:dyDescent="0.25">
      <c r="B257"/>
    </row>
    <row r="258" spans="2:2" x14ac:dyDescent="0.25">
      <c r="B258"/>
    </row>
    <row r="259" spans="2:2" x14ac:dyDescent="0.25">
      <c r="B259"/>
    </row>
    <row r="260" spans="2:2" x14ac:dyDescent="0.25">
      <c r="B260"/>
    </row>
    <row r="261" spans="2:2" x14ac:dyDescent="0.25">
      <c r="B261"/>
    </row>
    <row r="262" spans="2:2" x14ac:dyDescent="0.25">
      <c r="B262"/>
    </row>
    <row r="263" spans="2:2" x14ac:dyDescent="0.25">
      <c r="B263"/>
    </row>
    <row r="264" spans="2:2" x14ac:dyDescent="0.25">
      <c r="B264"/>
    </row>
    <row r="265" spans="2:2" x14ac:dyDescent="0.25">
      <c r="B265"/>
    </row>
    <row r="266" spans="2:2" x14ac:dyDescent="0.25">
      <c r="B266"/>
    </row>
    <row r="267" spans="2:2" x14ac:dyDescent="0.25">
      <c r="B267"/>
    </row>
    <row r="268" spans="2:2" x14ac:dyDescent="0.25">
      <c r="B268"/>
    </row>
    <row r="269" spans="2:2" x14ac:dyDescent="0.25">
      <c r="B269"/>
    </row>
    <row r="270" spans="2:2" x14ac:dyDescent="0.25">
      <c r="B270"/>
    </row>
    <row r="271" spans="2:2" x14ac:dyDescent="0.25">
      <c r="B271"/>
    </row>
    <row r="272" spans="2:2" x14ac:dyDescent="0.25">
      <c r="B272"/>
    </row>
    <row r="273" spans="2:2" x14ac:dyDescent="0.25">
      <c r="B273"/>
    </row>
    <row r="274" spans="2:2" x14ac:dyDescent="0.25">
      <c r="B274"/>
    </row>
    <row r="275" spans="2:2" x14ac:dyDescent="0.25">
      <c r="B275"/>
    </row>
    <row r="276" spans="2:2" x14ac:dyDescent="0.25">
      <c r="B276"/>
    </row>
    <row r="277" spans="2:2" x14ac:dyDescent="0.25">
      <c r="B277"/>
    </row>
    <row r="278" spans="2:2" x14ac:dyDescent="0.25">
      <c r="B278"/>
    </row>
    <row r="279" spans="2:2" x14ac:dyDescent="0.25">
      <c r="B279"/>
    </row>
    <row r="280" spans="2:2" x14ac:dyDescent="0.25">
      <c r="B280"/>
    </row>
    <row r="281" spans="2:2" x14ac:dyDescent="0.25">
      <c r="B281"/>
    </row>
    <row r="282" spans="2:2" x14ac:dyDescent="0.25">
      <c r="B282"/>
    </row>
    <row r="283" spans="2:2" x14ac:dyDescent="0.25">
      <c r="B283"/>
    </row>
    <row r="284" spans="2:2" x14ac:dyDescent="0.25">
      <c r="B284"/>
    </row>
    <row r="285" spans="2:2" x14ac:dyDescent="0.25">
      <c r="B285"/>
    </row>
    <row r="286" spans="2:2" x14ac:dyDescent="0.25">
      <c r="B286"/>
    </row>
    <row r="287" spans="2:2" x14ac:dyDescent="0.25">
      <c r="B287"/>
    </row>
    <row r="288" spans="2:2" x14ac:dyDescent="0.25">
      <c r="B288"/>
    </row>
    <row r="289" spans="2:2" x14ac:dyDescent="0.25">
      <c r="B289"/>
    </row>
    <row r="290" spans="2:2" x14ac:dyDescent="0.25">
      <c r="B290"/>
    </row>
    <row r="291" spans="2:2" x14ac:dyDescent="0.25">
      <c r="B291"/>
    </row>
    <row r="292" spans="2:2" x14ac:dyDescent="0.25">
      <c r="B292"/>
    </row>
    <row r="293" spans="2:2" x14ac:dyDescent="0.25">
      <c r="B293"/>
    </row>
    <row r="294" spans="2:2" x14ac:dyDescent="0.25">
      <c r="B294"/>
    </row>
    <row r="295" spans="2:2" x14ac:dyDescent="0.25">
      <c r="B295"/>
    </row>
    <row r="296" spans="2:2" x14ac:dyDescent="0.25">
      <c r="B296"/>
    </row>
    <row r="297" spans="2:2" x14ac:dyDescent="0.25">
      <c r="B297"/>
    </row>
    <row r="298" spans="2:2" x14ac:dyDescent="0.25">
      <c r="B298"/>
    </row>
    <row r="299" spans="2:2" x14ac:dyDescent="0.25">
      <c r="B299"/>
    </row>
    <row r="300" spans="2:2" x14ac:dyDescent="0.25">
      <c r="B300"/>
    </row>
    <row r="301" spans="2:2" x14ac:dyDescent="0.25">
      <c r="B301"/>
    </row>
    <row r="302" spans="2:2" x14ac:dyDescent="0.25">
      <c r="B302"/>
    </row>
    <row r="303" spans="2:2" x14ac:dyDescent="0.25">
      <c r="B303"/>
    </row>
    <row r="304" spans="2:2" x14ac:dyDescent="0.25">
      <c r="B304"/>
    </row>
    <row r="305" spans="2:2" x14ac:dyDescent="0.25">
      <c r="B305"/>
    </row>
    <row r="306" spans="2:2" x14ac:dyDescent="0.25">
      <c r="B306"/>
    </row>
    <row r="307" spans="2:2" x14ac:dyDescent="0.25">
      <c r="B307"/>
    </row>
    <row r="308" spans="2:2" x14ac:dyDescent="0.25">
      <c r="B308"/>
    </row>
    <row r="309" spans="2:2" x14ac:dyDescent="0.25">
      <c r="B309"/>
    </row>
    <row r="310" spans="2:2" x14ac:dyDescent="0.25">
      <c r="B310"/>
    </row>
    <row r="311" spans="2:2" x14ac:dyDescent="0.25">
      <c r="B311"/>
    </row>
    <row r="312" spans="2:2" x14ac:dyDescent="0.25">
      <c r="B312"/>
    </row>
    <row r="313" spans="2:2" x14ac:dyDescent="0.25">
      <c r="B313"/>
    </row>
    <row r="314" spans="2:2" x14ac:dyDescent="0.25">
      <c r="B314"/>
    </row>
    <row r="315" spans="2:2" x14ac:dyDescent="0.25">
      <c r="B315"/>
    </row>
    <row r="316" spans="2:2" x14ac:dyDescent="0.25">
      <c r="B316"/>
    </row>
    <row r="317" spans="2:2" x14ac:dyDescent="0.25">
      <c r="B317"/>
    </row>
    <row r="318" spans="2:2" x14ac:dyDescent="0.25">
      <c r="B318"/>
    </row>
    <row r="319" spans="2:2" x14ac:dyDescent="0.25">
      <c r="B319"/>
    </row>
    <row r="320" spans="2:2" x14ac:dyDescent="0.25">
      <c r="B320"/>
    </row>
    <row r="321" spans="2:2" x14ac:dyDescent="0.25">
      <c r="B321"/>
    </row>
    <row r="322" spans="2:2" x14ac:dyDescent="0.25">
      <c r="B322"/>
    </row>
    <row r="323" spans="2:2" x14ac:dyDescent="0.25">
      <c r="B323"/>
    </row>
    <row r="324" spans="2:2" x14ac:dyDescent="0.25">
      <c r="B324"/>
    </row>
    <row r="325" spans="2:2" x14ac:dyDescent="0.25">
      <c r="B325"/>
    </row>
    <row r="326" spans="2:2" x14ac:dyDescent="0.25">
      <c r="B326"/>
    </row>
    <row r="327" spans="2:2" x14ac:dyDescent="0.25">
      <c r="B327"/>
    </row>
    <row r="328" spans="2:2" x14ac:dyDescent="0.25">
      <c r="B328"/>
    </row>
    <row r="329" spans="2:2" x14ac:dyDescent="0.25">
      <c r="B329"/>
    </row>
    <row r="330" spans="2:2" x14ac:dyDescent="0.25">
      <c r="B330"/>
    </row>
    <row r="331" spans="2:2" x14ac:dyDescent="0.25">
      <c r="B331"/>
    </row>
    <row r="332" spans="2:2" x14ac:dyDescent="0.25">
      <c r="B332"/>
    </row>
    <row r="333" spans="2:2" x14ac:dyDescent="0.25">
      <c r="B333"/>
    </row>
    <row r="334" spans="2:2" x14ac:dyDescent="0.25">
      <c r="B334"/>
    </row>
    <row r="335" spans="2:2" x14ac:dyDescent="0.25">
      <c r="B335"/>
    </row>
    <row r="336" spans="2:2" x14ac:dyDescent="0.25">
      <c r="B336"/>
    </row>
    <row r="337" spans="2:2" x14ac:dyDescent="0.25">
      <c r="B337"/>
    </row>
    <row r="338" spans="2:2" x14ac:dyDescent="0.25">
      <c r="B338"/>
    </row>
    <row r="339" spans="2:2" x14ac:dyDescent="0.25">
      <c r="B339"/>
    </row>
    <row r="340" spans="2:2" x14ac:dyDescent="0.25">
      <c r="B340"/>
    </row>
    <row r="341" spans="2:2" x14ac:dyDescent="0.25">
      <c r="B341"/>
    </row>
    <row r="342" spans="2:2" x14ac:dyDescent="0.25">
      <c r="B342"/>
    </row>
    <row r="343" spans="2:2" x14ac:dyDescent="0.25">
      <c r="B343"/>
    </row>
    <row r="344" spans="2:2" x14ac:dyDescent="0.25">
      <c r="B344"/>
    </row>
    <row r="345" spans="2:2" x14ac:dyDescent="0.25">
      <c r="B345"/>
    </row>
    <row r="346" spans="2:2" x14ac:dyDescent="0.25">
      <c r="B346"/>
    </row>
    <row r="347" spans="2:2" x14ac:dyDescent="0.25">
      <c r="B347"/>
    </row>
    <row r="348" spans="2:2" x14ac:dyDescent="0.25">
      <c r="B348"/>
    </row>
    <row r="349" spans="2:2" x14ac:dyDescent="0.25">
      <c r="B349"/>
    </row>
    <row r="350" spans="2:2" x14ac:dyDescent="0.25">
      <c r="B350"/>
    </row>
    <row r="351" spans="2:2" x14ac:dyDescent="0.25">
      <c r="B351"/>
    </row>
    <row r="352" spans="2:2" x14ac:dyDescent="0.25">
      <c r="B352"/>
    </row>
    <row r="353" spans="2:2" x14ac:dyDescent="0.25">
      <c r="B353"/>
    </row>
    <row r="354" spans="2:2" x14ac:dyDescent="0.25">
      <c r="B354"/>
    </row>
    <row r="355" spans="2:2" x14ac:dyDescent="0.25">
      <c r="B355"/>
    </row>
    <row r="356" spans="2:2" x14ac:dyDescent="0.25">
      <c r="B356"/>
    </row>
    <row r="357" spans="2:2" x14ac:dyDescent="0.25">
      <c r="B357"/>
    </row>
    <row r="358" spans="2:2" x14ac:dyDescent="0.25">
      <c r="B358"/>
    </row>
    <row r="359" spans="2:2" x14ac:dyDescent="0.25">
      <c r="B359"/>
    </row>
    <row r="360" spans="2:2" x14ac:dyDescent="0.25">
      <c r="B360"/>
    </row>
    <row r="361" spans="2:2" x14ac:dyDescent="0.25">
      <c r="B361"/>
    </row>
    <row r="362" spans="2:2" x14ac:dyDescent="0.25">
      <c r="B362"/>
    </row>
    <row r="363" spans="2:2" x14ac:dyDescent="0.25">
      <c r="B363"/>
    </row>
    <row r="364" spans="2:2" x14ac:dyDescent="0.25">
      <c r="B364"/>
    </row>
    <row r="365" spans="2:2" x14ac:dyDescent="0.25">
      <c r="B365"/>
    </row>
    <row r="366" spans="2:2" x14ac:dyDescent="0.25">
      <c r="B366"/>
    </row>
    <row r="367" spans="2:2" x14ac:dyDescent="0.25">
      <c r="B367"/>
    </row>
    <row r="368" spans="2:2" x14ac:dyDescent="0.25">
      <c r="B368"/>
    </row>
    <row r="369" spans="2:2" x14ac:dyDescent="0.25">
      <c r="B369"/>
    </row>
    <row r="370" spans="2:2" x14ac:dyDescent="0.25">
      <c r="B370"/>
    </row>
    <row r="371" spans="2:2" x14ac:dyDescent="0.25">
      <c r="B371"/>
    </row>
    <row r="372" spans="2:2" x14ac:dyDescent="0.25">
      <c r="B372"/>
    </row>
    <row r="373" spans="2:2" x14ac:dyDescent="0.25">
      <c r="B373"/>
    </row>
    <row r="374" spans="2:2" x14ac:dyDescent="0.25">
      <c r="B374"/>
    </row>
    <row r="375" spans="2:2" x14ac:dyDescent="0.25">
      <c r="B375"/>
    </row>
    <row r="376" spans="2:2" x14ac:dyDescent="0.25">
      <c r="B376"/>
    </row>
    <row r="377" spans="2:2" x14ac:dyDescent="0.25">
      <c r="B377"/>
    </row>
    <row r="378" spans="2:2" x14ac:dyDescent="0.25">
      <c r="B378"/>
    </row>
    <row r="379" spans="2:2" x14ac:dyDescent="0.25">
      <c r="B379"/>
    </row>
    <row r="380" spans="2:2" x14ac:dyDescent="0.25">
      <c r="B380"/>
    </row>
    <row r="381" spans="2:2" x14ac:dyDescent="0.25">
      <c r="B381"/>
    </row>
    <row r="382" spans="2:2" x14ac:dyDescent="0.25">
      <c r="B382"/>
    </row>
    <row r="383" spans="2:2" x14ac:dyDescent="0.25">
      <c r="B383"/>
    </row>
    <row r="384" spans="2:2" x14ac:dyDescent="0.25">
      <c r="B384"/>
    </row>
    <row r="385" spans="2:2" x14ac:dyDescent="0.25">
      <c r="B385"/>
    </row>
    <row r="386" spans="2:2" x14ac:dyDescent="0.25">
      <c r="B386"/>
    </row>
    <row r="387" spans="2:2" x14ac:dyDescent="0.25">
      <c r="B387"/>
    </row>
    <row r="388" spans="2:2" x14ac:dyDescent="0.25">
      <c r="B388"/>
    </row>
    <row r="389" spans="2:2" x14ac:dyDescent="0.25">
      <c r="B389"/>
    </row>
    <row r="390" spans="2:2" x14ac:dyDescent="0.25">
      <c r="B390"/>
    </row>
    <row r="391" spans="2:2" x14ac:dyDescent="0.25">
      <c r="B391"/>
    </row>
    <row r="392" spans="2:2" x14ac:dyDescent="0.25">
      <c r="B392"/>
    </row>
    <row r="393" spans="2:2" x14ac:dyDescent="0.25">
      <c r="B393"/>
    </row>
    <row r="394" spans="2:2" x14ac:dyDescent="0.25">
      <c r="B394"/>
    </row>
    <row r="395" spans="2:2" x14ac:dyDescent="0.25">
      <c r="B395"/>
    </row>
    <row r="396" spans="2:2" x14ac:dyDescent="0.25">
      <c r="B396"/>
    </row>
    <row r="397" spans="2:2" x14ac:dyDescent="0.25">
      <c r="B397"/>
    </row>
    <row r="398" spans="2:2" x14ac:dyDescent="0.25">
      <c r="B398"/>
    </row>
    <row r="399" spans="2:2" x14ac:dyDescent="0.25">
      <c r="B399"/>
    </row>
    <row r="400" spans="2:2" x14ac:dyDescent="0.25">
      <c r="B400"/>
    </row>
    <row r="401" spans="2:2" x14ac:dyDescent="0.25">
      <c r="B401"/>
    </row>
    <row r="402" spans="2:2" x14ac:dyDescent="0.25">
      <c r="B402"/>
    </row>
    <row r="403" spans="2:2" x14ac:dyDescent="0.25">
      <c r="B403"/>
    </row>
    <row r="404" spans="2:2" x14ac:dyDescent="0.25">
      <c r="B404"/>
    </row>
    <row r="405" spans="2:2" x14ac:dyDescent="0.25">
      <c r="B405"/>
    </row>
    <row r="406" spans="2:2" x14ac:dyDescent="0.25">
      <c r="B406"/>
    </row>
    <row r="407" spans="2:2" x14ac:dyDescent="0.25">
      <c r="B407"/>
    </row>
    <row r="408" spans="2:2" x14ac:dyDescent="0.25">
      <c r="B408"/>
    </row>
    <row r="409" spans="2:2" x14ac:dyDescent="0.25">
      <c r="B409"/>
    </row>
    <row r="410" spans="2:2" x14ac:dyDescent="0.25">
      <c r="B410"/>
    </row>
    <row r="411" spans="2:2" x14ac:dyDescent="0.25">
      <c r="B411"/>
    </row>
    <row r="412" spans="2:2" x14ac:dyDescent="0.25">
      <c r="B412"/>
    </row>
    <row r="413" spans="2:2" x14ac:dyDescent="0.25">
      <c r="B413"/>
    </row>
    <row r="414" spans="2:2" x14ac:dyDescent="0.25">
      <c r="B414"/>
    </row>
    <row r="415" spans="2:2" x14ac:dyDescent="0.25">
      <c r="B415"/>
    </row>
    <row r="416" spans="2:2" x14ac:dyDescent="0.25">
      <c r="B416"/>
    </row>
    <row r="417" spans="2:2" x14ac:dyDescent="0.25">
      <c r="B417"/>
    </row>
    <row r="418" spans="2:2" x14ac:dyDescent="0.25">
      <c r="B418"/>
    </row>
    <row r="419" spans="2:2" x14ac:dyDescent="0.25">
      <c r="B419"/>
    </row>
    <row r="420" spans="2:2" x14ac:dyDescent="0.25">
      <c r="B420"/>
    </row>
    <row r="421" spans="2:2" x14ac:dyDescent="0.25">
      <c r="B421"/>
    </row>
    <row r="422" spans="2:2" x14ac:dyDescent="0.25">
      <c r="B422"/>
    </row>
    <row r="423" spans="2:2" x14ac:dyDescent="0.25">
      <c r="B423"/>
    </row>
    <row r="424" spans="2:2" x14ac:dyDescent="0.25">
      <c r="B424"/>
    </row>
    <row r="425" spans="2:2" x14ac:dyDescent="0.25">
      <c r="B425"/>
    </row>
    <row r="426" spans="2:2" x14ac:dyDescent="0.25">
      <c r="B426"/>
    </row>
    <row r="427" spans="2:2" x14ac:dyDescent="0.25">
      <c r="B427"/>
    </row>
    <row r="428" spans="2:2" x14ac:dyDescent="0.25">
      <c r="B428"/>
    </row>
    <row r="429" spans="2:2" x14ac:dyDescent="0.25">
      <c r="B429"/>
    </row>
    <row r="430" spans="2:2" x14ac:dyDescent="0.25">
      <c r="B430"/>
    </row>
    <row r="431" spans="2:2" x14ac:dyDescent="0.25">
      <c r="B431"/>
    </row>
    <row r="432" spans="2:2" x14ac:dyDescent="0.25">
      <c r="B432"/>
    </row>
    <row r="433" spans="2:2" x14ac:dyDescent="0.25">
      <c r="B433"/>
    </row>
    <row r="434" spans="2:2" x14ac:dyDescent="0.25">
      <c r="B434"/>
    </row>
    <row r="435" spans="2:2" x14ac:dyDescent="0.25">
      <c r="B435"/>
    </row>
    <row r="436" spans="2:2" x14ac:dyDescent="0.25">
      <c r="B436"/>
    </row>
    <row r="437" spans="2:2" x14ac:dyDescent="0.25">
      <c r="B437"/>
    </row>
    <row r="438" spans="2:2" x14ac:dyDescent="0.25">
      <c r="B438"/>
    </row>
    <row r="439" spans="2:2" x14ac:dyDescent="0.25">
      <c r="B439"/>
    </row>
    <row r="440" spans="2:2" x14ac:dyDescent="0.25">
      <c r="B440"/>
    </row>
    <row r="441" spans="2:2" x14ac:dyDescent="0.25">
      <c r="B441"/>
    </row>
    <row r="442" spans="2:2" x14ac:dyDescent="0.25">
      <c r="B442"/>
    </row>
    <row r="443" spans="2:2" x14ac:dyDescent="0.25">
      <c r="B443"/>
    </row>
    <row r="444" spans="2:2" x14ac:dyDescent="0.25">
      <c r="B444"/>
    </row>
    <row r="445" spans="2:2" x14ac:dyDescent="0.25">
      <c r="B445"/>
    </row>
    <row r="446" spans="2:2" x14ac:dyDescent="0.25">
      <c r="B446"/>
    </row>
    <row r="447" spans="2:2" x14ac:dyDescent="0.25">
      <c r="B447"/>
    </row>
    <row r="448" spans="2:2" x14ac:dyDescent="0.25">
      <c r="B448"/>
    </row>
    <row r="449" spans="2:2" x14ac:dyDescent="0.25">
      <c r="B449"/>
    </row>
    <row r="450" spans="2:2" x14ac:dyDescent="0.25">
      <c r="B450"/>
    </row>
    <row r="451" spans="2:2" x14ac:dyDescent="0.25">
      <c r="B451"/>
    </row>
    <row r="452" spans="2:2" x14ac:dyDescent="0.25">
      <c r="B452"/>
    </row>
    <row r="453" spans="2:2" x14ac:dyDescent="0.25">
      <c r="B453"/>
    </row>
    <row r="454" spans="2:2" x14ac:dyDescent="0.25">
      <c r="B454"/>
    </row>
    <row r="455" spans="2:2" x14ac:dyDescent="0.25">
      <c r="B455"/>
    </row>
    <row r="456" spans="2:2" x14ac:dyDescent="0.25">
      <c r="B456"/>
    </row>
    <row r="457" spans="2:2" x14ac:dyDescent="0.25">
      <c r="B457"/>
    </row>
    <row r="458" spans="2:2" x14ac:dyDescent="0.25">
      <c r="B458"/>
    </row>
    <row r="459" spans="2:2" x14ac:dyDescent="0.25">
      <c r="B459"/>
    </row>
    <row r="460" spans="2:2" x14ac:dyDescent="0.25">
      <c r="B460"/>
    </row>
    <row r="461" spans="2:2" x14ac:dyDescent="0.25">
      <c r="B461"/>
    </row>
    <row r="462" spans="2:2" x14ac:dyDescent="0.25">
      <c r="B462"/>
    </row>
    <row r="463" spans="2:2" x14ac:dyDescent="0.25">
      <c r="B463"/>
    </row>
    <row r="464" spans="2:2" x14ac:dyDescent="0.25">
      <c r="B464"/>
    </row>
    <row r="465" spans="2:2" x14ac:dyDescent="0.25">
      <c r="B465"/>
    </row>
    <row r="466" spans="2:2" x14ac:dyDescent="0.25">
      <c r="B466"/>
    </row>
    <row r="467" spans="2:2" x14ac:dyDescent="0.25">
      <c r="B467"/>
    </row>
    <row r="468" spans="2:2" x14ac:dyDescent="0.25">
      <c r="B468"/>
    </row>
    <row r="469" spans="2:2" x14ac:dyDescent="0.25">
      <c r="B469"/>
    </row>
    <row r="470" spans="2:2" x14ac:dyDescent="0.25">
      <c r="B470"/>
    </row>
    <row r="471" spans="2:2" x14ac:dyDescent="0.25">
      <c r="B471"/>
    </row>
    <row r="472" spans="2:2" x14ac:dyDescent="0.25">
      <c r="B472"/>
    </row>
    <row r="473" spans="2:2" x14ac:dyDescent="0.25">
      <c r="B473"/>
    </row>
    <row r="474" spans="2:2" x14ac:dyDescent="0.25">
      <c r="B474"/>
    </row>
    <row r="475" spans="2:2" x14ac:dyDescent="0.25">
      <c r="B475"/>
    </row>
    <row r="476" spans="2:2" x14ac:dyDescent="0.25">
      <c r="B476"/>
    </row>
    <row r="477" spans="2:2" x14ac:dyDescent="0.25">
      <c r="B477"/>
    </row>
    <row r="478" spans="2:2" x14ac:dyDescent="0.25">
      <c r="B478"/>
    </row>
    <row r="479" spans="2:2" x14ac:dyDescent="0.25">
      <c r="B479"/>
    </row>
    <row r="480" spans="2:2" x14ac:dyDescent="0.25">
      <c r="B480"/>
    </row>
    <row r="481" spans="2:2" x14ac:dyDescent="0.25">
      <c r="B481"/>
    </row>
    <row r="482" spans="2:2" x14ac:dyDescent="0.25">
      <c r="B482"/>
    </row>
    <row r="483" spans="2:2" x14ac:dyDescent="0.25">
      <c r="B483"/>
    </row>
    <row r="484" spans="2:2" x14ac:dyDescent="0.25">
      <c r="B484"/>
    </row>
    <row r="485" spans="2:2" x14ac:dyDescent="0.25">
      <c r="B485"/>
    </row>
    <row r="486" spans="2:2" x14ac:dyDescent="0.25">
      <c r="B486"/>
    </row>
    <row r="487" spans="2:2" x14ac:dyDescent="0.25">
      <c r="B487"/>
    </row>
    <row r="488" spans="2:2" x14ac:dyDescent="0.25">
      <c r="B488"/>
    </row>
    <row r="489" spans="2:2" x14ac:dyDescent="0.25">
      <c r="B489"/>
    </row>
    <row r="490" spans="2:2" x14ac:dyDescent="0.25">
      <c r="B490"/>
    </row>
    <row r="491" spans="2:2" x14ac:dyDescent="0.25">
      <c r="B491"/>
    </row>
    <row r="492" spans="2:2" x14ac:dyDescent="0.25">
      <c r="B492"/>
    </row>
    <row r="493" spans="2:2" x14ac:dyDescent="0.25">
      <c r="B493"/>
    </row>
    <row r="494" spans="2:2" x14ac:dyDescent="0.25">
      <c r="B494"/>
    </row>
    <row r="495" spans="2:2" x14ac:dyDescent="0.25">
      <c r="B495"/>
    </row>
    <row r="496" spans="2:2" x14ac:dyDescent="0.25">
      <c r="B496"/>
    </row>
    <row r="497" spans="2:2" x14ac:dyDescent="0.25">
      <c r="B497"/>
    </row>
    <row r="498" spans="2:2" x14ac:dyDescent="0.25">
      <c r="B498"/>
    </row>
    <row r="499" spans="2:2" x14ac:dyDescent="0.25">
      <c r="B499"/>
    </row>
    <row r="500" spans="2:2" x14ac:dyDescent="0.25">
      <c r="B500"/>
    </row>
    <row r="501" spans="2:2" x14ac:dyDescent="0.25">
      <c r="B501"/>
    </row>
    <row r="502" spans="2:2" x14ac:dyDescent="0.25">
      <c r="B502"/>
    </row>
    <row r="503" spans="2:2" x14ac:dyDescent="0.25">
      <c r="B503"/>
    </row>
    <row r="504" spans="2:2" x14ac:dyDescent="0.25">
      <c r="B504"/>
    </row>
    <row r="505" spans="2:2" x14ac:dyDescent="0.25">
      <c r="B505"/>
    </row>
    <row r="506" spans="2:2" x14ac:dyDescent="0.25">
      <c r="B506"/>
    </row>
    <row r="507" spans="2:2" x14ac:dyDescent="0.25">
      <c r="B507"/>
    </row>
    <row r="508" spans="2:2" x14ac:dyDescent="0.25">
      <c r="B508"/>
    </row>
    <row r="509" spans="2:2" x14ac:dyDescent="0.25">
      <c r="B509"/>
    </row>
    <row r="510" spans="2:2" x14ac:dyDescent="0.25">
      <c r="B510"/>
    </row>
    <row r="511" spans="2:2" x14ac:dyDescent="0.25">
      <c r="B511"/>
    </row>
    <row r="512" spans="2:2" x14ac:dyDescent="0.25">
      <c r="B512"/>
    </row>
    <row r="513" spans="2:2" x14ac:dyDescent="0.25">
      <c r="B513"/>
    </row>
    <row r="514" spans="2:2" x14ac:dyDescent="0.25">
      <c r="B514"/>
    </row>
    <row r="515" spans="2:2" x14ac:dyDescent="0.25">
      <c r="B515"/>
    </row>
    <row r="516" spans="2:2" x14ac:dyDescent="0.25">
      <c r="B516"/>
    </row>
    <row r="517" spans="2:2" x14ac:dyDescent="0.25">
      <c r="B517"/>
    </row>
    <row r="518" spans="2:2" x14ac:dyDescent="0.25">
      <c r="B518"/>
    </row>
    <row r="519" spans="2:2" x14ac:dyDescent="0.25">
      <c r="B519"/>
    </row>
    <row r="520" spans="2:2" x14ac:dyDescent="0.25">
      <c r="B520"/>
    </row>
    <row r="521" spans="2:2" x14ac:dyDescent="0.25">
      <c r="B521"/>
    </row>
    <row r="522" spans="2:2" x14ac:dyDescent="0.25">
      <c r="B522"/>
    </row>
    <row r="523" spans="2:2" x14ac:dyDescent="0.25">
      <c r="B523"/>
    </row>
    <row r="524" spans="2:2" x14ac:dyDescent="0.25">
      <c r="B524"/>
    </row>
    <row r="525" spans="2:2" x14ac:dyDescent="0.25">
      <c r="B525"/>
    </row>
    <row r="526" spans="2:2" x14ac:dyDescent="0.25">
      <c r="B526"/>
    </row>
    <row r="527" spans="2:2" x14ac:dyDescent="0.25">
      <c r="B527"/>
    </row>
    <row r="528" spans="2:2" x14ac:dyDescent="0.25">
      <c r="B528"/>
    </row>
    <row r="529" spans="2:2" x14ac:dyDescent="0.25">
      <c r="B529"/>
    </row>
    <row r="530" spans="2:2" x14ac:dyDescent="0.25">
      <c r="B530"/>
    </row>
    <row r="531" spans="2:2" x14ac:dyDescent="0.25">
      <c r="B531"/>
    </row>
    <row r="532" spans="2:2" x14ac:dyDescent="0.25">
      <c r="B532"/>
    </row>
    <row r="533" spans="2:2" x14ac:dyDescent="0.25">
      <c r="B533"/>
    </row>
    <row r="534" spans="2:2" x14ac:dyDescent="0.25">
      <c r="B534"/>
    </row>
    <row r="535" spans="2:2" x14ac:dyDescent="0.25">
      <c r="B535"/>
    </row>
    <row r="536" spans="2:2" x14ac:dyDescent="0.25">
      <c r="B536"/>
    </row>
    <row r="537" spans="2:2" x14ac:dyDescent="0.25">
      <c r="B537"/>
    </row>
    <row r="538" spans="2:2" x14ac:dyDescent="0.25">
      <c r="B538"/>
    </row>
    <row r="539" spans="2:2" x14ac:dyDescent="0.25">
      <c r="B539"/>
    </row>
    <row r="540" spans="2:2" x14ac:dyDescent="0.25">
      <c r="B540"/>
    </row>
    <row r="541" spans="2:2" x14ac:dyDescent="0.25">
      <c r="B541"/>
    </row>
    <row r="542" spans="2:2" x14ac:dyDescent="0.25">
      <c r="B542"/>
    </row>
    <row r="543" spans="2:2" x14ac:dyDescent="0.25">
      <c r="B543"/>
    </row>
    <row r="544" spans="2:2" x14ac:dyDescent="0.25">
      <c r="B544"/>
    </row>
    <row r="545" spans="2:2" x14ac:dyDescent="0.25">
      <c r="B545"/>
    </row>
    <row r="546" spans="2:2" x14ac:dyDescent="0.25">
      <c r="B546"/>
    </row>
    <row r="547" spans="2:2" x14ac:dyDescent="0.25">
      <c r="B547"/>
    </row>
    <row r="548" spans="2:2" x14ac:dyDescent="0.25">
      <c r="B548"/>
    </row>
    <row r="549" spans="2:2" x14ac:dyDescent="0.25">
      <c r="B549"/>
    </row>
    <row r="550" spans="2:2" x14ac:dyDescent="0.25">
      <c r="B550"/>
    </row>
    <row r="551" spans="2:2" x14ac:dyDescent="0.25">
      <c r="B551"/>
    </row>
    <row r="552" spans="2:2" x14ac:dyDescent="0.25">
      <c r="B552"/>
    </row>
    <row r="553" spans="2:2" x14ac:dyDescent="0.25">
      <c r="B553"/>
    </row>
    <row r="554" spans="2:2" x14ac:dyDescent="0.25">
      <c r="B554"/>
    </row>
    <row r="555" spans="2:2" x14ac:dyDescent="0.25">
      <c r="B555"/>
    </row>
    <row r="556" spans="2:2" x14ac:dyDescent="0.25">
      <c r="B556"/>
    </row>
    <row r="557" spans="2:2" x14ac:dyDescent="0.25">
      <c r="B557"/>
    </row>
    <row r="558" spans="2:2" x14ac:dyDescent="0.25">
      <c r="B558"/>
    </row>
    <row r="559" spans="2:2" x14ac:dyDescent="0.25">
      <c r="B559"/>
    </row>
    <row r="560" spans="2:2" x14ac:dyDescent="0.25">
      <c r="B560"/>
    </row>
    <row r="561" spans="2:2" x14ac:dyDescent="0.25">
      <c r="B561"/>
    </row>
    <row r="562" spans="2:2" x14ac:dyDescent="0.25">
      <c r="B562"/>
    </row>
    <row r="563" spans="2:2" x14ac:dyDescent="0.25">
      <c r="B563"/>
    </row>
    <row r="564" spans="2:2" x14ac:dyDescent="0.25">
      <c r="B564"/>
    </row>
    <row r="565" spans="2:2" x14ac:dyDescent="0.25">
      <c r="B565"/>
    </row>
    <row r="566" spans="2:2" x14ac:dyDescent="0.25">
      <c r="B566"/>
    </row>
    <row r="567" spans="2:2" x14ac:dyDescent="0.25">
      <c r="B567"/>
    </row>
    <row r="568" spans="2:2" x14ac:dyDescent="0.25">
      <c r="B568"/>
    </row>
    <row r="569" spans="2:2" x14ac:dyDescent="0.25">
      <c r="B569"/>
    </row>
    <row r="570" spans="2:2" x14ac:dyDescent="0.25">
      <c r="B570"/>
    </row>
    <row r="571" spans="2:2" x14ac:dyDescent="0.25">
      <c r="B571"/>
    </row>
    <row r="572" spans="2:2" x14ac:dyDescent="0.25">
      <c r="B572"/>
    </row>
    <row r="573" spans="2:2" x14ac:dyDescent="0.25">
      <c r="B573"/>
    </row>
    <row r="574" spans="2:2" x14ac:dyDescent="0.25">
      <c r="B574"/>
    </row>
    <row r="575" spans="2:2" x14ac:dyDescent="0.25">
      <c r="B575"/>
    </row>
    <row r="576" spans="2:2" x14ac:dyDescent="0.25">
      <c r="B576"/>
    </row>
    <row r="577" spans="2:2" x14ac:dyDescent="0.25">
      <c r="B577"/>
    </row>
    <row r="578" spans="2:2" x14ac:dyDescent="0.25">
      <c r="B578"/>
    </row>
    <row r="579" spans="2:2" x14ac:dyDescent="0.25">
      <c r="B579"/>
    </row>
    <row r="580" spans="2:2" x14ac:dyDescent="0.25">
      <c r="B580"/>
    </row>
    <row r="581" spans="2:2" x14ac:dyDescent="0.25">
      <c r="B581"/>
    </row>
    <row r="582" spans="2:2" x14ac:dyDescent="0.25">
      <c r="B582"/>
    </row>
    <row r="583" spans="2:2" x14ac:dyDescent="0.25">
      <c r="B583"/>
    </row>
    <row r="584" spans="2:2" x14ac:dyDescent="0.25">
      <c r="B584"/>
    </row>
    <row r="585" spans="2:2" x14ac:dyDescent="0.25">
      <c r="B585"/>
    </row>
    <row r="586" spans="2:2" x14ac:dyDescent="0.25">
      <c r="B586"/>
    </row>
    <row r="587" spans="2:2" x14ac:dyDescent="0.25">
      <c r="B587"/>
    </row>
    <row r="588" spans="2:2" x14ac:dyDescent="0.25">
      <c r="B588"/>
    </row>
    <row r="589" spans="2:2" x14ac:dyDescent="0.25">
      <c r="B589"/>
    </row>
    <row r="590" spans="2:2" x14ac:dyDescent="0.25">
      <c r="B590"/>
    </row>
    <row r="591" spans="2:2" x14ac:dyDescent="0.25">
      <c r="B591"/>
    </row>
    <row r="592" spans="2:2" x14ac:dyDescent="0.25">
      <c r="B592"/>
    </row>
    <row r="593" spans="2:2" x14ac:dyDescent="0.25">
      <c r="B593"/>
    </row>
    <row r="594" spans="2:2" x14ac:dyDescent="0.25">
      <c r="B594"/>
    </row>
    <row r="595" spans="2:2" x14ac:dyDescent="0.25">
      <c r="B595"/>
    </row>
    <row r="596" spans="2:2" x14ac:dyDescent="0.25">
      <c r="B596"/>
    </row>
    <row r="597" spans="2:2" x14ac:dyDescent="0.25">
      <c r="B597"/>
    </row>
    <row r="598" spans="2:2" x14ac:dyDescent="0.25">
      <c r="B598"/>
    </row>
    <row r="599" spans="2:2" x14ac:dyDescent="0.25">
      <c r="B599"/>
    </row>
    <row r="600" spans="2:2" x14ac:dyDescent="0.25">
      <c r="B600"/>
    </row>
    <row r="601" spans="2:2" x14ac:dyDescent="0.25">
      <c r="B601"/>
    </row>
    <row r="602" spans="2:2" x14ac:dyDescent="0.25">
      <c r="B602"/>
    </row>
    <row r="603" spans="2:2" x14ac:dyDescent="0.25">
      <c r="B603"/>
    </row>
    <row r="604" spans="2:2" x14ac:dyDescent="0.25">
      <c r="B604"/>
    </row>
    <row r="605" spans="2:2" x14ac:dyDescent="0.25">
      <c r="B605"/>
    </row>
    <row r="606" spans="2:2" x14ac:dyDescent="0.25">
      <c r="B606"/>
    </row>
    <row r="607" spans="2:2" x14ac:dyDescent="0.25">
      <c r="B607"/>
    </row>
    <row r="608" spans="2:2" x14ac:dyDescent="0.25">
      <c r="B608"/>
    </row>
    <row r="609" spans="2:2" x14ac:dyDescent="0.25">
      <c r="B609"/>
    </row>
    <row r="610" spans="2:2" x14ac:dyDescent="0.25">
      <c r="B610"/>
    </row>
    <row r="611" spans="2:2" x14ac:dyDescent="0.25">
      <c r="B611"/>
    </row>
    <row r="612" spans="2:2" x14ac:dyDescent="0.25">
      <c r="B612"/>
    </row>
    <row r="613" spans="2:2" x14ac:dyDescent="0.25">
      <c r="B613"/>
    </row>
    <row r="614" spans="2:2" x14ac:dyDescent="0.25">
      <c r="B614"/>
    </row>
    <row r="615" spans="2:2" x14ac:dyDescent="0.25">
      <c r="B615"/>
    </row>
    <row r="616" spans="2:2" x14ac:dyDescent="0.25">
      <c r="B616"/>
    </row>
    <row r="617" spans="2:2" x14ac:dyDescent="0.25">
      <c r="B617"/>
    </row>
    <row r="618" spans="2:2" x14ac:dyDescent="0.25">
      <c r="B618"/>
    </row>
    <row r="619" spans="2:2" x14ac:dyDescent="0.25">
      <c r="B619"/>
    </row>
    <row r="620" spans="2:2" x14ac:dyDescent="0.25">
      <c r="B620"/>
    </row>
    <row r="621" spans="2:2" x14ac:dyDescent="0.25">
      <c r="B621"/>
    </row>
    <row r="622" spans="2:2" x14ac:dyDescent="0.25">
      <c r="B622"/>
    </row>
    <row r="623" spans="2:2" x14ac:dyDescent="0.25">
      <c r="B623"/>
    </row>
    <row r="624" spans="2:2" x14ac:dyDescent="0.25">
      <c r="B624"/>
    </row>
    <row r="625" spans="2:2" x14ac:dyDescent="0.25">
      <c r="B625"/>
    </row>
    <row r="626" spans="2:2" x14ac:dyDescent="0.25">
      <c r="B626"/>
    </row>
    <row r="627" spans="2:2" x14ac:dyDescent="0.25">
      <c r="B627"/>
    </row>
    <row r="628" spans="2:2" x14ac:dyDescent="0.25">
      <c r="B628"/>
    </row>
    <row r="629" spans="2:2" x14ac:dyDescent="0.25">
      <c r="B629"/>
    </row>
    <row r="630" spans="2:2" x14ac:dyDescent="0.25">
      <c r="B630"/>
    </row>
    <row r="631" spans="2:2" x14ac:dyDescent="0.25">
      <c r="B631"/>
    </row>
    <row r="632" spans="2:2" x14ac:dyDescent="0.25">
      <c r="B632"/>
    </row>
    <row r="633" spans="2:2" x14ac:dyDescent="0.25">
      <c r="B633"/>
    </row>
    <row r="634" spans="2:2" x14ac:dyDescent="0.25">
      <c r="B634"/>
    </row>
    <row r="635" spans="2:2" x14ac:dyDescent="0.25">
      <c r="B63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38"/>
  <sheetViews>
    <sheetView zoomScale="115" zoomScaleNormal="115" workbookViewId="0">
      <pane xSplit="1" ySplit="1" topLeftCell="B2" activePane="bottomRight" state="frozen"/>
      <selection pane="topRight" activeCell="B1" sqref="B1"/>
      <selection pane="bottomLeft" activeCell="A2" sqref="A2"/>
      <selection pane="bottomRight" activeCell="G11" sqref="G11"/>
    </sheetView>
  </sheetViews>
  <sheetFormatPr defaultColWidth="11.42578125" defaultRowHeight="15" x14ac:dyDescent="0.25"/>
  <cols>
    <col min="2" max="5" width="11.42578125" style="4"/>
    <col min="6" max="7" width="11.42578125" style="12"/>
    <col min="8" max="8" width="11.42578125" style="4"/>
    <col min="18" max="19" width="11.42578125" style="10"/>
    <col min="20" max="20" width="11.42578125" style="8"/>
    <col min="21" max="21" width="11.42578125" style="12"/>
    <col min="22" max="22" width="11.42578125" style="6"/>
    <col min="33" max="33" width="11.42578125" style="6"/>
    <col min="34" max="34" width="11.42578125" style="4"/>
  </cols>
  <sheetData>
    <row r="1" spans="1:35" s="13" customFormat="1" x14ac:dyDescent="0.25">
      <c r="A1" s="2" t="s">
        <v>0</v>
      </c>
      <c r="B1" s="2" t="s">
        <v>1</v>
      </c>
      <c r="C1" s="2" t="s">
        <v>1431</v>
      </c>
      <c r="D1" s="2" t="s">
        <v>1429</v>
      </c>
      <c r="E1" s="2" t="s">
        <v>2</v>
      </c>
      <c r="F1" s="11" t="s">
        <v>1424</v>
      </c>
      <c r="G1" s="11" t="s">
        <v>1496</v>
      </c>
      <c r="H1" s="3" t="s">
        <v>1422</v>
      </c>
      <c r="I1" s="2" t="s">
        <v>3</v>
      </c>
      <c r="J1" s="2" t="s">
        <v>4</v>
      </c>
      <c r="K1" s="2" t="s">
        <v>5</v>
      </c>
      <c r="L1" s="2" t="s">
        <v>6</v>
      </c>
      <c r="M1" s="2" t="s">
        <v>7</v>
      </c>
      <c r="N1" s="2" t="s">
        <v>8</v>
      </c>
      <c r="O1" s="2" t="s">
        <v>9</v>
      </c>
      <c r="P1" s="2" t="s">
        <v>1435</v>
      </c>
      <c r="Q1" s="2" t="s">
        <v>10</v>
      </c>
      <c r="R1" s="9" t="s">
        <v>11</v>
      </c>
      <c r="S1" s="9" t="s">
        <v>12</v>
      </c>
      <c r="T1" s="7" t="s">
        <v>13</v>
      </c>
      <c r="U1" s="11" t="s">
        <v>1498</v>
      </c>
      <c r="V1" s="5" t="s">
        <v>14</v>
      </c>
      <c r="W1" s="13" t="s">
        <v>1437</v>
      </c>
      <c r="X1" s="13" t="s">
        <v>1423</v>
      </c>
      <c r="Y1" s="13" t="s">
        <v>1436</v>
      </c>
      <c r="Z1" s="13" t="s">
        <v>1425</v>
      </c>
      <c r="AA1" s="13" t="s">
        <v>1426</v>
      </c>
      <c r="AB1" s="13" t="s">
        <v>1427</v>
      </c>
      <c r="AC1" s="13" t="s">
        <v>1475</v>
      </c>
      <c r="AD1" s="13" t="s">
        <v>1476</v>
      </c>
      <c r="AE1" s="13" t="s">
        <v>1477</v>
      </c>
      <c r="AF1" s="13" t="s">
        <v>1478</v>
      </c>
      <c r="AG1" s="14" t="s">
        <v>1428</v>
      </c>
      <c r="AH1" s="20" t="s">
        <v>1440</v>
      </c>
      <c r="AI1" s="13" t="s">
        <v>1439</v>
      </c>
    </row>
    <row r="2" spans="1:35" x14ac:dyDescent="0.25">
      <c r="A2" t="s">
        <v>15</v>
      </c>
      <c r="B2" s="4">
        <v>45362</v>
      </c>
      <c r="C2" s="4" t="str">
        <f>"Q" &amp; ROUNDUP(MONTH(B2)/3,0) &amp; "-" &amp; YEAR(B2)</f>
        <v>Q1-2024</v>
      </c>
      <c r="D2" s="4" t="str">
        <f>TEXT(B2,"MMM-YYYY")</f>
        <v>Mar-2024</v>
      </c>
      <c r="E2" s="4">
        <v>45388</v>
      </c>
      <c r="F2" s="12">
        <f>H2-B2</f>
        <v>26</v>
      </c>
      <c r="G2" s="12">
        <f t="shared" ref="G2:G65" si="0">IF(F2&lt;=7, 1, 0)</f>
        <v>0</v>
      </c>
      <c r="H2" s="4">
        <f>IF(E2&lt;B2,B2+14,E2)</f>
        <v>45388</v>
      </c>
      <c r="I2" t="s">
        <v>646</v>
      </c>
      <c r="J2" t="s">
        <v>650</v>
      </c>
      <c r="K2" t="s">
        <v>662</v>
      </c>
      <c r="L2" t="s">
        <v>701</v>
      </c>
      <c r="M2" t="s">
        <v>707</v>
      </c>
      <c r="N2" t="s">
        <v>712</v>
      </c>
      <c r="O2" t="s">
        <v>727</v>
      </c>
      <c r="P2" t="str" cm="1">
        <f t="array" ref="P2">_xlfn.IFS(S2&lt;=PERCENTILE($S$2:$S$1000, 0.33), "Low", S2&lt;=PERCENTILE($S$2:$S$1000, 0.66), "Medium", TRUE, "High")</f>
        <v>Low</v>
      </c>
      <c r="Q2" t="s">
        <v>734</v>
      </c>
      <c r="R2" s="10">
        <v>279.24</v>
      </c>
      <c r="S2" s="10">
        <v>608.9</v>
      </c>
      <c r="T2" s="8">
        <v>0.112</v>
      </c>
      <c r="U2" s="12">
        <f>IF(T2&gt;0.2,1,0)</f>
        <v>0</v>
      </c>
      <c r="V2" s="6">
        <v>9</v>
      </c>
      <c r="W2" t="str">
        <f t="shared" ref="W2:W65" si="1">IF(E2&gt;B2, "ok", "sus")</f>
        <v>ok</v>
      </c>
      <c r="X2">
        <f t="shared" ref="X2:X65" si="2">E2-B2</f>
        <v>26</v>
      </c>
      <c r="Y2">
        <f>ABS(X2)</f>
        <v>26</v>
      </c>
      <c r="Z2" s="10">
        <f>S2*V2*(1-T2)</f>
        <v>4866.3287999999993</v>
      </c>
      <c r="AA2" s="10">
        <f>R2*V2</f>
        <v>2513.16</v>
      </c>
      <c r="AB2" s="10">
        <f>Z2-AA2</f>
        <v>2353.1687999999995</v>
      </c>
      <c r="AC2" s="10">
        <f t="shared" ref="AC2:AC65" si="3">_xlfn.QUARTILE.INC(S:S,1)</f>
        <v>606.37750000000005</v>
      </c>
      <c r="AD2" s="10">
        <f t="shared" ref="AD2:AD65" si="4">_xlfn.QUARTILE.INC(S:S,2)</f>
        <v>1193.865</v>
      </c>
      <c r="AE2" s="10">
        <f t="shared" ref="AE2:AE65" si="5">_xlfn.QUARTILE.INC(S:S,3)</f>
        <v>1912.0450000000001</v>
      </c>
      <c r="AF2" s="10" t="str">
        <f t="shared" ref="AF2:AF65" si="6">IF(S1&lt;=$AC$2,"Low",
 IF(S1&lt;=$AE$3,"Medium",
 "High"))</f>
        <v>High</v>
      </c>
      <c r="AG2" s="6">
        <f>IF(Z2=0,0,AB2/Z2)</f>
        <v>0.48356140670149533</v>
      </c>
      <c r="AH2" s="4">
        <f>_xlfn.MINIFS($B:$B,$J:$J,J2)</f>
        <v>44946</v>
      </c>
      <c r="AI2" t="str">
        <f>TEXT(AH2,"MMM-YYYY")</f>
        <v>Jan-2023</v>
      </c>
    </row>
    <row r="3" spans="1:35" x14ac:dyDescent="0.25">
      <c r="A3" t="s">
        <v>16</v>
      </c>
      <c r="B3" s="4">
        <v>45588</v>
      </c>
      <c r="C3" s="4" t="str">
        <f t="shared" ref="C3:C66" si="7">"Q" &amp; ROUNDUP(MONTH(B3)/3,0) &amp; "-" &amp; YEAR(B3)</f>
        <v>Q4-2024</v>
      </c>
      <c r="D3" s="4" t="str">
        <f t="shared" ref="D3:D66" si="8">TEXT(B3,"MMM-YYYY")</f>
        <v>Oct-2024</v>
      </c>
      <c r="E3" s="4">
        <v>45587</v>
      </c>
      <c r="F3" s="12">
        <f t="shared" ref="F3:F66" si="9">H3-B3</f>
        <v>14</v>
      </c>
      <c r="G3" s="12">
        <f t="shared" si="0"/>
        <v>0</v>
      </c>
      <c r="H3" s="4">
        <f t="shared" ref="H3:H66" si="10">IF(E3&lt;B3,B3+14,E3)</f>
        <v>45602</v>
      </c>
      <c r="I3" t="s">
        <v>646</v>
      </c>
      <c r="J3" t="s">
        <v>651</v>
      </c>
      <c r="K3" t="s">
        <v>663</v>
      </c>
      <c r="L3" t="s">
        <v>702</v>
      </c>
      <c r="M3" t="s">
        <v>708</v>
      </c>
      <c r="N3" t="s">
        <v>713</v>
      </c>
      <c r="O3" t="s">
        <v>728</v>
      </c>
      <c r="P3" t="str" cm="1">
        <f t="array" ref="P3">_xlfn.IFS(S3&lt;=PERCENTILE($S$2:$S$1000, 0.33), "Low", S3&lt;=PERCENTILE($S$2:$S$1000, 0.66), "Medium", TRUE, "High")</f>
        <v>Low</v>
      </c>
      <c r="Q3" t="s">
        <v>735</v>
      </c>
      <c r="R3" s="10">
        <v>1084.3900000000001</v>
      </c>
      <c r="S3" s="10">
        <v>759.33</v>
      </c>
      <c r="T3" s="8">
        <v>0.23699999999999999</v>
      </c>
      <c r="U3" s="12">
        <f t="shared" ref="U3:U66" si="11">IF(T3&gt;0.2,1,0)</f>
        <v>1</v>
      </c>
      <c r="V3" s="6">
        <v>31</v>
      </c>
      <c r="W3" t="str">
        <f t="shared" si="1"/>
        <v>sus</v>
      </c>
      <c r="X3">
        <f t="shared" si="2"/>
        <v>-1</v>
      </c>
      <c r="Y3">
        <f t="shared" ref="Y3:Y66" si="12">ABS(X3)</f>
        <v>1</v>
      </c>
      <c r="Z3" s="10">
        <f t="shared" ref="Z3:Z66" si="13">S3*V3*(1-T3)</f>
        <v>17960.432489999999</v>
      </c>
      <c r="AA3" s="10">
        <f t="shared" ref="AA3:AA66" si="14">R3*V3</f>
        <v>33616.090000000004</v>
      </c>
      <c r="AB3" s="10">
        <f t="shared" ref="AB3:AB66" si="15">Z3-AA3</f>
        <v>-15655.657510000005</v>
      </c>
      <c r="AC3" s="10">
        <f t="shared" si="3"/>
        <v>606.37750000000005</v>
      </c>
      <c r="AD3" s="10">
        <f t="shared" si="4"/>
        <v>1193.865</v>
      </c>
      <c r="AE3" s="10">
        <f t="shared" si="5"/>
        <v>1912.0450000000001</v>
      </c>
      <c r="AF3" s="10" t="str">
        <f t="shared" si="6"/>
        <v>Medium</v>
      </c>
      <c r="AG3" s="6">
        <f t="shared" ref="AG3:AG66" si="16">IF(Z3=0,0,AB3/Z3)</f>
        <v>-0.87167486187856302</v>
      </c>
      <c r="AH3" s="4">
        <f>_xlfn.MINIFS($B:$B,$J:$J,J3)</f>
        <v>44941</v>
      </c>
      <c r="AI3" t="str">
        <f t="shared" ref="AI3:AI66" si="17">TEXT(AH3,"MMM-YYYY")</f>
        <v>Jan-2023</v>
      </c>
    </row>
    <row r="4" spans="1:35" x14ac:dyDescent="0.25">
      <c r="A4" t="s">
        <v>17</v>
      </c>
      <c r="B4" s="4">
        <v>44985</v>
      </c>
      <c r="C4" s="4" t="str">
        <f t="shared" si="7"/>
        <v>Q1-2023</v>
      </c>
      <c r="D4" s="4" t="str">
        <f t="shared" si="8"/>
        <v>Feb-2023</v>
      </c>
      <c r="E4" s="4">
        <v>45010</v>
      </c>
      <c r="F4" s="12">
        <f t="shared" si="9"/>
        <v>25</v>
      </c>
      <c r="G4" s="12">
        <f t="shared" si="0"/>
        <v>0</v>
      </c>
      <c r="H4" s="4">
        <f t="shared" si="10"/>
        <v>45010</v>
      </c>
      <c r="I4" t="s">
        <v>646</v>
      </c>
      <c r="J4" t="s">
        <v>650</v>
      </c>
      <c r="K4" t="s">
        <v>664</v>
      </c>
      <c r="L4" t="s">
        <v>701</v>
      </c>
      <c r="M4" t="s">
        <v>707</v>
      </c>
      <c r="N4" t="s">
        <v>714</v>
      </c>
      <c r="O4" t="s">
        <v>729</v>
      </c>
      <c r="P4" t="str" cm="1">
        <f t="array" ref="P4">_xlfn.IFS(S4&lt;=PERCENTILE($S$2:$S$1000, 0.33), "Low", S4&lt;=PERCENTILE($S$2:$S$1000, 0.66), "Medium", TRUE, "High")</f>
        <v>Low</v>
      </c>
      <c r="Q4" t="s">
        <v>736</v>
      </c>
      <c r="R4" s="10">
        <v>1460.76</v>
      </c>
      <c r="S4" s="10">
        <v>30.66</v>
      </c>
      <c r="T4" s="8">
        <v>0.13100000000000001</v>
      </c>
      <c r="U4" s="12">
        <f t="shared" si="11"/>
        <v>0</v>
      </c>
      <c r="V4" s="6">
        <v>12</v>
      </c>
      <c r="W4" t="str">
        <f t="shared" si="1"/>
        <v>ok</v>
      </c>
      <c r="X4">
        <f t="shared" si="2"/>
        <v>25</v>
      </c>
      <c r="Y4">
        <f t="shared" si="12"/>
        <v>25</v>
      </c>
      <c r="Z4" s="10">
        <f t="shared" si="13"/>
        <v>319.72248000000002</v>
      </c>
      <c r="AA4" s="10">
        <f t="shared" si="14"/>
        <v>17529.12</v>
      </c>
      <c r="AB4" s="10">
        <f t="shared" si="15"/>
        <v>-17209.397519999999</v>
      </c>
      <c r="AC4" s="10">
        <f t="shared" si="3"/>
        <v>606.37750000000005</v>
      </c>
      <c r="AD4" s="10">
        <f t="shared" si="4"/>
        <v>1193.865</v>
      </c>
      <c r="AE4" s="10">
        <f t="shared" si="5"/>
        <v>1912.0450000000001</v>
      </c>
      <c r="AF4" s="10" t="str">
        <f t="shared" si="6"/>
        <v>Medium</v>
      </c>
      <c r="AG4" s="6">
        <f t="shared" si="16"/>
        <v>-53.826047890032626</v>
      </c>
      <c r="AH4" s="4">
        <f t="shared" ref="AH4:AH66" si="18">_xlfn.MINIFS($B:$B,$J:$J,J4)</f>
        <v>44946</v>
      </c>
      <c r="AI4" t="str">
        <f t="shared" si="17"/>
        <v>Jan-2023</v>
      </c>
    </row>
    <row r="5" spans="1:35" x14ac:dyDescent="0.25">
      <c r="A5" t="s">
        <v>18</v>
      </c>
      <c r="B5" s="4">
        <v>45745</v>
      </c>
      <c r="C5" s="4" t="str">
        <f t="shared" si="7"/>
        <v>Q1-2025</v>
      </c>
      <c r="D5" s="4" t="str">
        <f t="shared" si="8"/>
        <v>Mar-2025</v>
      </c>
      <c r="E5" s="4">
        <v>45749</v>
      </c>
      <c r="F5" s="12">
        <f t="shared" si="9"/>
        <v>4</v>
      </c>
      <c r="G5" s="12">
        <f t="shared" si="0"/>
        <v>1</v>
      </c>
      <c r="H5" s="4">
        <f t="shared" si="10"/>
        <v>45749</v>
      </c>
      <c r="I5" t="s">
        <v>646</v>
      </c>
      <c r="J5" t="s">
        <v>651</v>
      </c>
      <c r="K5" t="s">
        <v>665</v>
      </c>
      <c r="L5" t="s">
        <v>703</v>
      </c>
      <c r="M5" t="s">
        <v>709</v>
      </c>
      <c r="N5" t="s">
        <v>715</v>
      </c>
      <c r="O5" t="s">
        <v>730</v>
      </c>
      <c r="P5" t="str" cm="1">
        <f t="array" ref="P5">_xlfn.IFS(S5&lt;=PERCENTILE($S$2:$S$1000, 0.33), "Low", S5&lt;=PERCENTILE($S$2:$S$1000, 0.66), "Medium", TRUE, "High")</f>
        <v>Low</v>
      </c>
      <c r="Q5" t="s">
        <v>737</v>
      </c>
      <c r="R5" s="10">
        <v>259.93</v>
      </c>
      <c r="S5" s="10">
        <v>255.94</v>
      </c>
      <c r="T5" s="8">
        <v>7.1999999999999995E-2</v>
      </c>
      <c r="U5" s="12">
        <f t="shared" si="11"/>
        <v>0</v>
      </c>
      <c r="V5" s="6">
        <v>22</v>
      </c>
      <c r="W5" t="str">
        <f t="shared" si="1"/>
        <v>ok</v>
      </c>
      <c r="X5">
        <f t="shared" si="2"/>
        <v>4</v>
      </c>
      <c r="Y5">
        <f t="shared" si="12"/>
        <v>4</v>
      </c>
      <c r="Z5" s="10">
        <f t="shared" si="13"/>
        <v>5225.2710400000005</v>
      </c>
      <c r="AA5" s="10">
        <f t="shared" si="14"/>
        <v>5718.46</v>
      </c>
      <c r="AB5" s="10">
        <f t="shared" si="15"/>
        <v>-493.1889599999995</v>
      </c>
      <c r="AC5" s="10">
        <f t="shared" si="3"/>
        <v>606.37750000000005</v>
      </c>
      <c r="AD5" s="10">
        <f t="shared" si="4"/>
        <v>1193.865</v>
      </c>
      <c r="AE5" s="10">
        <f t="shared" si="5"/>
        <v>1912.0450000000001</v>
      </c>
      <c r="AF5" s="10" t="str">
        <f t="shared" si="6"/>
        <v>Low</v>
      </c>
      <c r="AG5" s="6">
        <f t="shared" si="16"/>
        <v>-9.4385335463861311E-2</v>
      </c>
      <c r="AH5" s="4">
        <f t="shared" si="18"/>
        <v>44941</v>
      </c>
      <c r="AI5" t="str">
        <f t="shared" si="17"/>
        <v>Jan-2023</v>
      </c>
    </row>
    <row r="6" spans="1:35" x14ac:dyDescent="0.25">
      <c r="A6" t="s">
        <v>19</v>
      </c>
      <c r="B6" s="4">
        <v>45266</v>
      </c>
      <c r="C6" s="4" t="str">
        <f t="shared" si="7"/>
        <v>Q4-2023</v>
      </c>
      <c r="D6" s="4" t="str">
        <f t="shared" si="8"/>
        <v>Dec-2023</v>
      </c>
      <c r="E6" s="4">
        <v>45291</v>
      </c>
      <c r="F6" s="12">
        <f t="shared" si="9"/>
        <v>25</v>
      </c>
      <c r="G6" s="12">
        <f t="shared" si="0"/>
        <v>0</v>
      </c>
      <c r="H6" s="4">
        <f t="shared" si="10"/>
        <v>45291</v>
      </c>
      <c r="I6" t="s">
        <v>647</v>
      </c>
      <c r="J6" t="s">
        <v>652</v>
      </c>
      <c r="K6" t="s">
        <v>666</v>
      </c>
      <c r="L6" t="s">
        <v>704</v>
      </c>
      <c r="M6" t="s">
        <v>707</v>
      </c>
      <c r="N6" t="s">
        <v>716</v>
      </c>
      <c r="O6" t="s">
        <v>728</v>
      </c>
      <c r="P6" t="str" cm="1">
        <f t="array" ref="P6">_xlfn.IFS(S6&lt;=PERCENTILE($S$2:$S$1000, 0.33), "Low", S6&lt;=PERCENTILE($S$2:$S$1000, 0.66), "Medium", TRUE, "High")</f>
        <v>Low</v>
      </c>
      <c r="Q6" t="s">
        <v>738</v>
      </c>
      <c r="R6" s="10">
        <v>663.03</v>
      </c>
      <c r="S6" s="10">
        <v>813.51</v>
      </c>
      <c r="T6" s="8">
        <v>0.10199999999999999</v>
      </c>
      <c r="U6" s="12">
        <f t="shared" si="11"/>
        <v>0</v>
      </c>
      <c r="V6" s="6">
        <v>15</v>
      </c>
      <c r="W6" t="str">
        <f t="shared" si="1"/>
        <v>ok</v>
      </c>
      <c r="X6">
        <f t="shared" si="2"/>
        <v>25</v>
      </c>
      <c r="Y6">
        <f t="shared" si="12"/>
        <v>25</v>
      </c>
      <c r="Z6" s="10">
        <f t="shared" si="13"/>
        <v>10957.9797</v>
      </c>
      <c r="AA6" s="10">
        <f t="shared" si="14"/>
        <v>9945.4499999999989</v>
      </c>
      <c r="AB6" s="10">
        <f t="shared" si="15"/>
        <v>1012.529700000001</v>
      </c>
      <c r="AC6" s="10">
        <f t="shared" si="3"/>
        <v>606.37750000000005</v>
      </c>
      <c r="AD6" s="10">
        <f t="shared" si="4"/>
        <v>1193.865</v>
      </c>
      <c r="AE6" s="10">
        <f t="shared" si="5"/>
        <v>1912.0450000000001</v>
      </c>
      <c r="AF6" s="10" t="str">
        <f t="shared" si="6"/>
        <v>Low</v>
      </c>
      <c r="AG6" s="6">
        <f t="shared" si="16"/>
        <v>9.2401129379715952E-2</v>
      </c>
      <c r="AH6" s="4">
        <f t="shared" si="18"/>
        <v>44988</v>
      </c>
      <c r="AI6" t="str">
        <f t="shared" si="17"/>
        <v>Mar-2023</v>
      </c>
    </row>
    <row r="7" spans="1:35" x14ac:dyDescent="0.25">
      <c r="A7" t="s">
        <v>20</v>
      </c>
      <c r="B7" s="4">
        <v>44928</v>
      </c>
      <c r="C7" s="4" t="str">
        <f t="shared" si="7"/>
        <v>Q1-2023</v>
      </c>
      <c r="D7" s="4" t="str">
        <f t="shared" si="8"/>
        <v>Jan-2023</v>
      </c>
      <c r="E7" s="4">
        <v>44931</v>
      </c>
      <c r="F7" s="12">
        <f t="shared" si="9"/>
        <v>3</v>
      </c>
      <c r="G7" s="12">
        <f t="shared" si="0"/>
        <v>1</v>
      </c>
      <c r="H7" s="4">
        <f t="shared" si="10"/>
        <v>44931</v>
      </c>
      <c r="I7" t="s">
        <v>648</v>
      </c>
      <c r="J7" t="s">
        <v>653</v>
      </c>
      <c r="K7" t="s">
        <v>667</v>
      </c>
      <c r="L7" t="s">
        <v>701</v>
      </c>
      <c r="M7" t="s">
        <v>710</v>
      </c>
      <c r="N7" t="s">
        <v>717</v>
      </c>
      <c r="O7" t="s">
        <v>731</v>
      </c>
      <c r="P7" t="str" cm="1">
        <f t="array" ref="P7">_xlfn.IFS(S7&lt;=PERCENTILE($S$2:$S$1000, 0.33), "Low", S7&lt;=PERCENTILE($S$2:$S$1000, 0.66), "Medium", TRUE, "High")</f>
        <v>Low</v>
      </c>
      <c r="Q7" t="s">
        <v>739</v>
      </c>
      <c r="R7" s="10">
        <v>315.87</v>
      </c>
      <c r="S7" s="10">
        <v>591.67999999999995</v>
      </c>
      <c r="T7" s="8">
        <v>0</v>
      </c>
      <c r="U7" s="12">
        <f t="shared" si="11"/>
        <v>0</v>
      </c>
      <c r="V7" s="6">
        <v>7</v>
      </c>
      <c r="W7" t="str">
        <f t="shared" si="1"/>
        <v>ok</v>
      </c>
      <c r="X7">
        <f t="shared" si="2"/>
        <v>3</v>
      </c>
      <c r="Y7">
        <f t="shared" si="12"/>
        <v>3</v>
      </c>
      <c r="Z7" s="10">
        <f t="shared" si="13"/>
        <v>4141.7599999999993</v>
      </c>
      <c r="AA7" s="10">
        <f t="shared" si="14"/>
        <v>2211.09</v>
      </c>
      <c r="AB7" s="10">
        <f t="shared" si="15"/>
        <v>1930.6699999999992</v>
      </c>
      <c r="AC7" s="10">
        <f t="shared" si="3"/>
        <v>606.37750000000005</v>
      </c>
      <c r="AD7" s="10">
        <f t="shared" si="4"/>
        <v>1193.865</v>
      </c>
      <c r="AE7" s="10">
        <f t="shared" si="5"/>
        <v>1912.0450000000001</v>
      </c>
      <c r="AF7" s="10" t="str">
        <f t="shared" si="6"/>
        <v>Medium</v>
      </c>
      <c r="AG7" s="6">
        <f t="shared" si="16"/>
        <v>0.46614724175229844</v>
      </c>
      <c r="AH7" s="4">
        <f t="shared" si="18"/>
        <v>44928</v>
      </c>
      <c r="AI7" t="str">
        <f t="shared" si="17"/>
        <v>Jan-2023</v>
      </c>
    </row>
    <row r="8" spans="1:35" x14ac:dyDescent="0.25">
      <c r="A8" t="s">
        <v>21</v>
      </c>
      <c r="B8" s="4">
        <v>45653</v>
      </c>
      <c r="C8" s="4" t="str">
        <f t="shared" si="7"/>
        <v>Q4-2024</v>
      </c>
      <c r="D8" s="4" t="str">
        <f t="shared" si="8"/>
        <v>Dec-2024</v>
      </c>
      <c r="E8" s="4">
        <v>45671</v>
      </c>
      <c r="F8" s="12">
        <f t="shared" si="9"/>
        <v>18</v>
      </c>
      <c r="G8" s="12">
        <f t="shared" si="0"/>
        <v>0</v>
      </c>
      <c r="H8" s="4">
        <f t="shared" si="10"/>
        <v>45671</v>
      </c>
      <c r="I8" t="s">
        <v>647</v>
      </c>
      <c r="J8" t="s">
        <v>654</v>
      </c>
      <c r="K8" t="s">
        <v>668</v>
      </c>
      <c r="L8" t="s">
        <v>705</v>
      </c>
      <c r="M8" t="s">
        <v>709</v>
      </c>
      <c r="N8" t="s">
        <v>718</v>
      </c>
      <c r="O8" t="s">
        <v>732</v>
      </c>
      <c r="P8" t="str" cm="1">
        <f t="array" ref="P8">_xlfn.IFS(S8&lt;=PERCENTILE($S$2:$S$1000, 0.33), "Low", S8&lt;=PERCENTILE($S$2:$S$1000, 0.66), "Medium", TRUE, "High")</f>
        <v>Medium</v>
      </c>
      <c r="Q8" t="s">
        <v>740</v>
      </c>
      <c r="R8" s="10">
        <v>586.07000000000005</v>
      </c>
      <c r="S8" s="10">
        <v>845.97</v>
      </c>
      <c r="T8" s="8">
        <v>0.14699999999999999</v>
      </c>
      <c r="U8" s="12">
        <f t="shared" si="11"/>
        <v>0</v>
      </c>
      <c r="V8" s="6">
        <v>4</v>
      </c>
      <c r="W8" t="str">
        <f t="shared" si="1"/>
        <v>ok</v>
      </c>
      <c r="X8">
        <f t="shared" si="2"/>
        <v>18</v>
      </c>
      <c r="Y8">
        <f t="shared" si="12"/>
        <v>18</v>
      </c>
      <c r="Z8" s="10">
        <f t="shared" si="13"/>
        <v>2886.4496399999998</v>
      </c>
      <c r="AA8" s="10">
        <f t="shared" si="14"/>
        <v>2344.2800000000002</v>
      </c>
      <c r="AB8" s="10">
        <f t="shared" si="15"/>
        <v>542.16963999999962</v>
      </c>
      <c r="AC8" s="10">
        <f t="shared" si="3"/>
        <v>606.37750000000005</v>
      </c>
      <c r="AD8" s="10">
        <f t="shared" si="4"/>
        <v>1193.865</v>
      </c>
      <c r="AE8" s="10">
        <f t="shared" si="5"/>
        <v>1912.0450000000001</v>
      </c>
      <c r="AF8" s="10" t="str">
        <f t="shared" si="6"/>
        <v>Low</v>
      </c>
      <c r="AG8" s="6">
        <f t="shared" si="16"/>
        <v>0.18783270370862928</v>
      </c>
      <c r="AH8" s="4">
        <f t="shared" si="18"/>
        <v>44955</v>
      </c>
      <c r="AI8" t="str">
        <f t="shared" si="17"/>
        <v>Jan-2023</v>
      </c>
    </row>
    <row r="9" spans="1:35" x14ac:dyDescent="0.25">
      <c r="A9" t="s">
        <v>22</v>
      </c>
      <c r="B9" s="4">
        <v>44941</v>
      </c>
      <c r="C9" s="4" t="str">
        <f t="shared" si="7"/>
        <v>Q1-2023</v>
      </c>
      <c r="D9" s="4" t="str">
        <f t="shared" si="8"/>
        <v>Jan-2023</v>
      </c>
      <c r="E9" s="4">
        <v>44939</v>
      </c>
      <c r="F9" s="12">
        <f t="shared" si="9"/>
        <v>14</v>
      </c>
      <c r="G9" s="12">
        <f t="shared" si="0"/>
        <v>0</v>
      </c>
      <c r="H9" s="4">
        <f t="shared" si="10"/>
        <v>44955</v>
      </c>
      <c r="I9" t="s">
        <v>646</v>
      </c>
      <c r="J9" t="s">
        <v>651</v>
      </c>
      <c r="K9" t="s">
        <v>669</v>
      </c>
      <c r="L9" t="s">
        <v>702</v>
      </c>
      <c r="M9" t="s">
        <v>708</v>
      </c>
      <c r="N9" t="s">
        <v>719</v>
      </c>
      <c r="O9" t="s">
        <v>728</v>
      </c>
      <c r="P9" t="str" cm="1">
        <f t="array" ref="P9">_xlfn.IFS(S9&lt;=PERCENTILE($S$2:$S$1000, 0.33), "Low", S9&lt;=PERCENTILE($S$2:$S$1000, 0.66), "Medium", TRUE, "High")</f>
        <v>Low</v>
      </c>
      <c r="Q9" t="s">
        <v>741</v>
      </c>
      <c r="R9" s="10">
        <v>28.38</v>
      </c>
      <c r="S9" s="10">
        <v>47.22</v>
      </c>
      <c r="T9" s="8">
        <v>0.19400000000000001</v>
      </c>
      <c r="U9" s="12">
        <f t="shared" si="11"/>
        <v>0</v>
      </c>
      <c r="V9" s="6">
        <v>18</v>
      </c>
      <c r="W9" t="str">
        <f t="shared" si="1"/>
        <v>sus</v>
      </c>
      <c r="X9">
        <f t="shared" si="2"/>
        <v>-2</v>
      </c>
      <c r="Y9">
        <f t="shared" si="12"/>
        <v>2</v>
      </c>
      <c r="Z9" s="10">
        <f t="shared" si="13"/>
        <v>685.06776000000002</v>
      </c>
      <c r="AA9" s="10">
        <f t="shared" si="14"/>
        <v>510.84</v>
      </c>
      <c r="AB9" s="10">
        <f t="shared" si="15"/>
        <v>174.22776000000005</v>
      </c>
      <c r="AC9" s="10">
        <f t="shared" si="3"/>
        <v>606.37750000000005</v>
      </c>
      <c r="AD9" s="10">
        <f t="shared" si="4"/>
        <v>1193.865</v>
      </c>
      <c r="AE9" s="10">
        <f t="shared" si="5"/>
        <v>1912.0450000000001</v>
      </c>
      <c r="AF9" s="10" t="str">
        <f t="shared" si="6"/>
        <v>Medium</v>
      </c>
      <c r="AG9" s="6">
        <f t="shared" si="16"/>
        <v>0.25432193743871417</v>
      </c>
      <c r="AH9" s="4">
        <f t="shared" si="18"/>
        <v>44941</v>
      </c>
      <c r="AI9" t="str">
        <f t="shared" si="17"/>
        <v>Jan-2023</v>
      </c>
    </row>
    <row r="10" spans="1:35" x14ac:dyDescent="0.25">
      <c r="A10" t="s">
        <v>23</v>
      </c>
      <c r="B10" s="4">
        <v>45416</v>
      </c>
      <c r="C10" s="4" t="str">
        <f t="shared" si="7"/>
        <v>Q2-2024</v>
      </c>
      <c r="D10" s="4" t="str">
        <f t="shared" si="8"/>
        <v>May-2024</v>
      </c>
      <c r="E10" s="4">
        <v>45441</v>
      </c>
      <c r="F10" s="12">
        <f t="shared" si="9"/>
        <v>25</v>
      </c>
      <c r="G10" s="12">
        <f t="shared" si="0"/>
        <v>0</v>
      </c>
      <c r="H10" s="4">
        <f t="shared" si="10"/>
        <v>45441</v>
      </c>
      <c r="I10" t="s">
        <v>646</v>
      </c>
      <c r="J10" t="s">
        <v>651</v>
      </c>
      <c r="K10" t="s">
        <v>669</v>
      </c>
      <c r="L10" t="s">
        <v>703</v>
      </c>
      <c r="M10" t="s">
        <v>709</v>
      </c>
      <c r="N10" t="s">
        <v>719</v>
      </c>
      <c r="O10" t="s">
        <v>732</v>
      </c>
      <c r="P10" t="str" cm="1">
        <f t="array" ref="P10">_xlfn.IFS(S10&lt;=PERCENTILE($S$2:$S$1000, 0.33), "Low", S10&lt;=PERCENTILE($S$2:$S$1000, 0.66), "Medium", TRUE, "High")</f>
        <v>High</v>
      </c>
      <c r="Q10" t="s">
        <v>742</v>
      </c>
      <c r="R10" s="10">
        <v>1295.3399999999999</v>
      </c>
      <c r="S10" s="10">
        <v>2530.81</v>
      </c>
      <c r="T10" s="8">
        <v>3.1E-2</v>
      </c>
      <c r="U10" s="12">
        <f t="shared" si="11"/>
        <v>0</v>
      </c>
      <c r="V10" s="6">
        <v>6</v>
      </c>
      <c r="W10" t="str">
        <f t="shared" si="1"/>
        <v>ok</v>
      </c>
      <c r="X10">
        <f t="shared" si="2"/>
        <v>25</v>
      </c>
      <c r="Y10">
        <f t="shared" si="12"/>
        <v>25</v>
      </c>
      <c r="Z10" s="10">
        <f t="shared" si="13"/>
        <v>14714.12934</v>
      </c>
      <c r="AA10" s="10">
        <f t="shared" si="14"/>
        <v>7772.0399999999991</v>
      </c>
      <c r="AB10" s="10">
        <f t="shared" si="15"/>
        <v>6942.0893400000004</v>
      </c>
      <c r="AC10" s="10">
        <f t="shared" si="3"/>
        <v>606.37750000000005</v>
      </c>
      <c r="AD10" s="10">
        <f t="shared" si="4"/>
        <v>1193.865</v>
      </c>
      <c r="AE10" s="10">
        <f t="shared" si="5"/>
        <v>1912.0450000000001</v>
      </c>
      <c r="AF10" s="10" t="str">
        <f t="shared" si="6"/>
        <v>Low</v>
      </c>
      <c r="AG10" s="6">
        <f t="shared" si="16"/>
        <v>0.4717974933880798</v>
      </c>
      <c r="AH10" s="4">
        <f t="shared" si="18"/>
        <v>44941</v>
      </c>
      <c r="AI10" t="str">
        <f t="shared" si="17"/>
        <v>Jan-2023</v>
      </c>
    </row>
    <row r="11" spans="1:35" x14ac:dyDescent="0.25">
      <c r="A11" t="s">
        <v>24</v>
      </c>
      <c r="B11" s="4">
        <v>45798</v>
      </c>
      <c r="C11" s="4" t="str">
        <f t="shared" si="7"/>
        <v>Q2-2025</v>
      </c>
      <c r="D11" s="4" t="str">
        <f t="shared" si="8"/>
        <v>May-2025</v>
      </c>
      <c r="E11" s="4">
        <v>45817</v>
      </c>
      <c r="F11" s="12">
        <f t="shared" si="9"/>
        <v>19</v>
      </c>
      <c r="G11" s="12">
        <f t="shared" si="0"/>
        <v>0</v>
      </c>
      <c r="H11" s="4">
        <f t="shared" si="10"/>
        <v>45817</v>
      </c>
      <c r="I11" t="s">
        <v>648</v>
      </c>
      <c r="J11" t="s">
        <v>655</v>
      </c>
      <c r="K11" t="s">
        <v>670</v>
      </c>
      <c r="L11" t="s">
        <v>703</v>
      </c>
      <c r="M11" t="s">
        <v>708</v>
      </c>
      <c r="N11" t="s">
        <v>720</v>
      </c>
      <c r="O11" t="s">
        <v>727</v>
      </c>
      <c r="P11" t="str" cm="1">
        <f t="array" ref="P11">_xlfn.IFS(S11&lt;=PERCENTILE($S$2:$S$1000, 0.33), "Low", S11&lt;=PERCENTILE($S$2:$S$1000, 0.66), "Medium", TRUE, "High")</f>
        <v>High</v>
      </c>
      <c r="Q11" t="s">
        <v>743</v>
      </c>
      <c r="R11" s="10">
        <v>1331.38</v>
      </c>
      <c r="S11" s="10">
        <v>2309.56</v>
      </c>
      <c r="T11" s="8">
        <v>0.14899999999999999</v>
      </c>
      <c r="U11" s="12">
        <f t="shared" si="11"/>
        <v>0</v>
      </c>
      <c r="V11" s="6">
        <v>31</v>
      </c>
      <c r="W11" t="str">
        <f t="shared" si="1"/>
        <v>ok</v>
      </c>
      <c r="X11">
        <f t="shared" si="2"/>
        <v>19</v>
      </c>
      <c r="Y11">
        <f t="shared" si="12"/>
        <v>19</v>
      </c>
      <c r="Z11" s="10">
        <f t="shared" si="13"/>
        <v>60928.502359999999</v>
      </c>
      <c r="AA11" s="10">
        <f t="shared" si="14"/>
        <v>41272.780000000006</v>
      </c>
      <c r="AB11" s="10">
        <f t="shared" si="15"/>
        <v>19655.722359999992</v>
      </c>
      <c r="AC11" s="10">
        <f t="shared" si="3"/>
        <v>606.37750000000005</v>
      </c>
      <c r="AD11" s="10">
        <f t="shared" si="4"/>
        <v>1193.865</v>
      </c>
      <c r="AE11" s="10">
        <f t="shared" si="5"/>
        <v>1912.0450000000001</v>
      </c>
      <c r="AF11" s="10" t="str">
        <f t="shared" si="6"/>
        <v>High</v>
      </c>
      <c r="AG11" s="6">
        <f t="shared" si="16"/>
        <v>0.32260307735553528</v>
      </c>
      <c r="AH11" s="4">
        <f t="shared" si="18"/>
        <v>44955</v>
      </c>
      <c r="AI11" t="str">
        <f t="shared" si="17"/>
        <v>Jan-2023</v>
      </c>
    </row>
    <row r="12" spans="1:35" x14ac:dyDescent="0.25">
      <c r="A12" t="s">
        <v>25</v>
      </c>
      <c r="B12" s="4">
        <v>45319</v>
      </c>
      <c r="C12" s="4" t="str">
        <f t="shared" si="7"/>
        <v>Q1-2024</v>
      </c>
      <c r="D12" s="4" t="str">
        <f t="shared" si="8"/>
        <v>Jan-2024</v>
      </c>
      <c r="E12" s="4">
        <v>45331</v>
      </c>
      <c r="F12" s="12">
        <f t="shared" si="9"/>
        <v>12</v>
      </c>
      <c r="G12" s="12">
        <f t="shared" si="0"/>
        <v>0</v>
      </c>
      <c r="H12" s="4">
        <f t="shared" si="10"/>
        <v>45331</v>
      </c>
      <c r="I12" t="s">
        <v>649</v>
      </c>
      <c r="J12" t="s">
        <v>656</v>
      </c>
      <c r="K12" t="s">
        <v>671</v>
      </c>
      <c r="L12" t="s">
        <v>701</v>
      </c>
      <c r="M12" t="s">
        <v>708</v>
      </c>
      <c r="N12" t="s">
        <v>715</v>
      </c>
      <c r="O12" t="s">
        <v>733</v>
      </c>
      <c r="P12" t="str" cm="1">
        <f t="array" ref="P12">_xlfn.IFS(S12&lt;=PERCENTILE($S$2:$S$1000, 0.33), "Low", S12&lt;=PERCENTILE($S$2:$S$1000, 0.66), "Medium", TRUE, "High")</f>
        <v>Low</v>
      </c>
      <c r="Q12" t="s">
        <v>744</v>
      </c>
      <c r="R12" s="10">
        <v>644.16999999999996</v>
      </c>
      <c r="S12" s="10">
        <v>700.12</v>
      </c>
      <c r="T12" s="8">
        <v>6.0000000000000001E-3</v>
      </c>
      <c r="U12" s="12">
        <f t="shared" si="11"/>
        <v>0</v>
      </c>
      <c r="V12" s="6">
        <v>23</v>
      </c>
      <c r="W12" t="str">
        <f t="shared" si="1"/>
        <v>ok</v>
      </c>
      <c r="X12">
        <f t="shared" si="2"/>
        <v>12</v>
      </c>
      <c r="Y12">
        <f t="shared" si="12"/>
        <v>12</v>
      </c>
      <c r="Z12" s="10">
        <f t="shared" si="13"/>
        <v>16006.14344</v>
      </c>
      <c r="AA12" s="10">
        <f t="shared" si="14"/>
        <v>14815.91</v>
      </c>
      <c r="AB12" s="10">
        <f t="shared" si="15"/>
        <v>1190.23344</v>
      </c>
      <c r="AC12" s="10">
        <f t="shared" si="3"/>
        <v>606.37750000000005</v>
      </c>
      <c r="AD12" s="10">
        <f t="shared" si="4"/>
        <v>1193.865</v>
      </c>
      <c r="AE12" s="10">
        <f t="shared" si="5"/>
        <v>1912.0450000000001</v>
      </c>
      <c r="AF12" s="10" t="str">
        <f t="shared" si="6"/>
        <v>High</v>
      </c>
      <c r="AG12" s="6">
        <f t="shared" si="16"/>
        <v>7.436103796405813E-2</v>
      </c>
      <c r="AH12" s="4">
        <f t="shared" si="18"/>
        <v>44948</v>
      </c>
      <c r="AI12" t="str">
        <f t="shared" si="17"/>
        <v>Jan-2023</v>
      </c>
    </row>
    <row r="13" spans="1:35" x14ac:dyDescent="0.25">
      <c r="A13" t="s">
        <v>26</v>
      </c>
      <c r="B13" s="4">
        <v>45660</v>
      </c>
      <c r="C13" s="4" t="str">
        <f t="shared" si="7"/>
        <v>Q1-2025</v>
      </c>
      <c r="D13" s="4" t="str">
        <f t="shared" si="8"/>
        <v>Jan-2025</v>
      </c>
      <c r="E13" s="4">
        <v>45680</v>
      </c>
      <c r="F13" s="12">
        <f t="shared" si="9"/>
        <v>20</v>
      </c>
      <c r="G13" s="12">
        <f t="shared" si="0"/>
        <v>0</v>
      </c>
      <c r="H13" s="4">
        <f t="shared" si="10"/>
        <v>45680</v>
      </c>
      <c r="I13" t="s">
        <v>647</v>
      </c>
      <c r="J13" t="s">
        <v>652</v>
      </c>
      <c r="K13" t="s">
        <v>666</v>
      </c>
      <c r="L13" t="s">
        <v>701</v>
      </c>
      <c r="M13" t="s">
        <v>710</v>
      </c>
      <c r="N13" t="s">
        <v>721</v>
      </c>
      <c r="O13" t="s">
        <v>730</v>
      </c>
      <c r="P13" t="str" cm="1">
        <f t="array" ref="P13">_xlfn.IFS(S13&lt;=PERCENTILE($S$2:$S$1000, 0.33), "Low", S13&lt;=PERCENTILE($S$2:$S$1000, 0.66), "Medium", TRUE, "High")</f>
        <v>Low</v>
      </c>
      <c r="Q13" t="s">
        <v>745</v>
      </c>
      <c r="R13" s="10">
        <v>908.6</v>
      </c>
      <c r="S13" s="10">
        <v>691.37</v>
      </c>
      <c r="T13" s="8">
        <v>0.25</v>
      </c>
      <c r="U13" s="12">
        <f t="shared" si="11"/>
        <v>1</v>
      </c>
      <c r="V13" s="6">
        <v>20</v>
      </c>
      <c r="W13" t="str">
        <f t="shared" si="1"/>
        <v>ok</v>
      </c>
      <c r="X13">
        <f t="shared" si="2"/>
        <v>20</v>
      </c>
      <c r="Y13">
        <f t="shared" si="12"/>
        <v>20</v>
      </c>
      <c r="Z13" s="10">
        <f t="shared" si="13"/>
        <v>10370.549999999999</v>
      </c>
      <c r="AA13" s="10">
        <f t="shared" si="14"/>
        <v>18172</v>
      </c>
      <c r="AB13" s="10">
        <f t="shared" si="15"/>
        <v>-7801.4500000000007</v>
      </c>
      <c r="AC13" s="10">
        <f t="shared" si="3"/>
        <v>606.37750000000005</v>
      </c>
      <c r="AD13" s="10">
        <f t="shared" si="4"/>
        <v>1193.865</v>
      </c>
      <c r="AE13" s="10">
        <f t="shared" si="5"/>
        <v>1912.0450000000001</v>
      </c>
      <c r="AF13" s="10" t="str">
        <f t="shared" si="6"/>
        <v>Medium</v>
      </c>
      <c r="AG13" s="6">
        <f t="shared" si="16"/>
        <v>-0.75226964818645115</v>
      </c>
      <c r="AH13" s="4">
        <f t="shared" si="18"/>
        <v>44988</v>
      </c>
      <c r="AI13" t="str">
        <f t="shared" si="17"/>
        <v>Mar-2023</v>
      </c>
    </row>
    <row r="14" spans="1:35" x14ac:dyDescent="0.25">
      <c r="A14" t="s">
        <v>27</v>
      </c>
      <c r="B14" s="4">
        <v>45722</v>
      </c>
      <c r="C14" s="4" t="str">
        <f t="shared" si="7"/>
        <v>Q1-2025</v>
      </c>
      <c r="D14" s="4" t="str">
        <f t="shared" si="8"/>
        <v>Mar-2025</v>
      </c>
      <c r="E14" s="4">
        <v>45747</v>
      </c>
      <c r="F14" s="12">
        <f t="shared" si="9"/>
        <v>25</v>
      </c>
      <c r="G14" s="12">
        <f t="shared" si="0"/>
        <v>0</v>
      </c>
      <c r="H14" s="4">
        <f t="shared" si="10"/>
        <v>45747</v>
      </c>
      <c r="I14" t="s">
        <v>648</v>
      </c>
      <c r="J14" t="s">
        <v>655</v>
      </c>
      <c r="K14" t="s">
        <v>672</v>
      </c>
      <c r="L14" t="s">
        <v>703</v>
      </c>
      <c r="M14" t="s">
        <v>708</v>
      </c>
      <c r="N14" t="s">
        <v>713</v>
      </c>
      <c r="O14" t="s">
        <v>727</v>
      </c>
      <c r="P14" t="str" cm="1">
        <f t="array" ref="P14">_xlfn.IFS(S14&lt;=PERCENTILE($S$2:$S$1000, 0.33), "Low", S14&lt;=PERCENTILE($S$2:$S$1000, 0.66), "Medium", TRUE, "High")</f>
        <v>Low</v>
      </c>
      <c r="Q14" t="s">
        <v>746</v>
      </c>
      <c r="R14" s="10">
        <v>331.57</v>
      </c>
      <c r="S14" s="10">
        <v>548.4</v>
      </c>
      <c r="T14" s="8">
        <v>9.4E-2</v>
      </c>
      <c r="U14" s="12">
        <f t="shared" si="11"/>
        <v>0</v>
      </c>
      <c r="V14" s="6">
        <v>10</v>
      </c>
      <c r="W14" t="str">
        <f t="shared" si="1"/>
        <v>ok</v>
      </c>
      <c r="X14">
        <f t="shared" si="2"/>
        <v>25</v>
      </c>
      <c r="Y14">
        <f t="shared" si="12"/>
        <v>25</v>
      </c>
      <c r="Z14" s="10">
        <f t="shared" si="13"/>
        <v>4968.5039999999999</v>
      </c>
      <c r="AA14" s="10">
        <f t="shared" si="14"/>
        <v>3315.7</v>
      </c>
      <c r="AB14" s="10">
        <f t="shared" si="15"/>
        <v>1652.8040000000001</v>
      </c>
      <c r="AC14" s="10">
        <f t="shared" si="3"/>
        <v>606.37750000000005</v>
      </c>
      <c r="AD14" s="10">
        <f t="shared" si="4"/>
        <v>1193.865</v>
      </c>
      <c r="AE14" s="10">
        <f t="shared" si="5"/>
        <v>1912.0450000000001</v>
      </c>
      <c r="AF14" s="10" t="str">
        <f t="shared" si="6"/>
        <v>Medium</v>
      </c>
      <c r="AG14" s="6">
        <f t="shared" si="16"/>
        <v>0.33265626836568918</v>
      </c>
      <c r="AH14" s="4">
        <f t="shared" si="18"/>
        <v>44955</v>
      </c>
      <c r="AI14" t="str">
        <f t="shared" si="17"/>
        <v>Jan-2023</v>
      </c>
    </row>
    <row r="15" spans="1:35" x14ac:dyDescent="0.25">
      <c r="A15" t="s">
        <v>28</v>
      </c>
      <c r="B15" s="4">
        <v>45311</v>
      </c>
      <c r="C15" s="4" t="str">
        <f t="shared" si="7"/>
        <v>Q1-2024</v>
      </c>
      <c r="D15" s="4" t="str">
        <f t="shared" si="8"/>
        <v>Jan-2024</v>
      </c>
      <c r="E15" s="4">
        <v>45335</v>
      </c>
      <c r="F15" s="12">
        <f t="shared" si="9"/>
        <v>24</v>
      </c>
      <c r="G15" s="12">
        <f t="shared" si="0"/>
        <v>0</v>
      </c>
      <c r="H15" s="4">
        <f t="shared" si="10"/>
        <v>45335</v>
      </c>
      <c r="I15" t="s">
        <v>649</v>
      </c>
      <c r="J15" t="s">
        <v>657</v>
      </c>
      <c r="K15" t="s">
        <v>673</v>
      </c>
      <c r="L15" t="s">
        <v>701</v>
      </c>
      <c r="M15" t="s">
        <v>707</v>
      </c>
      <c r="N15" t="s">
        <v>722</v>
      </c>
      <c r="O15" t="s">
        <v>728</v>
      </c>
      <c r="P15" t="str" cm="1">
        <f t="array" ref="P15">_xlfn.IFS(S15&lt;=PERCENTILE($S$2:$S$1000, 0.33), "Low", S15&lt;=PERCENTILE($S$2:$S$1000, 0.66), "Medium", TRUE, "High")</f>
        <v>Medium</v>
      </c>
      <c r="Q15" t="s">
        <v>747</v>
      </c>
      <c r="R15" s="10">
        <v>643.53</v>
      </c>
      <c r="S15" s="10">
        <v>1439.01</v>
      </c>
      <c r="T15" s="8">
        <v>0</v>
      </c>
      <c r="U15" s="12">
        <f t="shared" si="11"/>
        <v>0</v>
      </c>
      <c r="V15" s="6">
        <v>15</v>
      </c>
      <c r="W15" t="str">
        <f t="shared" si="1"/>
        <v>ok</v>
      </c>
      <c r="X15">
        <f t="shared" si="2"/>
        <v>24</v>
      </c>
      <c r="Y15">
        <f t="shared" si="12"/>
        <v>24</v>
      </c>
      <c r="Z15" s="10">
        <f t="shared" si="13"/>
        <v>21585.15</v>
      </c>
      <c r="AA15" s="10">
        <f t="shared" si="14"/>
        <v>9652.9499999999989</v>
      </c>
      <c r="AB15" s="10">
        <f t="shared" si="15"/>
        <v>11932.200000000003</v>
      </c>
      <c r="AC15" s="10">
        <f t="shared" si="3"/>
        <v>606.37750000000005</v>
      </c>
      <c r="AD15" s="10">
        <f t="shared" si="4"/>
        <v>1193.865</v>
      </c>
      <c r="AE15" s="10">
        <f t="shared" si="5"/>
        <v>1912.0450000000001</v>
      </c>
      <c r="AF15" s="10" t="str">
        <f t="shared" si="6"/>
        <v>Low</v>
      </c>
      <c r="AG15" s="6">
        <f t="shared" si="16"/>
        <v>0.55279671440782208</v>
      </c>
      <c r="AH15" s="4">
        <f t="shared" si="18"/>
        <v>44936</v>
      </c>
      <c r="AI15" t="str">
        <f t="shared" si="17"/>
        <v>Jan-2023</v>
      </c>
    </row>
    <row r="16" spans="1:35" x14ac:dyDescent="0.25">
      <c r="A16" t="s">
        <v>29</v>
      </c>
      <c r="B16" s="4">
        <v>45901</v>
      </c>
      <c r="C16" s="4" t="str">
        <f t="shared" si="7"/>
        <v>Q3-2025</v>
      </c>
      <c r="D16" s="4" t="str">
        <f t="shared" si="8"/>
        <v>Sept-2025</v>
      </c>
      <c r="E16" s="4">
        <v>45930</v>
      </c>
      <c r="F16" s="12">
        <f t="shared" si="9"/>
        <v>29</v>
      </c>
      <c r="G16" s="12">
        <f t="shared" si="0"/>
        <v>0</v>
      </c>
      <c r="H16" s="4">
        <f t="shared" si="10"/>
        <v>45930</v>
      </c>
      <c r="I16" t="s">
        <v>648</v>
      </c>
      <c r="J16" t="s">
        <v>655</v>
      </c>
      <c r="K16" t="s">
        <v>672</v>
      </c>
      <c r="L16" t="s">
        <v>702</v>
      </c>
      <c r="M16" t="s">
        <v>707</v>
      </c>
      <c r="N16" t="s">
        <v>723</v>
      </c>
      <c r="O16" t="s">
        <v>733</v>
      </c>
      <c r="P16" t="str" cm="1">
        <f t="array" ref="P16">_xlfn.IFS(S16&lt;=PERCENTILE($S$2:$S$1000, 0.33), "Low", S16&lt;=PERCENTILE($S$2:$S$1000, 0.66), "Medium", TRUE, "High")</f>
        <v>Low</v>
      </c>
      <c r="Q16" t="s">
        <v>748</v>
      </c>
      <c r="R16" s="10">
        <v>780.59</v>
      </c>
      <c r="S16" s="10">
        <v>631.57000000000005</v>
      </c>
      <c r="T16" s="8">
        <v>0</v>
      </c>
      <c r="U16" s="12">
        <f t="shared" si="11"/>
        <v>0</v>
      </c>
      <c r="V16" s="6">
        <v>12</v>
      </c>
      <c r="W16" t="str">
        <f t="shared" si="1"/>
        <v>ok</v>
      </c>
      <c r="X16">
        <f t="shared" si="2"/>
        <v>29</v>
      </c>
      <c r="Y16">
        <f t="shared" si="12"/>
        <v>29</v>
      </c>
      <c r="Z16" s="10">
        <f t="shared" si="13"/>
        <v>7578.84</v>
      </c>
      <c r="AA16" s="10">
        <f t="shared" si="14"/>
        <v>9367.08</v>
      </c>
      <c r="AB16" s="10">
        <f t="shared" si="15"/>
        <v>-1788.2399999999998</v>
      </c>
      <c r="AC16" s="10">
        <f t="shared" si="3"/>
        <v>606.37750000000005</v>
      </c>
      <c r="AD16" s="10">
        <f t="shared" si="4"/>
        <v>1193.865</v>
      </c>
      <c r="AE16" s="10">
        <f t="shared" si="5"/>
        <v>1912.0450000000001</v>
      </c>
      <c r="AF16" s="10" t="str">
        <f t="shared" si="6"/>
        <v>Medium</v>
      </c>
      <c r="AG16" s="6">
        <f t="shared" si="16"/>
        <v>-0.23595167598207639</v>
      </c>
      <c r="AH16" s="4">
        <f t="shared" si="18"/>
        <v>44955</v>
      </c>
      <c r="AI16" t="str">
        <f t="shared" si="17"/>
        <v>Jan-2023</v>
      </c>
    </row>
    <row r="17" spans="1:35" x14ac:dyDescent="0.25">
      <c r="A17" t="s">
        <v>30</v>
      </c>
      <c r="B17" s="4">
        <v>45039</v>
      </c>
      <c r="C17" s="4" t="str">
        <f t="shared" si="7"/>
        <v>Q2-2023</v>
      </c>
      <c r="D17" s="4" t="str">
        <f t="shared" si="8"/>
        <v>Apr-2023</v>
      </c>
      <c r="E17" s="4">
        <v>45038</v>
      </c>
      <c r="F17" s="12">
        <f t="shared" si="9"/>
        <v>14</v>
      </c>
      <c r="G17" s="12">
        <f t="shared" si="0"/>
        <v>0</v>
      </c>
      <c r="H17" s="4">
        <f t="shared" si="10"/>
        <v>45053</v>
      </c>
      <c r="I17" t="s">
        <v>646</v>
      </c>
      <c r="J17" t="s">
        <v>650</v>
      </c>
      <c r="K17" t="s">
        <v>664</v>
      </c>
      <c r="L17" t="s">
        <v>705</v>
      </c>
      <c r="M17" t="s">
        <v>711</v>
      </c>
      <c r="N17" t="s">
        <v>718</v>
      </c>
      <c r="O17" t="s">
        <v>731</v>
      </c>
      <c r="P17" t="str" cm="1">
        <f t="array" ref="P17">_xlfn.IFS(S17&lt;=PERCENTILE($S$2:$S$1000, 0.33), "Low", S17&lt;=PERCENTILE($S$2:$S$1000, 0.66), "Medium", TRUE, "High")</f>
        <v>Medium</v>
      </c>
      <c r="Q17" t="s">
        <v>749</v>
      </c>
      <c r="R17" s="10">
        <v>756.51</v>
      </c>
      <c r="S17" s="10">
        <v>850.8</v>
      </c>
      <c r="T17" s="8">
        <v>7.3999999999999996E-2</v>
      </c>
      <c r="U17" s="12">
        <f t="shared" si="11"/>
        <v>0</v>
      </c>
      <c r="V17" s="6">
        <v>9</v>
      </c>
      <c r="W17" t="str">
        <f t="shared" si="1"/>
        <v>sus</v>
      </c>
      <c r="X17">
        <f t="shared" si="2"/>
        <v>-1</v>
      </c>
      <c r="Y17">
        <f t="shared" si="12"/>
        <v>1</v>
      </c>
      <c r="Z17" s="10">
        <f t="shared" si="13"/>
        <v>7090.5672000000004</v>
      </c>
      <c r="AA17" s="10">
        <f t="shared" si="14"/>
        <v>6808.59</v>
      </c>
      <c r="AB17" s="10">
        <f t="shared" si="15"/>
        <v>281.97720000000027</v>
      </c>
      <c r="AC17" s="10">
        <f t="shared" si="3"/>
        <v>606.37750000000005</v>
      </c>
      <c r="AD17" s="10">
        <f t="shared" si="4"/>
        <v>1193.865</v>
      </c>
      <c r="AE17" s="10">
        <f t="shared" si="5"/>
        <v>1912.0450000000001</v>
      </c>
      <c r="AF17" s="10" t="str">
        <f t="shared" si="6"/>
        <v>Medium</v>
      </c>
      <c r="AG17" s="6">
        <f t="shared" si="16"/>
        <v>3.9767932810791252E-2</v>
      </c>
      <c r="AH17" s="4">
        <f t="shared" si="18"/>
        <v>44946</v>
      </c>
      <c r="AI17" t="str">
        <f t="shared" si="17"/>
        <v>Jan-2023</v>
      </c>
    </row>
    <row r="18" spans="1:35" x14ac:dyDescent="0.25">
      <c r="A18" t="s">
        <v>31</v>
      </c>
      <c r="B18" s="4">
        <v>45636</v>
      </c>
      <c r="C18" s="4" t="str">
        <f t="shared" si="7"/>
        <v>Q4-2024</v>
      </c>
      <c r="D18" s="4" t="str">
        <f t="shared" si="8"/>
        <v>Dec-2024</v>
      </c>
      <c r="E18" s="4">
        <v>45665</v>
      </c>
      <c r="F18" s="12">
        <f t="shared" si="9"/>
        <v>29</v>
      </c>
      <c r="G18" s="12">
        <f t="shared" si="0"/>
        <v>0</v>
      </c>
      <c r="H18" s="4">
        <f t="shared" si="10"/>
        <v>45665</v>
      </c>
      <c r="I18" t="s">
        <v>649</v>
      </c>
      <c r="J18" t="s">
        <v>657</v>
      </c>
      <c r="K18" t="s">
        <v>673</v>
      </c>
      <c r="L18" t="s">
        <v>705</v>
      </c>
      <c r="M18" t="s">
        <v>707</v>
      </c>
      <c r="N18" t="s">
        <v>723</v>
      </c>
      <c r="O18" t="s">
        <v>728</v>
      </c>
      <c r="P18" t="str" cm="1">
        <f t="array" ref="P18">_xlfn.IFS(S18&lt;=PERCENTILE($S$2:$S$1000, 0.33), "Low", S18&lt;=PERCENTILE($S$2:$S$1000, 0.66), "Medium", TRUE, "High")</f>
        <v>Medium</v>
      </c>
      <c r="Q18" t="s">
        <v>750</v>
      </c>
      <c r="R18" s="10">
        <v>891.08</v>
      </c>
      <c r="S18" s="10">
        <v>1040.0999999999999</v>
      </c>
      <c r="T18" s="8">
        <v>0.109</v>
      </c>
      <c r="U18" s="12">
        <f t="shared" si="11"/>
        <v>0</v>
      </c>
      <c r="V18" s="6">
        <v>28</v>
      </c>
      <c r="W18" t="str">
        <f t="shared" si="1"/>
        <v>ok</v>
      </c>
      <c r="X18">
        <f t="shared" si="2"/>
        <v>29</v>
      </c>
      <c r="Y18">
        <f t="shared" si="12"/>
        <v>29</v>
      </c>
      <c r="Z18" s="10">
        <f t="shared" si="13"/>
        <v>25948.414799999995</v>
      </c>
      <c r="AA18" s="10">
        <f t="shared" si="14"/>
        <v>24950.240000000002</v>
      </c>
      <c r="AB18" s="10">
        <f t="shared" si="15"/>
        <v>998.17479999999341</v>
      </c>
      <c r="AC18" s="10">
        <f t="shared" si="3"/>
        <v>606.37750000000005</v>
      </c>
      <c r="AD18" s="10">
        <f t="shared" si="4"/>
        <v>1193.865</v>
      </c>
      <c r="AE18" s="10">
        <f t="shared" si="5"/>
        <v>1912.0450000000001</v>
      </c>
      <c r="AF18" s="10" t="str">
        <f t="shared" si="6"/>
        <v>Medium</v>
      </c>
      <c r="AG18" s="6">
        <f t="shared" si="16"/>
        <v>3.8467660074556598E-2</v>
      </c>
      <c r="AH18" s="4">
        <f t="shared" si="18"/>
        <v>44936</v>
      </c>
      <c r="AI18" t="str">
        <f t="shared" si="17"/>
        <v>Jan-2023</v>
      </c>
    </row>
    <row r="19" spans="1:35" x14ac:dyDescent="0.25">
      <c r="A19" t="s">
        <v>32</v>
      </c>
      <c r="B19" s="4">
        <v>45908</v>
      </c>
      <c r="C19" s="4" t="str">
        <f t="shared" si="7"/>
        <v>Q3-2025</v>
      </c>
      <c r="D19" s="4" t="str">
        <f t="shared" si="8"/>
        <v>Sept-2025</v>
      </c>
      <c r="E19" s="4">
        <v>45916</v>
      </c>
      <c r="F19" s="12">
        <f t="shared" si="9"/>
        <v>8</v>
      </c>
      <c r="G19" s="12">
        <f t="shared" si="0"/>
        <v>0</v>
      </c>
      <c r="H19" s="4">
        <f t="shared" si="10"/>
        <v>45916</v>
      </c>
      <c r="I19" t="s">
        <v>647</v>
      </c>
      <c r="J19" t="s">
        <v>652</v>
      </c>
      <c r="K19" t="s">
        <v>666</v>
      </c>
      <c r="L19" t="s">
        <v>701</v>
      </c>
      <c r="M19" t="s">
        <v>710</v>
      </c>
      <c r="N19" t="s">
        <v>712</v>
      </c>
      <c r="O19" t="s">
        <v>730</v>
      </c>
      <c r="P19" t="str" cm="1">
        <f t="array" ref="P19">_xlfn.IFS(S19&lt;=PERCENTILE($S$2:$S$1000, 0.33), "Low", S19&lt;=PERCENTILE($S$2:$S$1000, 0.66), "Medium", TRUE, "High")</f>
        <v>High</v>
      </c>
      <c r="Q19" t="s">
        <v>751</v>
      </c>
      <c r="R19" s="10">
        <v>1225.57</v>
      </c>
      <c r="S19" s="10">
        <v>2705.57</v>
      </c>
      <c r="T19" s="8">
        <v>0.183</v>
      </c>
      <c r="U19" s="12">
        <f t="shared" si="11"/>
        <v>0</v>
      </c>
      <c r="V19" s="6">
        <v>16</v>
      </c>
      <c r="W19" t="str">
        <f t="shared" si="1"/>
        <v>ok</v>
      </c>
      <c r="X19">
        <f t="shared" si="2"/>
        <v>8</v>
      </c>
      <c r="Y19">
        <f t="shared" si="12"/>
        <v>8</v>
      </c>
      <c r="Z19" s="10">
        <f t="shared" si="13"/>
        <v>35367.211040000002</v>
      </c>
      <c r="AA19" s="10">
        <f t="shared" si="14"/>
        <v>19609.12</v>
      </c>
      <c r="AB19" s="10">
        <f t="shared" si="15"/>
        <v>15758.091040000003</v>
      </c>
      <c r="AC19" s="10">
        <f t="shared" si="3"/>
        <v>606.37750000000005</v>
      </c>
      <c r="AD19" s="10">
        <f t="shared" si="4"/>
        <v>1193.865</v>
      </c>
      <c r="AE19" s="10">
        <f t="shared" si="5"/>
        <v>1912.0450000000001</v>
      </c>
      <c r="AF19" s="10" t="str">
        <f t="shared" si="6"/>
        <v>Medium</v>
      </c>
      <c r="AG19" s="6">
        <f t="shared" si="16"/>
        <v>0.44555650775453404</v>
      </c>
      <c r="AH19" s="4">
        <f t="shared" si="18"/>
        <v>44988</v>
      </c>
      <c r="AI19" t="str">
        <f t="shared" si="17"/>
        <v>Mar-2023</v>
      </c>
    </row>
    <row r="20" spans="1:35" x14ac:dyDescent="0.25">
      <c r="A20" t="s">
        <v>33</v>
      </c>
      <c r="B20" s="4">
        <v>45858</v>
      </c>
      <c r="C20" s="4" t="str">
        <f t="shared" si="7"/>
        <v>Q3-2025</v>
      </c>
      <c r="D20" s="4" t="str">
        <f t="shared" si="8"/>
        <v>Jul-2025</v>
      </c>
      <c r="E20" s="4">
        <v>45874</v>
      </c>
      <c r="F20" s="12">
        <f t="shared" si="9"/>
        <v>16</v>
      </c>
      <c r="G20" s="12">
        <f t="shared" si="0"/>
        <v>0</v>
      </c>
      <c r="H20" s="4">
        <f t="shared" si="10"/>
        <v>45874</v>
      </c>
      <c r="I20" t="s">
        <v>648</v>
      </c>
      <c r="J20" t="s">
        <v>655</v>
      </c>
      <c r="K20" t="s">
        <v>672</v>
      </c>
      <c r="L20" t="s">
        <v>706</v>
      </c>
      <c r="M20" t="s">
        <v>709</v>
      </c>
      <c r="N20" t="s">
        <v>715</v>
      </c>
      <c r="O20" t="s">
        <v>733</v>
      </c>
      <c r="P20" t="str" cm="1">
        <f t="array" ref="P20">_xlfn.IFS(S20&lt;=PERCENTILE($S$2:$S$1000, 0.33), "Low", S20&lt;=PERCENTILE($S$2:$S$1000, 0.66), "Medium", TRUE, "High")</f>
        <v>High</v>
      </c>
      <c r="Q20" t="s">
        <v>752</v>
      </c>
      <c r="R20" s="10">
        <v>1068.17</v>
      </c>
      <c r="S20" s="10">
        <v>2375.37</v>
      </c>
      <c r="T20" s="8">
        <v>0.109</v>
      </c>
      <c r="U20" s="12">
        <f t="shared" si="11"/>
        <v>0</v>
      </c>
      <c r="V20" s="6">
        <v>18</v>
      </c>
      <c r="W20" t="str">
        <f t="shared" si="1"/>
        <v>ok</v>
      </c>
      <c r="X20">
        <f t="shared" si="2"/>
        <v>16</v>
      </c>
      <c r="Y20">
        <f t="shared" si="12"/>
        <v>16</v>
      </c>
      <c r="Z20" s="10">
        <f t="shared" si="13"/>
        <v>38096.18406</v>
      </c>
      <c r="AA20" s="10">
        <f t="shared" si="14"/>
        <v>19227.060000000001</v>
      </c>
      <c r="AB20" s="10">
        <f t="shared" si="15"/>
        <v>18869.124059999998</v>
      </c>
      <c r="AC20" s="10">
        <f t="shared" si="3"/>
        <v>606.37750000000005</v>
      </c>
      <c r="AD20" s="10">
        <f t="shared" si="4"/>
        <v>1193.865</v>
      </c>
      <c r="AE20" s="10">
        <f t="shared" si="5"/>
        <v>1912.0450000000001</v>
      </c>
      <c r="AF20" s="10" t="str">
        <f t="shared" si="6"/>
        <v>High</v>
      </c>
      <c r="AG20" s="6">
        <f t="shared" si="16"/>
        <v>0.49530220744108822</v>
      </c>
      <c r="AH20" s="4">
        <f t="shared" si="18"/>
        <v>44955</v>
      </c>
      <c r="AI20" t="str">
        <f t="shared" si="17"/>
        <v>Jan-2023</v>
      </c>
    </row>
    <row r="21" spans="1:35" x14ac:dyDescent="0.25">
      <c r="A21" t="s">
        <v>34</v>
      </c>
      <c r="B21" s="4">
        <v>45798</v>
      </c>
      <c r="C21" s="4" t="str">
        <f t="shared" si="7"/>
        <v>Q2-2025</v>
      </c>
      <c r="D21" s="4" t="str">
        <f t="shared" si="8"/>
        <v>May-2025</v>
      </c>
      <c r="E21" s="4">
        <v>45796</v>
      </c>
      <c r="F21" s="12">
        <f t="shared" si="9"/>
        <v>14</v>
      </c>
      <c r="G21" s="12">
        <f t="shared" si="0"/>
        <v>0</v>
      </c>
      <c r="H21" s="4">
        <f t="shared" si="10"/>
        <v>45812</v>
      </c>
      <c r="I21" t="s">
        <v>649</v>
      </c>
      <c r="J21" t="s">
        <v>658</v>
      </c>
      <c r="K21" t="s">
        <v>674</v>
      </c>
      <c r="L21" t="s">
        <v>706</v>
      </c>
      <c r="M21" t="s">
        <v>708</v>
      </c>
      <c r="N21" t="s">
        <v>724</v>
      </c>
      <c r="O21" t="s">
        <v>731</v>
      </c>
      <c r="P21" t="str" cm="1">
        <f t="array" ref="P21">_xlfn.IFS(S21&lt;=PERCENTILE($S$2:$S$1000, 0.33), "Low", S21&lt;=PERCENTILE($S$2:$S$1000, 0.66), "Medium", TRUE, "High")</f>
        <v>High</v>
      </c>
      <c r="Q21" t="s">
        <v>753</v>
      </c>
      <c r="R21" s="10">
        <v>1015.16</v>
      </c>
      <c r="S21" s="10">
        <v>2148.14</v>
      </c>
      <c r="T21" s="8">
        <v>3.7999999999999999E-2</v>
      </c>
      <c r="U21" s="12">
        <f t="shared" si="11"/>
        <v>0</v>
      </c>
      <c r="V21" s="6">
        <v>19</v>
      </c>
      <c r="W21" t="str">
        <f t="shared" si="1"/>
        <v>sus</v>
      </c>
      <c r="X21">
        <f t="shared" si="2"/>
        <v>-2</v>
      </c>
      <c r="Y21">
        <f t="shared" si="12"/>
        <v>2</v>
      </c>
      <c r="Z21" s="10">
        <f t="shared" si="13"/>
        <v>39263.702919999996</v>
      </c>
      <c r="AA21" s="10">
        <f t="shared" si="14"/>
        <v>19288.04</v>
      </c>
      <c r="AB21" s="10">
        <f t="shared" si="15"/>
        <v>19975.662919999995</v>
      </c>
      <c r="AC21" s="10">
        <f t="shared" si="3"/>
        <v>606.37750000000005</v>
      </c>
      <c r="AD21" s="10">
        <f t="shared" si="4"/>
        <v>1193.865</v>
      </c>
      <c r="AE21" s="10">
        <f t="shared" si="5"/>
        <v>1912.0450000000001</v>
      </c>
      <c r="AF21" s="10" t="str">
        <f t="shared" si="6"/>
        <v>High</v>
      </c>
      <c r="AG21" s="6">
        <f t="shared" si="16"/>
        <v>0.50875647059322227</v>
      </c>
      <c r="AH21" s="4">
        <f t="shared" si="18"/>
        <v>44945</v>
      </c>
      <c r="AI21" t="str">
        <f t="shared" si="17"/>
        <v>Jan-2023</v>
      </c>
    </row>
    <row r="22" spans="1:35" x14ac:dyDescent="0.25">
      <c r="A22" t="s">
        <v>35</v>
      </c>
      <c r="B22" s="4">
        <v>45498</v>
      </c>
      <c r="C22" s="4" t="str">
        <f t="shared" si="7"/>
        <v>Q3-2024</v>
      </c>
      <c r="D22" s="4" t="str">
        <f t="shared" si="8"/>
        <v>Jul-2024</v>
      </c>
      <c r="E22" s="4">
        <v>45497</v>
      </c>
      <c r="F22" s="12">
        <f t="shared" si="9"/>
        <v>14</v>
      </c>
      <c r="G22" s="12">
        <f t="shared" si="0"/>
        <v>0</v>
      </c>
      <c r="H22" s="4">
        <f t="shared" si="10"/>
        <v>45512</v>
      </c>
      <c r="I22" t="s">
        <v>646</v>
      </c>
      <c r="J22" t="s">
        <v>650</v>
      </c>
      <c r="K22" t="s">
        <v>675</v>
      </c>
      <c r="L22" t="s">
        <v>703</v>
      </c>
      <c r="M22" t="s">
        <v>711</v>
      </c>
      <c r="N22" t="s">
        <v>713</v>
      </c>
      <c r="O22" t="s">
        <v>731</v>
      </c>
      <c r="P22" t="str" cm="1">
        <f t="array" ref="P22">_xlfn.IFS(S22&lt;=PERCENTILE($S$2:$S$1000, 0.33), "Low", S22&lt;=PERCENTILE($S$2:$S$1000, 0.66), "Medium", TRUE, "High")</f>
        <v>High</v>
      </c>
      <c r="Q22" t="s">
        <v>754</v>
      </c>
      <c r="R22" s="10">
        <v>1494.4</v>
      </c>
      <c r="S22" s="10">
        <v>3661.07</v>
      </c>
      <c r="T22" s="8">
        <v>7.1999999999999995E-2</v>
      </c>
      <c r="U22" s="12">
        <f t="shared" si="11"/>
        <v>0</v>
      </c>
      <c r="V22" s="6">
        <v>7</v>
      </c>
      <c r="W22" t="str">
        <f t="shared" si="1"/>
        <v>sus</v>
      </c>
      <c r="X22">
        <f t="shared" si="2"/>
        <v>-1</v>
      </c>
      <c r="Y22">
        <f t="shared" si="12"/>
        <v>1</v>
      </c>
      <c r="Z22" s="10">
        <f t="shared" si="13"/>
        <v>23782.310720000001</v>
      </c>
      <c r="AA22" s="10">
        <f t="shared" si="14"/>
        <v>10460.800000000001</v>
      </c>
      <c r="AB22" s="10">
        <f t="shared" si="15"/>
        <v>13321.51072</v>
      </c>
      <c r="AC22" s="10">
        <f t="shared" si="3"/>
        <v>606.37750000000005</v>
      </c>
      <c r="AD22" s="10">
        <f t="shared" si="4"/>
        <v>1193.865</v>
      </c>
      <c r="AE22" s="10">
        <f t="shared" si="5"/>
        <v>1912.0450000000001</v>
      </c>
      <c r="AF22" s="10" t="str">
        <f t="shared" si="6"/>
        <v>High</v>
      </c>
      <c r="AG22" s="6">
        <f t="shared" si="16"/>
        <v>0.56014366630897339</v>
      </c>
      <c r="AH22" s="4">
        <f t="shared" si="18"/>
        <v>44946</v>
      </c>
      <c r="AI22" t="str">
        <f t="shared" si="17"/>
        <v>Jan-2023</v>
      </c>
    </row>
    <row r="23" spans="1:35" x14ac:dyDescent="0.25">
      <c r="A23" t="s">
        <v>36</v>
      </c>
      <c r="B23" s="4">
        <v>45057</v>
      </c>
      <c r="C23" s="4" t="str">
        <f t="shared" si="7"/>
        <v>Q2-2023</v>
      </c>
      <c r="D23" s="4" t="str">
        <f t="shared" si="8"/>
        <v>May-2023</v>
      </c>
      <c r="E23" s="4">
        <v>45074</v>
      </c>
      <c r="F23" s="12">
        <f t="shared" si="9"/>
        <v>17</v>
      </c>
      <c r="G23" s="12">
        <f t="shared" si="0"/>
        <v>0</v>
      </c>
      <c r="H23" s="4">
        <f t="shared" si="10"/>
        <v>45074</v>
      </c>
      <c r="I23" t="s">
        <v>647</v>
      </c>
      <c r="J23" t="s">
        <v>659</v>
      </c>
      <c r="K23" t="s">
        <v>676</v>
      </c>
      <c r="L23" t="s">
        <v>706</v>
      </c>
      <c r="M23" t="s">
        <v>709</v>
      </c>
      <c r="N23" t="s">
        <v>718</v>
      </c>
      <c r="O23" t="s">
        <v>729</v>
      </c>
      <c r="P23" t="str" cm="1">
        <f t="array" ref="P23">_xlfn.IFS(S23&lt;=PERCENTILE($S$2:$S$1000, 0.33), "Low", S23&lt;=PERCENTILE($S$2:$S$1000, 0.66), "Medium", TRUE, "High")</f>
        <v>High</v>
      </c>
      <c r="Q23" t="s">
        <v>755</v>
      </c>
      <c r="R23" s="10">
        <v>1331.19</v>
      </c>
      <c r="S23" s="10">
        <v>2903.09</v>
      </c>
      <c r="T23" s="8">
        <v>0.14299999999999999</v>
      </c>
      <c r="U23" s="12">
        <f t="shared" si="11"/>
        <v>0</v>
      </c>
      <c r="V23" s="6">
        <v>8</v>
      </c>
      <c r="W23" t="str">
        <f t="shared" si="1"/>
        <v>ok</v>
      </c>
      <c r="X23">
        <f t="shared" si="2"/>
        <v>17</v>
      </c>
      <c r="Y23">
        <f t="shared" si="12"/>
        <v>17</v>
      </c>
      <c r="Z23" s="10">
        <f t="shared" si="13"/>
        <v>19903.585040000002</v>
      </c>
      <c r="AA23" s="10">
        <f t="shared" si="14"/>
        <v>10649.52</v>
      </c>
      <c r="AB23" s="10">
        <f t="shared" si="15"/>
        <v>9254.0650400000013</v>
      </c>
      <c r="AC23" s="10">
        <f t="shared" si="3"/>
        <v>606.37750000000005</v>
      </c>
      <c r="AD23" s="10">
        <f t="shared" si="4"/>
        <v>1193.865</v>
      </c>
      <c r="AE23" s="10">
        <f t="shared" si="5"/>
        <v>1912.0450000000001</v>
      </c>
      <c r="AF23" s="10" t="str">
        <f t="shared" si="6"/>
        <v>High</v>
      </c>
      <c r="AG23" s="6">
        <f t="shared" si="16"/>
        <v>0.46494463290920784</v>
      </c>
      <c r="AH23" s="4">
        <f t="shared" si="18"/>
        <v>44938</v>
      </c>
      <c r="AI23" t="str">
        <f t="shared" si="17"/>
        <v>Jan-2023</v>
      </c>
    </row>
    <row r="24" spans="1:35" x14ac:dyDescent="0.25">
      <c r="A24" t="s">
        <v>37</v>
      </c>
      <c r="B24" s="4">
        <v>45822</v>
      </c>
      <c r="C24" s="4" t="str">
        <f t="shared" si="7"/>
        <v>Q2-2025</v>
      </c>
      <c r="D24" s="4" t="str">
        <f t="shared" si="8"/>
        <v>Jun-2025</v>
      </c>
      <c r="E24" s="4">
        <v>45837</v>
      </c>
      <c r="F24" s="12">
        <f t="shared" si="9"/>
        <v>15</v>
      </c>
      <c r="G24" s="12">
        <f t="shared" si="0"/>
        <v>0</v>
      </c>
      <c r="H24" s="4">
        <f t="shared" si="10"/>
        <v>45837</v>
      </c>
      <c r="I24" t="s">
        <v>646</v>
      </c>
      <c r="J24" t="s">
        <v>651</v>
      </c>
      <c r="K24" t="s">
        <v>663</v>
      </c>
      <c r="L24" t="s">
        <v>704</v>
      </c>
      <c r="M24" t="s">
        <v>709</v>
      </c>
      <c r="N24" t="s">
        <v>724</v>
      </c>
      <c r="O24" t="s">
        <v>733</v>
      </c>
      <c r="P24" t="str" cm="1">
        <f t="array" ref="P24">_xlfn.IFS(S24&lt;=PERCENTILE($S$2:$S$1000, 0.33), "Low", S24&lt;=PERCENTILE($S$2:$S$1000, 0.66), "Medium", TRUE, "High")</f>
        <v>Medium</v>
      </c>
      <c r="Q24" t="s">
        <v>756</v>
      </c>
      <c r="R24" s="10">
        <v>730.99</v>
      </c>
      <c r="S24" s="10">
        <v>1242.8399999999999</v>
      </c>
      <c r="T24" s="8">
        <v>0.12</v>
      </c>
      <c r="U24" s="12">
        <f t="shared" si="11"/>
        <v>0</v>
      </c>
      <c r="V24" s="6">
        <v>10</v>
      </c>
      <c r="W24" t="str">
        <f t="shared" si="1"/>
        <v>ok</v>
      </c>
      <c r="X24">
        <f t="shared" si="2"/>
        <v>15</v>
      </c>
      <c r="Y24">
        <f t="shared" si="12"/>
        <v>15</v>
      </c>
      <c r="Z24" s="10">
        <f t="shared" si="13"/>
        <v>10936.992</v>
      </c>
      <c r="AA24" s="10">
        <f t="shared" si="14"/>
        <v>7309.9</v>
      </c>
      <c r="AB24" s="10">
        <f t="shared" si="15"/>
        <v>3627.0920000000006</v>
      </c>
      <c r="AC24" s="10">
        <f t="shared" si="3"/>
        <v>606.37750000000005</v>
      </c>
      <c r="AD24" s="10">
        <f t="shared" si="4"/>
        <v>1193.865</v>
      </c>
      <c r="AE24" s="10">
        <f t="shared" si="5"/>
        <v>1912.0450000000001</v>
      </c>
      <c r="AF24" s="10" t="str">
        <f t="shared" si="6"/>
        <v>High</v>
      </c>
      <c r="AG24" s="6">
        <f t="shared" si="16"/>
        <v>0.33163524303574515</v>
      </c>
      <c r="AH24" s="4">
        <f t="shared" si="18"/>
        <v>44941</v>
      </c>
      <c r="AI24" t="str">
        <f t="shared" si="17"/>
        <v>Jan-2023</v>
      </c>
    </row>
    <row r="25" spans="1:35" x14ac:dyDescent="0.25">
      <c r="A25" t="s">
        <v>38</v>
      </c>
      <c r="B25" s="4">
        <v>45430</v>
      </c>
      <c r="C25" s="4" t="str">
        <f t="shared" si="7"/>
        <v>Q2-2024</v>
      </c>
      <c r="D25" s="4" t="str">
        <f t="shared" si="8"/>
        <v>May-2024</v>
      </c>
      <c r="E25" s="4">
        <v>45435</v>
      </c>
      <c r="F25" s="12">
        <f t="shared" si="9"/>
        <v>5</v>
      </c>
      <c r="G25" s="12">
        <f t="shared" si="0"/>
        <v>1</v>
      </c>
      <c r="H25" s="4">
        <f t="shared" si="10"/>
        <v>45435</v>
      </c>
      <c r="I25" t="s">
        <v>648</v>
      </c>
      <c r="J25" t="s">
        <v>660</v>
      </c>
      <c r="K25" t="s">
        <v>677</v>
      </c>
      <c r="L25" t="s">
        <v>706</v>
      </c>
      <c r="M25" t="s">
        <v>707</v>
      </c>
      <c r="N25" t="s">
        <v>722</v>
      </c>
      <c r="O25" t="s">
        <v>731</v>
      </c>
      <c r="P25" t="str" cm="1">
        <f t="array" ref="P25">_xlfn.IFS(S25&lt;=PERCENTILE($S$2:$S$1000, 0.33), "Low", S25&lt;=PERCENTILE($S$2:$S$1000, 0.66), "Medium", TRUE, "High")</f>
        <v>High</v>
      </c>
      <c r="Q25" t="s">
        <v>757</v>
      </c>
      <c r="R25" s="10">
        <v>1274.5899999999999</v>
      </c>
      <c r="S25" s="10">
        <v>2553.69</v>
      </c>
      <c r="T25" s="8">
        <v>0.01</v>
      </c>
      <c r="U25" s="12">
        <f t="shared" si="11"/>
        <v>0</v>
      </c>
      <c r="V25" s="6">
        <v>8</v>
      </c>
      <c r="W25" t="str">
        <f t="shared" si="1"/>
        <v>ok</v>
      </c>
      <c r="X25">
        <f t="shared" si="2"/>
        <v>5</v>
      </c>
      <c r="Y25">
        <f t="shared" si="12"/>
        <v>5</v>
      </c>
      <c r="Z25" s="10">
        <f t="shared" si="13"/>
        <v>20225.2248</v>
      </c>
      <c r="AA25" s="10">
        <f t="shared" si="14"/>
        <v>10196.719999999999</v>
      </c>
      <c r="AB25" s="10">
        <f t="shared" si="15"/>
        <v>10028.504800000001</v>
      </c>
      <c r="AC25" s="10">
        <f t="shared" si="3"/>
        <v>606.37750000000005</v>
      </c>
      <c r="AD25" s="10">
        <f t="shared" si="4"/>
        <v>1193.865</v>
      </c>
      <c r="AE25" s="10">
        <f t="shared" si="5"/>
        <v>1912.0450000000001</v>
      </c>
      <c r="AF25" s="10" t="str">
        <f t="shared" si="6"/>
        <v>Medium</v>
      </c>
      <c r="AG25" s="6">
        <f t="shared" si="16"/>
        <v>0.49584145042481803</v>
      </c>
      <c r="AH25" s="4">
        <f t="shared" si="18"/>
        <v>44939</v>
      </c>
      <c r="AI25" t="str">
        <f t="shared" si="17"/>
        <v>Jan-2023</v>
      </c>
    </row>
    <row r="26" spans="1:35" x14ac:dyDescent="0.25">
      <c r="A26" t="s">
        <v>39</v>
      </c>
      <c r="B26" s="4">
        <v>44964</v>
      </c>
      <c r="C26" s="4" t="str">
        <f t="shared" si="7"/>
        <v>Q1-2023</v>
      </c>
      <c r="D26" s="4" t="str">
        <f t="shared" si="8"/>
        <v>Feb-2023</v>
      </c>
      <c r="E26" s="4">
        <v>44969</v>
      </c>
      <c r="F26" s="12">
        <f t="shared" si="9"/>
        <v>5</v>
      </c>
      <c r="G26" s="12">
        <f t="shared" si="0"/>
        <v>1</v>
      </c>
      <c r="H26" s="4">
        <f t="shared" si="10"/>
        <v>44969</v>
      </c>
      <c r="I26" t="s">
        <v>648</v>
      </c>
      <c r="J26" t="s">
        <v>655</v>
      </c>
      <c r="K26" t="s">
        <v>670</v>
      </c>
      <c r="L26" t="s">
        <v>702</v>
      </c>
      <c r="M26" t="s">
        <v>708</v>
      </c>
      <c r="N26" t="s">
        <v>725</v>
      </c>
      <c r="O26" t="s">
        <v>727</v>
      </c>
      <c r="P26" t="str" cm="1">
        <f t="array" ref="P26">_xlfn.IFS(S26&lt;=PERCENTILE($S$2:$S$1000, 0.33), "Low", S26&lt;=PERCENTILE($S$2:$S$1000, 0.66), "Medium", TRUE, "High")</f>
        <v>High</v>
      </c>
      <c r="Q26" t="s">
        <v>758</v>
      </c>
      <c r="R26" s="10">
        <v>948.55</v>
      </c>
      <c r="S26" s="10">
        <v>2089.16</v>
      </c>
      <c r="T26" s="8">
        <v>7.0000000000000001E-3</v>
      </c>
      <c r="U26" s="12">
        <f t="shared" si="11"/>
        <v>0</v>
      </c>
      <c r="V26" s="6">
        <v>12</v>
      </c>
      <c r="W26" t="str">
        <f t="shared" si="1"/>
        <v>ok</v>
      </c>
      <c r="X26">
        <f t="shared" si="2"/>
        <v>5</v>
      </c>
      <c r="Y26">
        <f t="shared" si="12"/>
        <v>5</v>
      </c>
      <c r="Z26" s="10">
        <f t="shared" si="13"/>
        <v>24894.430559999997</v>
      </c>
      <c r="AA26" s="10">
        <f t="shared" si="14"/>
        <v>11382.599999999999</v>
      </c>
      <c r="AB26" s="10">
        <f t="shared" si="15"/>
        <v>13511.830559999999</v>
      </c>
      <c r="AC26" s="10">
        <f t="shared" si="3"/>
        <v>606.37750000000005</v>
      </c>
      <c r="AD26" s="10">
        <f t="shared" si="4"/>
        <v>1193.865</v>
      </c>
      <c r="AE26" s="10">
        <f t="shared" si="5"/>
        <v>1912.0450000000001</v>
      </c>
      <c r="AF26" s="10" t="str">
        <f t="shared" si="6"/>
        <v>High</v>
      </c>
      <c r="AG26" s="6">
        <f t="shared" si="16"/>
        <v>0.54276519912492427</v>
      </c>
      <c r="AH26" s="4">
        <f t="shared" si="18"/>
        <v>44955</v>
      </c>
      <c r="AI26" t="str">
        <f t="shared" si="17"/>
        <v>Jan-2023</v>
      </c>
    </row>
    <row r="27" spans="1:35" x14ac:dyDescent="0.25">
      <c r="A27" t="s">
        <v>40</v>
      </c>
      <c r="B27" s="4">
        <v>45473</v>
      </c>
      <c r="C27" s="4" t="str">
        <f t="shared" si="7"/>
        <v>Q2-2024</v>
      </c>
      <c r="D27" s="4" t="str">
        <f t="shared" si="8"/>
        <v>Jun-2024</v>
      </c>
      <c r="E27" s="4">
        <v>45487</v>
      </c>
      <c r="F27" s="12">
        <f t="shared" si="9"/>
        <v>14</v>
      </c>
      <c r="G27" s="12">
        <f t="shared" si="0"/>
        <v>0</v>
      </c>
      <c r="H27" s="4">
        <f t="shared" si="10"/>
        <v>45487</v>
      </c>
      <c r="I27" t="s">
        <v>648</v>
      </c>
      <c r="J27" t="s">
        <v>655</v>
      </c>
      <c r="K27" t="s">
        <v>672</v>
      </c>
      <c r="L27" t="s">
        <v>702</v>
      </c>
      <c r="M27" t="s">
        <v>707</v>
      </c>
      <c r="N27" t="s">
        <v>712</v>
      </c>
      <c r="O27" t="s">
        <v>733</v>
      </c>
      <c r="P27" t="str" cm="1">
        <f t="array" ref="P27">_xlfn.IFS(S27&lt;=PERCENTILE($S$2:$S$1000, 0.33), "Low", S27&lt;=PERCENTILE($S$2:$S$1000, 0.66), "Medium", TRUE, "High")</f>
        <v>High</v>
      </c>
      <c r="Q27" t="s">
        <v>759</v>
      </c>
      <c r="R27" s="10">
        <v>1491.85</v>
      </c>
      <c r="S27" s="10">
        <v>2583.02</v>
      </c>
      <c r="T27" s="8">
        <v>0.16800000000000001</v>
      </c>
      <c r="U27" s="12">
        <f t="shared" si="11"/>
        <v>0</v>
      </c>
      <c r="V27" s="6">
        <v>4</v>
      </c>
      <c r="W27" t="str">
        <f t="shared" si="1"/>
        <v>ok</v>
      </c>
      <c r="X27">
        <f t="shared" si="2"/>
        <v>14</v>
      </c>
      <c r="Y27">
        <f t="shared" si="12"/>
        <v>14</v>
      </c>
      <c r="Z27" s="10">
        <f t="shared" si="13"/>
        <v>8596.2905599999995</v>
      </c>
      <c r="AA27" s="10">
        <f t="shared" si="14"/>
        <v>5967.4</v>
      </c>
      <c r="AB27" s="10">
        <f t="shared" si="15"/>
        <v>2628.8905599999998</v>
      </c>
      <c r="AC27" s="10">
        <f t="shared" si="3"/>
        <v>606.37750000000005</v>
      </c>
      <c r="AD27" s="10">
        <f t="shared" si="4"/>
        <v>1193.865</v>
      </c>
      <c r="AE27" s="10">
        <f t="shared" si="5"/>
        <v>1912.0450000000001</v>
      </c>
      <c r="AF27" s="10" t="str">
        <f t="shared" si="6"/>
        <v>High</v>
      </c>
      <c r="AG27" s="6">
        <f t="shared" si="16"/>
        <v>0.30581685689321325</v>
      </c>
      <c r="AH27" s="4">
        <f t="shared" si="18"/>
        <v>44955</v>
      </c>
      <c r="AI27" t="str">
        <f t="shared" si="17"/>
        <v>Jan-2023</v>
      </c>
    </row>
    <row r="28" spans="1:35" x14ac:dyDescent="0.25">
      <c r="A28" t="s">
        <v>41</v>
      </c>
      <c r="B28" s="4">
        <v>45626</v>
      </c>
      <c r="C28" s="4" t="str">
        <f t="shared" si="7"/>
        <v>Q4-2024</v>
      </c>
      <c r="D28" s="4" t="str">
        <f t="shared" si="8"/>
        <v>Nov-2024</v>
      </c>
      <c r="E28" s="4">
        <v>45656</v>
      </c>
      <c r="F28" s="12">
        <f t="shared" si="9"/>
        <v>30</v>
      </c>
      <c r="G28" s="12">
        <f t="shared" si="0"/>
        <v>0</v>
      </c>
      <c r="H28" s="4">
        <f t="shared" si="10"/>
        <v>45656</v>
      </c>
      <c r="I28" t="s">
        <v>649</v>
      </c>
      <c r="J28" t="s">
        <v>657</v>
      </c>
      <c r="K28" t="s">
        <v>673</v>
      </c>
      <c r="L28" t="s">
        <v>704</v>
      </c>
      <c r="M28" t="s">
        <v>709</v>
      </c>
      <c r="N28" t="s">
        <v>721</v>
      </c>
      <c r="O28" t="s">
        <v>728</v>
      </c>
      <c r="P28" t="str" cm="1">
        <f t="array" ref="P28">_xlfn.IFS(S28&lt;=PERCENTILE($S$2:$S$1000, 0.33), "Low", S28&lt;=PERCENTILE($S$2:$S$1000, 0.66), "Medium", TRUE, "High")</f>
        <v>Low</v>
      </c>
      <c r="Q28" t="s">
        <v>760</v>
      </c>
      <c r="R28" s="10">
        <v>117.64</v>
      </c>
      <c r="S28" s="10">
        <v>175.67</v>
      </c>
      <c r="T28" s="8">
        <v>0</v>
      </c>
      <c r="U28" s="12">
        <f t="shared" si="11"/>
        <v>0</v>
      </c>
      <c r="V28" s="6">
        <v>10</v>
      </c>
      <c r="W28" t="str">
        <f t="shared" si="1"/>
        <v>ok</v>
      </c>
      <c r="X28">
        <f t="shared" si="2"/>
        <v>30</v>
      </c>
      <c r="Y28">
        <f t="shared" si="12"/>
        <v>30</v>
      </c>
      <c r="Z28" s="10">
        <f t="shared" si="13"/>
        <v>1756.6999999999998</v>
      </c>
      <c r="AA28" s="10">
        <f t="shared" si="14"/>
        <v>1176.4000000000001</v>
      </c>
      <c r="AB28" s="10">
        <f t="shared" si="15"/>
        <v>580.29999999999973</v>
      </c>
      <c r="AC28" s="10">
        <f t="shared" si="3"/>
        <v>606.37750000000005</v>
      </c>
      <c r="AD28" s="10">
        <f t="shared" si="4"/>
        <v>1193.865</v>
      </c>
      <c r="AE28" s="10">
        <f t="shared" si="5"/>
        <v>1912.0450000000001</v>
      </c>
      <c r="AF28" s="10" t="str">
        <f t="shared" si="6"/>
        <v>High</v>
      </c>
      <c r="AG28" s="6">
        <f t="shared" si="16"/>
        <v>0.33033528775545046</v>
      </c>
      <c r="AH28" s="4">
        <f t="shared" si="18"/>
        <v>44936</v>
      </c>
      <c r="AI28" t="str">
        <f t="shared" si="17"/>
        <v>Jan-2023</v>
      </c>
    </row>
    <row r="29" spans="1:35" x14ac:dyDescent="0.25">
      <c r="A29" t="s">
        <v>42</v>
      </c>
      <c r="B29" s="4">
        <v>45492</v>
      </c>
      <c r="C29" s="4" t="str">
        <f t="shared" si="7"/>
        <v>Q3-2024</v>
      </c>
      <c r="D29" s="4" t="str">
        <f t="shared" si="8"/>
        <v>Jul-2024</v>
      </c>
      <c r="E29" s="4">
        <v>45492</v>
      </c>
      <c r="F29" s="12">
        <f t="shared" si="9"/>
        <v>0</v>
      </c>
      <c r="G29" s="12">
        <f t="shared" si="0"/>
        <v>1</v>
      </c>
      <c r="H29" s="4">
        <f t="shared" si="10"/>
        <v>45492</v>
      </c>
      <c r="I29" t="s">
        <v>646</v>
      </c>
      <c r="J29" t="s">
        <v>650</v>
      </c>
      <c r="K29" t="s">
        <v>662</v>
      </c>
      <c r="L29" t="s">
        <v>705</v>
      </c>
      <c r="M29" t="s">
        <v>707</v>
      </c>
      <c r="N29" t="s">
        <v>720</v>
      </c>
      <c r="O29" t="s">
        <v>730</v>
      </c>
      <c r="P29" t="str" cm="1">
        <f t="array" ref="P29">_xlfn.IFS(S29&lt;=PERCENTILE($S$2:$S$1000, 0.33), "Low", S29&lt;=PERCENTILE($S$2:$S$1000, 0.66), "Medium", TRUE, "High")</f>
        <v>Low</v>
      </c>
      <c r="Q29" t="s">
        <v>761</v>
      </c>
      <c r="R29" s="10">
        <v>857.24</v>
      </c>
      <c r="S29" s="10">
        <v>758.23</v>
      </c>
      <c r="T29" s="8">
        <v>0.125</v>
      </c>
      <c r="U29" s="12">
        <f t="shared" si="11"/>
        <v>0</v>
      </c>
      <c r="V29" s="6">
        <v>6</v>
      </c>
      <c r="W29" t="str">
        <f t="shared" si="1"/>
        <v>sus</v>
      </c>
      <c r="X29">
        <f t="shared" si="2"/>
        <v>0</v>
      </c>
      <c r="Y29">
        <f t="shared" si="12"/>
        <v>0</v>
      </c>
      <c r="Z29" s="10">
        <f t="shared" si="13"/>
        <v>3980.7075</v>
      </c>
      <c r="AA29" s="10">
        <f t="shared" si="14"/>
        <v>5143.4400000000005</v>
      </c>
      <c r="AB29" s="10">
        <f t="shared" si="15"/>
        <v>-1162.7325000000005</v>
      </c>
      <c r="AC29" s="10">
        <f t="shared" si="3"/>
        <v>606.37750000000005</v>
      </c>
      <c r="AD29" s="10">
        <f t="shared" si="4"/>
        <v>1193.865</v>
      </c>
      <c r="AE29" s="10">
        <f t="shared" si="5"/>
        <v>1912.0450000000001</v>
      </c>
      <c r="AF29" s="10" t="str">
        <f t="shared" si="6"/>
        <v>Low</v>
      </c>
      <c r="AG29" s="6">
        <f t="shared" si="16"/>
        <v>-0.29209192084572921</v>
      </c>
      <c r="AH29" s="4">
        <f t="shared" si="18"/>
        <v>44946</v>
      </c>
      <c r="AI29" t="str">
        <f t="shared" si="17"/>
        <v>Jan-2023</v>
      </c>
    </row>
    <row r="30" spans="1:35" x14ac:dyDescent="0.25">
      <c r="A30" t="s">
        <v>43</v>
      </c>
      <c r="B30" s="4">
        <v>45030</v>
      </c>
      <c r="C30" s="4" t="str">
        <f t="shared" si="7"/>
        <v>Q2-2023</v>
      </c>
      <c r="D30" s="4" t="str">
        <f t="shared" si="8"/>
        <v>Apr-2023</v>
      </c>
      <c r="E30" s="4">
        <v>45060</v>
      </c>
      <c r="F30" s="12">
        <f t="shared" si="9"/>
        <v>30</v>
      </c>
      <c r="G30" s="12">
        <f t="shared" si="0"/>
        <v>0</v>
      </c>
      <c r="H30" s="4">
        <f t="shared" si="10"/>
        <v>45060</v>
      </c>
      <c r="I30" t="s">
        <v>646</v>
      </c>
      <c r="J30" t="s">
        <v>650</v>
      </c>
      <c r="K30" t="s">
        <v>678</v>
      </c>
      <c r="L30" t="s">
        <v>704</v>
      </c>
      <c r="M30" t="s">
        <v>709</v>
      </c>
      <c r="N30" t="s">
        <v>724</v>
      </c>
      <c r="O30" t="s">
        <v>730</v>
      </c>
      <c r="P30" t="str" cm="1">
        <f t="array" ref="P30">_xlfn.IFS(S30&lt;=PERCENTILE($S$2:$S$1000, 0.33), "Low", S30&lt;=PERCENTILE($S$2:$S$1000, 0.66), "Medium", TRUE, "High")</f>
        <v>Low</v>
      </c>
      <c r="Q30" t="s">
        <v>762</v>
      </c>
      <c r="R30" s="10">
        <v>209.25</v>
      </c>
      <c r="S30" s="10">
        <v>434.8</v>
      </c>
      <c r="T30" s="8">
        <v>0</v>
      </c>
      <c r="U30" s="12">
        <f t="shared" si="11"/>
        <v>0</v>
      </c>
      <c r="V30" s="6">
        <v>9</v>
      </c>
      <c r="W30" t="str">
        <f t="shared" si="1"/>
        <v>ok</v>
      </c>
      <c r="X30">
        <f t="shared" si="2"/>
        <v>30</v>
      </c>
      <c r="Y30">
        <f t="shared" si="12"/>
        <v>30</v>
      </c>
      <c r="Z30" s="10">
        <f t="shared" si="13"/>
        <v>3913.2000000000003</v>
      </c>
      <c r="AA30" s="10">
        <f t="shared" si="14"/>
        <v>1883.25</v>
      </c>
      <c r="AB30" s="10">
        <f t="shared" si="15"/>
        <v>2029.9500000000003</v>
      </c>
      <c r="AC30" s="10">
        <f t="shared" si="3"/>
        <v>606.37750000000005</v>
      </c>
      <c r="AD30" s="10">
        <f t="shared" si="4"/>
        <v>1193.865</v>
      </c>
      <c r="AE30" s="10">
        <f t="shared" si="5"/>
        <v>1912.0450000000001</v>
      </c>
      <c r="AF30" s="10" t="str">
        <f t="shared" si="6"/>
        <v>Medium</v>
      </c>
      <c r="AG30" s="6">
        <f t="shared" si="16"/>
        <v>0.51874425022999082</v>
      </c>
      <c r="AH30" s="4">
        <f t="shared" si="18"/>
        <v>44946</v>
      </c>
      <c r="AI30" t="str">
        <f t="shared" si="17"/>
        <v>Jan-2023</v>
      </c>
    </row>
    <row r="31" spans="1:35" x14ac:dyDescent="0.25">
      <c r="A31" t="s">
        <v>44</v>
      </c>
      <c r="B31" s="4">
        <v>45754</v>
      </c>
      <c r="C31" s="4" t="str">
        <f t="shared" si="7"/>
        <v>Q2-2025</v>
      </c>
      <c r="D31" s="4" t="str">
        <f t="shared" si="8"/>
        <v>Apr-2025</v>
      </c>
      <c r="E31" s="4">
        <v>45758</v>
      </c>
      <c r="F31" s="12">
        <f t="shared" si="9"/>
        <v>4</v>
      </c>
      <c r="G31" s="12">
        <f t="shared" si="0"/>
        <v>1</v>
      </c>
      <c r="H31" s="4">
        <f t="shared" si="10"/>
        <v>45758</v>
      </c>
      <c r="I31" t="s">
        <v>649</v>
      </c>
      <c r="J31" t="s">
        <v>657</v>
      </c>
      <c r="K31" t="s">
        <v>679</v>
      </c>
      <c r="L31" t="s">
        <v>702</v>
      </c>
      <c r="M31" t="s">
        <v>707</v>
      </c>
      <c r="N31" t="s">
        <v>718</v>
      </c>
      <c r="O31" t="s">
        <v>729</v>
      </c>
      <c r="P31" t="str" cm="1">
        <f t="array" ref="P31">_xlfn.IFS(S31&lt;=PERCENTILE($S$2:$S$1000, 0.33), "Low", S31&lt;=PERCENTILE($S$2:$S$1000, 0.66), "Medium", TRUE, "High")</f>
        <v>High</v>
      </c>
      <c r="Q31" t="s">
        <v>763</v>
      </c>
      <c r="R31" s="10">
        <v>754.77</v>
      </c>
      <c r="S31" s="10">
        <v>1666.18</v>
      </c>
      <c r="T31" s="8">
        <v>0.13900000000000001</v>
      </c>
      <c r="U31" s="12">
        <f t="shared" si="11"/>
        <v>0</v>
      </c>
      <c r="V31" s="6">
        <v>14</v>
      </c>
      <c r="W31" t="str">
        <f t="shared" si="1"/>
        <v>ok</v>
      </c>
      <c r="X31">
        <f t="shared" si="2"/>
        <v>4</v>
      </c>
      <c r="Y31">
        <f t="shared" si="12"/>
        <v>4</v>
      </c>
      <c r="Z31" s="10">
        <f t="shared" si="13"/>
        <v>20084.133720000002</v>
      </c>
      <c r="AA31" s="10">
        <f t="shared" si="14"/>
        <v>10566.779999999999</v>
      </c>
      <c r="AB31" s="10">
        <f t="shared" si="15"/>
        <v>9517.3537200000028</v>
      </c>
      <c r="AC31" s="10">
        <f t="shared" si="3"/>
        <v>606.37750000000005</v>
      </c>
      <c r="AD31" s="10">
        <f t="shared" si="4"/>
        <v>1193.865</v>
      </c>
      <c r="AE31" s="10">
        <f t="shared" si="5"/>
        <v>1912.0450000000001</v>
      </c>
      <c r="AF31" s="10" t="str">
        <f t="shared" si="6"/>
        <v>Low</v>
      </c>
      <c r="AG31" s="6">
        <f t="shared" si="16"/>
        <v>0.47387424584424653</v>
      </c>
      <c r="AH31" s="4">
        <f t="shared" si="18"/>
        <v>44936</v>
      </c>
      <c r="AI31" t="str">
        <f t="shared" si="17"/>
        <v>Jan-2023</v>
      </c>
    </row>
    <row r="32" spans="1:35" x14ac:dyDescent="0.25">
      <c r="A32" t="s">
        <v>45</v>
      </c>
      <c r="B32" s="4">
        <v>45653</v>
      </c>
      <c r="C32" s="4" t="str">
        <f t="shared" si="7"/>
        <v>Q4-2024</v>
      </c>
      <c r="D32" s="4" t="str">
        <f t="shared" si="8"/>
        <v>Dec-2024</v>
      </c>
      <c r="E32" s="4">
        <v>45672</v>
      </c>
      <c r="F32" s="12">
        <f t="shared" si="9"/>
        <v>19</v>
      </c>
      <c r="G32" s="12">
        <f t="shared" si="0"/>
        <v>0</v>
      </c>
      <c r="H32" s="4">
        <f t="shared" si="10"/>
        <v>45672</v>
      </c>
      <c r="I32" t="s">
        <v>647</v>
      </c>
      <c r="J32" t="s">
        <v>654</v>
      </c>
      <c r="K32" t="s">
        <v>680</v>
      </c>
      <c r="L32" t="s">
        <v>703</v>
      </c>
      <c r="M32" t="s">
        <v>710</v>
      </c>
      <c r="N32" t="s">
        <v>715</v>
      </c>
      <c r="O32" t="s">
        <v>727</v>
      </c>
      <c r="P32" t="str" cm="1">
        <f t="array" ref="P32">_xlfn.IFS(S32&lt;=PERCENTILE($S$2:$S$1000, 0.33), "Low", S32&lt;=PERCENTILE($S$2:$S$1000, 0.66), "Medium", TRUE, "High")</f>
        <v>Low</v>
      </c>
      <c r="Q32" t="s">
        <v>764</v>
      </c>
      <c r="R32" s="10">
        <v>495.59</v>
      </c>
      <c r="S32" s="10">
        <v>631.78</v>
      </c>
      <c r="T32" s="8">
        <v>8.6999999999999994E-2</v>
      </c>
      <c r="U32" s="12">
        <f t="shared" si="11"/>
        <v>0</v>
      </c>
      <c r="V32" s="6">
        <v>17</v>
      </c>
      <c r="W32" t="str">
        <f t="shared" si="1"/>
        <v>ok</v>
      </c>
      <c r="X32">
        <f t="shared" si="2"/>
        <v>19</v>
      </c>
      <c r="Y32">
        <f t="shared" si="12"/>
        <v>19</v>
      </c>
      <c r="Z32" s="10">
        <f t="shared" si="13"/>
        <v>9805.8573800000013</v>
      </c>
      <c r="AA32" s="10">
        <f t="shared" si="14"/>
        <v>8425.0299999999988</v>
      </c>
      <c r="AB32" s="10">
        <f t="shared" si="15"/>
        <v>1380.8273800000024</v>
      </c>
      <c r="AC32" s="10">
        <f t="shared" si="3"/>
        <v>606.37750000000005</v>
      </c>
      <c r="AD32" s="10">
        <f t="shared" si="4"/>
        <v>1193.865</v>
      </c>
      <c r="AE32" s="10">
        <f t="shared" si="5"/>
        <v>1912.0450000000001</v>
      </c>
      <c r="AF32" s="10" t="str">
        <f t="shared" si="6"/>
        <v>Medium</v>
      </c>
      <c r="AG32" s="6">
        <f t="shared" si="16"/>
        <v>0.14081658813601899</v>
      </c>
      <c r="AH32" s="4">
        <f t="shared" si="18"/>
        <v>44955</v>
      </c>
      <c r="AI32" t="str">
        <f t="shared" si="17"/>
        <v>Jan-2023</v>
      </c>
    </row>
    <row r="33" spans="1:35" x14ac:dyDescent="0.25">
      <c r="A33" t="s">
        <v>46</v>
      </c>
      <c r="B33" s="4">
        <v>44980</v>
      </c>
      <c r="C33" s="4" t="str">
        <f t="shared" si="7"/>
        <v>Q1-2023</v>
      </c>
      <c r="D33" s="4" t="str">
        <f t="shared" si="8"/>
        <v>Feb-2023</v>
      </c>
      <c r="E33" s="4">
        <v>45010</v>
      </c>
      <c r="F33" s="12">
        <f t="shared" si="9"/>
        <v>30</v>
      </c>
      <c r="G33" s="12">
        <f t="shared" si="0"/>
        <v>0</v>
      </c>
      <c r="H33" s="4">
        <f t="shared" si="10"/>
        <v>45010</v>
      </c>
      <c r="I33" t="s">
        <v>648</v>
      </c>
      <c r="J33" t="s">
        <v>653</v>
      </c>
      <c r="K33" t="s">
        <v>681</v>
      </c>
      <c r="L33" t="s">
        <v>706</v>
      </c>
      <c r="M33" t="s">
        <v>708</v>
      </c>
      <c r="N33" t="s">
        <v>726</v>
      </c>
      <c r="O33" t="s">
        <v>730</v>
      </c>
      <c r="P33" t="str" cm="1">
        <f t="array" ref="P33">_xlfn.IFS(S33&lt;=PERCENTILE($S$2:$S$1000, 0.33), "Low", S33&lt;=PERCENTILE($S$2:$S$1000, 0.66), "Medium", TRUE, "High")</f>
        <v>High</v>
      </c>
      <c r="Q33" t="s">
        <v>765</v>
      </c>
      <c r="R33" s="10">
        <v>1242.6600000000001</v>
      </c>
      <c r="S33" s="10">
        <v>1794.07</v>
      </c>
      <c r="T33" s="8">
        <v>8.8999999999999996E-2</v>
      </c>
      <c r="U33" s="12">
        <f t="shared" si="11"/>
        <v>0</v>
      </c>
      <c r="V33" s="6">
        <v>16</v>
      </c>
      <c r="W33" t="str">
        <f t="shared" si="1"/>
        <v>ok</v>
      </c>
      <c r="X33">
        <f t="shared" si="2"/>
        <v>30</v>
      </c>
      <c r="Y33">
        <f t="shared" si="12"/>
        <v>30</v>
      </c>
      <c r="Z33" s="10">
        <f t="shared" si="13"/>
        <v>26150.364320000001</v>
      </c>
      <c r="AA33" s="10">
        <f t="shared" si="14"/>
        <v>19882.560000000001</v>
      </c>
      <c r="AB33" s="10">
        <f t="shared" si="15"/>
        <v>6267.8043199999993</v>
      </c>
      <c r="AC33" s="10">
        <f t="shared" si="3"/>
        <v>606.37750000000005</v>
      </c>
      <c r="AD33" s="10">
        <f t="shared" si="4"/>
        <v>1193.865</v>
      </c>
      <c r="AE33" s="10">
        <f t="shared" si="5"/>
        <v>1912.0450000000001</v>
      </c>
      <c r="AF33" s="10" t="str">
        <f t="shared" si="6"/>
        <v>Medium</v>
      </c>
      <c r="AG33" s="6">
        <f t="shared" si="16"/>
        <v>0.23968325042440553</v>
      </c>
      <c r="AH33" s="4">
        <f t="shared" si="18"/>
        <v>44928</v>
      </c>
      <c r="AI33" t="str">
        <f t="shared" si="17"/>
        <v>Jan-2023</v>
      </c>
    </row>
    <row r="34" spans="1:35" x14ac:dyDescent="0.25">
      <c r="A34" t="s">
        <v>47</v>
      </c>
      <c r="B34" s="4">
        <v>45862</v>
      </c>
      <c r="C34" s="4" t="str">
        <f t="shared" si="7"/>
        <v>Q3-2025</v>
      </c>
      <c r="D34" s="4" t="str">
        <f t="shared" si="8"/>
        <v>Jul-2025</v>
      </c>
      <c r="E34" s="4">
        <v>45875</v>
      </c>
      <c r="F34" s="12">
        <f t="shared" si="9"/>
        <v>13</v>
      </c>
      <c r="G34" s="12">
        <f t="shared" si="0"/>
        <v>0</v>
      </c>
      <c r="H34" s="4">
        <f t="shared" si="10"/>
        <v>45875</v>
      </c>
      <c r="I34" t="s">
        <v>646</v>
      </c>
      <c r="J34" t="s">
        <v>661</v>
      </c>
      <c r="K34" t="s">
        <v>682</v>
      </c>
      <c r="L34" t="s">
        <v>702</v>
      </c>
      <c r="M34" t="s">
        <v>709</v>
      </c>
      <c r="N34" t="s">
        <v>726</v>
      </c>
      <c r="O34" t="s">
        <v>729</v>
      </c>
      <c r="P34" t="str" cm="1">
        <f t="array" ref="P34">_xlfn.IFS(S34&lt;=PERCENTILE($S$2:$S$1000, 0.33), "Low", S34&lt;=PERCENTILE($S$2:$S$1000, 0.66), "Medium", TRUE, "High")</f>
        <v>High</v>
      </c>
      <c r="Q34" t="s">
        <v>766</v>
      </c>
      <c r="R34" s="10">
        <v>1463.9</v>
      </c>
      <c r="S34" s="10">
        <v>2633.02</v>
      </c>
      <c r="T34" s="8">
        <v>8.4000000000000005E-2</v>
      </c>
      <c r="U34" s="12">
        <f t="shared" si="11"/>
        <v>0</v>
      </c>
      <c r="V34" s="6">
        <v>4</v>
      </c>
      <c r="W34" t="str">
        <f t="shared" si="1"/>
        <v>ok</v>
      </c>
      <c r="X34">
        <f t="shared" si="2"/>
        <v>13</v>
      </c>
      <c r="Y34">
        <f t="shared" si="12"/>
        <v>13</v>
      </c>
      <c r="Z34" s="10">
        <f t="shared" si="13"/>
        <v>9647.3852800000004</v>
      </c>
      <c r="AA34" s="10">
        <f t="shared" si="14"/>
        <v>5855.6</v>
      </c>
      <c r="AB34" s="10">
        <f t="shared" si="15"/>
        <v>3791.7852800000001</v>
      </c>
      <c r="AC34" s="10">
        <f t="shared" si="3"/>
        <v>606.37750000000005</v>
      </c>
      <c r="AD34" s="10">
        <f t="shared" si="4"/>
        <v>1193.865</v>
      </c>
      <c r="AE34" s="10">
        <f t="shared" si="5"/>
        <v>1912.0450000000001</v>
      </c>
      <c r="AF34" s="10" t="str">
        <f t="shared" si="6"/>
        <v>Medium</v>
      </c>
      <c r="AG34" s="6">
        <f t="shared" si="16"/>
        <v>0.39303761277791527</v>
      </c>
      <c r="AH34" s="4">
        <f t="shared" si="18"/>
        <v>44933</v>
      </c>
      <c r="AI34" t="str">
        <f t="shared" si="17"/>
        <v>Jan-2023</v>
      </c>
    </row>
    <row r="35" spans="1:35" x14ac:dyDescent="0.25">
      <c r="A35" t="s">
        <v>48</v>
      </c>
      <c r="B35" s="4">
        <v>45400</v>
      </c>
      <c r="C35" s="4" t="str">
        <f t="shared" si="7"/>
        <v>Q2-2024</v>
      </c>
      <c r="D35" s="4" t="str">
        <f t="shared" si="8"/>
        <v>Apr-2024</v>
      </c>
      <c r="E35" s="4">
        <v>45420</v>
      </c>
      <c r="F35" s="12">
        <f t="shared" si="9"/>
        <v>20</v>
      </c>
      <c r="G35" s="12">
        <f t="shared" si="0"/>
        <v>0</v>
      </c>
      <c r="H35" s="4">
        <f t="shared" si="10"/>
        <v>45420</v>
      </c>
      <c r="I35" t="s">
        <v>649</v>
      </c>
      <c r="J35" t="s">
        <v>658</v>
      </c>
      <c r="K35" t="s">
        <v>683</v>
      </c>
      <c r="L35" t="s">
        <v>703</v>
      </c>
      <c r="M35" t="s">
        <v>1418</v>
      </c>
      <c r="N35" t="s">
        <v>726</v>
      </c>
      <c r="O35" t="s">
        <v>731</v>
      </c>
      <c r="P35" t="str" cm="1">
        <f t="array" ref="P35">_xlfn.IFS(S35&lt;=PERCENTILE($S$2:$S$1000, 0.33), "Low", S35&lt;=PERCENTILE($S$2:$S$1000, 0.66), "Medium", TRUE, "High")</f>
        <v>Medium</v>
      </c>
      <c r="Q35" t="s">
        <v>767</v>
      </c>
      <c r="R35" s="10">
        <v>645.33000000000004</v>
      </c>
      <c r="S35" s="10">
        <v>1321.85</v>
      </c>
      <c r="T35" s="8">
        <v>0</v>
      </c>
      <c r="U35" s="12">
        <f t="shared" si="11"/>
        <v>0</v>
      </c>
      <c r="V35" s="6">
        <v>10</v>
      </c>
      <c r="W35" t="str">
        <f t="shared" si="1"/>
        <v>ok</v>
      </c>
      <c r="X35">
        <f t="shared" si="2"/>
        <v>20</v>
      </c>
      <c r="Y35">
        <f t="shared" si="12"/>
        <v>20</v>
      </c>
      <c r="Z35" s="10">
        <f t="shared" si="13"/>
        <v>13218.5</v>
      </c>
      <c r="AA35" s="10">
        <f t="shared" si="14"/>
        <v>6453.3</v>
      </c>
      <c r="AB35" s="10">
        <f t="shared" si="15"/>
        <v>6765.2</v>
      </c>
      <c r="AC35" s="10">
        <f t="shared" si="3"/>
        <v>606.37750000000005</v>
      </c>
      <c r="AD35" s="10">
        <f t="shared" si="4"/>
        <v>1193.865</v>
      </c>
      <c r="AE35" s="10">
        <f t="shared" si="5"/>
        <v>1912.0450000000001</v>
      </c>
      <c r="AF35" s="10" t="str">
        <f t="shared" si="6"/>
        <v>High</v>
      </c>
      <c r="AG35" s="6">
        <f t="shared" si="16"/>
        <v>0.51179785906116426</v>
      </c>
      <c r="AH35" s="4">
        <f t="shared" si="18"/>
        <v>44945</v>
      </c>
      <c r="AI35" t="str">
        <f t="shared" si="17"/>
        <v>Jan-2023</v>
      </c>
    </row>
    <row r="36" spans="1:35" x14ac:dyDescent="0.25">
      <c r="A36" t="s">
        <v>49</v>
      </c>
      <c r="B36" s="4">
        <v>45527</v>
      </c>
      <c r="C36" s="4" t="str">
        <f t="shared" si="7"/>
        <v>Q3-2024</v>
      </c>
      <c r="D36" s="4" t="str">
        <f t="shared" si="8"/>
        <v>Aug-2024</v>
      </c>
      <c r="E36" s="4">
        <v>45525</v>
      </c>
      <c r="F36" s="12">
        <f t="shared" si="9"/>
        <v>14</v>
      </c>
      <c r="G36" s="12">
        <f t="shared" si="0"/>
        <v>0</v>
      </c>
      <c r="H36" s="4">
        <f t="shared" si="10"/>
        <v>45541</v>
      </c>
      <c r="I36" t="s">
        <v>646</v>
      </c>
      <c r="J36" t="s">
        <v>661</v>
      </c>
      <c r="K36" t="s">
        <v>682</v>
      </c>
      <c r="L36" t="s">
        <v>702</v>
      </c>
      <c r="M36" t="s">
        <v>707</v>
      </c>
      <c r="N36" t="s">
        <v>718</v>
      </c>
      <c r="O36" t="s">
        <v>727</v>
      </c>
      <c r="P36" t="str" cm="1">
        <f t="array" ref="P36">_xlfn.IFS(S36&lt;=PERCENTILE($S$2:$S$1000, 0.33), "Low", S36&lt;=PERCENTILE($S$2:$S$1000, 0.66), "Medium", TRUE, "High")</f>
        <v>High</v>
      </c>
      <c r="Q36" t="s">
        <v>768</v>
      </c>
      <c r="R36" s="10">
        <v>1432.52</v>
      </c>
      <c r="S36" s="10">
        <v>3036.87</v>
      </c>
      <c r="T36" s="8">
        <v>0</v>
      </c>
      <c r="U36" s="12">
        <f t="shared" si="11"/>
        <v>0</v>
      </c>
      <c r="V36" s="6">
        <v>9</v>
      </c>
      <c r="W36" t="str">
        <f t="shared" si="1"/>
        <v>sus</v>
      </c>
      <c r="X36">
        <f t="shared" si="2"/>
        <v>-2</v>
      </c>
      <c r="Y36">
        <f t="shared" si="12"/>
        <v>2</v>
      </c>
      <c r="Z36" s="10">
        <f t="shared" si="13"/>
        <v>27331.829999999998</v>
      </c>
      <c r="AA36" s="10">
        <f t="shared" si="14"/>
        <v>12892.68</v>
      </c>
      <c r="AB36" s="10">
        <f t="shared" si="15"/>
        <v>14439.149999999998</v>
      </c>
      <c r="AC36" s="10">
        <f t="shared" si="3"/>
        <v>606.37750000000005</v>
      </c>
      <c r="AD36" s="10">
        <f t="shared" si="4"/>
        <v>1193.865</v>
      </c>
      <c r="AE36" s="10">
        <f t="shared" si="5"/>
        <v>1912.0450000000001</v>
      </c>
      <c r="AF36" s="10" t="str">
        <f t="shared" si="6"/>
        <v>Medium</v>
      </c>
      <c r="AG36" s="6">
        <f t="shared" si="16"/>
        <v>0.52829064135112791</v>
      </c>
      <c r="AH36" s="4">
        <f t="shared" si="18"/>
        <v>44933</v>
      </c>
      <c r="AI36" t="str">
        <f t="shared" si="17"/>
        <v>Jan-2023</v>
      </c>
    </row>
    <row r="37" spans="1:35" x14ac:dyDescent="0.25">
      <c r="A37" t="s">
        <v>50</v>
      </c>
      <c r="B37" s="4">
        <v>45012</v>
      </c>
      <c r="C37" s="4" t="str">
        <f t="shared" si="7"/>
        <v>Q1-2023</v>
      </c>
      <c r="D37" s="4" t="str">
        <f t="shared" si="8"/>
        <v>Mar-2023</v>
      </c>
      <c r="E37" s="4">
        <v>45038</v>
      </c>
      <c r="F37" s="12">
        <f t="shared" si="9"/>
        <v>26</v>
      </c>
      <c r="G37" s="12">
        <f t="shared" si="0"/>
        <v>0</v>
      </c>
      <c r="H37" s="4">
        <f t="shared" si="10"/>
        <v>45038</v>
      </c>
      <c r="I37" t="s">
        <v>647</v>
      </c>
      <c r="J37" t="s">
        <v>654</v>
      </c>
      <c r="K37" t="s">
        <v>680</v>
      </c>
      <c r="L37" t="s">
        <v>703</v>
      </c>
      <c r="M37" t="s">
        <v>709</v>
      </c>
      <c r="N37" t="s">
        <v>713</v>
      </c>
      <c r="O37" t="s">
        <v>728</v>
      </c>
      <c r="P37" t="str" cm="1">
        <f t="array" ref="P37">_xlfn.IFS(S37&lt;=PERCENTILE($S$2:$S$1000, 0.33), "Low", S37&lt;=PERCENTILE($S$2:$S$1000, 0.66), "Medium", TRUE, "High")</f>
        <v>Low</v>
      </c>
      <c r="Q37" t="s">
        <v>769</v>
      </c>
      <c r="R37" s="10">
        <v>178.53</v>
      </c>
      <c r="S37" s="10">
        <v>199.37</v>
      </c>
      <c r="T37" s="8">
        <v>0.10100000000000001</v>
      </c>
      <c r="U37" s="12">
        <f t="shared" si="11"/>
        <v>0</v>
      </c>
      <c r="V37" s="6">
        <v>37</v>
      </c>
      <c r="W37" t="str">
        <f t="shared" si="1"/>
        <v>ok</v>
      </c>
      <c r="X37">
        <f t="shared" si="2"/>
        <v>26</v>
      </c>
      <c r="Y37">
        <f t="shared" si="12"/>
        <v>26</v>
      </c>
      <c r="Z37" s="10">
        <f t="shared" si="13"/>
        <v>6631.6443100000006</v>
      </c>
      <c r="AA37" s="10">
        <f t="shared" si="14"/>
        <v>6605.61</v>
      </c>
      <c r="AB37" s="10">
        <f t="shared" si="15"/>
        <v>26.034310000000914</v>
      </c>
      <c r="AC37" s="10">
        <f t="shared" si="3"/>
        <v>606.37750000000005</v>
      </c>
      <c r="AD37" s="10">
        <f t="shared" si="4"/>
        <v>1193.865</v>
      </c>
      <c r="AE37" s="10">
        <f t="shared" si="5"/>
        <v>1912.0450000000001</v>
      </c>
      <c r="AF37" s="10" t="str">
        <f t="shared" si="6"/>
        <v>High</v>
      </c>
      <c r="AG37" s="6">
        <f t="shared" si="16"/>
        <v>3.9257699573457538E-3</v>
      </c>
      <c r="AH37" s="4">
        <f t="shared" si="18"/>
        <v>44955</v>
      </c>
      <c r="AI37" t="str">
        <f t="shared" si="17"/>
        <v>Jan-2023</v>
      </c>
    </row>
    <row r="38" spans="1:35" x14ac:dyDescent="0.25">
      <c r="A38" t="s">
        <v>51</v>
      </c>
      <c r="B38" s="4">
        <v>45358</v>
      </c>
      <c r="C38" s="4" t="str">
        <f t="shared" si="7"/>
        <v>Q1-2024</v>
      </c>
      <c r="D38" s="4" t="str">
        <f t="shared" si="8"/>
        <v>Mar-2024</v>
      </c>
      <c r="E38" s="4">
        <v>45376</v>
      </c>
      <c r="F38" s="12">
        <f t="shared" si="9"/>
        <v>18</v>
      </c>
      <c r="G38" s="12">
        <f t="shared" si="0"/>
        <v>0</v>
      </c>
      <c r="H38" s="4">
        <f t="shared" si="10"/>
        <v>45376</v>
      </c>
      <c r="I38" t="s">
        <v>649</v>
      </c>
      <c r="J38" t="s">
        <v>656</v>
      </c>
      <c r="K38" t="s">
        <v>684</v>
      </c>
      <c r="L38" t="s">
        <v>701</v>
      </c>
      <c r="M38" t="s">
        <v>708</v>
      </c>
      <c r="N38" t="s">
        <v>717</v>
      </c>
      <c r="O38" t="s">
        <v>727</v>
      </c>
      <c r="P38" t="str" cm="1">
        <f t="array" ref="P38">_xlfn.IFS(S38&lt;=PERCENTILE($S$2:$S$1000, 0.33), "Low", S38&lt;=PERCENTILE($S$2:$S$1000, 0.66), "Medium", TRUE, "High")</f>
        <v>Medium</v>
      </c>
      <c r="Q38" t="s">
        <v>770</v>
      </c>
      <c r="R38" s="10">
        <v>712.84</v>
      </c>
      <c r="S38" s="10">
        <v>927.51</v>
      </c>
      <c r="T38" s="8">
        <v>0.24299999999999999</v>
      </c>
      <c r="U38" s="12">
        <f t="shared" si="11"/>
        <v>1</v>
      </c>
      <c r="V38" s="6">
        <v>27</v>
      </c>
      <c r="W38" t="str">
        <f t="shared" si="1"/>
        <v>ok</v>
      </c>
      <c r="X38">
        <f t="shared" si="2"/>
        <v>18</v>
      </c>
      <c r="Y38">
        <f t="shared" si="12"/>
        <v>18</v>
      </c>
      <c r="Z38" s="10">
        <f t="shared" si="13"/>
        <v>18957.37689</v>
      </c>
      <c r="AA38" s="10">
        <f t="shared" si="14"/>
        <v>19246.68</v>
      </c>
      <c r="AB38" s="10">
        <f t="shared" si="15"/>
        <v>-289.30311000000074</v>
      </c>
      <c r="AC38" s="10">
        <f t="shared" si="3"/>
        <v>606.37750000000005</v>
      </c>
      <c r="AD38" s="10">
        <f t="shared" si="4"/>
        <v>1193.865</v>
      </c>
      <c r="AE38" s="10">
        <f t="shared" si="5"/>
        <v>1912.0450000000001</v>
      </c>
      <c r="AF38" s="10" t="str">
        <f t="shared" si="6"/>
        <v>Low</v>
      </c>
      <c r="AG38" s="6">
        <f t="shared" si="16"/>
        <v>-1.5260714163076427E-2</v>
      </c>
      <c r="AH38" s="4">
        <f t="shared" si="18"/>
        <v>44948</v>
      </c>
      <c r="AI38" t="str">
        <f t="shared" si="17"/>
        <v>Jan-2023</v>
      </c>
    </row>
    <row r="39" spans="1:35" x14ac:dyDescent="0.25">
      <c r="A39" t="s">
        <v>52</v>
      </c>
      <c r="B39" s="4">
        <v>45832</v>
      </c>
      <c r="C39" s="4" t="str">
        <f t="shared" si="7"/>
        <v>Q2-2025</v>
      </c>
      <c r="D39" s="4" t="str">
        <f t="shared" si="8"/>
        <v>Jun-2025</v>
      </c>
      <c r="E39" s="4">
        <v>45848</v>
      </c>
      <c r="F39" s="12">
        <f t="shared" si="9"/>
        <v>16</v>
      </c>
      <c r="G39" s="12">
        <f t="shared" si="0"/>
        <v>0</v>
      </c>
      <c r="H39" s="4">
        <f t="shared" si="10"/>
        <v>45848</v>
      </c>
      <c r="I39" t="s">
        <v>647</v>
      </c>
      <c r="J39" t="s">
        <v>659</v>
      </c>
      <c r="K39" t="s">
        <v>685</v>
      </c>
      <c r="L39" t="s">
        <v>706</v>
      </c>
      <c r="M39" t="s">
        <v>711</v>
      </c>
      <c r="N39" t="s">
        <v>725</v>
      </c>
      <c r="O39" t="s">
        <v>727</v>
      </c>
      <c r="P39" t="str" cm="1">
        <f t="array" ref="P39">_xlfn.IFS(S39&lt;=PERCENTILE($S$2:$S$1000, 0.33), "Low", S39&lt;=PERCENTILE($S$2:$S$1000, 0.66), "Medium", TRUE, "High")</f>
        <v>High</v>
      </c>
      <c r="Q39" t="s">
        <v>771</v>
      </c>
      <c r="R39" s="10">
        <v>757.19</v>
      </c>
      <c r="S39" s="10">
        <v>1735.41</v>
      </c>
      <c r="T39" s="8">
        <v>0.13600000000000001</v>
      </c>
      <c r="U39" s="12">
        <f t="shared" si="11"/>
        <v>0</v>
      </c>
      <c r="V39" s="6">
        <v>8</v>
      </c>
      <c r="W39" t="str">
        <f t="shared" si="1"/>
        <v>ok</v>
      </c>
      <c r="X39">
        <f t="shared" si="2"/>
        <v>16</v>
      </c>
      <c r="Y39">
        <f t="shared" si="12"/>
        <v>16</v>
      </c>
      <c r="Z39" s="10">
        <f t="shared" si="13"/>
        <v>11995.153920000001</v>
      </c>
      <c r="AA39" s="10">
        <f t="shared" si="14"/>
        <v>6057.52</v>
      </c>
      <c r="AB39" s="10">
        <f t="shared" si="15"/>
        <v>5937.6339200000002</v>
      </c>
      <c r="AC39" s="10">
        <f t="shared" si="3"/>
        <v>606.37750000000005</v>
      </c>
      <c r="AD39" s="10">
        <f t="shared" si="4"/>
        <v>1193.865</v>
      </c>
      <c r="AE39" s="10">
        <f t="shared" si="5"/>
        <v>1912.0450000000001</v>
      </c>
      <c r="AF39" s="10" t="str">
        <f t="shared" si="6"/>
        <v>Medium</v>
      </c>
      <c r="AG39" s="6">
        <f t="shared" si="16"/>
        <v>0.4950027285685718</v>
      </c>
      <c r="AH39" s="4">
        <f t="shared" si="18"/>
        <v>44938</v>
      </c>
      <c r="AI39" t="str">
        <f t="shared" si="17"/>
        <v>Jan-2023</v>
      </c>
    </row>
    <row r="40" spans="1:35" x14ac:dyDescent="0.25">
      <c r="A40" t="s">
        <v>53</v>
      </c>
      <c r="B40" s="4">
        <v>45401</v>
      </c>
      <c r="C40" s="4" t="str">
        <f t="shared" si="7"/>
        <v>Q2-2024</v>
      </c>
      <c r="D40" s="4" t="str">
        <f t="shared" si="8"/>
        <v>Apr-2024</v>
      </c>
      <c r="E40" s="4">
        <v>45418</v>
      </c>
      <c r="F40" s="12">
        <f t="shared" si="9"/>
        <v>17</v>
      </c>
      <c r="G40" s="12">
        <f t="shared" si="0"/>
        <v>0</v>
      </c>
      <c r="H40" s="4">
        <f t="shared" si="10"/>
        <v>45418</v>
      </c>
      <c r="I40" t="s">
        <v>646</v>
      </c>
      <c r="J40" t="s">
        <v>651</v>
      </c>
      <c r="K40" t="s">
        <v>663</v>
      </c>
      <c r="L40" t="s">
        <v>703</v>
      </c>
      <c r="M40" t="s">
        <v>708</v>
      </c>
      <c r="N40" t="s">
        <v>720</v>
      </c>
      <c r="O40" t="s">
        <v>728</v>
      </c>
      <c r="P40" t="str" cm="1">
        <f t="array" ref="P40">_xlfn.IFS(S40&lt;=PERCENTILE($S$2:$S$1000, 0.33), "Low", S40&lt;=PERCENTILE($S$2:$S$1000, 0.66), "Medium", TRUE, "High")</f>
        <v>Medium</v>
      </c>
      <c r="Q40" t="s">
        <v>772</v>
      </c>
      <c r="R40" s="10">
        <v>865.33</v>
      </c>
      <c r="S40" s="10">
        <v>1395.64</v>
      </c>
      <c r="T40" s="8">
        <v>0.17499999999999999</v>
      </c>
      <c r="U40" s="12">
        <f t="shared" si="11"/>
        <v>0</v>
      </c>
      <c r="V40" s="6">
        <v>13</v>
      </c>
      <c r="W40" t="str">
        <f t="shared" si="1"/>
        <v>ok</v>
      </c>
      <c r="X40">
        <f t="shared" si="2"/>
        <v>17</v>
      </c>
      <c r="Y40">
        <f t="shared" si="12"/>
        <v>17</v>
      </c>
      <c r="Z40" s="10">
        <f t="shared" si="13"/>
        <v>14968.239</v>
      </c>
      <c r="AA40" s="10">
        <f t="shared" si="14"/>
        <v>11249.29</v>
      </c>
      <c r="AB40" s="10">
        <f t="shared" si="15"/>
        <v>3718.9489999999987</v>
      </c>
      <c r="AC40" s="10">
        <f t="shared" si="3"/>
        <v>606.37750000000005</v>
      </c>
      <c r="AD40" s="10">
        <f t="shared" si="4"/>
        <v>1193.865</v>
      </c>
      <c r="AE40" s="10">
        <f t="shared" si="5"/>
        <v>1912.0450000000001</v>
      </c>
      <c r="AF40" s="10" t="str">
        <f t="shared" si="6"/>
        <v>Medium</v>
      </c>
      <c r="AG40" s="6">
        <f t="shared" si="16"/>
        <v>0.24845601409758347</v>
      </c>
      <c r="AH40" s="4">
        <f t="shared" si="18"/>
        <v>44941</v>
      </c>
      <c r="AI40" t="str">
        <f t="shared" si="17"/>
        <v>Jan-2023</v>
      </c>
    </row>
    <row r="41" spans="1:35" x14ac:dyDescent="0.25">
      <c r="A41" t="s">
        <v>54</v>
      </c>
      <c r="B41" s="4">
        <v>45094</v>
      </c>
      <c r="C41" s="4" t="str">
        <f t="shared" si="7"/>
        <v>Q2-2023</v>
      </c>
      <c r="D41" s="4" t="str">
        <f t="shared" si="8"/>
        <v>Jun-2023</v>
      </c>
      <c r="E41" s="4">
        <v>45101</v>
      </c>
      <c r="F41" s="12">
        <f t="shared" si="9"/>
        <v>7</v>
      </c>
      <c r="G41" s="12">
        <f t="shared" si="0"/>
        <v>1</v>
      </c>
      <c r="H41" s="4">
        <f t="shared" si="10"/>
        <v>45101</v>
      </c>
      <c r="I41" t="s">
        <v>648</v>
      </c>
      <c r="J41" t="s">
        <v>660</v>
      </c>
      <c r="K41" t="s">
        <v>686</v>
      </c>
      <c r="L41" t="s">
        <v>701</v>
      </c>
      <c r="M41" t="s">
        <v>707</v>
      </c>
      <c r="N41" t="s">
        <v>714</v>
      </c>
      <c r="O41" t="s">
        <v>728</v>
      </c>
      <c r="P41" t="str" cm="1">
        <f t="array" ref="P41">_xlfn.IFS(S41&lt;=PERCENTILE($S$2:$S$1000, 0.33), "Low", S41&lt;=PERCENTILE($S$2:$S$1000, 0.66), "Medium", TRUE, "High")</f>
        <v>Low</v>
      </c>
      <c r="Q41" t="s">
        <v>773</v>
      </c>
      <c r="R41" s="10">
        <v>313.99</v>
      </c>
      <c r="S41" s="10">
        <v>454.42</v>
      </c>
      <c r="T41" s="8">
        <v>0.129</v>
      </c>
      <c r="U41" s="12">
        <f t="shared" si="11"/>
        <v>0</v>
      </c>
      <c r="V41" s="6">
        <v>9</v>
      </c>
      <c r="W41" t="str">
        <f t="shared" si="1"/>
        <v>ok</v>
      </c>
      <c r="X41">
        <f t="shared" si="2"/>
        <v>7</v>
      </c>
      <c r="Y41">
        <f t="shared" si="12"/>
        <v>7</v>
      </c>
      <c r="Z41" s="10">
        <f t="shared" si="13"/>
        <v>3562.1983800000003</v>
      </c>
      <c r="AA41" s="10">
        <f t="shared" si="14"/>
        <v>2825.91</v>
      </c>
      <c r="AB41" s="10">
        <f t="shared" si="15"/>
        <v>736.28838000000042</v>
      </c>
      <c r="AC41" s="10">
        <f t="shared" si="3"/>
        <v>606.37750000000005</v>
      </c>
      <c r="AD41" s="10">
        <f t="shared" si="4"/>
        <v>1193.865</v>
      </c>
      <c r="AE41" s="10">
        <f t="shared" si="5"/>
        <v>1912.0450000000001</v>
      </c>
      <c r="AF41" s="10" t="str">
        <f t="shared" si="6"/>
        <v>Medium</v>
      </c>
      <c r="AG41" s="6">
        <f t="shared" si="16"/>
        <v>0.20669493988147858</v>
      </c>
      <c r="AH41" s="4">
        <f t="shared" si="18"/>
        <v>44939</v>
      </c>
      <c r="AI41" t="str">
        <f t="shared" si="17"/>
        <v>Jan-2023</v>
      </c>
    </row>
    <row r="42" spans="1:35" x14ac:dyDescent="0.25">
      <c r="A42" t="s">
        <v>55</v>
      </c>
      <c r="B42" s="4">
        <v>45531</v>
      </c>
      <c r="C42" s="4" t="str">
        <f t="shared" si="7"/>
        <v>Q3-2024</v>
      </c>
      <c r="D42" s="4" t="str">
        <f t="shared" si="8"/>
        <v>Aug-2024</v>
      </c>
      <c r="E42" s="4">
        <v>45554</v>
      </c>
      <c r="F42" s="12">
        <f t="shared" si="9"/>
        <v>23</v>
      </c>
      <c r="G42" s="12">
        <f t="shared" si="0"/>
        <v>0</v>
      </c>
      <c r="H42" s="4">
        <f t="shared" si="10"/>
        <v>45554</v>
      </c>
      <c r="I42" t="s">
        <v>649</v>
      </c>
      <c r="J42" t="s">
        <v>656</v>
      </c>
      <c r="K42" t="s">
        <v>671</v>
      </c>
      <c r="L42" t="s">
        <v>705</v>
      </c>
      <c r="M42" t="s">
        <v>711</v>
      </c>
      <c r="N42" t="s">
        <v>726</v>
      </c>
      <c r="O42" t="s">
        <v>732</v>
      </c>
      <c r="P42" t="str" cm="1">
        <f t="array" ref="P42">_xlfn.IFS(S42&lt;=PERCENTILE($S$2:$S$1000, 0.33), "Low", S42&lt;=PERCENTILE($S$2:$S$1000, 0.66), "Medium", TRUE, "High")</f>
        <v>Medium</v>
      </c>
      <c r="Q42" t="s">
        <v>774</v>
      </c>
      <c r="R42" s="10">
        <v>1024.01</v>
      </c>
      <c r="S42" s="10">
        <v>1580.97</v>
      </c>
      <c r="T42" s="8">
        <v>3.6999999999999998E-2</v>
      </c>
      <c r="U42" s="12">
        <f t="shared" si="11"/>
        <v>0</v>
      </c>
      <c r="V42" s="6">
        <v>27</v>
      </c>
      <c r="W42" t="str">
        <f t="shared" si="1"/>
        <v>ok</v>
      </c>
      <c r="X42">
        <f t="shared" si="2"/>
        <v>23</v>
      </c>
      <c r="Y42">
        <f t="shared" si="12"/>
        <v>23</v>
      </c>
      <c r="Z42" s="10">
        <f t="shared" si="13"/>
        <v>41106.800970000004</v>
      </c>
      <c r="AA42" s="10">
        <f t="shared" si="14"/>
        <v>27648.27</v>
      </c>
      <c r="AB42" s="10">
        <f t="shared" si="15"/>
        <v>13458.530970000003</v>
      </c>
      <c r="AC42" s="10">
        <f t="shared" si="3"/>
        <v>606.37750000000005</v>
      </c>
      <c r="AD42" s="10">
        <f t="shared" si="4"/>
        <v>1193.865</v>
      </c>
      <c r="AE42" s="10">
        <f t="shared" si="5"/>
        <v>1912.0450000000001</v>
      </c>
      <c r="AF42" s="10" t="str">
        <f t="shared" si="6"/>
        <v>Low</v>
      </c>
      <c r="AG42" s="6">
        <f t="shared" si="16"/>
        <v>0.3274039976942531</v>
      </c>
      <c r="AH42" s="4">
        <f t="shared" si="18"/>
        <v>44948</v>
      </c>
      <c r="AI42" t="str">
        <f t="shared" si="17"/>
        <v>Jan-2023</v>
      </c>
    </row>
    <row r="43" spans="1:35" x14ac:dyDescent="0.25">
      <c r="A43" t="s">
        <v>56</v>
      </c>
      <c r="B43" s="4">
        <v>45302</v>
      </c>
      <c r="C43" s="4" t="str">
        <f t="shared" si="7"/>
        <v>Q1-2024</v>
      </c>
      <c r="D43" s="4" t="str">
        <f t="shared" si="8"/>
        <v>Jan-2024</v>
      </c>
      <c r="E43" s="4">
        <v>45324</v>
      </c>
      <c r="F43" s="12">
        <f t="shared" si="9"/>
        <v>22</v>
      </c>
      <c r="G43" s="12">
        <f t="shared" si="0"/>
        <v>0</v>
      </c>
      <c r="H43" s="4">
        <f t="shared" si="10"/>
        <v>45324</v>
      </c>
      <c r="I43" t="s">
        <v>646</v>
      </c>
      <c r="J43" t="s">
        <v>661</v>
      </c>
      <c r="K43" t="s">
        <v>687</v>
      </c>
      <c r="L43" t="s">
        <v>704</v>
      </c>
      <c r="M43" t="s">
        <v>708</v>
      </c>
      <c r="N43" t="s">
        <v>723</v>
      </c>
      <c r="O43" t="s">
        <v>729</v>
      </c>
      <c r="P43" t="str" cm="1">
        <f t="array" ref="P43">_xlfn.IFS(S43&lt;=PERCENTILE($S$2:$S$1000, 0.33), "Low", S43&lt;=PERCENTILE($S$2:$S$1000, 0.66), "Medium", TRUE, "High")</f>
        <v>High</v>
      </c>
      <c r="Q43" t="s">
        <v>775</v>
      </c>
      <c r="R43" s="10">
        <v>1206.2</v>
      </c>
      <c r="S43" s="10">
        <v>1759.79</v>
      </c>
      <c r="T43" s="8">
        <v>0</v>
      </c>
      <c r="U43" s="12">
        <f t="shared" si="11"/>
        <v>0</v>
      </c>
      <c r="V43" s="6">
        <v>6</v>
      </c>
      <c r="W43" t="str">
        <f t="shared" si="1"/>
        <v>ok</v>
      </c>
      <c r="X43">
        <f t="shared" si="2"/>
        <v>22</v>
      </c>
      <c r="Y43">
        <f t="shared" si="12"/>
        <v>22</v>
      </c>
      <c r="Z43" s="10">
        <f t="shared" si="13"/>
        <v>10558.74</v>
      </c>
      <c r="AA43" s="10">
        <f t="shared" si="14"/>
        <v>7237.2000000000007</v>
      </c>
      <c r="AB43" s="10">
        <f t="shared" si="15"/>
        <v>3321.5399999999991</v>
      </c>
      <c r="AC43" s="10">
        <f t="shared" si="3"/>
        <v>606.37750000000005</v>
      </c>
      <c r="AD43" s="10">
        <f t="shared" si="4"/>
        <v>1193.865</v>
      </c>
      <c r="AE43" s="10">
        <f t="shared" si="5"/>
        <v>1912.0450000000001</v>
      </c>
      <c r="AF43" s="10" t="str">
        <f t="shared" si="6"/>
        <v>Medium</v>
      </c>
      <c r="AG43" s="6">
        <f t="shared" si="16"/>
        <v>0.31457730751964713</v>
      </c>
      <c r="AH43" s="4">
        <f t="shared" si="18"/>
        <v>44933</v>
      </c>
      <c r="AI43" t="str">
        <f t="shared" si="17"/>
        <v>Jan-2023</v>
      </c>
    </row>
    <row r="44" spans="1:35" x14ac:dyDescent="0.25">
      <c r="A44" t="s">
        <v>57</v>
      </c>
      <c r="B44" s="4">
        <v>45590</v>
      </c>
      <c r="C44" s="4" t="str">
        <f t="shared" si="7"/>
        <v>Q4-2024</v>
      </c>
      <c r="D44" s="4" t="str">
        <f t="shared" si="8"/>
        <v>Oct-2024</v>
      </c>
      <c r="E44" s="4">
        <v>45610</v>
      </c>
      <c r="F44" s="12">
        <f t="shared" si="9"/>
        <v>20</v>
      </c>
      <c r="G44" s="12">
        <f t="shared" si="0"/>
        <v>0</v>
      </c>
      <c r="H44" s="4">
        <f t="shared" si="10"/>
        <v>45610</v>
      </c>
      <c r="I44" t="s">
        <v>646</v>
      </c>
      <c r="J44" t="s">
        <v>650</v>
      </c>
      <c r="K44" t="s">
        <v>675</v>
      </c>
      <c r="L44" t="s">
        <v>701</v>
      </c>
      <c r="M44" t="s">
        <v>711</v>
      </c>
      <c r="N44" t="s">
        <v>722</v>
      </c>
      <c r="O44" t="s">
        <v>728</v>
      </c>
      <c r="P44" t="str" cm="1">
        <f t="array" ref="P44">_xlfn.IFS(S44&lt;=PERCENTILE($S$2:$S$1000, 0.33), "Low", S44&lt;=PERCENTILE($S$2:$S$1000, 0.66), "Medium", TRUE, "High")</f>
        <v>High</v>
      </c>
      <c r="Q44" t="s">
        <v>776</v>
      </c>
      <c r="R44" s="10">
        <v>1396.48</v>
      </c>
      <c r="S44" s="10">
        <v>3204.5</v>
      </c>
      <c r="T44" s="8">
        <v>0.318</v>
      </c>
      <c r="U44" s="12">
        <f t="shared" si="11"/>
        <v>1</v>
      </c>
      <c r="V44" s="6">
        <v>14</v>
      </c>
      <c r="W44" t="str">
        <f t="shared" si="1"/>
        <v>ok</v>
      </c>
      <c r="X44">
        <f t="shared" si="2"/>
        <v>20</v>
      </c>
      <c r="Y44">
        <f t="shared" si="12"/>
        <v>20</v>
      </c>
      <c r="Z44" s="10">
        <f t="shared" si="13"/>
        <v>30596.565999999999</v>
      </c>
      <c r="AA44" s="10">
        <f t="shared" si="14"/>
        <v>19550.72</v>
      </c>
      <c r="AB44" s="10">
        <f t="shared" si="15"/>
        <v>11045.845999999998</v>
      </c>
      <c r="AC44" s="10">
        <f t="shared" si="3"/>
        <v>606.37750000000005</v>
      </c>
      <c r="AD44" s="10">
        <f t="shared" si="4"/>
        <v>1193.865</v>
      </c>
      <c r="AE44" s="10">
        <f t="shared" si="5"/>
        <v>1912.0450000000001</v>
      </c>
      <c r="AF44" s="10" t="str">
        <f t="shared" si="6"/>
        <v>Medium</v>
      </c>
      <c r="AG44" s="6">
        <f t="shared" si="16"/>
        <v>0.36101587348070363</v>
      </c>
      <c r="AH44" s="4">
        <f t="shared" si="18"/>
        <v>44946</v>
      </c>
      <c r="AI44" t="str">
        <f t="shared" si="17"/>
        <v>Jan-2023</v>
      </c>
    </row>
    <row r="45" spans="1:35" x14ac:dyDescent="0.25">
      <c r="A45" t="s">
        <v>58</v>
      </c>
      <c r="B45" s="4">
        <v>45806</v>
      </c>
      <c r="C45" s="4" t="str">
        <f t="shared" si="7"/>
        <v>Q2-2025</v>
      </c>
      <c r="D45" s="4" t="str">
        <f t="shared" si="8"/>
        <v>May-2025</v>
      </c>
      <c r="E45" s="4">
        <v>45828</v>
      </c>
      <c r="F45" s="12">
        <f t="shared" si="9"/>
        <v>22</v>
      </c>
      <c r="G45" s="12">
        <f t="shared" si="0"/>
        <v>0</v>
      </c>
      <c r="H45" s="4">
        <f t="shared" si="10"/>
        <v>45828</v>
      </c>
      <c r="I45" t="s">
        <v>649</v>
      </c>
      <c r="J45" t="s">
        <v>656</v>
      </c>
      <c r="K45" t="s">
        <v>671</v>
      </c>
      <c r="L45" t="s">
        <v>701</v>
      </c>
      <c r="M45" t="s">
        <v>711</v>
      </c>
      <c r="N45" t="s">
        <v>720</v>
      </c>
      <c r="O45" t="s">
        <v>728</v>
      </c>
      <c r="P45" t="str" cm="1">
        <f t="array" ref="P45">_xlfn.IFS(S45&lt;=PERCENTILE($S$2:$S$1000, 0.33), "Low", S45&lt;=PERCENTILE($S$2:$S$1000, 0.66), "Medium", TRUE, "High")</f>
        <v>Medium</v>
      </c>
      <c r="Q45" t="s">
        <v>777</v>
      </c>
      <c r="R45" s="10">
        <v>483.47</v>
      </c>
      <c r="S45" s="10">
        <v>1135.43</v>
      </c>
      <c r="T45" s="8">
        <v>0.14599999999999999</v>
      </c>
      <c r="U45" s="12">
        <f t="shared" si="11"/>
        <v>0</v>
      </c>
      <c r="V45" s="6">
        <v>11</v>
      </c>
      <c r="W45" t="str">
        <f t="shared" si="1"/>
        <v>ok</v>
      </c>
      <c r="X45">
        <f t="shared" si="2"/>
        <v>22</v>
      </c>
      <c r="Y45">
        <f t="shared" si="12"/>
        <v>22</v>
      </c>
      <c r="Z45" s="10">
        <f t="shared" si="13"/>
        <v>10666.229420000001</v>
      </c>
      <c r="AA45" s="10">
        <f t="shared" si="14"/>
        <v>5318.17</v>
      </c>
      <c r="AB45" s="10">
        <f t="shared" si="15"/>
        <v>5348.0594200000014</v>
      </c>
      <c r="AC45" s="10">
        <f t="shared" si="3"/>
        <v>606.37750000000005</v>
      </c>
      <c r="AD45" s="10">
        <f t="shared" si="4"/>
        <v>1193.865</v>
      </c>
      <c r="AE45" s="10">
        <f t="shared" si="5"/>
        <v>1912.0450000000001</v>
      </c>
      <c r="AF45" s="10" t="str">
        <f t="shared" si="6"/>
        <v>High</v>
      </c>
      <c r="AG45" s="6">
        <f t="shared" si="16"/>
        <v>0.50140112399719983</v>
      </c>
      <c r="AH45" s="4">
        <f t="shared" si="18"/>
        <v>44948</v>
      </c>
      <c r="AI45" t="str">
        <f t="shared" si="17"/>
        <v>Jan-2023</v>
      </c>
    </row>
    <row r="46" spans="1:35" x14ac:dyDescent="0.25">
      <c r="A46" t="s">
        <v>59</v>
      </c>
      <c r="B46" s="4">
        <v>45432</v>
      </c>
      <c r="C46" s="4" t="str">
        <f t="shared" si="7"/>
        <v>Q2-2024</v>
      </c>
      <c r="D46" s="4" t="str">
        <f t="shared" si="8"/>
        <v>May-2024</v>
      </c>
      <c r="E46" s="4">
        <v>45445</v>
      </c>
      <c r="F46" s="12">
        <f t="shared" si="9"/>
        <v>13</v>
      </c>
      <c r="G46" s="12">
        <f t="shared" si="0"/>
        <v>0</v>
      </c>
      <c r="H46" s="4">
        <f t="shared" si="10"/>
        <v>45445</v>
      </c>
      <c r="I46" t="s">
        <v>648</v>
      </c>
      <c r="J46" t="s">
        <v>653</v>
      </c>
      <c r="K46" t="s">
        <v>688</v>
      </c>
      <c r="L46" t="s">
        <v>706</v>
      </c>
      <c r="M46" t="s">
        <v>709</v>
      </c>
      <c r="N46" t="s">
        <v>723</v>
      </c>
      <c r="O46" t="s">
        <v>727</v>
      </c>
      <c r="P46" t="str" cm="1">
        <f t="array" ref="P46">_xlfn.IFS(S46&lt;=PERCENTILE($S$2:$S$1000, 0.33), "Low", S46&lt;=PERCENTILE($S$2:$S$1000, 0.66), "Medium", TRUE, "High")</f>
        <v>Medium</v>
      </c>
      <c r="Q46" t="s">
        <v>778</v>
      </c>
      <c r="R46" s="10">
        <v>675.43</v>
      </c>
      <c r="S46" s="10">
        <v>996.36</v>
      </c>
      <c r="T46" s="8">
        <v>0.182</v>
      </c>
      <c r="U46" s="12">
        <f t="shared" si="11"/>
        <v>0</v>
      </c>
      <c r="V46" s="6">
        <v>22</v>
      </c>
      <c r="W46" t="str">
        <f t="shared" si="1"/>
        <v>ok</v>
      </c>
      <c r="X46">
        <f t="shared" si="2"/>
        <v>13</v>
      </c>
      <c r="Y46">
        <f t="shared" si="12"/>
        <v>13</v>
      </c>
      <c r="Z46" s="10">
        <f t="shared" si="13"/>
        <v>17930.494560000003</v>
      </c>
      <c r="AA46" s="10">
        <f t="shared" si="14"/>
        <v>14859.46</v>
      </c>
      <c r="AB46" s="10">
        <f t="shared" si="15"/>
        <v>3071.0345600000037</v>
      </c>
      <c r="AC46" s="10">
        <f t="shared" si="3"/>
        <v>606.37750000000005</v>
      </c>
      <c r="AD46" s="10">
        <f t="shared" si="4"/>
        <v>1193.865</v>
      </c>
      <c r="AE46" s="10">
        <f t="shared" si="5"/>
        <v>1912.0450000000001</v>
      </c>
      <c r="AF46" s="10" t="str">
        <f t="shared" si="6"/>
        <v>Medium</v>
      </c>
      <c r="AG46" s="6">
        <f t="shared" si="16"/>
        <v>0.17127439233332575</v>
      </c>
      <c r="AH46" s="4">
        <f t="shared" si="18"/>
        <v>44928</v>
      </c>
      <c r="AI46" t="str">
        <f t="shared" si="17"/>
        <v>Jan-2023</v>
      </c>
    </row>
    <row r="47" spans="1:35" x14ac:dyDescent="0.25">
      <c r="A47" t="s">
        <v>60</v>
      </c>
      <c r="B47" s="4">
        <v>45035</v>
      </c>
      <c r="C47" s="4" t="str">
        <f t="shared" si="7"/>
        <v>Q2-2023</v>
      </c>
      <c r="D47" s="4" t="str">
        <f t="shared" si="8"/>
        <v>Apr-2023</v>
      </c>
      <c r="E47" s="4">
        <v>45046</v>
      </c>
      <c r="F47" s="12">
        <f t="shared" si="9"/>
        <v>11</v>
      </c>
      <c r="G47" s="12">
        <f t="shared" si="0"/>
        <v>0</v>
      </c>
      <c r="H47" s="4">
        <f t="shared" si="10"/>
        <v>45046</v>
      </c>
      <c r="I47" t="s">
        <v>647</v>
      </c>
      <c r="J47" t="s">
        <v>654</v>
      </c>
      <c r="K47" t="s">
        <v>680</v>
      </c>
      <c r="L47" t="s">
        <v>705</v>
      </c>
      <c r="M47" t="s">
        <v>707</v>
      </c>
      <c r="N47" t="s">
        <v>720</v>
      </c>
      <c r="O47" t="s">
        <v>729</v>
      </c>
      <c r="P47" t="str" cm="1">
        <f t="array" ref="P47">_xlfn.IFS(S47&lt;=PERCENTILE($S$2:$S$1000, 0.33), "Low", S47&lt;=PERCENTILE($S$2:$S$1000, 0.66), "Medium", TRUE, "High")</f>
        <v>Medium</v>
      </c>
      <c r="Q47" t="s">
        <v>779</v>
      </c>
      <c r="R47" s="10">
        <v>826.55</v>
      </c>
      <c r="S47" s="10">
        <v>1397.05</v>
      </c>
      <c r="T47" s="8">
        <v>0.16900000000000001</v>
      </c>
      <c r="U47" s="12">
        <f t="shared" si="11"/>
        <v>0</v>
      </c>
      <c r="V47" s="6">
        <v>28</v>
      </c>
      <c r="W47" t="str">
        <f t="shared" si="1"/>
        <v>ok</v>
      </c>
      <c r="X47">
        <f t="shared" si="2"/>
        <v>11</v>
      </c>
      <c r="Y47">
        <f t="shared" si="12"/>
        <v>11</v>
      </c>
      <c r="Z47" s="10">
        <f t="shared" si="13"/>
        <v>32506.559399999998</v>
      </c>
      <c r="AA47" s="10">
        <f t="shared" si="14"/>
        <v>23143.399999999998</v>
      </c>
      <c r="AB47" s="10">
        <f t="shared" si="15"/>
        <v>9363.1594000000005</v>
      </c>
      <c r="AC47" s="10">
        <f t="shared" si="3"/>
        <v>606.37750000000005</v>
      </c>
      <c r="AD47" s="10">
        <f t="shared" si="4"/>
        <v>1193.865</v>
      </c>
      <c r="AE47" s="10">
        <f t="shared" si="5"/>
        <v>1912.0450000000001</v>
      </c>
      <c r="AF47" s="10" t="str">
        <f t="shared" si="6"/>
        <v>Medium</v>
      </c>
      <c r="AG47" s="6">
        <f t="shared" si="16"/>
        <v>0.28803907804527601</v>
      </c>
      <c r="AH47" s="4">
        <f t="shared" si="18"/>
        <v>44955</v>
      </c>
      <c r="AI47" t="str">
        <f t="shared" si="17"/>
        <v>Jan-2023</v>
      </c>
    </row>
    <row r="48" spans="1:35" x14ac:dyDescent="0.25">
      <c r="A48" t="s">
        <v>61</v>
      </c>
      <c r="B48" s="4">
        <v>45100</v>
      </c>
      <c r="C48" s="4" t="str">
        <f t="shared" si="7"/>
        <v>Q2-2023</v>
      </c>
      <c r="D48" s="4" t="str">
        <f t="shared" si="8"/>
        <v>Jun-2023</v>
      </c>
      <c r="E48" s="4">
        <v>45110</v>
      </c>
      <c r="F48" s="12">
        <f t="shared" si="9"/>
        <v>10</v>
      </c>
      <c r="G48" s="12">
        <f t="shared" si="0"/>
        <v>0</v>
      </c>
      <c r="H48" s="4">
        <f t="shared" si="10"/>
        <v>45110</v>
      </c>
      <c r="I48" t="s">
        <v>646</v>
      </c>
      <c r="J48" t="s">
        <v>651</v>
      </c>
      <c r="K48" t="s">
        <v>669</v>
      </c>
      <c r="L48" t="s">
        <v>704</v>
      </c>
      <c r="M48" t="s">
        <v>708</v>
      </c>
      <c r="N48" t="s">
        <v>713</v>
      </c>
      <c r="O48" t="s">
        <v>728</v>
      </c>
      <c r="P48" t="str" cm="1">
        <f t="array" ref="P48">_xlfn.IFS(S48&lt;=PERCENTILE($S$2:$S$1000, 0.33), "Low", S48&lt;=PERCENTILE($S$2:$S$1000, 0.66), "Medium", TRUE, "High")</f>
        <v>Low</v>
      </c>
      <c r="Q48" t="s">
        <v>780</v>
      </c>
      <c r="R48" s="10">
        <v>337.75</v>
      </c>
      <c r="S48" s="10">
        <v>548.89</v>
      </c>
      <c r="T48" s="8">
        <v>0</v>
      </c>
      <c r="U48" s="12">
        <f t="shared" si="11"/>
        <v>0</v>
      </c>
      <c r="V48" s="6">
        <v>13</v>
      </c>
      <c r="W48" t="str">
        <f t="shared" si="1"/>
        <v>ok</v>
      </c>
      <c r="X48">
        <f t="shared" si="2"/>
        <v>10</v>
      </c>
      <c r="Y48">
        <f t="shared" si="12"/>
        <v>10</v>
      </c>
      <c r="Z48" s="10">
        <f t="shared" si="13"/>
        <v>7135.57</v>
      </c>
      <c r="AA48" s="10">
        <f t="shared" si="14"/>
        <v>4390.75</v>
      </c>
      <c r="AB48" s="10">
        <f t="shared" si="15"/>
        <v>2744.8199999999997</v>
      </c>
      <c r="AC48" s="10">
        <f t="shared" si="3"/>
        <v>606.37750000000005</v>
      </c>
      <c r="AD48" s="10">
        <f t="shared" si="4"/>
        <v>1193.865</v>
      </c>
      <c r="AE48" s="10">
        <f t="shared" si="5"/>
        <v>1912.0450000000001</v>
      </c>
      <c r="AF48" s="10" t="str">
        <f t="shared" si="6"/>
        <v>Medium</v>
      </c>
      <c r="AG48" s="6">
        <f t="shared" si="16"/>
        <v>0.38466723751571352</v>
      </c>
      <c r="AH48" s="4">
        <f t="shared" si="18"/>
        <v>44941</v>
      </c>
      <c r="AI48" t="str">
        <f t="shared" si="17"/>
        <v>Jan-2023</v>
      </c>
    </row>
    <row r="49" spans="1:35" x14ac:dyDescent="0.25">
      <c r="A49" t="s">
        <v>62</v>
      </c>
      <c r="B49" s="4">
        <v>45426</v>
      </c>
      <c r="C49" s="4" t="str">
        <f t="shared" si="7"/>
        <v>Q2-2024</v>
      </c>
      <c r="D49" s="4" t="str">
        <f t="shared" si="8"/>
        <v>May-2024</v>
      </c>
      <c r="E49" s="4">
        <v>45440</v>
      </c>
      <c r="F49" s="12">
        <f t="shared" si="9"/>
        <v>14</v>
      </c>
      <c r="G49" s="12">
        <f t="shared" si="0"/>
        <v>0</v>
      </c>
      <c r="H49" s="4">
        <f t="shared" si="10"/>
        <v>45440</v>
      </c>
      <c r="I49" t="s">
        <v>649</v>
      </c>
      <c r="J49" t="s">
        <v>658</v>
      </c>
      <c r="K49" t="s">
        <v>674</v>
      </c>
      <c r="L49" t="s">
        <v>704</v>
      </c>
      <c r="M49" t="s">
        <v>707</v>
      </c>
      <c r="N49" t="s">
        <v>717</v>
      </c>
      <c r="O49" t="s">
        <v>729</v>
      </c>
      <c r="P49" t="str" cm="1">
        <f t="array" ref="P49">_xlfn.IFS(S49&lt;=PERCENTILE($S$2:$S$1000, 0.33), "Low", S49&lt;=PERCENTILE($S$2:$S$1000, 0.66), "Medium", TRUE, "High")</f>
        <v>High</v>
      </c>
      <c r="Q49" t="s">
        <v>781</v>
      </c>
      <c r="R49" s="10">
        <v>1421.14</v>
      </c>
      <c r="S49" s="10">
        <v>3524</v>
      </c>
      <c r="T49" s="8">
        <v>0</v>
      </c>
      <c r="U49" s="12">
        <f t="shared" si="11"/>
        <v>0</v>
      </c>
      <c r="V49" s="6">
        <v>31</v>
      </c>
      <c r="W49" t="str">
        <f t="shared" si="1"/>
        <v>ok</v>
      </c>
      <c r="X49">
        <f t="shared" si="2"/>
        <v>14</v>
      </c>
      <c r="Y49">
        <f t="shared" si="12"/>
        <v>14</v>
      </c>
      <c r="Z49" s="10">
        <f t="shared" si="13"/>
        <v>109244</v>
      </c>
      <c r="AA49" s="10">
        <f t="shared" si="14"/>
        <v>44055.340000000004</v>
      </c>
      <c r="AB49" s="10">
        <f t="shared" si="15"/>
        <v>65188.659999999996</v>
      </c>
      <c r="AC49" s="10">
        <f t="shared" si="3"/>
        <v>606.37750000000005</v>
      </c>
      <c r="AD49" s="10">
        <f t="shared" si="4"/>
        <v>1193.865</v>
      </c>
      <c r="AE49" s="10">
        <f t="shared" si="5"/>
        <v>1912.0450000000001</v>
      </c>
      <c r="AF49" s="10" t="str">
        <f t="shared" si="6"/>
        <v>Low</v>
      </c>
      <c r="AG49" s="6">
        <f t="shared" si="16"/>
        <v>0.59672531214528945</v>
      </c>
      <c r="AH49" s="4">
        <f t="shared" si="18"/>
        <v>44945</v>
      </c>
      <c r="AI49" t="str">
        <f t="shared" si="17"/>
        <v>Jan-2023</v>
      </c>
    </row>
    <row r="50" spans="1:35" x14ac:dyDescent="0.25">
      <c r="A50" t="s">
        <v>63</v>
      </c>
      <c r="B50" s="4">
        <v>45579</v>
      </c>
      <c r="C50" s="4" t="str">
        <f t="shared" si="7"/>
        <v>Q4-2024</v>
      </c>
      <c r="D50" s="4" t="str">
        <f t="shared" si="8"/>
        <v>Oct-2024</v>
      </c>
      <c r="E50" s="4">
        <v>45604</v>
      </c>
      <c r="F50" s="12">
        <f t="shared" si="9"/>
        <v>25</v>
      </c>
      <c r="G50" s="12">
        <f t="shared" si="0"/>
        <v>0</v>
      </c>
      <c r="H50" s="4">
        <f t="shared" si="10"/>
        <v>45604</v>
      </c>
      <c r="I50" t="s">
        <v>646</v>
      </c>
      <c r="J50" t="s">
        <v>651</v>
      </c>
      <c r="K50" t="s">
        <v>665</v>
      </c>
      <c r="L50" t="s">
        <v>706</v>
      </c>
      <c r="M50" t="s">
        <v>708</v>
      </c>
      <c r="N50" t="s">
        <v>719</v>
      </c>
      <c r="O50" t="s">
        <v>729</v>
      </c>
      <c r="P50" t="str" cm="1">
        <f t="array" ref="P50">_xlfn.IFS(S50&lt;=PERCENTILE($S$2:$S$1000, 0.33), "Low", S50&lt;=PERCENTILE($S$2:$S$1000, 0.66), "Medium", TRUE, "High")</f>
        <v>High</v>
      </c>
      <c r="Q50" t="s">
        <v>782</v>
      </c>
      <c r="R50" s="10">
        <v>859.35</v>
      </c>
      <c r="S50" s="10">
        <v>1825.61</v>
      </c>
      <c r="T50" s="8">
        <v>0.187</v>
      </c>
      <c r="U50" s="12">
        <f t="shared" si="11"/>
        <v>0</v>
      </c>
      <c r="V50" s="6">
        <v>24</v>
      </c>
      <c r="W50" t="str">
        <f t="shared" si="1"/>
        <v>ok</v>
      </c>
      <c r="X50">
        <f t="shared" si="2"/>
        <v>25</v>
      </c>
      <c r="Y50">
        <f t="shared" si="12"/>
        <v>25</v>
      </c>
      <c r="Z50" s="10">
        <f t="shared" si="13"/>
        <v>35621.302319999995</v>
      </c>
      <c r="AA50" s="10">
        <f t="shared" si="14"/>
        <v>20624.400000000001</v>
      </c>
      <c r="AB50" s="10">
        <f t="shared" si="15"/>
        <v>14996.902319999994</v>
      </c>
      <c r="AC50" s="10">
        <f t="shared" si="3"/>
        <v>606.37750000000005</v>
      </c>
      <c r="AD50" s="10">
        <f t="shared" si="4"/>
        <v>1193.865</v>
      </c>
      <c r="AE50" s="10">
        <f t="shared" si="5"/>
        <v>1912.0450000000001</v>
      </c>
      <c r="AF50" s="10" t="str">
        <f t="shared" si="6"/>
        <v>High</v>
      </c>
      <c r="AG50" s="6">
        <f t="shared" si="16"/>
        <v>0.42100937762681989</v>
      </c>
      <c r="AH50" s="4">
        <f t="shared" si="18"/>
        <v>44941</v>
      </c>
      <c r="AI50" t="str">
        <f t="shared" si="17"/>
        <v>Jan-2023</v>
      </c>
    </row>
    <row r="51" spans="1:35" x14ac:dyDescent="0.25">
      <c r="A51" t="s">
        <v>64</v>
      </c>
      <c r="B51" s="4">
        <v>45117</v>
      </c>
      <c r="C51" s="4" t="str">
        <f t="shared" si="7"/>
        <v>Q3-2023</v>
      </c>
      <c r="D51" s="4" t="str">
        <f t="shared" si="8"/>
        <v>Jul-2023</v>
      </c>
      <c r="E51" s="4">
        <v>45139</v>
      </c>
      <c r="F51" s="12">
        <f t="shared" si="9"/>
        <v>22</v>
      </c>
      <c r="G51" s="12">
        <f t="shared" si="0"/>
        <v>0</v>
      </c>
      <c r="H51" s="4">
        <f t="shared" si="10"/>
        <v>45139</v>
      </c>
      <c r="I51" t="s">
        <v>649</v>
      </c>
      <c r="J51" t="s">
        <v>657</v>
      </c>
      <c r="K51" t="s">
        <v>673</v>
      </c>
      <c r="L51" t="s">
        <v>704</v>
      </c>
      <c r="M51" t="s">
        <v>709</v>
      </c>
      <c r="N51" t="s">
        <v>717</v>
      </c>
      <c r="O51" t="s">
        <v>728</v>
      </c>
      <c r="P51" t="str" cm="1">
        <f t="array" ref="P51">_xlfn.IFS(S51&lt;=PERCENTILE($S$2:$S$1000, 0.33), "Low", S51&lt;=PERCENTILE($S$2:$S$1000, 0.66), "Medium", TRUE, "High")</f>
        <v>High</v>
      </c>
      <c r="Q51" t="s">
        <v>783</v>
      </c>
      <c r="R51" s="10">
        <v>1303.56</v>
      </c>
      <c r="S51" s="10">
        <v>1791.37</v>
      </c>
      <c r="T51" s="8">
        <v>0.126</v>
      </c>
      <c r="U51" s="12">
        <f t="shared" si="11"/>
        <v>0</v>
      </c>
      <c r="V51" s="6">
        <v>22</v>
      </c>
      <c r="W51" t="str">
        <f t="shared" si="1"/>
        <v>ok</v>
      </c>
      <c r="X51">
        <f t="shared" si="2"/>
        <v>22</v>
      </c>
      <c r="Y51">
        <f t="shared" si="12"/>
        <v>22</v>
      </c>
      <c r="Z51" s="10">
        <f t="shared" si="13"/>
        <v>34444.462359999998</v>
      </c>
      <c r="AA51" s="10">
        <f t="shared" si="14"/>
        <v>28678.32</v>
      </c>
      <c r="AB51" s="10">
        <f t="shared" si="15"/>
        <v>5766.142359999998</v>
      </c>
      <c r="AC51" s="10">
        <f t="shared" si="3"/>
        <v>606.37750000000005</v>
      </c>
      <c r="AD51" s="10">
        <f t="shared" si="4"/>
        <v>1193.865</v>
      </c>
      <c r="AE51" s="10">
        <f t="shared" si="5"/>
        <v>1912.0450000000001</v>
      </c>
      <c r="AF51" s="10" t="str">
        <f t="shared" si="6"/>
        <v>Medium</v>
      </c>
      <c r="AG51" s="6">
        <f t="shared" si="16"/>
        <v>0.16740404596055358</v>
      </c>
      <c r="AH51" s="4">
        <f t="shared" si="18"/>
        <v>44936</v>
      </c>
      <c r="AI51" t="str">
        <f t="shared" si="17"/>
        <v>Jan-2023</v>
      </c>
    </row>
    <row r="52" spans="1:35" x14ac:dyDescent="0.25">
      <c r="A52" t="s">
        <v>65</v>
      </c>
      <c r="B52" s="4">
        <v>45602</v>
      </c>
      <c r="C52" s="4" t="str">
        <f t="shared" si="7"/>
        <v>Q4-2024</v>
      </c>
      <c r="D52" s="4" t="str">
        <f t="shared" si="8"/>
        <v>Nov-2024</v>
      </c>
      <c r="E52" s="4">
        <v>45618</v>
      </c>
      <c r="F52" s="12">
        <f t="shared" si="9"/>
        <v>16</v>
      </c>
      <c r="G52" s="12">
        <f t="shared" si="0"/>
        <v>0</v>
      </c>
      <c r="H52" s="4">
        <f t="shared" si="10"/>
        <v>45618</v>
      </c>
      <c r="I52" t="s">
        <v>648</v>
      </c>
      <c r="J52" t="s">
        <v>653</v>
      </c>
      <c r="K52" t="s">
        <v>667</v>
      </c>
      <c r="L52" t="s">
        <v>703</v>
      </c>
      <c r="M52" t="s">
        <v>710</v>
      </c>
      <c r="N52" t="s">
        <v>726</v>
      </c>
      <c r="O52" t="s">
        <v>733</v>
      </c>
      <c r="P52" t="str" cm="1">
        <f t="array" ref="P52">_xlfn.IFS(S52&lt;=PERCENTILE($S$2:$S$1000, 0.33), "Low", S52&lt;=PERCENTILE($S$2:$S$1000, 0.66), "Medium", TRUE, "High")</f>
        <v>High</v>
      </c>
      <c r="Q52" t="s">
        <v>784</v>
      </c>
      <c r="R52" s="10">
        <v>1454.11</v>
      </c>
      <c r="S52" s="10">
        <v>2629.75</v>
      </c>
      <c r="T52" s="8">
        <v>0.29199999999999998</v>
      </c>
      <c r="U52" s="12">
        <f t="shared" si="11"/>
        <v>1</v>
      </c>
      <c r="V52" s="6">
        <v>8</v>
      </c>
      <c r="W52" t="str">
        <f t="shared" si="1"/>
        <v>ok</v>
      </c>
      <c r="X52">
        <f t="shared" si="2"/>
        <v>16</v>
      </c>
      <c r="Y52">
        <f t="shared" si="12"/>
        <v>16</v>
      </c>
      <c r="Z52" s="10">
        <f t="shared" si="13"/>
        <v>14894.903999999999</v>
      </c>
      <c r="AA52" s="10">
        <f t="shared" si="14"/>
        <v>11632.88</v>
      </c>
      <c r="AB52" s="10">
        <f t="shared" si="15"/>
        <v>3262.0239999999994</v>
      </c>
      <c r="AC52" s="10">
        <f t="shared" si="3"/>
        <v>606.37750000000005</v>
      </c>
      <c r="AD52" s="10">
        <f t="shared" si="4"/>
        <v>1193.865</v>
      </c>
      <c r="AE52" s="10">
        <f t="shared" si="5"/>
        <v>1912.0450000000001</v>
      </c>
      <c r="AF52" s="10" t="str">
        <f t="shared" si="6"/>
        <v>Medium</v>
      </c>
      <c r="AG52" s="6">
        <f t="shared" si="16"/>
        <v>0.21900268709351867</v>
      </c>
      <c r="AH52" s="4">
        <f t="shared" si="18"/>
        <v>44928</v>
      </c>
      <c r="AI52" t="str">
        <f t="shared" si="17"/>
        <v>Jan-2023</v>
      </c>
    </row>
    <row r="53" spans="1:35" x14ac:dyDescent="0.25">
      <c r="A53" t="s">
        <v>66</v>
      </c>
      <c r="B53" s="4">
        <v>45582</v>
      </c>
      <c r="C53" s="4" t="str">
        <f t="shared" si="7"/>
        <v>Q4-2024</v>
      </c>
      <c r="D53" s="4" t="str">
        <f t="shared" si="8"/>
        <v>Oct-2024</v>
      </c>
      <c r="E53" s="4">
        <v>45602</v>
      </c>
      <c r="F53" s="12">
        <f t="shared" si="9"/>
        <v>20</v>
      </c>
      <c r="G53" s="12">
        <f t="shared" si="0"/>
        <v>0</v>
      </c>
      <c r="H53" s="4">
        <f t="shared" si="10"/>
        <v>45602</v>
      </c>
      <c r="I53" t="s">
        <v>647</v>
      </c>
      <c r="J53" t="s">
        <v>654</v>
      </c>
      <c r="K53" t="s">
        <v>668</v>
      </c>
      <c r="L53" t="s">
        <v>706</v>
      </c>
      <c r="M53" t="s">
        <v>710</v>
      </c>
      <c r="N53" t="s">
        <v>719</v>
      </c>
      <c r="O53" t="s">
        <v>732</v>
      </c>
      <c r="P53" t="str" cm="1">
        <f t="array" ref="P53">_xlfn.IFS(S53&lt;=PERCENTILE($S$2:$S$1000, 0.33), "Low", S53&lt;=PERCENTILE($S$2:$S$1000, 0.66), "Medium", TRUE, "High")</f>
        <v>Low</v>
      </c>
      <c r="Q53" t="s">
        <v>785</v>
      </c>
      <c r="R53" s="10">
        <v>72.94</v>
      </c>
      <c r="S53" s="10">
        <v>106.3</v>
      </c>
      <c r="T53" s="8">
        <v>0.29499999999999998</v>
      </c>
      <c r="U53" s="12">
        <f t="shared" si="11"/>
        <v>1</v>
      </c>
      <c r="V53" s="6">
        <v>8</v>
      </c>
      <c r="W53" t="str">
        <f t="shared" si="1"/>
        <v>ok</v>
      </c>
      <c r="X53">
        <f t="shared" si="2"/>
        <v>20</v>
      </c>
      <c r="Y53">
        <f t="shared" si="12"/>
        <v>20</v>
      </c>
      <c r="Z53" s="10">
        <f t="shared" si="13"/>
        <v>599.53200000000004</v>
      </c>
      <c r="AA53" s="10">
        <f t="shared" si="14"/>
        <v>583.52</v>
      </c>
      <c r="AB53" s="10">
        <f t="shared" si="15"/>
        <v>16.012000000000057</v>
      </c>
      <c r="AC53" s="10">
        <f t="shared" si="3"/>
        <v>606.37750000000005</v>
      </c>
      <c r="AD53" s="10">
        <f t="shared" si="4"/>
        <v>1193.865</v>
      </c>
      <c r="AE53" s="10">
        <f t="shared" si="5"/>
        <v>1912.0450000000001</v>
      </c>
      <c r="AF53" s="10" t="str">
        <f t="shared" si="6"/>
        <v>High</v>
      </c>
      <c r="AG53" s="6">
        <f t="shared" si="16"/>
        <v>2.6707498515508857E-2</v>
      </c>
      <c r="AH53" s="4">
        <f t="shared" si="18"/>
        <v>44955</v>
      </c>
      <c r="AI53" t="str">
        <f t="shared" si="17"/>
        <v>Jan-2023</v>
      </c>
    </row>
    <row r="54" spans="1:35" x14ac:dyDescent="0.25">
      <c r="A54" t="s">
        <v>67</v>
      </c>
      <c r="B54" s="4">
        <v>45016</v>
      </c>
      <c r="C54" s="4" t="str">
        <f t="shared" si="7"/>
        <v>Q1-2023</v>
      </c>
      <c r="D54" s="4" t="str">
        <f t="shared" si="8"/>
        <v>Mar-2023</v>
      </c>
      <c r="E54" s="4">
        <v>45021</v>
      </c>
      <c r="F54" s="12">
        <f t="shared" si="9"/>
        <v>5</v>
      </c>
      <c r="G54" s="12">
        <f t="shared" si="0"/>
        <v>1</v>
      </c>
      <c r="H54" s="4">
        <f t="shared" si="10"/>
        <v>45021</v>
      </c>
      <c r="I54" t="s">
        <v>646</v>
      </c>
      <c r="J54" t="s">
        <v>650</v>
      </c>
      <c r="K54" t="s">
        <v>678</v>
      </c>
      <c r="L54" t="s">
        <v>702</v>
      </c>
      <c r="M54" t="s">
        <v>709</v>
      </c>
      <c r="N54" t="s">
        <v>717</v>
      </c>
      <c r="O54" t="s">
        <v>731</v>
      </c>
      <c r="P54" t="str" cm="1">
        <f t="array" ref="P54">_xlfn.IFS(S54&lt;=PERCENTILE($S$2:$S$1000, 0.33), "Low", S54&lt;=PERCENTILE($S$2:$S$1000, 0.66), "Medium", TRUE, "High")</f>
        <v>Low</v>
      </c>
      <c r="Q54" t="s">
        <v>786</v>
      </c>
      <c r="R54" s="10">
        <v>533.26</v>
      </c>
      <c r="S54" s="10">
        <v>385.72</v>
      </c>
      <c r="T54" s="8">
        <v>0</v>
      </c>
      <c r="U54" s="12">
        <f t="shared" si="11"/>
        <v>0</v>
      </c>
      <c r="V54" s="6">
        <v>15</v>
      </c>
      <c r="W54" t="str">
        <f t="shared" si="1"/>
        <v>ok</v>
      </c>
      <c r="X54">
        <f t="shared" si="2"/>
        <v>5</v>
      </c>
      <c r="Y54">
        <f t="shared" si="12"/>
        <v>5</v>
      </c>
      <c r="Z54" s="10">
        <f t="shared" si="13"/>
        <v>5785.8</v>
      </c>
      <c r="AA54" s="10">
        <f t="shared" si="14"/>
        <v>7998.9</v>
      </c>
      <c r="AB54" s="10">
        <f t="shared" si="15"/>
        <v>-2213.0999999999995</v>
      </c>
      <c r="AC54" s="10">
        <f t="shared" si="3"/>
        <v>606.37750000000005</v>
      </c>
      <c r="AD54" s="10">
        <f t="shared" si="4"/>
        <v>1193.865</v>
      </c>
      <c r="AE54" s="10">
        <f t="shared" si="5"/>
        <v>1912.0450000000001</v>
      </c>
      <c r="AF54" s="10" t="str">
        <f t="shared" si="6"/>
        <v>Low</v>
      </c>
      <c r="AG54" s="6">
        <f t="shared" si="16"/>
        <v>-0.38250544436378708</v>
      </c>
      <c r="AH54" s="4">
        <f t="shared" si="18"/>
        <v>44946</v>
      </c>
      <c r="AI54" t="str">
        <f t="shared" si="17"/>
        <v>Jan-2023</v>
      </c>
    </row>
    <row r="55" spans="1:35" x14ac:dyDescent="0.25">
      <c r="A55" t="s">
        <v>68</v>
      </c>
      <c r="B55" s="4">
        <v>45678</v>
      </c>
      <c r="C55" s="4" t="str">
        <f t="shared" si="7"/>
        <v>Q1-2025</v>
      </c>
      <c r="D55" s="4" t="str">
        <f t="shared" si="8"/>
        <v>Jan-2025</v>
      </c>
      <c r="E55" s="4">
        <v>45704</v>
      </c>
      <c r="F55" s="12">
        <f t="shared" si="9"/>
        <v>26</v>
      </c>
      <c r="G55" s="12">
        <f t="shared" si="0"/>
        <v>0</v>
      </c>
      <c r="H55" s="4">
        <f t="shared" si="10"/>
        <v>45704</v>
      </c>
      <c r="I55" t="s">
        <v>649</v>
      </c>
      <c r="J55" t="s">
        <v>657</v>
      </c>
      <c r="K55" t="s">
        <v>679</v>
      </c>
      <c r="L55" t="s">
        <v>701</v>
      </c>
      <c r="M55" t="s">
        <v>710</v>
      </c>
      <c r="N55" t="s">
        <v>719</v>
      </c>
      <c r="O55" t="s">
        <v>731</v>
      </c>
      <c r="P55" t="str" cm="1">
        <f t="array" ref="P55">_xlfn.IFS(S55&lt;=PERCENTILE($S$2:$S$1000, 0.33), "Low", S55&lt;=PERCENTILE($S$2:$S$1000, 0.66), "Medium", TRUE, "High")</f>
        <v>Low</v>
      </c>
      <c r="Q55" t="s">
        <v>787</v>
      </c>
      <c r="R55" s="10">
        <v>204.11</v>
      </c>
      <c r="S55" s="10">
        <v>236.87</v>
      </c>
      <c r="T55" s="8">
        <v>0.182</v>
      </c>
      <c r="U55" s="12">
        <f t="shared" si="11"/>
        <v>0</v>
      </c>
      <c r="V55" s="6">
        <v>13</v>
      </c>
      <c r="W55" t="str">
        <f t="shared" si="1"/>
        <v>ok</v>
      </c>
      <c r="X55">
        <f t="shared" si="2"/>
        <v>26</v>
      </c>
      <c r="Y55">
        <f t="shared" si="12"/>
        <v>26</v>
      </c>
      <c r="Z55" s="10">
        <f t="shared" si="13"/>
        <v>2518.8755800000004</v>
      </c>
      <c r="AA55" s="10">
        <f t="shared" si="14"/>
        <v>2653.4300000000003</v>
      </c>
      <c r="AB55" s="10">
        <f t="shared" si="15"/>
        <v>-134.55441999999994</v>
      </c>
      <c r="AC55" s="10">
        <f t="shared" si="3"/>
        <v>606.37750000000005</v>
      </c>
      <c r="AD55" s="10">
        <f t="shared" si="4"/>
        <v>1193.865</v>
      </c>
      <c r="AE55" s="10">
        <f t="shared" si="5"/>
        <v>1912.0450000000001</v>
      </c>
      <c r="AF55" s="10" t="str">
        <f t="shared" si="6"/>
        <v>Low</v>
      </c>
      <c r="AG55" s="6">
        <f t="shared" si="16"/>
        <v>-5.3418446337075494E-2</v>
      </c>
      <c r="AH55" s="4">
        <f t="shared" si="18"/>
        <v>44936</v>
      </c>
      <c r="AI55" t="str">
        <f t="shared" si="17"/>
        <v>Jan-2023</v>
      </c>
    </row>
    <row r="56" spans="1:35" x14ac:dyDescent="0.25">
      <c r="A56" t="s">
        <v>69</v>
      </c>
      <c r="B56" s="4">
        <v>45168</v>
      </c>
      <c r="C56" s="4" t="str">
        <f t="shared" si="7"/>
        <v>Q3-2023</v>
      </c>
      <c r="D56" s="4" t="str">
        <f t="shared" si="8"/>
        <v>Aug-2023</v>
      </c>
      <c r="E56" s="4">
        <v>45170</v>
      </c>
      <c r="F56" s="12">
        <f t="shared" si="9"/>
        <v>2</v>
      </c>
      <c r="G56" s="12">
        <f t="shared" si="0"/>
        <v>1</v>
      </c>
      <c r="H56" s="4">
        <f t="shared" si="10"/>
        <v>45170</v>
      </c>
      <c r="I56" t="s">
        <v>649</v>
      </c>
      <c r="J56" t="s">
        <v>656</v>
      </c>
      <c r="K56" t="s">
        <v>684</v>
      </c>
      <c r="L56" t="s">
        <v>701</v>
      </c>
      <c r="M56" t="s">
        <v>711</v>
      </c>
      <c r="N56" t="s">
        <v>725</v>
      </c>
      <c r="O56" t="s">
        <v>729</v>
      </c>
      <c r="P56" t="str" cm="1">
        <f t="array" ref="P56">_xlfn.IFS(S56&lt;=PERCENTILE($S$2:$S$1000, 0.33), "Low", S56&lt;=PERCENTILE($S$2:$S$1000, 0.66), "Medium", TRUE, "High")</f>
        <v>Low</v>
      </c>
      <c r="Q56" t="s">
        <v>788</v>
      </c>
      <c r="R56" s="10">
        <v>44.42</v>
      </c>
      <c r="S56" s="10">
        <v>41.9</v>
      </c>
      <c r="T56" s="8">
        <v>0.14399999999999999</v>
      </c>
      <c r="U56" s="12">
        <f t="shared" si="11"/>
        <v>0</v>
      </c>
      <c r="V56" s="6">
        <v>6</v>
      </c>
      <c r="W56" t="str">
        <f t="shared" si="1"/>
        <v>ok</v>
      </c>
      <c r="X56">
        <f t="shared" si="2"/>
        <v>2</v>
      </c>
      <c r="Y56">
        <f t="shared" si="12"/>
        <v>2</v>
      </c>
      <c r="Z56" s="10">
        <f t="shared" si="13"/>
        <v>215.19839999999996</v>
      </c>
      <c r="AA56" s="10">
        <f t="shared" si="14"/>
        <v>266.52</v>
      </c>
      <c r="AB56" s="10">
        <f t="shared" si="15"/>
        <v>-51.321600000000018</v>
      </c>
      <c r="AC56" s="10">
        <f t="shared" si="3"/>
        <v>606.37750000000005</v>
      </c>
      <c r="AD56" s="10">
        <f t="shared" si="4"/>
        <v>1193.865</v>
      </c>
      <c r="AE56" s="10">
        <f t="shared" si="5"/>
        <v>1912.0450000000001</v>
      </c>
      <c r="AF56" s="10" t="str">
        <f t="shared" si="6"/>
        <v>Low</v>
      </c>
      <c r="AG56" s="6">
        <f t="shared" si="16"/>
        <v>-0.23848504449847224</v>
      </c>
      <c r="AH56" s="4">
        <f t="shared" si="18"/>
        <v>44948</v>
      </c>
      <c r="AI56" t="str">
        <f t="shared" si="17"/>
        <v>Jan-2023</v>
      </c>
    </row>
    <row r="57" spans="1:35" x14ac:dyDescent="0.25">
      <c r="A57" t="s">
        <v>70</v>
      </c>
      <c r="B57" s="4">
        <v>45753</v>
      </c>
      <c r="C57" s="4" t="str">
        <f t="shared" si="7"/>
        <v>Q2-2025</v>
      </c>
      <c r="D57" s="4" t="str">
        <f t="shared" si="8"/>
        <v>Apr-2025</v>
      </c>
      <c r="E57" s="4">
        <v>45777</v>
      </c>
      <c r="F57" s="12">
        <f t="shared" si="9"/>
        <v>24</v>
      </c>
      <c r="G57" s="12">
        <f t="shared" si="0"/>
        <v>0</v>
      </c>
      <c r="H57" s="4">
        <f t="shared" si="10"/>
        <v>45777</v>
      </c>
      <c r="I57" t="s">
        <v>648</v>
      </c>
      <c r="J57" t="s">
        <v>655</v>
      </c>
      <c r="K57" t="s">
        <v>672</v>
      </c>
      <c r="L57" t="s">
        <v>702</v>
      </c>
      <c r="M57" t="s">
        <v>708</v>
      </c>
      <c r="N57" t="s">
        <v>723</v>
      </c>
      <c r="O57" t="s">
        <v>732</v>
      </c>
      <c r="P57" t="str" cm="1">
        <f t="array" ref="P57">_xlfn.IFS(S57&lt;=PERCENTILE($S$2:$S$1000, 0.33), "Low", S57&lt;=PERCENTILE($S$2:$S$1000, 0.66), "Medium", TRUE, "High")</f>
        <v>Medium</v>
      </c>
      <c r="Q57" t="s">
        <v>789</v>
      </c>
      <c r="R57" s="10">
        <v>855.78</v>
      </c>
      <c r="S57" s="10">
        <v>977.38</v>
      </c>
      <c r="T57" s="8">
        <v>0.14699999999999999</v>
      </c>
      <c r="U57" s="12">
        <f t="shared" si="11"/>
        <v>0</v>
      </c>
      <c r="V57" s="6">
        <v>38</v>
      </c>
      <c r="W57" t="str">
        <f t="shared" si="1"/>
        <v>ok</v>
      </c>
      <c r="X57">
        <f t="shared" si="2"/>
        <v>24</v>
      </c>
      <c r="Y57">
        <f t="shared" si="12"/>
        <v>24</v>
      </c>
      <c r="Z57" s="10">
        <f t="shared" si="13"/>
        <v>31680.795320000001</v>
      </c>
      <c r="AA57" s="10">
        <f t="shared" si="14"/>
        <v>32519.64</v>
      </c>
      <c r="AB57" s="10">
        <f t="shared" si="15"/>
        <v>-838.84467999999833</v>
      </c>
      <c r="AC57" s="10">
        <f t="shared" si="3"/>
        <v>606.37750000000005</v>
      </c>
      <c r="AD57" s="10">
        <f t="shared" si="4"/>
        <v>1193.865</v>
      </c>
      <c r="AE57" s="10">
        <f t="shared" si="5"/>
        <v>1912.0450000000001</v>
      </c>
      <c r="AF57" s="10" t="str">
        <f t="shared" si="6"/>
        <v>Low</v>
      </c>
      <c r="AG57" s="6">
        <f t="shared" si="16"/>
        <v>-2.6478018355506307E-2</v>
      </c>
      <c r="AH57" s="4">
        <f t="shared" si="18"/>
        <v>44955</v>
      </c>
      <c r="AI57" t="str">
        <f t="shared" si="17"/>
        <v>Jan-2023</v>
      </c>
    </row>
    <row r="58" spans="1:35" x14ac:dyDescent="0.25">
      <c r="A58" t="s">
        <v>71</v>
      </c>
      <c r="B58" s="4">
        <v>45697</v>
      </c>
      <c r="C58" s="4" t="str">
        <f t="shared" si="7"/>
        <v>Q1-2025</v>
      </c>
      <c r="D58" s="4" t="str">
        <f t="shared" si="8"/>
        <v>Feb-2025</v>
      </c>
      <c r="E58" s="4">
        <v>45717</v>
      </c>
      <c r="F58" s="12">
        <f t="shared" si="9"/>
        <v>20</v>
      </c>
      <c r="G58" s="12">
        <f t="shared" si="0"/>
        <v>0</v>
      </c>
      <c r="H58" s="4">
        <f t="shared" si="10"/>
        <v>45717</v>
      </c>
      <c r="I58" t="s">
        <v>648</v>
      </c>
      <c r="J58" t="s">
        <v>655</v>
      </c>
      <c r="K58" t="s">
        <v>670</v>
      </c>
      <c r="L58" t="s">
        <v>701</v>
      </c>
      <c r="M58" t="s">
        <v>710</v>
      </c>
      <c r="N58" t="s">
        <v>717</v>
      </c>
      <c r="O58" t="s">
        <v>731</v>
      </c>
      <c r="P58" t="str" cm="1">
        <f t="array" ref="P58">_xlfn.IFS(S58&lt;=PERCENTILE($S$2:$S$1000, 0.33), "Low", S58&lt;=PERCENTILE($S$2:$S$1000, 0.66), "Medium", TRUE, "High")</f>
        <v>High</v>
      </c>
      <c r="Q58" t="s">
        <v>790</v>
      </c>
      <c r="R58" s="10">
        <v>1154.6400000000001</v>
      </c>
      <c r="S58" s="10">
        <v>2794.13</v>
      </c>
      <c r="T58" s="8">
        <v>3.5000000000000003E-2</v>
      </c>
      <c r="U58" s="12">
        <f t="shared" si="11"/>
        <v>0</v>
      </c>
      <c r="V58" s="6">
        <v>11</v>
      </c>
      <c r="W58" t="str">
        <f t="shared" si="1"/>
        <v>ok</v>
      </c>
      <c r="X58">
        <f t="shared" si="2"/>
        <v>20</v>
      </c>
      <c r="Y58">
        <f t="shared" si="12"/>
        <v>20</v>
      </c>
      <c r="Z58" s="10">
        <f t="shared" si="13"/>
        <v>29659.68995</v>
      </c>
      <c r="AA58" s="10">
        <f t="shared" si="14"/>
        <v>12701.04</v>
      </c>
      <c r="AB58" s="10">
        <f t="shared" si="15"/>
        <v>16958.649949999999</v>
      </c>
      <c r="AC58" s="10">
        <f t="shared" si="3"/>
        <v>606.37750000000005</v>
      </c>
      <c r="AD58" s="10">
        <f t="shared" si="4"/>
        <v>1193.865</v>
      </c>
      <c r="AE58" s="10">
        <f t="shared" si="5"/>
        <v>1912.0450000000001</v>
      </c>
      <c r="AF58" s="10" t="str">
        <f t="shared" si="6"/>
        <v>Medium</v>
      </c>
      <c r="AG58" s="6">
        <f t="shared" si="16"/>
        <v>0.57177435025749479</v>
      </c>
      <c r="AH58" s="4">
        <f t="shared" si="18"/>
        <v>44955</v>
      </c>
      <c r="AI58" t="str">
        <f t="shared" si="17"/>
        <v>Jan-2023</v>
      </c>
    </row>
    <row r="59" spans="1:35" x14ac:dyDescent="0.25">
      <c r="A59" t="s">
        <v>72</v>
      </c>
      <c r="B59" s="4">
        <v>45643</v>
      </c>
      <c r="C59" s="4" t="str">
        <f t="shared" si="7"/>
        <v>Q4-2024</v>
      </c>
      <c r="D59" s="4" t="str">
        <f t="shared" si="8"/>
        <v>Dec-2024</v>
      </c>
      <c r="E59" s="4">
        <v>45644</v>
      </c>
      <c r="F59" s="12">
        <f t="shared" si="9"/>
        <v>1</v>
      </c>
      <c r="G59" s="12">
        <f t="shared" si="0"/>
        <v>1</v>
      </c>
      <c r="H59" s="4">
        <f t="shared" si="10"/>
        <v>45644</v>
      </c>
      <c r="I59" t="s">
        <v>649</v>
      </c>
      <c r="J59" t="s">
        <v>656</v>
      </c>
      <c r="K59" t="s">
        <v>684</v>
      </c>
      <c r="L59" t="s">
        <v>702</v>
      </c>
      <c r="M59" t="s">
        <v>707</v>
      </c>
      <c r="N59" t="s">
        <v>716</v>
      </c>
      <c r="O59" t="s">
        <v>733</v>
      </c>
      <c r="P59" t="str" cm="1">
        <f t="array" ref="P59">_xlfn.IFS(S59&lt;=PERCENTILE($S$2:$S$1000, 0.33), "Low", S59&lt;=PERCENTILE($S$2:$S$1000, 0.66), "Medium", TRUE, "High")</f>
        <v>Low</v>
      </c>
      <c r="Q59" t="s">
        <v>791</v>
      </c>
      <c r="R59" s="10">
        <v>346.82</v>
      </c>
      <c r="S59" s="10">
        <v>701.95</v>
      </c>
      <c r="T59" s="8">
        <v>0.14699999999999999</v>
      </c>
      <c r="U59" s="12">
        <f t="shared" si="11"/>
        <v>0</v>
      </c>
      <c r="V59" s="6">
        <v>8</v>
      </c>
      <c r="W59" t="str">
        <f t="shared" si="1"/>
        <v>ok</v>
      </c>
      <c r="X59">
        <f t="shared" si="2"/>
        <v>1</v>
      </c>
      <c r="Y59">
        <f t="shared" si="12"/>
        <v>1</v>
      </c>
      <c r="Z59" s="10">
        <f t="shared" si="13"/>
        <v>4790.1068000000005</v>
      </c>
      <c r="AA59" s="10">
        <f t="shared" si="14"/>
        <v>2774.56</v>
      </c>
      <c r="AB59" s="10">
        <f t="shared" si="15"/>
        <v>2015.5468000000005</v>
      </c>
      <c r="AC59" s="10">
        <f t="shared" si="3"/>
        <v>606.37750000000005</v>
      </c>
      <c r="AD59" s="10">
        <f t="shared" si="4"/>
        <v>1193.865</v>
      </c>
      <c r="AE59" s="10">
        <f t="shared" si="5"/>
        <v>1912.0450000000001</v>
      </c>
      <c r="AF59" s="10" t="str">
        <f t="shared" si="6"/>
        <v>High</v>
      </c>
      <c r="AG59" s="6">
        <f t="shared" si="16"/>
        <v>0.42077283120284509</v>
      </c>
      <c r="AH59" s="4">
        <f t="shared" si="18"/>
        <v>44948</v>
      </c>
      <c r="AI59" t="str">
        <f t="shared" si="17"/>
        <v>Jan-2023</v>
      </c>
    </row>
    <row r="60" spans="1:35" x14ac:dyDescent="0.25">
      <c r="A60" t="s">
        <v>73</v>
      </c>
      <c r="B60" s="4">
        <v>45817</v>
      </c>
      <c r="C60" s="4" t="str">
        <f t="shared" si="7"/>
        <v>Q2-2025</v>
      </c>
      <c r="D60" s="4" t="str">
        <f t="shared" si="8"/>
        <v>Jun-2025</v>
      </c>
      <c r="E60" s="4">
        <v>45826</v>
      </c>
      <c r="F60" s="12">
        <f t="shared" si="9"/>
        <v>9</v>
      </c>
      <c r="G60" s="12">
        <f t="shared" si="0"/>
        <v>0</v>
      </c>
      <c r="H60" s="4">
        <f t="shared" si="10"/>
        <v>45826</v>
      </c>
      <c r="I60" t="s">
        <v>649</v>
      </c>
      <c r="J60" t="s">
        <v>657</v>
      </c>
      <c r="K60" t="s">
        <v>673</v>
      </c>
      <c r="L60" t="s">
        <v>705</v>
      </c>
      <c r="M60" t="s">
        <v>709</v>
      </c>
      <c r="N60" t="s">
        <v>722</v>
      </c>
      <c r="O60" t="s">
        <v>733</v>
      </c>
      <c r="P60" t="str" cm="1">
        <f t="array" ref="P60">_xlfn.IFS(S60&lt;=PERCENTILE($S$2:$S$1000, 0.33), "Low", S60&lt;=PERCENTILE($S$2:$S$1000, 0.66), "Medium", TRUE, "High")</f>
        <v>Low</v>
      </c>
      <c r="Q60" t="s">
        <v>792</v>
      </c>
      <c r="R60" s="10">
        <v>1225.5</v>
      </c>
      <c r="S60" s="10">
        <v>5.27</v>
      </c>
      <c r="T60" s="8">
        <v>7.4999999999999997E-2</v>
      </c>
      <c r="U60" s="12">
        <f t="shared" si="11"/>
        <v>0</v>
      </c>
      <c r="V60" s="6">
        <v>56</v>
      </c>
      <c r="W60" t="str">
        <f t="shared" si="1"/>
        <v>ok</v>
      </c>
      <c r="X60">
        <f t="shared" si="2"/>
        <v>9</v>
      </c>
      <c r="Y60">
        <f t="shared" si="12"/>
        <v>9</v>
      </c>
      <c r="Z60" s="10">
        <f t="shared" si="13"/>
        <v>272.98599999999999</v>
      </c>
      <c r="AA60" s="10">
        <f t="shared" si="14"/>
        <v>68628</v>
      </c>
      <c r="AB60" s="10">
        <f t="shared" si="15"/>
        <v>-68355.013999999996</v>
      </c>
      <c r="AC60" s="10">
        <f t="shared" si="3"/>
        <v>606.37750000000005</v>
      </c>
      <c r="AD60" s="10">
        <f t="shared" si="4"/>
        <v>1193.865</v>
      </c>
      <c r="AE60" s="10">
        <f t="shared" si="5"/>
        <v>1912.0450000000001</v>
      </c>
      <c r="AF60" s="10" t="str">
        <f t="shared" si="6"/>
        <v>Medium</v>
      </c>
      <c r="AG60" s="6">
        <f t="shared" si="16"/>
        <v>-250.39750756449047</v>
      </c>
      <c r="AH60" s="4">
        <f t="shared" si="18"/>
        <v>44936</v>
      </c>
      <c r="AI60" t="str">
        <f t="shared" si="17"/>
        <v>Jan-2023</v>
      </c>
    </row>
    <row r="61" spans="1:35" x14ac:dyDescent="0.25">
      <c r="A61" t="s">
        <v>74</v>
      </c>
      <c r="B61" s="4">
        <v>45779</v>
      </c>
      <c r="C61" s="4" t="str">
        <f t="shared" si="7"/>
        <v>Q2-2025</v>
      </c>
      <c r="D61" s="4" t="str">
        <f t="shared" si="8"/>
        <v>May-2025</v>
      </c>
      <c r="E61" s="4">
        <v>45790</v>
      </c>
      <c r="F61" s="12">
        <f t="shared" si="9"/>
        <v>11</v>
      </c>
      <c r="G61" s="12">
        <f t="shared" si="0"/>
        <v>0</v>
      </c>
      <c r="H61" s="4">
        <f t="shared" si="10"/>
        <v>45790</v>
      </c>
      <c r="I61" t="s">
        <v>646</v>
      </c>
      <c r="J61" t="s">
        <v>650</v>
      </c>
      <c r="K61" t="s">
        <v>678</v>
      </c>
      <c r="L61" t="s">
        <v>705</v>
      </c>
      <c r="M61" t="s">
        <v>708</v>
      </c>
      <c r="N61" t="s">
        <v>720</v>
      </c>
      <c r="O61" t="s">
        <v>733</v>
      </c>
      <c r="P61" t="str" cm="1">
        <f t="array" ref="P61">_xlfn.IFS(S61&lt;=PERCENTILE($S$2:$S$1000, 0.33), "Low", S61&lt;=PERCENTILE($S$2:$S$1000, 0.66), "Medium", TRUE, "High")</f>
        <v>Medium</v>
      </c>
      <c r="Q61" t="s">
        <v>793</v>
      </c>
      <c r="R61" s="10">
        <v>1057.5999999999999</v>
      </c>
      <c r="S61" s="10">
        <v>1437.06</v>
      </c>
      <c r="T61" s="8">
        <v>0.20499999999999999</v>
      </c>
      <c r="U61" s="12">
        <f t="shared" si="11"/>
        <v>1</v>
      </c>
      <c r="V61" s="6">
        <v>4</v>
      </c>
      <c r="W61" t="str">
        <f t="shared" si="1"/>
        <v>ok</v>
      </c>
      <c r="X61">
        <f t="shared" si="2"/>
        <v>11</v>
      </c>
      <c r="Y61">
        <f t="shared" si="12"/>
        <v>11</v>
      </c>
      <c r="Z61" s="10">
        <f t="shared" si="13"/>
        <v>4569.8508000000002</v>
      </c>
      <c r="AA61" s="10">
        <f t="shared" si="14"/>
        <v>4230.3999999999996</v>
      </c>
      <c r="AB61" s="10">
        <f t="shared" si="15"/>
        <v>339.45080000000053</v>
      </c>
      <c r="AC61" s="10">
        <f t="shared" si="3"/>
        <v>606.37750000000005</v>
      </c>
      <c r="AD61" s="10">
        <f t="shared" si="4"/>
        <v>1193.865</v>
      </c>
      <c r="AE61" s="10">
        <f t="shared" si="5"/>
        <v>1912.0450000000001</v>
      </c>
      <c r="AF61" s="10" t="str">
        <f t="shared" si="6"/>
        <v>Low</v>
      </c>
      <c r="AG61" s="6">
        <f t="shared" si="16"/>
        <v>7.4280499485891424E-2</v>
      </c>
      <c r="AH61" s="4">
        <f t="shared" si="18"/>
        <v>44946</v>
      </c>
      <c r="AI61" t="str">
        <f t="shared" si="17"/>
        <v>Jan-2023</v>
      </c>
    </row>
    <row r="62" spans="1:35" x14ac:dyDescent="0.25">
      <c r="A62" t="s">
        <v>75</v>
      </c>
      <c r="B62" s="4">
        <v>45361</v>
      </c>
      <c r="C62" s="4" t="str">
        <f t="shared" si="7"/>
        <v>Q1-2024</v>
      </c>
      <c r="D62" s="4" t="str">
        <f t="shared" si="8"/>
        <v>Mar-2024</v>
      </c>
      <c r="E62" s="4">
        <v>45391</v>
      </c>
      <c r="F62" s="12">
        <f t="shared" si="9"/>
        <v>30</v>
      </c>
      <c r="G62" s="12">
        <f t="shared" si="0"/>
        <v>0</v>
      </c>
      <c r="H62" s="4">
        <f t="shared" si="10"/>
        <v>45391</v>
      </c>
      <c r="I62" t="s">
        <v>649</v>
      </c>
      <c r="J62" t="s">
        <v>657</v>
      </c>
      <c r="K62" t="s">
        <v>679</v>
      </c>
      <c r="L62" t="s">
        <v>701</v>
      </c>
      <c r="M62" t="s">
        <v>711</v>
      </c>
      <c r="N62" t="s">
        <v>714</v>
      </c>
      <c r="O62" t="s">
        <v>727</v>
      </c>
      <c r="P62" t="str" cm="1">
        <f t="array" ref="P62">_xlfn.IFS(S62&lt;=PERCENTILE($S$2:$S$1000, 0.33), "Low", S62&lt;=PERCENTILE($S$2:$S$1000, 0.66), "Medium", TRUE, "High")</f>
        <v>High</v>
      </c>
      <c r="Q62" t="s">
        <v>794</v>
      </c>
      <c r="R62" s="10">
        <v>1176.56</v>
      </c>
      <c r="S62" s="10">
        <v>1911.89</v>
      </c>
      <c r="T62" s="8">
        <v>0.11899999999999999</v>
      </c>
      <c r="U62" s="12">
        <f t="shared" si="11"/>
        <v>0</v>
      </c>
      <c r="V62" s="6">
        <v>20</v>
      </c>
      <c r="W62" t="str">
        <f t="shared" si="1"/>
        <v>ok</v>
      </c>
      <c r="X62">
        <f t="shared" si="2"/>
        <v>30</v>
      </c>
      <c r="Y62">
        <f t="shared" si="12"/>
        <v>30</v>
      </c>
      <c r="Z62" s="10">
        <f t="shared" si="13"/>
        <v>33687.501800000005</v>
      </c>
      <c r="AA62" s="10">
        <f t="shared" si="14"/>
        <v>23531.199999999997</v>
      </c>
      <c r="AB62" s="10">
        <f t="shared" si="15"/>
        <v>10156.301800000008</v>
      </c>
      <c r="AC62" s="10">
        <f t="shared" si="3"/>
        <v>606.37750000000005</v>
      </c>
      <c r="AD62" s="10">
        <f t="shared" si="4"/>
        <v>1193.865</v>
      </c>
      <c r="AE62" s="10">
        <f t="shared" si="5"/>
        <v>1912.0450000000001</v>
      </c>
      <c r="AF62" s="10" t="str">
        <f t="shared" si="6"/>
        <v>Medium</v>
      </c>
      <c r="AG62" s="6">
        <f t="shared" si="16"/>
        <v>0.30148575160892477</v>
      </c>
      <c r="AH62" s="4">
        <f t="shared" si="18"/>
        <v>44936</v>
      </c>
      <c r="AI62" t="str">
        <f t="shared" si="17"/>
        <v>Jan-2023</v>
      </c>
    </row>
    <row r="63" spans="1:35" x14ac:dyDescent="0.25">
      <c r="A63" t="s">
        <v>76</v>
      </c>
      <c r="B63" s="4">
        <v>45910</v>
      </c>
      <c r="C63" s="4" t="str">
        <f t="shared" si="7"/>
        <v>Q3-2025</v>
      </c>
      <c r="D63" s="4" t="str">
        <f t="shared" si="8"/>
        <v>Sept-2025</v>
      </c>
      <c r="E63" s="4">
        <v>45912</v>
      </c>
      <c r="F63" s="12">
        <f t="shared" si="9"/>
        <v>2</v>
      </c>
      <c r="G63" s="12">
        <f t="shared" si="0"/>
        <v>1</v>
      </c>
      <c r="H63" s="4">
        <f t="shared" si="10"/>
        <v>45912</v>
      </c>
      <c r="I63" t="s">
        <v>647</v>
      </c>
      <c r="J63" t="s">
        <v>652</v>
      </c>
      <c r="K63" t="s">
        <v>689</v>
      </c>
      <c r="L63" t="s">
        <v>704</v>
      </c>
      <c r="M63" t="s">
        <v>708</v>
      </c>
      <c r="N63" t="s">
        <v>719</v>
      </c>
      <c r="O63" t="s">
        <v>727</v>
      </c>
      <c r="P63" t="str" cm="1">
        <f t="array" ref="P63">_xlfn.IFS(S63&lt;=PERCENTILE($S$2:$S$1000, 0.33), "Low", S63&lt;=PERCENTILE($S$2:$S$1000, 0.66), "Medium", TRUE, "High")</f>
        <v>High</v>
      </c>
      <c r="Q63" t="s">
        <v>795</v>
      </c>
      <c r="R63" s="10">
        <v>1470.15</v>
      </c>
      <c r="S63" s="10">
        <v>2593.7800000000002</v>
      </c>
      <c r="T63" s="8">
        <v>0.11</v>
      </c>
      <c r="U63" s="12">
        <f t="shared" si="11"/>
        <v>0</v>
      </c>
      <c r="V63" s="6">
        <v>12</v>
      </c>
      <c r="W63" t="str">
        <f t="shared" si="1"/>
        <v>ok</v>
      </c>
      <c r="X63">
        <f t="shared" si="2"/>
        <v>2</v>
      </c>
      <c r="Y63">
        <f t="shared" si="12"/>
        <v>2</v>
      </c>
      <c r="Z63" s="10">
        <f t="shared" si="13"/>
        <v>27701.570400000001</v>
      </c>
      <c r="AA63" s="10">
        <f t="shared" si="14"/>
        <v>17641.800000000003</v>
      </c>
      <c r="AB63" s="10">
        <f t="shared" si="15"/>
        <v>10059.770399999998</v>
      </c>
      <c r="AC63" s="10">
        <f t="shared" si="3"/>
        <v>606.37750000000005</v>
      </c>
      <c r="AD63" s="10">
        <f t="shared" si="4"/>
        <v>1193.865</v>
      </c>
      <c r="AE63" s="10">
        <f t="shared" si="5"/>
        <v>1912.0450000000001</v>
      </c>
      <c r="AF63" s="10" t="str">
        <f t="shared" si="6"/>
        <v>Medium</v>
      </c>
      <c r="AG63" s="6">
        <f t="shared" si="16"/>
        <v>0.36314801849645306</v>
      </c>
      <c r="AH63" s="4">
        <f t="shared" si="18"/>
        <v>44988</v>
      </c>
      <c r="AI63" t="str">
        <f t="shared" si="17"/>
        <v>Mar-2023</v>
      </c>
    </row>
    <row r="64" spans="1:35" x14ac:dyDescent="0.25">
      <c r="A64" t="s">
        <v>77</v>
      </c>
      <c r="B64" s="4">
        <v>45774</v>
      </c>
      <c r="C64" s="4" t="str">
        <f t="shared" si="7"/>
        <v>Q2-2025</v>
      </c>
      <c r="D64" s="4" t="str">
        <f t="shared" si="8"/>
        <v>Apr-2025</v>
      </c>
      <c r="E64" s="4">
        <v>45802</v>
      </c>
      <c r="F64" s="12">
        <f t="shared" si="9"/>
        <v>28</v>
      </c>
      <c r="G64" s="12">
        <f t="shared" si="0"/>
        <v>0</v>
      </c>
      <c r="H64" s="4">
        <f t="shared" si="10"/>
        <v>45802</v>
      </c>
      <c r="I64" t="s">
        <v>649</v>
      </c>
      <c r="J64" t="s">
        <v>657</v>
      </c>
      <c r="K64" t="s">
        <v>690</v>
      </c>
      <c r="L64" t="s">
        <v>705</v>
      </c>
      <c r="M64" t="s">
        <v>709</v>
      </c>
      <c r="N64" t="s">
        <v>714</v>
      </c>
      <c r="O64" t="s">
        <v>730</v>
      </c>
      <c r="P64" t="str" cm="1">
        <f t="array" ref="P64">_xlfn.IFS(S64&lt;=PERCENTILE($S$2:$S$1000, 0.33), "Low", S64&lt;=PERCENTILE($S$2:$S$1000, 0.66), "Medium", TRUE, "High")</f>
        <v>Medium</v>
      </c>
      <c r="Q64" t="s">
        <v>796</v>
      </c>
      <c r="R64" s="10">
        <v>603.45000000000005</v>
      </c>
      <c r="S64" s="10">
        <v>1244.08</v>
      </c>
      <c r="T64" s="8">
        <v>0.2</v>
      </c>
      <c r="U64" s="12">
        <f t="shared" si="11"/>
        <v>0</v>
      </c>
      <c r="V64" s="6">
        <v>11</v>
      </c>
      <c r="W64" t="str">
        <f t="shared" si="1"/>
        <v>ok</v>
      </c>
      <c r="X64">
        <f t="shared" si="2"/>
        <v>28</v>
      </c>
      <c r="Y64">
        <f t="shared" si="12"/>
        <v>28</v>
      </c>
      <c r="Z64" s="10">
        <f t="shared" si="13"/>
        <v>10947.904</v>
      </c>
      <c r="AA64" s="10">
        <f t="shared" si="14"/>
        <v>6637.9500000000007</v>
      </c>
      <c r="AB64" s="10">
        <f t="shared" si="15"/>
        <v>4309.9539999999997</v>
      </c>
      <c r="AC64" s="10">
        <f t="shared" si="3"/>
        <v>606.37750000000005</v>
      </c>
      <c r="AD64" s="10">
        <f t="shared" si="4"/>
        <v>1193.865</v>
      </c>
      <c r="AE64" s="10">
        <f t="shared" si="5"/>
        <v>1912.0450000000001</v>
      </c>
      <c r="AF64" s="10" t="str">
        <f t="shared" si="6"/>
        <v>High</v>
      </c>
      <c r="AG64" s="6">
        <f t="shared" si="16"/>
        <v>0.39367846119220623</v>
      </c>
      <c r="AH64" s="4">
        <f t="shared" si="18"/>
        <v>44936</v>
      </c>
      <c r="AI64" t="str">
        <f t="shared" si="17"/>
        <v>Jan-2023</v>
      </c>
    </row>
    <row r="65" spans="1:35" x14ac:dyDescent="0.25">
      <c r="A65" t="s">
        <v>78</v>
      </c>
      <c r="B65" s="4">
        <v>45598</v>
      </c>
      <c r="C65" s="4" t="str">
        <f t="shared" si="7"/>
        <v>Q4-2024</v>
      </c>
      <c r="D65" s="4" t="str">
        <f t="shared" si="8"/>
        <v>Nov-2024</v>
      </c>
      <c r="E65" s="4">
        <v>45614</v>
      </c>
      <c r="F65" s="12">
        <f t="shared" si="9"/>
        <v>16</v>
      </c>
      <c r="G65" s="12">
        <f t="shared" si="0"/>
        <v>0</v>
      </c>
      <c r="H65" s="4">
        <f t="shared" si="10"/>
        <v>45614</v>
      </c>
      <c r="I65" t="s">
        <v>647</v>
      </c>
      <c r="J65" t="s">
        <v>654</v>
      </c>
      <c r="K65" t="s">
        <v>691</v>
      </c>
      <c r="L65" t="s">
        <v>705</v>
      </c>
      <c r="M65" t="s">
        <v>710</v>
      </c>
      <c r="N65" t="s">
        <v>719</v>
      </c>
      <c r="O65" t="s">
        <v>732</v>
      </c>
      <c r="P65" t="str" cm="1">
        <f t="array" ref="P65">_xlfn.IFS(S65&lt;=PERCENTILE($S$2:$S$1000, 0.33), "Low", S65&lt;=PERCENTILE($S$2:$S$1000, 0.66), "Medium", TRUE, "High")</f>
        <v>High</v>
      </c>
      <c r="Q65" t="s">
        <v>797</v>
      </c>
      <c r="R65" s="10">
        <v>1233.58</v>
      </c>
      <c r="S65" s="10">
        <v>1912.51</v>
      </c>
      <c r="T65" s="8">
        <v>0.255</v>
      </c>
      <c r="U65" s="12">
        <f t="shared" si="11"/>
        <v>1</v>
      </c>
      <c r="V65" s="6">
        <v>51</v>
      </c>
      <c r="W65" t="str">
        <f t="shared" si="1"/>
        <v>ok</v>
      </c>
      <c r="X65">
        <f t="shared" si="2"/>
        <v>16</v>
      </c>
      <c r="Y65">
        <f t="shared" si="12"/>
        <v>16</v>
      </c>
      <c r="Z65" s="10">
        <f t="shared" si="13"/>
        <v>72665.817450000002</v>
      </c>
      <c r="AA65" s="10">
        <f t="shared" si="14"/>
        <v>62912.579999999994</v>
      </c>
      <c r="AB65" s="10">
        <f t="shared" si="15"/>
        <v>9753.2374500000078</v>
      </c>
      <c r="AC65" s="10">
        <f t="shared" si="3"/>
        <v>606.37750000000005</v>
      </c>
      <c r="AD65" s="10">
        <f t="shared" si="4"/>
        <v>1193.865</v>
      </c>
      <c r="AE65" s="10">
        <f t="shared" si="5"/>
        <v>1912.0450000000001</v>
      </c>
      <c r="AF65" s="10" t="str">
        <f t="shared" si="6"/>
        <v>Medium</v>
      </c>
      <c r="AG65" s="6">
        <f t="shared" si="16"/>
        <v>0.134220432553601</v>
      </c>
      <c r="AH65" s="4">
        <f t="shared" si="18"/>
        <v>44955</v>
      </c>
      <c r="AI65" t="str">
        <f t="shared" si="17"/>
        <v>Jan-2023</v>
      </c>
    </row>
    <row r="66" spans="1:35" x14ac:dyDescent="0.25">
      <c r="A66" t="s">
        <v>79</v>
      </c>
      <c r="B66" s="4">
        <v>44972</v>
      </c>
      <c r="C66" s="4" t="str">
        <f t="shared" si="7"/>
        <v>Q1-2023</v>
      </c>
      <c r="D66" s="4" t="str">
        <f t="shared" si="8"/>
        <v>Feb-2023</v>
      </c>
      <c r="E66" s="4">
        <v>44983</v>
      </c>
      <c r="F66" s="12">
        <f t="shared" si="9"/>
        <v>11</v>
      </c>
      <c r="G66" s="12">
        <f t="shared" ref="G66:G129" si="19">IF(F66&lt;=7, 1, 0)</f>
        <v>0</v>
      </c>
      <c r="H66" s="4">
        <f t="shared" si="10"/>
        <v>44983</v>
      </c>
      <c r="I66" t="s">
        <v>646</v>
      </c>
      <c r="J66" t="s">
        <v>661</v>
      </c>
      <c r="K66" t="s">
        <v>682</v>
      </c>
      <c r="L66" t="s">
        <v>703</v>
      </c>
      <c r="M66" t="s">
        <v>707</v>
      </c>
      <c r="N66" t="s">
        <v>723</v>
      </c>
      <c r="O66" t="s">
        <v>731</v>
      </c>
      <c r="P66" t="str" cm="1">
        <f t="array" ref="P66">_xlfn.IFS(S66&lt;=PERCENTILE($S$2:$S$1000, 0.33), "Low", S66&lt;=PERCENTILE($S$2:$S$1000, 0.66), "Medium", TRUE, "High")</f>
        <v>Low</v>
      </c>
      <c r="Q66" t="s">
        <v>798</v>
      </c>
      <c r="R66" s="10">
        <v>498.5</v>
      </c>
      <c r="S66" s="10">
        <v>755.87</v>
      </c>
      <c r="T66" s="8">
        <v>0.13</v>
      </c>
      <c r="U66" s="12">
        <f t="shared" si="11"/>
        <v>0</v>
      </c>
      <c r="V66" s="6">
        <v>40</v>
      </c>
      <c r="W66" t="str">
        <f t="shared" ref="W66:W129" si="20">IF(E66&gt;B66, "ok", "sus")</f>
        <v>ok</v>
      </c>
      <c r="X66">
        <f t="shared" ref="X66:X129" si="21">E66-B66</f>
        <v>11</v>
      </c>
      <c r="Y66">
        <f t="shared" si="12"/>
        <v>11</v>
      </c>
      <c r="Z66" s="10">
        <f t="shared" si="13"/>
        <v>26304.275999999998</v>
      </c>
      <c r="AA66" s="10">
        <f t="shared" si="14"/>
        <v>19940</v>
      </c>
      <c r="AB66" s="10">
        <f t="shared" si="15"/>
        <v>6364.275999999998</v>
      </c>
      <c r="AC66" s="10">
        <f t="shared" ref="AC66:AC129" si="22">_xlfn.QUARTILE.INC(S:S,1)</f>
        <v>606.37750000000005</v>
      </c>
      <c r="AD66" s="10">
        <f t="shared" ref="AD66:AD129" si="23">_xlfn.QUARTILE.INC(S:S,2)</f>
        <v>1193.865</v>
      </c>
      <c r="AE66" s="10">
        <f t="shared" ref="AE66:AE129" si="24">_xlfn.QUARTILE.INC(S:S,3)</f>
        <v>1912.0450000000001</v>
      </c>
      <c r="AF66" s="10" t="str">
        <f t="shared" ref="AF66:AF129" si="25">IF(S65&lt;=$AC$2,"Low",
 IF(S65&lt;=$AE$3,"Medium",
 "High"))</f>
        <v>High</v>
      </c>
      <c r="AG66" s="6">
        <f t="shared" si="16"/>
        <v>0.24194834330357537</v>
      </c>
      <c r="AH66" s="4">
        <f t="shared" si="18"/>
        <v>44933</v>
      </c>
      <c r="AI66" t="str">
        <f t="shared" si="17"/>
        <v>Jan-2023</v>
      </c>
    </row>
    <row r="67" spans="1:35" x14ac:dyDescent="0.25">
      <c r="A67" t="s">
        <v>80</v>
      </c>
      <c r="B67" s="4">
        <v>45263</v>
      </c>
      <c r="C67" s="4" t="str">
        <f t="shared" ref="C67:C130" si="26">"Q" &amp; ROUNDUP(MONTH(B67)/3,0) &amp; "-" &amp; YEAR(B67)</f>
        <v>Q4-2023</v>
      </c>
      <c r="D67" s="4" t="str">
        <f t="shared" ref="D67:D130" si="27">TEXT(B67,"MMM-YYYY")</f>
        <v>Dec-2023</v>
      </c>
      <c r="E67" s="4">
        <v>45286</v>
      </c>
      <c r="F67" s="12">
        <f t="shared" ref="F67:F130" si="28">H67-B67</f>
        <v>23</v>
      </c>
      <c r="G67" s="12">
        <f t="shared" si="19"/>
        <v>0</v>
      </c>
      <c r="H67" s="4">
        <f t="shared" ref="H67:H130" si="29">IF(E67&lt;B67,B67+14,E67)</f>
        <v>45286</v>
      </c>
      <c r="I67" t="s">
        <v>648</v>
      </c>
      <c r="J67" t="s">
        <v>655</v>
      </c>
      <c r="K67" t="s">
        <v>692</v>
      </c>
      <c r="L67" t="s">
        <v>702</v>
      </c>
      <c r="M67" t="s">
        <v>707</v>
      </c>
      <c r="N67" t="s">
        <v>719</v>
      </c>
      <c r="O67" t="s">
        <v>730</v>
      </c>
      <c r="P67" t="str" cm="1">
        <f t="array" ref="P67">_xlfn.IFS(S67&lt;=PERCENTILE($S$2:$S$1000, 0.33), "Low", S67&lt;=PERCENTILE($S$2:$S$1000, 0.66), "Medium", TRUE, "High")</f>
        <v>Medium</v>
      </c>
      <c r="Q67" t="s">
        <v>799</v>
      </c>
      <c r="R67" s="10">
        <v>1303.1099999999999</v>
      </c>
      <c r="S67" s="10">
        <v>1145.67</v>
      </c>
      <c r="T67" s="8">
        <v>0.184</v>
      </c>
      <c r="U67" s="12">
        <f t="shared" ref="U67:U130" si="30">IF(T67&gt;0.2,1,0)</f>
        <v>0</v>
      </c>
      <c r="V67" s="6">
        <v>13</v>
      </c>
      <c r="W67" t="str">
        <f t="shared" si="20"/>
        <v>ok</v>
      </c>
      <c r="X67">
        <f t="shared" si="21"/>
        <v>23</v>
      </c>
      <c r="Y67">
        <f t="shared" ref="Y67:Y130" si="31">ABS(X67)</f>
        <v>23</v>
      </c>
      <c r="Z67" s="10">
        <f t="shared" ref="Z67:Z130" si="32">S67*V67*(1-T67)</f>
        <v>12153.267360000002</v>
      </c>
      <c r="AA67" s="10">
        <f t="shared" ref="AA67:AA130" si="33">R67*V67</f>
        <v>16940.43</v>
      </c>
      <c r="AB67" s="10">
        <f t="shared" ref="AB67:AB130" si="34">Z67-AA67</f>
        <v>-4787.1626399999986</v>
      </c>
      <c r="AC67" s="10">
        <f t="shared" si="22"/>
        <v>606.37750000000005</v>
      </c>
      <c r="AD67" s="10">
        <f t="shared" si="23"/>
        <v>1193.865</v>
      </c>
      <c r="AE67" s="10">
        <f t="shared" si="24"/>
        <v>1912.0450000000001</v>
      </c>
      <c r="AF67" s="10" t="str">
        <f t="shared" si="25"/>
        <v>Medium</v>
      </c>
      <c r="AG67" s="6">
        <f t="shared" ref="AG67:AG130" si="35">IF(Z67=0,0,AB67/Z67)</f>
        <v>-0.39389922875851208</v>
      </c>
      <c r="AH67" s="4">
        <f t="shared" ref="AH67:AH130" si="36">_xlfn.MINIFS($B:$B,$J:$J,J67)</f>
        <v>44955</v>
      </c>
      <c r="AI67" t="str">
        <f t="shared" ref="AI67:AI130" si="37">TEXT(AH67,"MMM-YYYY")</f>
        <v>Jan-2023</v>
      </c>
    </row>
    <row r="68" spans="1:35" x14ac:dyDescent="0.25">
      <c r="A68" t="s">
        <v>81</v>
      </c>
      <c r="B68" s="4">
        <v>45004</v>
      </c>
      <c r="C68" s="4" t="str">
        <f t="shared" si="26"/>
        <v>Q1-2023</v>
      </c>
      <c r="D68" s="4" t="str">
        <f t="shared" si="27"/>
        <v>Mar-2023</v>
      </c>
      <c r="E68" s="4">
        <v>45025</v>
      </c>
      <c r="F68" s="12">
        <f t="shared" si="28"/>
        <v>21</v>
      </c>
      <c r="G68" s="12">
        <f t="shared" si="19"/>
        <v>0</v>
      </c>
      <c r="H68" s="4">
        <f t="shared" si="29"/>
        <v>45025</v>
      </c>
      <c r="I68" t="s">
        <v>649</v>
      </c>
      <c r="J68" t="s">
        <v>658</v>
      </c>
      <c r="K68" t="s">
        <v>693</v>
      </c>
      <c r="L68" t="s">
        <v>704</v>
      </c>
      <c r="M68" t="s">
        <v>707</v>
      </c>
      <c r="N68" t="s">
        <v>716</v>
      </c>
      <c r="O68" t="s">
        <v>733</v>
      </c>
      <c r="P68" t="str" cm="1">
        <f t="array" ref="P68">_xlfn.IFS(S68&lt;=PERCENTILE($S$2:$S$1000, 0.33), "Low", S68&lt;=PERCENTILE($S$2:$S$1000, 0.66), "Medium", TRUE, "High")</f>
        <v>Medium</v>
      </c>
      <c r="Q68" t="s">
        <v>800</v>
      </c>
      <c r="R68" s="10">
        <v>1082.17</v>
      </c>
      <c r="S68" s="10">
        <v>1234.0999999999999</v>
      </c>
      <c r="T68" s="8">
        <v>0.189</v>
      </c>
      <c r="U68" s="12">
        <f t="shared" si="30"/>
        <v>0</v>
      </c>
      <c r="V68" s="6">
        <v>16</v>
      </c>
      <c r="W68" t="str">
        <f t="shared" si="20"/>
        <v>ok</v>
      </c>
      <c r="X68">
        <f t="shared" si="21"/>
        <v>21</v>
      </c>
      <c r="Y68">
        <f t="shared" si="31"/>
        <v>21</v>
      </c>
      <c r="Z68" s="10">
        <f t="shared" si="32"/>
        <v>16013.681599999998</v>
      </c>
      <c r="AA68" s="10">
        <f t="shared" si="33"/>
        <v>17314.72</v>
      </c>
      <c r="AB68" s="10">
        <f t="shared" si="34"/>
        <v>-1301.0384000000031</v>
      </c>
      <c r="AC68" s="10">
        <f t="shared" si="22"/>
        <v>606.37750000000005</v>
      </c>
      <c r="AD68" s="10">
        <f t="shared" si="23"/>
        <v>1193.865</v>
      </c>
      <c r="AE68" s="10">
        <f t="shared" si="24"/>
        <v>1912.0450000000001</v>
      </c>
      <c r="AF68" s="10" t="str">
        <f t="shared" si="25"/>
        <v>Medium</v>
      </c>
      <c r="AG68" s="6">
        <f t="shared" si="35"/>
        <v>-8.124542703534228E-2</v>
      </c>
      <c r="AH68" s="4">
        <f t="shared" si="36"/>
        <v>44945</v>
      </c>
      <c r="AI68" t="str">
        <f t="shared" si="37"/>
        <v>Jan-2023</v>
      </c>
    </row>
    <row r="69" spans="1:35" x14ac:dyDescent="0.25">
      <c r="A69" t="s">
        <v>82</v>
      </c>
      <c r="B69" s="4">
        <v>45434</v>
      </c>
      <c r="C69" s="4" t="str">
        <f t="shared" si="26"/>
        <v>Q2-2024</v>
      </c>
      <c r="D69" s="4" t="str">
        <f t="shared" si="27"/>
        <v>May-2024</v>
      </c>
      <c r="E69" s="4">
        <v>45449</v>
      </c>
      <c r="F69" s="12">
        <f t="shared" si="28"/>
        <v>15</v>
      </c>
      <c r="G69" s="12">
        <f t="shared" si="19"/>
        <v>0</v>
      </c>
      <c r="H69" s="4">
        <f t="shared" si="29"/>
        <v>45449</v>
      </c>
      <c r="I69" t="s">
        <v>647</v>
      </c>
      <c r="J69" t="s">
        <v>652</v>
      </c>
      <c r="K69" t="s">
        <v>694</v>
      </c>
      <c r="L69" t="s">
        <v>701</v>
      </c>
      <c r="M69" t="s">
        <v>710</v>
      </c>
      <c r="N69" t="s">
        <v>712</v>
      </c>
      <c r="O69" t="s">
        <v>732</v>
      </c>
      <c r="P69" t="str" cm="1">
        <f t="array" ref="P69">_xlfn.IFS(S69&lt;=PERCENTILE($S$2:$S$1000, 0.33), "Low", S69&lt;=PERCENTILE($S$2:$S$1000, 0.66), "Medium", TRUE, "High")</f>
        <v>Medium</v>
      </c>
      <c r="Q69" t="s">
        <v>801</v>
      </c>
      <c r="R69" s="10">
        <v>673.88</v>
      </c>
      <c r="S69" s="10">
        <v>1228.01</v>
      </c>
      <c r="T69" s="8">
        <v>0.105</v>
      </c>
      <c r="U69" s="12">
        <f t="shared" si="30"/>
        <v>0</v>
      </c>
      <c r="V69" s="6">
        <v>13</v>
      </c>
      <c r="W69" t="str">
        <f t="shared" si="20"/>
        <v>ok</v>
      </c>
      <c r="X69">
        <f t="shared" si="21"/>
        <v>15</v>
      </c>
      <c r="Y69">
        <f t="shared" si="31"/>
        <v>15</v>
      </c>
      <c r="Z69" s="10">
        <f t="shared" si="32"/>
        <v>14287.896349999999</v>
      </c>
      <c r="AA69" s="10">
        <f t="shared" si="33"/>
        <v>8760.44</v>
      </c>
      <c r="AB69" s="10">
        <f t="shared" si="34"/>
        <v>5527.4563499999986</v>
      </c>
      <c r="AC69" s="10">
        <f t="shared" si="22"/>
        <v>606.37750000000005</v>
      </c>
      <c r="AD69" s="10">
        <f t="shared" si="23"/>
        <v>1193.865</v>
      </c>
      <c r="AE69" s="10">
        <f t="shared" si="24"/>
        <v>1912.0450000000001</v>
      </c>
      <c r="AF69" s="10" t="str">
        <f t="shared" si="25"/>
        <v>Medium</v>
      </c>
      <c r="AG69" s="6">
        <f t="shared" si="35"/>
        <v>0.38686285332689996</v>
      </c>
      <c r="AH69" s="4">
        <f t="shared" si="36"/>
        <v>44988</v>
      </c>
      <c r="AI69" t="str">
        <f t="shared" si="37"/>
        <v>Mar-2023</v>
      </c>
    </row>
    <row r="70" spans="1:35" x14ac:dyDescent="0.25">
      <c r="A70" t="s">
        <v>83</v>
      </c>
      <c r="B70" s="4">
        <v>45157</v>
      </c>
      <c r="C70" s="4" t="str">
        <f t="shared" si="26"/>
        <v>Q3-2023</v>
      </c>
      <c r="D70" s="4" t="str">
        <f t="shared" si="27"/>
        <v>Aug-2023</v>
      </c>
      <c r="E70" s="4">
        <v>45176</v>
      </c>
      <c r="F70" s="12">
        <f t="shared" si="28"/>
        <v>19</v>
      </c>
      <c r="G70" s="12">
        <f t="shared" si="19"/>
        <v>0</v>
      </c>
      <c r="H70" s="4">
        <f t="shared" si="29"/>
        <v>45176</v>
      </c>
      <c r="I70" t="s">
        <v>646</v>
      </c>
      <c r="J70" t="s">
        <v>661</v>
      </c>
      <c r="K70" t="s">
        <v>682</v>
      </c>
      <c r="L70" t="s">
        <v>706</v>
      </c>
      <c r="M70" t="s">
        <v>707</v>
      </c>
      <c r="N70" t="s">
        <v>726</v>
      </c>
      <c r="O70" t="s">
        <v>732</v>
      </c>
      <c r="P70" t="str" cm="1">
        <f t="array" ref="P70">_xlfn.IFS(S70&lt;=PERCENTILE($S$2:$S$1000, 0.33), "Low", S70&lt;=PERCENTILE($S$2:$S$1000, 0.66), "Medium", TRUE, "High")</f>
        <v>Low</v>
      </c>
      <c r="Q70" t="s">
        <v>802</v>
      </c>
      <c r="R70" s="10">
        <v>494.61</v>
      </c>
      <c r="S70" s="10">
        <v>605.23</v>
      </c>
      <c r="T70" s="8">
        <v>0.20399999999999999</v>
      </c>
      <c r="U70" s="12">
        <f t="shared" si="30"/>
        <v>1</v>
      </c>
      <c r="V70" s="6">
        <v>18</v>
      </c>
      <c r="W70" t="str">
        <f t="shared" si="20"/>
        <v>ok</v>
      </c>
      <c r="X70">
        <f t="shared" si="21"/>
        <v>19</v>
      </c>
      <c r="Y70">
        <f t="shared" si="31"/>
        <v>19</v>
      </c>
      <c r="Z70" s="10">
        <f t="shared" si="32"/>
        <v>8671.7354400000004</v>
      </c>
      <c r="AA70" s="10">
        <f t="shared" si="33"/>
        <v>8902.98</v>
      </c>
      <c r="AB70" s="10">
        <f t="shared" si="34"/>
        <v>-231.24455999999918</v>
      </c>
      <c r="AC70" s="10">
        <f t="shared" si="22"/>
        <v>606.37750000000005</v>
      </c>
      <c r="AD70" s="10">
        <f t="shared" si="23"/>
        <v>1193.865</v>
      </c>
      <c r="AE70" s="10">
        <f t="shared" si="24"/>
        <v>1912.0450000000001</v>
      </c>
      <c r="AF70" s="10" t="str">
        <f t="shared" si="25"/>
        <v>Medium</v>
      </c>
      <c r="AG70" s="6">
        <f t="shared" si="35"/>
        <v>-2.6666468505639647E-2</v>
      </c>
      <c r="AH70" s="4">
        <f t="shared" si="36"/>
        <v>44933</v>
      </c>
      <c r="AI70" t="str">
        <f t="shared" si="37"/>
        <v>Jan-2023</v>
      </c>
    </row>
    <row r="71" spans="1:35" x14ac:dyDescent="0.25">
      <c r="A71" t="s">
        <v>84</v>
      </c>
      <c r="B71" s="4">
        <v>45037</v>
      </c>
      <c r="C71" s="4" t="str">
        <f t="shared" si="26"/>
        <v>Q2-2023</v>
      </c>
      <c r="D71" s="4" t="str">
        <f t="shared" si="27"/>
        <v>Apr-2023</v>
      </c>
      <c r="E71" s="4">
        <v>45056</v>
      </c>
      <c r="F71" s="12">
        <f t="shared" si="28"/>
        <v>19</v>
      </c>
      <c r="G71" s="12">
        <f t="shared" si="19"/>
        <v>0</v>
      </c>
      <c r="H71" s="4">
        <f t="shared" si="29"/>
        <v>45056</v>
      </c>
      <c r="I71" t="s">
        <v>647</v>
      </c>
      <c r="J71" t="s">
        <v>659</v>
      </c>
      <c r="K71" t="s">
        <v>685</v>
      </c>
      <c r="L71" t="s">
        <v>701</v>
      </c>
      <c r="M71" t="s">
        <v>707</v>
      </c>
      <c r="N71" t="s">
        <v>720</v>
      </c>
      <c r="O71" t="s">
        <v>727</v>
      </c>
      <c r="P71" t="str" cm="1">
        <f t="array" ref="P71">_xlfn.IFS(S71&lt;=PERCENTILE($S$2:$S$1000, 0.33), "Low", S71&lt;=PERCENTILE($S$2:$S$1000, 0.66), "Medium", TRUE, "High")</f>
        <v>High</v>
      </c>
      <c r="Q71" t="s">
        <v>803</v>
      </c>
      <c r="R71" s="10">
        <v>882.33</v>
      </c>
      <c r="S71" s="10">
        <v>1880.15</v>
      </c>
      <c r="T71" s="8">
        <v>0.05</v>
      </c>
      <c r="U71" s="12">
        <f t="shared" si="30"/>
        <v>0</v>
      </c>
      <c r="V71" s="6">
        <v>5</v>
      </c>
      <c r="W71" t="str">
        <f t="shared" si="20"/>
        <v>ok</v>
      </c>
      <c r="X71">
        <f t="shared" si="21"/>
        <v>19</v>
      </c>
      <c r="Y71">
        <f t="shared" si="31"/>
        <v>19</v>
      </c>
      <c r="Z71" s="10">
        <f t="shared" si="32"/>
        <v>8930.7124999999996</v>
      </c>
      <c r="AA71" s="10">
        <f t="shared" si="33"/>
        <v>4411.6500000000005</v>
      </c>
      <c r="AB71" s="10">
        <f t="shared" si="34"/>
        <v>4519.0624999999991</v>
      </c>
      <c r="AC71" s="10">
        <f t="shared" si="22"/>
        <v>606.37750000000005</v>
      </c>
      <c r="AD71" s="10">
        <f t="shared" si="23"/>
        <v>1193.865</v>
      </c>
      <c r="AE71" s="10">
        <f t="shared" si="24"/>
        <v>1912.0450000000001</v>
      </c>
      <c r="AF71" s="10" t="str">
        <f t="shared" si="25"/>
        <v>Low</v>
      </c>
      <c r="AG71" s="6">
        <f t="shared" si="35"/>
        <v>0.50601365792482955</v>
      </c>
      <c r="AH71" s="4">
        <f t="shared" si="36"/>
        <v>44938</v>
      </c>
      <c r="AI71" t="str">
        <f t="shared" si="37"/>
        <v>Jan-2023</v>
      </c>
    </row>
    <row r="72" spans="1:35" x14ac:dyDescent="0.25">
      <c r="A72" t="s">
        <v>85</v>
      </c>
      <c r="B72" s="4">
        <v>45369</v>
      </c>
      <c r="C72" s="4" t="str">
        <f t="shared" si="26"/>
        <v>Q1-2024</v>
      </c>
      <c r="D72" s="4" t="str">
        <f t="shared" si="27"/>
        <v>Mar-2024</v>
      </c>
      <c r="E72" s="4">
        <v>45372</v>
      </c>
      <c r="F72" s="12">
        <f t="shared" si="28"/>
        <v>3</v>
      </c>
      <c r="G72" s="12">
        <f t="shared" si="19"/>
        <v>1</v>
      </c>
      <c r="H72" s="4">
        <f t="shared" si="29"/>
        <v>45372</v>
      </c>
      <c r="I72" t="s">
        <v>649</v>
      </c>
      <c r="J72" t="s">
        <v>656</v>
      </c>
      <c r="K72" t="s">
        <v>684</v>
      </c>
      <c r="L72" t="s">
        <v>705</v>
      </c>
      <c r="M72" t="s">
        <v>708</v>
      </c>
      <c r="N72" t="s">
        <v>724</v>
      </c>
      <c r="O72" t="s">
        <v>733</v>
      </c>
      <c r="P72" t="str" cm="1">
        <f t="array" ref="P72">_xlfn.IFS(S72&lt;=PERCENTILE($S$2:$S$1000, 0.33), "Low", S72&lt;=PERCENTILE($S$2:$S$1000, 0.66), "Medium", TRUE, "High")</f>
        <v>Medium</v>
      </c>
      <c r="Q72" t="s">
        <v>804</v>
      </c>
      <c r="R72" s="10">
        <v>910.63</v>
      </c>
      <c r="S72" s="10">
        <v>1269.4000000000001</v>
      </c>
      <c r="T72" s="8">
        <v>6.8000000000000005E-2</v>
      </c>
      <c r="U72" s="12">
        <f t="shared" si="30"/>
        <v>0</v>
      </c>
      <c r="V72" s="6">
        <v>9</v>
      </c>
      <c r="W72" t="str">
        <f t="shared" si="20"/>
        <v>ok</v>
      </c>
      <c r="X72">
        <f t="shared" si="21"/>
        <v>3</v>
      </c>
      <c r="Y72">
        <f t="shared" si="31"/>
        <v>3</v>
      </c>
      <c r="Z72" s="10">
        <f t="shared" si="32"/>
        <v>10647.727199999999</v>
      </c>
      <c r="AA72" s="10">
        <f t="shared" si="33"/>
        <v>8195.67</v>
      </c>
      <c r="AB72" s="10">
        <f t="shared" si="34"/>
        <v>2452.0571999999993</v>
      </c>
      <c r="AC72" s="10">
        <f t="shared" si="22"/>
        <v>606.37750000000005</v>
      </c>
      <c r="AD72" s="10">
        <f t="shared" si="23"/>
        <v>1193.865</v>
      </c>
      <c r="AE72" s="10">
        <f t="shared" si="24"/>
        <v>1912.0450000000001</v>
      </c>
      <c r="AF72" s="10" t="str">
        <f t="shared" si="25"/>
        <v>Medium</v>
      </c>
      <c r="AG72" s="6">
        <f t="shared" si="35"/>
        <v>0.23028925834989455</v>
      </c>
      <c r="AH72" s="4">
        <f t="shared" si="36"/>
        <v>44948</v>
      </c>
      <c r="AI72" t="str">
        <f t="shared" si="37"/>
        <v>Jan-2023</v>
      </c>
    </row>
    <row r="73" spans="1:35" x14ac:dyDescent="0.25">
      <c r="A73" t="s">
        <v>86</v>
      </c>
      <c r="B73" s="4">
        <v>45756</v>
      </c>
      <c r="C73" s="4" t="str">
        <f t="shared" si="26"/>
        <v>Q2-2025</v>
      </c>
      <c r="D73" s="4" t="str">
        <f t="shared" si="27"/>
        <v>Apr-2025</v>
      </c>
      <c r="E73" s="4">
        <v>45783</v>
      </c>
      <c r="F73" s="12">
        <f t="shared" si="28"/>
        <v>27</v>
      </c>
      <c r="G73" s="12">
        <f t="shared" si="19"/>
        <v>0</v>
      </c>
      <c r="H73" s="4">
        <f t="shared" si="29"/>
        <v>45783</v>
      </c>
      <c r="I73" t="s">
        <v>648</v>
      </c>
      <c r="J73" t="s">
        <v>655</v>
      </c>
      <c r="K73" t="s">
        <v>672</v>
      </c>
      <c r="L73" t="s">
        <v>706</v>
      </c>
      <c r="M73" t="s">
        <v>709</v>
      </c>
      <c r="N73" t="s">
        <v>721</v>
      </c>
      <c r="O73" t="s">
        <v>731</v>
      </c>
      <c r="P73" t="str" cm="1">
        <f t="array" ref="P73">_xlfn.IFS(S73&lt;=PERCENTILE($S$2:$S$1000, 0.33), "Low", S73&lt;=PERCENTILE($S$2:$S$1000, 0.66), "Medium", TRUE, "High")</f>
        <v>Low</v>
      </c>
      <c r="Q73" t="s">
        <v>805</v>
      </c>
      <c r="R73" s="10">
        <v>264.19</v>
      </c>
      <c r="S73" s="10">
        <v>620.92999999999995</v>
      </c>
      <c r="T73" s="8">
        <v>0.14199999999999999</v>
      </c>
      <c r="U73" s="12">
        <f t="shared" si="30"/>
        <v>0</v>
      </c>
      <c r="V73" s="6">
        <v>12</v>
      </c>
      <c r="W73" t="str">
        <f t="shared" si="20"/>
        <v>ok</v>
      </c>
      <c r="X73">
        <f t="shared" si="21"/>
        <v>27</v>
      </c>
      <c r="Y73">
        <f t="shared" si="31"/>
        <v>27</v>
      </c>
      <c r="Z73" s="10">
        <f t="shared" si="32"/>
        <v>6393.0952799999995</v>
      </c>
      <c r="AA73" s="10">
        <f t="shared" si="33"/>
        <v>3170.2799999999997</v>
      </c>
      <c r="AB73" s="10">
        <f t="shared" si="34"/>
        <v>3222.8152799999998</v>
      </c>
      <c r="AC73" s="10">
        <f t="shared" si="22"/>
        <v>606.37750000000005</v>
      </c>
      <c r="AD73" s="10">
        <f t="shared" si="23"/>
        <v>1193.865</v>
      </c>
      <c r="AE73" s="10">
        <f t="shared" si="24"/>
        <v>1912.0450000000001</v>
      </c>
      <c r="AF73" s="10" t="str">
        <f t="shared" si="25"/>
        <v>Medium</v>
      </c>
      <c r="AG73" s="6">
        <f t="shared" si="35"/>
        <v>0.50410875152794532</v>
      </c>
      <c r="AH73" s="4">
        <f t="shared" si="36"/>
        <v>44955</v>
      </c>
      <c r="AI73" t="str">
        <f t="shared" si="37"/>
        <v>Jan-2023</v>
      </c>
    </row>
    <row r="74" spans="1:35" x14ac:dyDescent="0.25">
      <c r="A74" t="s">
        <v>87</v>
      </c>
      <c r="B74" s="4">
        <v>45394</v>
      </c>
      <c r="C74" s="4" t="str">
        <f t="shared" si="26"/>
        <v>Q2-2024</v>
      </c>
      <c r="D74" s="4" t="str">
        <f t="shared" si="27"/>
        <v>Apr-2024</v>
      </c>
      <c r="E74" s="4">
        <v>45419</v>
      </c>
      <c r="F74" s="12">
        <f t="shared" si="28"/>
        <v>25</v>
      </c>
      <c r="G74" s="12">
        <f t="shared" si="19"/>
        <v>0</v>
      </c>
      <c r="H74" s="4">
        <f t="shared" si="29"/>
        <v>45419</v>
      </c>
      <c r="I74" t="s">
        <v>646</v>
      </c>
      <c r="J74" t="s">
        <v>661</v>
      </c>
      <c r="K74" t="s">
        <v>682</v>
      </c>
      <c r="L74" t="s">
        <v>702</v>
      </c>
      <c r="M74" t="s">
        <v>710</v>
      </c>
      <c r="N74" t="s">
        <v>720</v>
      </c>
      <c r="O74" t="s">
        <v>731</v>
      </c>
      <c r="P74" t="str" cm="1">
        <f t="array" ref="P74">_xlfn.IFS(S74&lt;=PERCENTILE($S$2:$S$1000, 0.33), "Low", S74&lt;=PERCENTILE($S$2:$S$1000, 0.66), "Medium", TRUE, "High")</f>
        <v>Medium</v>
      </c>
      <c r="Q74" t="s">
        <v>806</v>
      </c>
      <c r="R74" s="10">
        <v>1376.51</v>
      </c>
      <c r="S74" s="10">
        <v>1455.91</v>
      </c>
      <c r="T74" s="8">
        <v>0.185</v>
      </c>
      <c r="U74" s="12">
        <f t="shared" si="30"/>
        <v>0</v>
      </c>
      <c r="V74" s="6">
        <v>17</v>
      </c>
      <c r="W74" t="str">
        <f t="shared" si="20"/>
        <v>ok</v>
      </c>
      <c r="X74">
        <f t="shared" si="21"/>
        <v>25</v>
      </c>
      <c r="Y74">
        <f t="shared" si="31"/>
        <v>25</v>
      </c>
      <c r="Z74" s="10">
        <f t="shared" si="32"/>
        <v>20171.63305</v>
      </c>
      <c r="AA74" s="10">
        <f t="shared" si="33"/>
        <v>23400.67</v>
      </c>
      <c r="AB74" s="10">
        <f t="shared" si="34"/>
        <v>-3229.0369499999979</v>
      </c>
      <c r="AC74" s="10">
        <f t="shared" si="22"/>
        <v>606.37750000000005</v>
      </c>
      <c r="AD74" s="10">
        <f t="shared" si="23"/>
        <v>1193.865</v>
      </c>
      <c r="AE74" s="10">
        <f t="shared" si="24"/>
        <v>1912.0450000000001</v>
      </c>
      <c r="AF74" s="10" t="str">
        <f t="shared" si="25"/>
        <v>Medium</v>
      </c>
      <c r="AG74" s="6">
        <f t="shared" si="35"/>
        <v>-0.1600781127634085</v>
      </c>
      <c r="AH74" s="4">
        <f t="shared" si="36"/>
        <v>44933</v>
      </c>
      <c r="AI74" t="str">
        <f t="shared" si="37"/>
        <v>Jan-2023</v>
      </c>
    </row>
    <row r="75" spans="1:35" x14ac:dyDescent="0.25">
      <c r="A75" t="s">
        <v>88</v>
      </c>
      <c r="B75" s="4">
        <v>45641</v>
      </c>
      <c r="C75" s="4" t="str">
        <f t="shared" si="26"/>
        <v>Q4-2024</v>
      </c>
      <c r="D75" s="4" t="str">
        <f t="shared" si="27"/>
        <v>Dec-2024</v>
      </c>
      <c r="E75" s="4">
        <v>45646</v>
      </c>
      <c r="F75" s="12">
        <f t="shared" si="28"/>
        <v>5</v>
      </c>
      <c r="G75" s="12">
        <f t="shared" si="19"/>
        <v>1</v>
      </c>
      <c r="H75" s="4">
        <f t="shared" si="29"/>
        <v>45646</v>
      </c>
      <c r="I75" t="s">
        <v>647</v>
      </c>
      <c r="J75" t="s">
        <v>659</v>
      </c>
      <c r="K75" t="s">
        <v>676</v>
      </c>
      <c r="L75" t="s">
        <v>705</v>
      </c>
      <c r="M75" t="s">
        <v>711</v>
      </c>
      <c r="N75" t="s">
        <v>713</v>
      </c>
      <c r="O75" t="s">
        <v>729</v>
      </c>
      <c r="P75" t="str" cm="1">
        <f t="array" ref="P75">_xlfn.IFS(S75&lt;=PERCENTILE($S$2:$S$1000, 0.33), "Low", S75&lt;=PERCENTILE($S$2:$S$1000, 0.66), "Medium", TRUE, "High")</f>
        <v>Low</v>
      </c>
      <c r="Q75" t="s">
        <v>807</v>
      </c>
      <c r="R75" s="10">
        <v>717.55</v>
      </c>
      <c r="S75" s="10">
        <v>546.42999999999995</v>
      </c>
      <c r="T75" s="8">
        <v>4.7E-2</v>
      </c>
      <c r="U75" s="12">
        <f t="shared" si="30"/>
        <v>0</v>
      </c>
      <c r="V75" s="6">
        <v>18</v>
      </c>
      <c r="W75" t="str">
        <f t="shared" si="20"/>
        <v>ok</v>
      </c>
      <c r="X75">
        <f t="shared" si="21"/>
        <v>5</v>
      </c>
      <c r="Y75">
        <f t="shared" si="31"/>
        <v>5</v>
      </c>
      <c r="Z75" s="10">
        <f t="shared" si="32"/>
        <v>9373.460219999999</v>
      </c>
      <c r="AA75" s="10">
        <f t="shared" si="33"/>
        <v>12915.9</v>
      </c>
      <c r="AB75" s="10">
        <f t="shared" si="34"/>
        <v>-3542.4397800000006</v>
      </c>
      <c r="AC75" s="10">
        <f t="shared" si="22"/>
        <v>606.37750000000005</v>
      </c>
      <c r="AD75" s="10">
        <f t="shared" si="23"/>
        <v>1193.865</v>
      </c>
      <c r="AE75" s="10">
        <f t="shared" si="24"/>
        <v>1912.0450000000001</v>
      </c>
      <c r="AF75" s="10" t="str">
        <f t="shared" si="25"/>
        <v>Medium</v>
      </c>
      <c r="AG75" s="6">
        <f t="shared" si="35"/>
        <v>-0.37792231437026369</v>
      </c>
      <c r="AH75" s="4">
        <f t="shared" si="36"/>
        <v>44938</v>
      </c>
      <c r="AI75" t="str">
        <f t="shared" si="37"/>
        <v>Jan-2023</v>
      </c>
    </row>
    <row r="76" spans="1:35" x14ac:dyDescent="0.25">
      <c r="A76" t="s">
        <v>89</v>
      </c>
      <c r="B76" s="4">
        <v>45066</v>
      </c>
      <c r="C76" s="4" t="str">
        <f t="shared" si="26"/>
        <v>Q2-2023</v>
      </c>
      <c r="D76" s="4" t="str">
        <f t="shared" si="27"/>
        <v>May-2023</v>
      </c>
      <c r="E76" s="4">
        <v>45064</v>
      </c>
      <c r="F76" s="12">
        <f t="shared" si="28"/>
        <v>14</v>
      </c>
      <c r="G76" s="12">
        <f t="shared" si="19"/>
        <v>0</v>
      </c>
      <c r="H76" s="4">
        <f t="shared" si="29"/>
        <v>45080</v>
      </c>
      <c r="I76" t="s">
        <v>646</v>
      </c>
      <c r="J76" t="s">
        <v>661</v>
      </c>
      <c r="K76" t="s">
        <v>687</v>
      </c>
      <c r="L76" t="s">
        <v>701</v>
      </c>
      <c r="M76" t="s">
        <v>710</v>
      </c>
      <c r="N76" t="s">
        <v>720</v>
      </c>
      <c r="O76" t="s">
        <v>727</v>
      </c>
      <c r="P76" t="str" cm="1">
        <f t="array" ref="P76">_xlfn.IFS(S76&lt;=PERCENTILE($S$2:$S$1000, 0.33), "Low", S76&lt;=PERCENTILE($S$2:$S$1000, 0.66), "Medium", TRUE, "High")</f>
        <v>Medium</v>
      </c>
      <c r="Q76" t="s">
        <v>808</v>
      </c>
      <c r="R76" s="10">
        <v>917.88</v>
      </c>
      <c r="S76" s="10">
        <v>1347.92</v>
      </c>
      <c r="T76" s="8">
        <v>0.34300000000000003</v>
      </c>
      <c r="U76" s="12">
        <f t="shared" si="30"/>
        <v>1</v>
      </c>
      <c r="V76" s="6">
        <v>5</v>
      </c>
      <c r="W76" t="str">
        <f t="shared" si="20"/>
        <v>sus</v>
      </c>
      <c r="X76">
        <f t="shared" si="21"/>
        <v>-2</v>
      </c>
      <c r="Y76">
        <f t="shared" si="31"/>
        <v>2</v>
      </c>
      <c r="Z76" s="10">
        <f t="shared" si="32"/>
        <v>4427.9172000000008</v>
      </c>
      <c r="AA76" s="10">
        <f t="shared" si="33"/>
        <v>4589.3999999999996</v>
      </c>
      <c r="AB76" s="10">
        <f t="shared" si="34"/>
        <v>-161.48279999999886</v>
      </c>
      <c r="AC76" s="10">
        <f t="shared" si="22"/>
        <v>606.37750000000005</v>
      </c>
      <c r="AD76" s="10">
        <f t="shared" si="23"/>
        <v>1193.865</v>
      </c>
      <c r="AE76" s="10">
        <f t="shared" si="24"/>
        <v>1912.0450000000001</v>
      </c>
      <c r="AF76" s="10" t="str">
        <f t="shared" si="25"/>
        <v>Low</v>
      </c>
      <c r="AG76" s="6">
        <f t="shared" si="35"/>
        <v>-3.6469245630880096E-2</v>
      </c>
      <c r="AH76" s="4">
        <f t="shared" si="36"/>
        <v>44933</v>
      </c>
      <c r="AI76" t="str">
        <f t="shared" si="37"/>
        <v>Jan-2023</v>
      </c>
    </row>
    <row r="77" spans="1:35" x14ac:dyDescent="0.25">
      <c r="A77" t="s">
        <v>90</v>
      </c>
      <c r="B77" s="4">
        <v>45187</v>
      </c>
      <c r="C77" s="4" t="str">
        <f t="shared" si="26"/>
        <v>Q3-2023</v>
      </c>
      <c r="D77" s="4" t="str">
        <f t="shared" si="27"/>
        <v>Sept-2023</v>
      </c>
      <c r="E77" s="4">
        <v>45207</v>
      </c>
      <c r="F77" s="12">
        <f t="shared" si="28"/>
        <v>20</v>
      </c>
      <c r="G77" s="12">
        <f t="shared" si="19"/>
        <v>0</v>
      </c>
      <c r="H77" s="4">
        <f t="shared" si="29"/>
        <v>45207</v>
      </c>
      <c r="I77" t="s">
        <v>647</v>
      </c>
      <c r="J77" t="s">
        <v>654</v>
      </c>
      <c r="K77" t="s">
        <v>680</v>
      </c>
      <c r="L77" t="s">
        <v>705</v>
      </c>
      <c r="M77" t="s">
        <v>711</v>
      </c>
      <c r="N77" t="s">
        <v>717</v>
      </c>
      <c r="O77" t="s">
        <v>727</v>
      </c>
      <c r="P77" t="str" cm="1">
        <f t="array" ref="P77">_xlfn.IFS(S77&lt;=PERCENTILE($S$2:$S$1000, 0.33), "Low", S77&lt;=PERCENTILE($S$2:$S$1000, 0.66), "Medium", TRUE, "High")</f>
        <v>Medium</v>
      </c>
      <c r="Q77" t="s">
        <v>809</v>
      </c>
      <c r="R77" s="10">
        <v>825.64</v>
      </c>
      <c r="S77" s="10">
        <v>1108.43</v>
      </c>
      <c r="T77" s="8">
        <v>0.114</v>
      </c>
      <c r="U77" s="12">
        <f t="shared" si="30"/>
        <v>0</v>
      </c>
      <c r="V77" s="6">
        <v>7</v>
      </c>
      <c r="W77" t="str">
        <f t="shared" si="20"/>
        <v>ok</v>
      </c>
      <c r="X77">
        <f t="shared" si="21"/>
        <v>20</v>
      </c>
      <c r="Y77">
        <f t="shared" si="31"/>
        <v>20</v>
      </c>
      <c r="Z77" s="10">
        <f t="shared" si="32"/>
        <v>6874.4828600000001</v>
      </c>
      <c r="AA77" s="10">
        <f t="shared" si="33"/>
        <v>5779.48</v>
      </c>
      <c r="AB77" s="10">
        <f t="shared" si="34"/>
        <v>1095.0028600000005</v>
      </c>
      <c r="AC77" s="10">
        <f t="shared" si="22"/>
        <v>606.37750000000005</v>
      </c>
      <c r="AD77" s="10">
        <f t="shared" si="23"/>
        <v>1193.865</v>
      </c>
      <c r="AE77" s="10">
        <f t="shared" si="24"/>
        <v>1912.0450000000001</v>
      </c>
      <c r="AF77" s="10" t="str">
        <f t="shared" si="25"/>
        <v>Medium</v>
      </c>
      <c r="AG77" s="6">
        <f t="shared" si="35"/>
        <v>0.15928512475773349</v>
      </c>
      <c r="AH77" s="4">
        <f t="shared" si="36"/>
        <v>44955</v>
      </c>
      <c r="AI77" t="str">
        <f t="shared" si="37"/>
        <v>Jan-2023</v>
      </c>
    </row>
    <row r="78" spans="1:35" x14ac:dyDescent="0.25">
      <c r="A78" t="s">
        <v>91</v>
      </c>
      <c r="B78" s="4">
        <v>45532</v>
      </c>
      <c r="C78" s="4" t="str">
        <f t="shared" si="26"/>
        <v>Q3-2024</v>
      </c>
      <c r="D78" s="4" t="str">
        <f t="shared" si="27"/>
        <v>Aug-2024</v>
      </c>
      <c r="E78" s="4">
        <v>45560</v>
      </c>
      <c r="F78" s="12">
        <f t="shared" si="28"/>
        <v>28</v>
      </c>
      <c r="G78" s="12">
        <f t="shared" si="19"/>
        <v>0</v>
      </c>
      <c r="H78" s="4">
        <f t="shared" si="29"/>
        <v>45560</v>
      </c>
      <c r="I78" t="s">
        <v>648</v>
      </c>
      <c r="J78" t="s">
        <v>655</v>
      </c>
      <c r="K78" t="s">
        <v>692</v>
      </c>
      <c r="L78" t="s">
        <v>703</v>
      </c>
      <c r="M78" t="s">
        <v>708</v>
      </c>
      <c r="N78" t="s">
        <v>1418</v>
      </c>
      <c r="O78" t="s">
        <v>733</v>
      </c>
      <c r="P78" t="str" cm="1">
        <f t="array" ref="P78">_xlfn.IFS(S78&lt;=PERCENTILE($S$2:$S$1000, 0.33), "Low", S78&lt;=PERCENTILE($S$2:$S$1000, 0.66), "Medium", TRUE, "High")</f>
        <v>High</v>
      </c>
      <c r="Q78" t="s">
        <v>810</v>
      </c>
      <c r="R78" s="10">
        <v>1394.65</v>
      </c>
      <c r="S78" s="10">
        <v>3144.1</v>
      </c>
      <c r="T78" s="8">
        <v>0.13400000000000001</v>
      </c>
      <c r="U78" s="12">
        <f t="shared" si="30"/>
        <v>0</v>
      </c>
      <c r="V78" s="6">
        <v>13</v>
      </c>
      <c r="W78" t="str">
        <f t="shared" si="20"/>
        <v>ok</v>
      </c>
      <c r="X78">
        <f t="shared" si="21"/>
        <v>28</v>
      </c>
      <c r="Y78">
        <f t="shared" si="31"/>
        <v>28</v>
      </c>
      <c r="Z78" s="10">
        <f t="shared" si="32"/>
        <v>35396.277799999996</v>
      </c>
      <c r="AA78" s="10">
        <f t="shared" si="33"/>
        <v>18130.45</v>
      </c>
      <c r="AB78" s="10">
        <f t="shared" si="34"/>
        <v>17265.827799999995</v>
      </c>
      <c r="AC78" s="10">
        <f t="shared" si="22"/>
        <v>606.37750000000005</v>
      </c>
      <c r="AD78" s="10">
        <f t="shared" si="23"/>
        <v>1193.865</v>
      </c>
      <c r="AE78" s="10">
        <f t="shared" si="24"/>
        <v>1912.0450000000001</v>
      </c>
      <c r="AF78" s="10" t="str">
        <f t="shared" si="25"/>
        <v>Medium</v>
      </c>
      <c r="AG78" s="6">
        <f t="shared" si="35"/>
        <v>0.4877865378263021</v>
      </c>
      <c r="AH78" s="4">
        <f t="shared" si="36"/>
        <v>44955</v>
      </c>
      <c r="AI78" t="str">
        <f t="shared" si="37"/>
        <v>Jan-2023</v>
      </c>
    </row>
    <row r="79" spans="1:35" x14ac:dyDescent="0.25">
      <c r="A79" t="s">
        <v>92</v>
      </c>
      <c r="B79" s="4">
        <v>45473</v>
      </c>
      <c r="C79" s="4" t="str">
        <f t="shared" si="26"/>
        <v>Q2-2024</v>
      </c>
      <c r="D79" s="4" t="str">
        <f t="shared" si="27"/>
        <v>Jun-2024</v>
      </c>
      <c r="E79" s="4">
        <v>45471</v>
      </c>
      <c r="F79" s="12">
        <f t="shared" si="28"/>
        <v>14</v>
      </c>
      <c r="G79" s="12">
        <f t="shared" si="19"/>
        <v>0</v>
      </c>
      <c r="H79" s="4">
        <f t="shared" si="29"/>
        <v>45487</v>
      </c>
      <c r="I79" t="s">
        <v>648</v>
      </c>
      <c r="J79" t="s">
        <v>655</v>
      </c>
      <c r="K79" t="s">
        <v>692</v>
      </c>
      <c r="L79" t="s">
        <v>705</v>
      </c>
      <c r="M79" t="s">
        <v>711</v>
      </c>
      <c r="N79" t="s">
        <v>716</v>
      </c>
      <c r="O79" t="s">
        <v>733</v>
      </c>
      <c r="P79" t="str" cm="1">
        <f t="array" ref="P79">_xlfn.IFS(S79&lt;=PERCENTILE($S$2:$S$1000, 0.33), "Low", S79&lt;=PERCENTILE($S$2:$S$1000, 0.66), "Medium", TRUE, "High")</f>
        <v>High</v>
      </c>
      <c r="Q79" t="s">
        <v>811</v>
      </c>
      <c r="R79" s="10">
        <v>1112.98</v>
      </c>
      <c r="S79" s="10">
        <v>2095.73</v>
      </c>
      <c r="T79" s="8">
        <v>7.1999999999999995E-2</v>
      </c>
      <c r="U79" s="12">
        <f t="shared" si="30"/>
        <v>0</v>
      </c>
      <c r="V79" s="6">
        <v>17</v>
      </c>
      <c r="W79" t="str">
        <f t="shared" si="20"/>
        <v>sus</v>
      </c>
      <c r="X79">
        <f t="shared" si="21"/>
        <v>-2</v>
      </c>
      <c r="Y79">
        <f t="shared" si="31"/>
        <v>2</v>
      </c>
      <c r="Z79" s="10">
        <f t="shared" si="32"/>
        <v>33062.236480000007</v>
      </c>
      <c r="AA79" s="10">
        <f t="shared" si="33"/>
        <v>18920.66</v>
      </c>
      <c r="AB79" s="10">
        <f t="shared" si="34"/>
        <v>14141.576480000007</v>
      </c>
      <c r="AC79" s="10">
        <f t="shared" si="22"/>
        <v>606.37750000000005</v>
      </c>
      <c r="AD79" s="10">
        <f t="shared" si="23"/>
        <v>1193.865</v>
      </c>
      <c r="AE79" s="10">
        <f t="shared" si="24"/>
        <v>1912.0450000000001</v>
      </c>
      <c r="AF79" s="10" t="str">
        <f t="shared" si="25"/>
        <v>High</v>
      </c>
      <c r="AG79" s="6">
        <f t="shared" si="35"/>
        <v>0.42772594916724777</v>
      </c>
      <c r="AH79" s="4">
        <f t="shared" si="36"/>
        <v>44955</v>
      </c>
      <c r="AI79" t="str">
        <f t="shared" si="37"/>
        <v>Jan-2023</v>
      </c>
    </row>
    <row r="80" spans="1:35" x14ac:dyDescent="0.25">
      <c r="A80" t="s">
        <v>93</v>
      </c>
      <c r="B80" s="4">
        <v>45091</v>
      </c>
      <c r="C80" s="4" t="str">
        <f t="shared" si="26"/>
        <v>Q2-2023</v>
      </c>
      <c r="D80" s="4" t="str">
        <f t="shared" si="27"/>
        <v>Jun-2023</v>
      </c>
      <c r="E80" s="4">
        <v>45093</v>
      </c>
      <c r="F80" s="12">
        <f t="shared" si="28"/>
        <v>2</v>
      </c>
      <c r="G80" s="12">
        <f t="shared" si="19"/>
        <v>1</v>
      </c>
      <c r="H80" s="4">
        <f t="shared" si="29"/>
        <v>45093</v>
      </c>
      <c r="I80" t="s">
        <v>649</v>
      </c>
      <c r="J80" t="s">
        <v>658</v>
      </c>
      <c r="K80" t="s">
        <v>693</v>
      </c>
      <c r="L80" t="s">
        <v>703</v>
      </c>
      <c r="M80" t="s">
        <v>711</v>
      </c>
      <c r="N80" t="s">
        <v>723</v>
      </c>
      <c r="O80" t="s">
        <v>727</v>
      </c>
      <c r="P80" t="str" cm="1">
        <f t="array" ref="P80">_xlfn.IFS(S80&lt;=PERCENTILE($S$2:$S$1000, 0.33), "Low", S80&lt;=PERCENTILE($S$2:$S$1000, 0.66), "Medium", TRUE, "High")</f>
        <v>Low</v>
      </c>
      <c r="Q80" t="s">
        <v>812</v>
      </c>
      <c r="R80" s="10">
        <v>357.36</v>
      </c>
      <c r="S80" s="10">
        <v>703.62</v>
      </c>
      <c r="T80" s="8">
        <v>0.25700000000000001</v>
      </c>
      <c r="U80" s="12">
        <f t="shared" si="30"/>
        <v>1</v>
      </c>
      <c r="V80" s="6">
        <v>20</v>
      </c>
      <c r="W80" t="str">
        <f t="shared" si="20"/>
        <v>ok</v>
      </c>
      <c r="X80">
        <f t="shared" si="21"/>
        <v>2</v>
      </c>
      <c r="Y80">
        <f t="shared" si="31"/>
        <v>2</v>
      </c>
      <c r="Z80" s="10">
        <f t="shared" si="32"/>
        <v>10455.7932</v>
      </c>
      <c r="AA80" s="10">
        <f t="shared" si="33"/>
        <v>7147.2000000000007</v>
      </c>
      <c r="AB80" s="10">
        <f t="shared" si="34"/>
        <v>3308.5931999999993</v>
      </c>
      <c r="AC80" s="10">
        <f t="shared" si="22"/>
        <v>606.37750000000005</v>
      </c>
      <c r="AD80" s="10">
        <f t="shared" si="23"/>
        <v>1193.865</v>
      </c>
      <c r="AE80" s="10">
        <f t="shared" si="24"/>
        <v>1912.0450000000001</v>
      </c>
      <c r="AF80" s="10" t="str">
        <f t="shared" si="25"/>
        <v>High</v>
      </c>
      <c r="AG80" s="6">
        <f t="shared" si="35"/>
        <v>0.31643636563125593</v>
      </c>
      <c r="AH80" s="4">
        <f t="shared" si="36"/>
        <v>44945</v>
      </c>
      <c r="AI80" t="str">
        <f t="shared" si="37"/>
        <v>Jan-2023</v>
      </c>
    </row>
    <row r="81" spans="1:35" x14ac:dyDescent="0.25">
      <c r="A81" t="s">
        <v>94</v>
      </c>
      <c r="B81" s="4">
        <v>45617</v>
      </c>
      <c r="C81" s="4" t="str">
        <f t="shared" si="26"/>
        <v>Q4-2024</v>
      </c>
      <c r="D81" s="4" t="str">
        <f t="shared" si="27"/>
        <v>Nov-2024</v>
      </c>
      <c r="E81" s="4">
        <v>45647</v>
      </c>
      <c r="F81" s="12">
        <f t="shared" si="28"/>
        <v>30</v>
      </c>
      <c r="G81" s="12">
        <f t="shared" si="19"/>
        <v>0</v>
      </c>
      <c r="H81" s="4">
        <f t="shared" si="29"/>
        <v>45647</v>
      </c>
      <c r="I81" t="s">
        <v>649</v>
      </c>
      <c r="J81" t="s">
        <v>657</v>
      </c>
      <c r="K81" t="s">
        <v>673</v>
      </c>
      <c r="L81" t="s">
        <v>705</v>
      </c>
      <c r="M81" t="s">
        <v>711</v>
      </c>
      <c r="N81" t="s">
        <v>714</v>
      </c>
      <c r="O81" t="s">
        <v>732</v>
      </c>
      <c r="P81" t="str" cm="1">
        <f t="array" ref="P81">_xlfn.IFS(S81&lt;=PERCENTILE($S$2:$S$1000, 0.33), "Low", S81&lt;=PERCENTILE($S$2:$S$1000, 0.66), "Medium", TRUE, "High")</f>
        <v>High</v>
      </c>
      <c r="Q81" t="s">
        <v>813</v>
      </c>
      <c r="R81" s="10">
        <v>1122.68</v>
      </c>
      <c r="S81" s="10">
        <v>1997.19</v>
      </c>
      <c r="T81" s="8">
        <v>0.186</v>
      </c>
      <c r="U81" s="12">
        <f t="shared" si="30"/>
        <v>0</v>
      </c>
      <c r="V81" s="6">
        <v>3</v>
      </c>
      <c r="W81" t="str">
        <f t="shared" si="20"/>
        <v>ok</v>
      </c>
      <c r="X81">
        <f t="shared" si="21"/>
        <v>30</v>
      </c>
      <c r="Y81">
        <f t="shared" si="31"/>
        <v>30</v>
      </c>
      <c r="Z81" s="10">
        <f t="shared" si="32"/>
        <v>4877.1379800000004</v>
      </c>
      <c r="AA81" s="10">
        <f t="shared" si="33"/>
        <v>3368.04</v>
      </c>
      <c r="AB81" s="10">
        <f t="shared" si="34"/>
        <v>1509.0979800000005</v>
      </c>
      <c r="AC81" s="10">
        <f t="shared" si="22"/>
        <v>606.37750000000005</v>
      </c>
      <c r="AD81" s="10">
        <f t="shared" si="23"/>
        <v>1193.865</v>
      </c>
      <c r="AE81" s="10">
        <f t="shared" si="24"/>
        <v>1912.0450000000001</v>
      </c>
      <c r="AF81" s="10" t="str">
        <f t="shared" si="25"/>
        <v>Medium</v>
      </c>
      <c r="AG81" s="6">
        <f t="shared" si="35"/>
        <v>0.30942285951073306</v>
      </c>
      <c r="AH81" s="4">
        <f t="shared" si="36"/>
        <v>44936</v>
      </c>
      <c r="AI81" t="str">
        <f t="shared" si="37"/>
        <v>Jan-2023</v>
      </c>
    </row>
    <row r="82" spans="1:35" x14ac:dyDescent="0.25">
      <c r="A82" t="s">
        <v>95</v>
      </c>
      <c r="B82" s="4">
        <v>44965</v>
      </c>
      <c r="C82" s="4" t="str">
        <f t="shared" si="26"/>
        <v>Q1-2023</v>
      </c>
      <c r="D82" s="4" t="str">
        <f t="shared" si="27"/>
        <v>Feb-2023</v>
      </c>
      <c r="E82" s="4">
        <v>44968</v>
      </c>
      <c r="F82" s="12">
        <f t="shared" si="28"/>
        <v>3</v>
      </c>
      <c r="G82" s="12">
        <f t="shared" si="19"/>
        <v>1</v>
      </c>
      <c r="H82" s="4">
        <f t="shared" si="29"/>
        <v>44968</v>
      </c>
      <c r="I82" t="s">
        <v>646</v>
      </c>
      <c r="J82" t="s">
        <v>661</v>
      </c>
      <c r="K82" t="s">
        <v>695</v>
      </c>
      <c r="L82" t="s">
        <v>701</v>
      </c>
      <c r="M82" t="s">
        <v>711</v>
      </c>
      <c r="N82" t="s">
        <v>724</v>
      </c>
      <c r="O82" t="s">
        <v>729</v>
      </c>
      <c r="P82" t="str" cm="1">
        <f t="array" ref="P82">_xlfn.IFS(S82&lt;=PERCENTILE($S$2:$S$1000, 0.33), "Low", S82&lt;=PERCENTILE($S$2:$S$1000, 0.66), "Medium", TRUE, "High")</f>
        <v>High</v>
      </c>
      <c r="Q82" t="s">
        <v>814</v>
      </c>
      <c r="R82" s="10">
        <v>1410.05</v>
      </c>
      <c r="S82" s="10">
        <v>2763.95</v>
      </c>
      <c r="T82" s="8">
        <v>0.161</v>
      </c>
      <c r="U82" s="12">
        <f t="shared" si="30"/>
        <v>0</v>
      </c>
      <c r="V82" s="6">
        <v>26</v>
      </c>
      <c r="W82" t="str">
        <f t="shared" si="20"/>
        <v>ok</v>
      </c>
      <c r="X82">
        <f t="shared" si="21"/>
        <v>3</v>
      </c>
      <c r="Y82">
        <f t="shared" si="31"/>
        <v>3</v>
      </c>
      <c r="Z82" s="10">
        <f t="shared" si="32"/>
        <v>60292.805299999993</v>
      </c>
      <c r="AA82" s="10">
        <f t="shared" si="33"/>
        <v>36661.299999999996</v>
      </c>
      <c r="AB82" s="10">
        <f t="shared" si="34"/>
        <v>23631.505299999997</v>
      </c>
      <c r="AC82" s="10">
        <f t="shared" si="22"/>
        <v>606.37750000000005</v>
      </c>
      <c r="AD82" s="10">
        <f t="shared" si="23"/>
        <v>1193.865</v>
      </c>
      <c r="AE82" s="10">
        <f t="shared" si="24"/>
        <v>1912.0450000000001</v>
      </c>
      <c r="AF82" s="10" t="str">
        <f t="shared" si="25"/>
        <v>High</v>
      </c>
      <c r="AG82" s="6">
        <f t="shared" si="35"/>
        <v>0.39194569206750779</v>
      </c>
      <c r="AH82" s="4">
        <f t="shared" si="36"/>
        <v>44933</v>
      </c>
      <c r="AI82" t="str">
        <f t="shared" si="37"/>
        <v>Jan-2023</v>
      </c>
    </row>
    <row r="83" spans="1:35" x14ac:dyDescent="0.25">
      <c r="A83" t="s">
        <v>96</v>
      </c>
      <c r="B83" s="4">
        <v>45157</v>
      </c>
      <c r="C83" s="4" t="str">
        <f t="shared" si="26"/>
        <v>Q3-2023</v>
      </c>
      <c r="D83" s="4" t="str">
        <f t="shared" si="27"/>
        <v>Aug-2023</v>
      </c>
      <c r="E83" s="4">
        <v>45181</v>
      </c>
      <c r="F83" s="12">
        <f t="shared" si="28"/>
        <v>24</v>
      </c>
      <c r="G83" s="12">
        <f t="shared" si="19"/>
        <v>0</v>
      </c>
      <c r="H83" s="4">
        <f t="shared" si="29"/>
        <v>45181</v>
      </c>
      <c r="I83" t="s">
        <v>648</v>
      </c>
      <c r="J83" t="s">
        <v>653</v>
      </c>
      <c r="K83" t="s">
        <v>688</v>
      </c>
      <c r="L83" t="s">
        <v>706</v>
      </c>
      <c r="M83" t="s">
        <v>707</v>
      </c>
      <c r="N83" t="s">
        <v>714</v>
      </c>
      <c r="O83" t="s">
        <v>728</v>
      </c>
      <c r="P83" t="str" cm="1">
        <f t="array" ref="P83">_xlfn.IFS(S83&lt;=PERCENTILE($S$2:$S$1000, 0.33), "Low", S83&lt;=PERCENTILE($S$2:$S$1000, 0.66), "Medium", TRUE, "High")</f>
        <v>Medium</v>
      </c>
      <c r="Q83" t="s">
        <v>815</v>
      </c>
      <c r="R83" s="10">
        <v>1183.95</v>
      </c>
      <c r="S83" s="10">
        <v>1503.53</v>
      </c>
      <c r="T83" s="8">
        <v>0.24099999999999999</v>
      </c>
      <c r="U83" s="12">
        <f t="shared" si="30"/>
        <v>1</v>
      </c>
      <c r="V83" s="6">
        <v>16</v>
      </c>
      <c r="W83" t="str">
        <f t="shared" si="20"/>
        <v>ok</v>
      </c>
      <c r="X83">
        <f t="shared" si="21"/>
        <v>24</v>
      </c>
      <c r="Y83">
        <f t="shared" si="31"/>
        <v>24</v>
      </c>
      <c r="Z83" s="10">
        <f t="shared" si="32"/>
        <v>18258.868320000001</v>
      </c>
      <c r="AA83" s="10">
        <f t="shared" si="33"/>
        <v>18943.2</v>
      </c>
      <c r="AB83" s="10">
        <f t="shared" si="34"/>
        <v>-684.33167999999932</v>
      </c>
      <c r="AC83" s="10">
        <f t="shared" si="22"/>
        <v>606.37750000000005</v>
      </c>
      <c r="AD83" s="10">
        <f t="shared" si="23"/>
        <v>1193.865</v>
      </c>
      <c r="AE83" s="10">
        <f t="shared" si="24"/>
        <v>1912.0450000000001</v>
      </c>
      <c r="AF83" s="10" t="str">
        <f t="shared" si="25"/>
        <v>High</v>
      </c>
      <c r="AG83" s="6">
        <f t="shared" si="35"/>
        <v>-3.7479413729623705E-2</v>
      </c>
      <c r="AH83" s="4">
        <f t="shared" si="36"/>
        <v>44928</v>
      </c>
      <c r="AI83" t="str">
        <f t="shared" si="37"/>
        <v>Jan-2023</v>
      </c>
    </row>
    <row r="84" spans="1:35" x14ac:dyDescent="0.25">
      <c r="A84" t="s">
        <v>97</v>
      </c>
      <c r="B84" s="4">
        <v>45791</v>
      </c>
      <c r="C84" s="4" t="str">
        <f t="shared" si="26"/>
        <v>Q2-2025</v>
      </c>
      <c r="D84" s="4" t="str">
        <f t="shared" si="27"/>
        <v>May-2025</v>
      </c>
      <c r="E84" s="4">
        <v>45801</v>
      </c>
      <c r="F84" s="12">
        <f t="shared" si="28"/>
        <v>10</v>
      </c>
      <c r="G84" s="12">
        <f t="shared" si="19"/>
        <v>0</v>
      </c>
      <c r="H84" s="4">
        <f t="shared" si="29"/>
        <v>45801</v>
      </c>
      <c r="I84" t="s">
        <v>649</v>
      </c>
      <c r="J84" t="s">
        <v>657</v>
      </c>
      <c r="K84" t="s">
        <v>690</v>
      </c>
      <c r="L84" t="s">
        <v>705</v>
      </c>
      <c r="M84" t="s">
        <v>709</v>
      </c>
      <c r="N84" t="s">
        <v>723</v>
      </c>
      <c r="O84" t="s">
        <v>727</v>
      </c>
      <c r="P84" t="str" cm="1">
        <f t="array" ref="P84">_xlfn.IFS(S84&lt;=PERCENTILE($S$2:$S$1000, 0.33), "Low", S84&lt;=PERCENTILE($S$2:$S$1000, 0.66), "Medium", TRUE, "High")</f>
        <v>Low</v>
      </c>
      <c r="Q84" t="s">
        <v>816</v>
      </c>
      <c r="R84" s="10">
        <v>170.39</v>
      </c>
      <c r="S84" s="10">
        <v>388.04</v>
      </c>
      <c r="T84" s="8">
        <v>8.4000000000000005E-2</v>
      </c>
      <c r="U84" s="12">
        <f t="shared" si="30"/>
        <v>0</v>
      </c>
      <c r="V84" s="6">
        <v>15</v>
      </c>
      <c r="W84" t="str">
        <f t="shared" si="20"/>
        <v>ok</v>
      </c>
      <c r="X84">
        <f t="shared" si="21"/>
        <v>10</v>
      </c>
      <c r="Y84">
        <f t="shared" si="31"/>
        <v>10</v>
      </c>
      <c r="Z84" s="10">
        <f t="shared" si="32"/>
        <v>5331.6696000000002</v>
      </c>
      <c r="AA84" s="10">
        <f t="shared" si="33"/>
        <v>2555.85</v>
      </c>
      <c r="AB84" s="10">
        <f t="shared" si="34"/>
        <v>2775.8196000000003</v>
      </c>
      <c r="AC84" s="10">
        <f t="shared" si="22"/>
        <v>606.37750000000005</v>
      </c>
      <c r="AD84" s="10">
        <f t="shared" si="23"/>
        <v>1193.865</v>
      </c>
      <c r="AE84" s="10">
        <f t="shared" si="24"/>
        <v>1912.0450000000001</v>
      </c>
      <c r="AF84" s="10" t="str">
        <f t="shared" si="25"/>
        <v>Medium</v>
      </c>
      <c r="AG84" s="6">
        <f t="shared" si="35"/>
        <v>0.52062858508711796</v>
      </c>
      <c r="AH84" s="4">
        <f t="shared" si="36"/>
        <v>44936</v>
      </c>
      <c r="AI84" t="str">
        <f t="shared" si="37"/>
        <v>Jan-2023</v>
      </c>
    </row>
    <row r="85" spans="1:35" x14ac:dyDescent="0.25">
      <c r="A85" t="s">
        <v>98</v>
      </c>
      <c r="B85" s="4">
        <v>45770</v>
      </c>
      <c r="C85" s="4" t="str">
        <f t="shared" si="26"/>
        <v>Q2-2025</v>
      </c>
      <c r="D85" s="4" t="str">
        <f t="shared" si="27"/>
        <v>Apr-2025</v>
      </c>
      <c r="E85" s="4">
        <v>45769</v>
      </c>
      <c r="F85" s="12">
        <f t="shared" si="28"/>
        <v>14</v>
      </c>
      <c r="G85" s="12">
        <f t="shared" si="19"/>
        <v>0</v>
      </c>
      <c r="H85" s="4">
        <f t="shared" si="29"/>
        <v>45784</v>
      </c>
      <c r="I85" t="s">
        <v>648</v>
      </c>
      <c r="J85" t="s">
        <v>660</v>
      </c>
      <c r="K85" t="s">
        <v>686</v>
      </c>
      <c r="L85" t="s">
        <v>703</v>
      </c>
      <c r="M85" t="s">
        <v>710</v>
      </c>
      <c r="N85" t="s">
        <v>726</v>
      </c>
      <c r="O85" t="s">
        <v>732</v>
      </c>
      <c r="P85" t="str" cm="1">
        <f t="array" ref="P85">_xlfn.IFS(S85&lt;=PERCENTILE($S$2:$S$1000, 0.33), "Low", S85&lt;=PERCENTILE($S$2:$S$1000, 0.66), "Medium", TRUE, "High")</f>
        <v>Low</v>
      </c>
      <c r="Q85" t="s">
        <v>817</v>
      </c>
      <c r="R85" s="10">
        <v>23.24</v>
      </c>
      <c r="S85" s="10">
        <v>44.57</v>
      </c>
      <c r="T85" s="8">
        <v>0.215</v>
      </c>
      <c r="U85" s="12">
        <f t="shared" si="30"/>
        <v>1</v>
      </c>
      <c r="V85" s="6">
        <v>15</v>
      </c>
      <c r="W85" t="str">
        <f t="shared" si="20"/>
        <v>sus</v>
      </c>
      <c r="X85">
        <f t="shared" si="21"/>
        <v>-1</v>
      </c>
      <c r="Y85">
        <f t="shared" si="31"/>
        <v>1</v>
      </c>
      <c r="Z85" s="10">
        <f t="shared" si="32"/>
        <v>524.81174999999996</v>
      </c>
      <c r="AA85" s="10">
        <f t="shared" si="33"/>
        <v>348.59999999999997</v>
      </c>
      <c r="AB85" s="10">
        <f t="shared" si="34"/>
        <v>176.21174999999999</v>
      </c>
      <c r="AC85" s="10">
        <f t="shared" si="22"/>
        <v>606.37750000000005</v>
      </c>
      <c r="AD85" s="10">
        <f t="shared" si="23"/>
        <v>1193.865</v>
      </c>
      <c r="AE85" s="10">
        <f t="shared" si="24"/>
        <v>1912.0450000000001</v>
      </c>
      <c r="AF85" s="10" t="str">
        <f t="shared" si="25"/>
        <v>Low</v>
      </c>
      <c r="AG85" s="6">
        <f t="shared" si="35"/>
        <v>0.33576182316802167</v>
      </c>
      <c r="AH85" s="4">
        <f t="shared" si="36"/>
        <v>44939</v>
      </c>
      <c r="AI85" t="str">
        <f t="shared" si="37"/>
        <v>Jan-2023</v>
      </c>
    </row>
    <row r="86" spans="1:35" x14ac:dyDescent="0.25">
      <c r="A86" t="s">
        <v>99</v>
      </c>
      <c r="B86" s="4">
        <v>45741</v>
      </c>
      <c r="C86" s="4" t="str">
        <f t="shared" si="26"/>
        <v>Q1-2025</v>
      </c>
      <c r="D86" s="4" t="str">
        <f t="shared" si="27"/>
        <v>Mar-2025</v>
      </c>
      <c r="E86" s="4">
        <v>45764</v>
      </c>
      <c r="F86" s="12">
        <f t="shared" si="28"/>
        <v>23</v>
      </c>
      <c r="G86" s="12">
        <f t="shared" si="19"/>
        <v>0</v>
      </c>
      <c r="H86" s="4">
        <f t="shared" si="29"/>
        <v>45764</v>
      </c>
      <c r="I86" t="s">
        <v>649</v>
      </c>
      <c r="J86" t="s">
        <v>658</v>
      </c>
      <c r="K86" t="s">
        <v>683</v>
      </c>
      <c r="L86" t="s">
        <v>704</v>
      </c>
      <c r="M86" t="s">
        <v>707</v>
      </c>
      <c r="N86" t="s">
        <v>722</v>
      </c>
      <c r="O86" t="s">
        <v>729</v>
      </c>
      <c r="P86" t="str" cm="1">
        <f t="array" ref="P86">_xlfn.IFS(S86&lt;=PERCENTILE($S$2:$S$1000, 0.33), "Low", S86&lt;=PERCENTILE($S$2:$S$1000, 0.66), "Medium", TRUE, "High")</f>
        <v>High</v>
      </c>
      <c r="Q86" t="s">
        <v>818</v>
      </c>
      <c r="R86" s="10">
        <v>1421.19</v>
      </c>
      <c r="S86" s="10">
        <v>1808.26</v>
      </c>
      <c r="T86" s="8">
        <v>0.104</v>
      </c>
      <c r="U86" s="12">
        <f t="shared" si="30"/>
        <v>0</v>
      </c>
      <c r="V86" s="6">
        <v>13</v>
      </c>
      <c r="W86" t="str">
        <f t="shared" si="20"/>
        <v>ok</v>
      </c>
      <c r="X86">
        <f t="shared" si="21"/>
        <v>23</v>
      </c>
      <c r="Y86">
        <f t="shared" si="31"/>
        <v>23</v>
      </c>
      <c r="Z86" s="10">
        <f t="shared" si="32"/>
        <v>21062.61248</v>
      </c>
      <c r="AA86" s="10">
        <f t="shared" si="33"/>
        <v>18475.47</v>
      </c>
      <c r="AB86" s="10">
        <f t="shared" si="34"/>
        <v>2587.1424799999986</v>
      </c>
      <c r="AC86" s="10">
        <f t="shared" si="22"/>
        <v>606.37750000000005</v>
      </c>
      <c r="AD86" s="10">
        <f t="shared" si="23"/>
        <v>1193.865</v>
      </c>
      <c r="AE86" s="10">
        <f t="shared" si="24"/>
        <v>1912.0450000000001</v>
      </c>
      <c r="AF86" s="10" t="str">
        <f t="shared" si="25"/>
        <v>Low</v>
      </c>
      <c r="AG86" s="6">
        <f t="shared" si="35"/>
        <v>0.12283103449093123</v>
      </c>
      <c r="AH86" s="4">
        <f t="shared" si="36"/>
        <v>44945</v>
      </c>
      <c r="AI86" t="str">
        <f t="shared" si="37"/>
        <v>Jan-2023</v>
      </c>
    </row>
    <row r="87" spans="1:35" x14ac:dyDescent="0.25">
      <c r="A87" t="s">
        <v>100</v>
      </c>
      <c r="B87" s="4">
        <v>45282</v>
      </c>
      <c r="C87" s="4" t="str">
        <f t="shared" si="26"/>
        <v>Q4-2023</v>
      </c>
      <c r="D87" s="4" t="str">
        <f t="shared" si="27"/>
        <v>Dec-2023</v>
      </c>
      <c r="E87" s="4">
        <v>45283</v>
      </c>
      <c r="F87" s="12">
        <f t="shared" si="28"/>
        <v>1</v>
      </c>
      <c r="G87" s="12">
        <f t="shared" si="19"/>
        <v>1</v>
      </c>
      <c r="H87" s="4">
        <f t="shared" si="29"/>
        <v>45283</v>
      </c>
      <c r="I87" t="s">
        <v>646</v>
      </c>
      <c r="J87" t="s">
        <v>661</v>
      </c>
      <c r="K87" t="s">
        <v>695</v>
      </c>
      <c r="L87" t="s">
        <v>703</v>
      </c>
      <c r="M87" t="s">
        <v>709</v>
      </c>
      <c r="N87" t="s">
        <v>726</v>
      </c>
      <c r="O87" t="s">
        <v>727</v>
      </c>
      <c r="P87" t="str" cm="1">
        <f t="array" ref="P87">_xlfn.IFS(S87&lt;=PERCENTILE($S$2:$S$1000, 0.33), "Low", S87&lt;=PERCENTILE($S$2:$S$1000, 0.66), "Medium", TRUE, "High")</f>
        <v>Medium</v>
      </c>
      <c r="Q87" t="s">
        <v>819</v>
      </c>
      <c r="R87" s="10">
        <v>1186.18</v>
      </c>
      <c r="S87" s="10">
        <v>1285.0899999999999</v>
      </c>
      <c r="T87" s="8">
        <v>7.0000000000000007E-2</v>
      </c>
      <c r="U87" s="12">
        <f t="shared" si="30"/>
        <v>0</v>
      </c>
      <c r="V87" s="6">
        <v>11</v>
      </c>
      <c r="W87" t="str">
        <f t="shared" si="20"/>
        <v>ok</v>
      </c>
      <c r="X87">
        <f t="shared" si="21"/>
        <v>1</v>
      </c>
      <c r="Y87">
        <f t="shared" si="31"/>
        <v>1</v>
      </c>
      <c r="Z87" s="10">
        <f t="shared" si="32"/>
        <v>13146.470699999998</v>
      </c>
      <c r="AA87" s="10">
        <f t="shared" si="33"/>
        <v>13047.980000000001</v>
      </c>
      <c r="AB87" s="10">
        <f t="shared" si="34"/>
        <v>98.49069999999665</v>
      </c>
      <c r="AC87" s="10">
        <f t="shared" si="22"/>
        <v>606.37750000000005</v>
      </c>
      <c r="AD87" s="10">
        <f t="shared" si="23"/>
        <v>1193.865</v>
      </c>
      <c r="AE87" s="10">
        <f t="shared" si="24"/>
        <v>1912.0450000000001</v>
      </c>
      <c r="AF87" s="10" t="str">
        <f t="shared" si="25"/>
        <v>Medium</v>
      </c>
      <c r="AG87" s="6">
        <f t="shared" si="35"/>
        <v>7.4917977796121861E-3</v>
      </c>
      <c r="AH87" s="4">
        <f t="shared" si="36"/>
        <v>44933</v>
      </c>
      <c r="AI87" t="str">
        <f t="shared" si="37"/>
        <v>Jan-2023</v>
      </c>
    </row>
    <row r="88" spans="1:35" x14ac:dyDescent="0.25">
      <c r="A88" t="s">
        <v>101</v>
      </c>
      <c r="B88" s="4">
        <v>45388</v>
      </c>
      <c r="C88" s="4" t="str">
        <f t="shared" si="26"/>
        <v>Q2-2024</v>
      </c>
      <c r="D88" s="4" t="str">
        <f t="shared" si="27"/>
        <v>Apr-2024</v>
      </c>
      <c r="E88" s="4">
        <v>45407</v>
      </c>
      <c r="F88" s="12">
        <f t="shared" si="28"/>
        <v>19</v>
      </c>
      <c r="G88" s="12">
        <f t="shared" si="19"/>
        <v>0</v>
      </c>
      <c r="H88" s="4">
        <f t="shared" si="29"/>
        <v>45407</v>
      </c>
      <c r="I88" t="s">
        <v>647</v>
      </c>
      <c r="J88" t="s">
        <v>659</v>
      </c>
      <c r="K88" t="s">
        <v>685</v>
      </c>
      <c r="L88" t="s">
        <v>701</v>
      </c>
      <c r="M88" t="s">
        <v>707</v>
      </c>
      <c r="N88" t="s">
        <v>723</v>
      </c>
      <c r="O88" t="s">
        <v>727</v>
      </c>
      <c r="P88" t="str" cm="1">
        <f t="array" ref="P88">_xlfn.IFS(S88&lt;=PERCENTILE($S$2:$S$1000, 0.33), "Low", S88&lt;=PERCENTILE($S$2:$S$1000, 0.66), "Medium", TRUE, "High")</f>
        <v>High</v>
      </c>
      <c r="Q88" t="s">
        <v>820</v>
      </c>
      <c r="R88" s="10">
        <v>1366.48</v>
      </c>
      <c r="S88" s="10">
        <v>1678.14</v>
      </c>
      <c r="T88" s="8">
        <v>0.154</v>
      </c>
      <c r="U88" s="12">
        <f t="shared" si="30"/>
        <v>0</v>
      </c>
      <c r="V88" s="6">
        <v>10</v>
      </c>
      <c r="W88" t="str">
        <f t="shared" si="20"/>
        <v>ok</v>
      </c>
      <c r="X88">
        <f t="shared" si="21"/>
        <v>19</v>
      </c>
      <c r="Y88">
        <f t="shared" si="31"/>
        <v>19</v>
      </c>
      <c r="Z88" s="10">
        <f t="shared" si="32"/>
        <v>14197.064400000001</v>
      </c>
      <c r="AA88" s="10">
        <f t="shared" si="33"/>
        <v>13664.8</v>
      </c>
      <c r="AB88" s="10">
        <f t="shared" si="34"/>
        <v>532.26440000000184</v>
      </c>
      <c r="AC88" s="10">
        <f t="shared" si="22"/>
        <v>606.37750000000005</v>
      </c>
      <c r="AD88" s="10">
        <f t="shared" si="23"/>
        <v>1193.865</v>
      </c>
      <c r="AE88" s="10">
        <f t="shared" si="24"/>
        <v>1912.0450000000001</v>
      </c>
      <c r="AF88" s="10" t="str">
        <f t="shared" si="25"/>
        <v>Medium</v>
      </c>
      <c r="AG88" s="6">
        <f t="shared" si="35"/>
        <v>3.7491159087790132E-2</v>
      </c>
      <c r="AH88" s="4">
        <f t="shared" si="36"/>
        <v>44938</v>
      </c>
      <c r="AI88" t="str">
        <f t="shared" si="37"/>
        <v>Jan-2023</v>
      </c>
    </row>
    <row r="89" spans="1:35" x14ac:dyDescent="0.25">
      <c r="A89" t="s">
        <v>102</v>
      </c>
      <c r="B89" s="4">
        <v>45876</v>
      </c>
      <c r="C89" s="4" t="str">
        <f t="shared" si="26"/>
        <v>Q3-2025</v>
      </c>
      <c r="D89" s="4" t="str">
        <f t="shared" si="27"/>
        <v>Aug-2025</v>
      </c>
      <c r="E89" s="4">
        <v>45888</v>
      </c>
      <c r="F89" s="12">
        <f t="shared" si="28"/>
        <v>12</v>
      </c>
      <c r="G89" s="12">
        <f t="shared" si="19"/>
        <v>0</v>
      </c>
      <c r="H89" s="4">
        <f t="shared" si="29"/>
        <v>45888</v>
      </c>
      <c r="I89" t="s">
        <v>646</v>
      </c>
      <c r="J89" t="s">
        <v>650</v>
      </c>
      <c r="K89" t="s">
        <v>678</v>
      </c>
      <c r="L89" t="s">
        <v>701</v>
      </c>
      <c r="M89" t="s">
        <v>1418</v>
      </c>
      <c r="N89" t="s">
        <v>724</v>
      </c>
      <c r="O89" t="s">
        <v>727</v>
      </c>
      <c r="P89" t="str" cm="1">
        <f t="array" ref="P89">_xlfn.IFS(S89&lt;=PERCENTILE($S$2:$S$1000, 0.33), "Low", S89&lt;=PERCENTILE($S$2:$S$1000, 0.66), "Medium", TRUE, "High")</f>
        <v>Low</v>
      </c>
      <c r="Q89" t="s">
        <v>821</v>
      </c>
      <c r="R89" s="10">
        <v>601.51</v>
      </c>
      <c r="S89" s="10">
        <v>679.35</v>
      </c>
      <c r="T89" s="8">
        <v>0.188</v>
      </c>
      <c r="U89" s="12">
        <f t="shared" si="30"/>
        <v>0</v>
      </c>
      <c r="V89" s="6">
        <v>3</v>
      </c>
      <c r="W89" t="str">
        <f t="shared" si="20"/>
        <v>ok</v>
      </c>
      <c r="X89">
        <f t="shared" si="21"/>
        <v>12</v>
      </c>
      <c r="Y89">
        <f t="shared" si="31"/>
        <v>12</v>
      </c>
      <c r="Z89" s="10">
        <f t="shared" si="32"/>
        <v>1654.8966000000003</v>
      </c>
      <c r="AA89" s="10">
        <f t="shared" si="33"/>
        <v>1804.53</v>
      </c>
      <c r="AB89" s="10">
        <f t="shared" si="34"/>
        <v>-149.63339999999971</v>
      </c>
      <c r="AC89" s="10">
        <f t="shared" si="22"/>
        <v>606.37750000000005</v>
      </c>
      <c r="AD89" s="10">
        <f t="shared" si="23"/>
        <v>1193.865</v>
      </c>
      <c r="AE89" s="10">
        <f t="shared" si="24"/>
        <v>1912.0450000000001</v>
      </c>
      <c r="AF89" s="10" t="str">
        <f t="shared" si="25"/>
        <v>Medium</v>
      </c>
      <c r="AG89" s="6">
        <f t="shared" si="35"/>
        <v>-9.0418579626062243E-2</v>
      </c>
      <c r="AH89" s="4">
        <f t="shared" si="36"/>
        <v>44946</v>
      </c>
      <c r="AI89" t="str">
        <f t="shared" si="37"/>
        <v>Jan-2023</v>
      </c>
    </row>
    <row r="90" spans="1:35" x14ac:dyDescent="0.25">
      <c r="A90" t="s">
        <v>103</v>
      </c>
      <c r="B90" s="4">
        <v>45312</v>
      </c>
      <c r="C90" s="4" t="str">
        <f t="shared" si="26"/>
        <v>Q1-2024</v>
      </c>
      <c r="D90" s="4" t="str">
        <f t="shared" si="27"/>
        <v>Jan-2024</v>
      </c>
      <c r="E90" s="4">
        <v>45316</v>
      </c>
      <c r="F90" s="12">
        <f t="shared" si="28"/>
        <v>4</v>
      </c>
      <c r="G90" s="12">
        <f t="shared" si="19"/>
        <v>1</v>
      </c>
      <c r="H90" s="4">
        <f t="shared" si="29"/>
        <v>45316</v>
      </c>
      <c r="I90" t="s">
        <v>647</v>
      </c>
      <c r="J90" t="s">
        <v>654</v>
      </c>
      <c r="K90" t="s">
        <v>680</v>
      </c>
      <c r="L90" t="s">
        <v>704</v>
      </c>
      <c r="M90" t="s">
        <v>711</v>
      </c>
      <c r="N90" t="s">
        <v>712</v>
      </c>
      <c r="O90" t="s">
        <v>732</v>
      </c>
      <c r="P90" t="str" cm="1">
        <f t="array" ref="P90">_xlfn.IFS(S90&lt;=PERCENTILE($S$2:$S$1000, 0.33), "Low", S90&lt;=PERCENTILE($S$2:$S$1000, 0.66), "Medium", TRUE, "High")</f>
        <v>Medium</v>
      </c>
      <c r="Q90" t="s">
        <v>822</v>
      </c>
      <c r="R90" s="10">
        <v>523.70000000000005</v>
      </c>
      <c r="S90" s="10">
        <v>1109.92</v>
      </c>
      <c r="T90" s="8">
        <v>0.03</v>
      </c>
      <c r="U90" s="12">
        <f t="shared" si="30"/>
        <v>0</v>
      </c>
      <c r="V90" s="6">
        <v>11</v>
      </c>
      <c r="W90" t="str">
        <f t="shared" si="20"/>
        <v>ok</v>
      </c>
      <c r="X90">
        <f t="shared" si="21"/>
        <v>4</v>
      </c>
      <c r="Y90">
        <f t="shared" si="31"/>
        <v>4</v>
      </c>
      <c r="Z90" s="10">
        <f t="shared" si="32"/>
        <v>11842.8464</v>
      </c>
      <c r="AA90" s="10">
        <f t="shared" si="33"/>
        <v>5760.7000000000007</v>
      </c>
      <c r="AB90" s="10">
        <f t="shared" si="34"/>
        <v>6082.1463999999996</v>
      </c>
      <c r="AC90" s="10">
        <f t="shared" si="22"/>
        <v>606.37750000000005</v>
      </c>
      <c r="AD90" s="10">
        <f t="shared" si="23"/>
        <v>1193.865</v>
      </c>
      <c r="AE90" s="10">
        <f t="shared" si="24"/>
        <v>1912.0450000000001</v>
      </c>
      <c r="AF90" s="10" t="str">
        <f t="shared" si="25"/>
        <v>Medium</v>
      </c>
      <c r="AG90" s="6">
        <f t="shared" si="35"/>
        <v>0.51357133197302973</v>
      </c>
      <c r="AH90" s="4">
        <f t="shared" si="36"/>
        <v>44955</v>
      </c>
      <c r="AI90" t="str">
        <f t="shared" si="37"/>
        <v>Jan-2023</v>
      </c>
    </row>
    <row r="91" spans="1:35" x14ac:dyDescent="0.25">
      <c r="A91" t="s">
        <v>104</v>
      </c>
      <c r="B91" s="4">
        <v>45106</v>
      </c>
      <c r="C91" s="4" t="str">
        <f t="shared" si="26"/>
        <v>Q2-2023</v>
      </c>
      <c r="D91" s="4" t="str">
        <f t="shared" si="27"/>
        <v>Jun-2023</v>
      </c>
      <c r="E91" s="4">
        <v>45109</v>
      </c>
      <c r="F91" s="12">
        <f t="shared" si="28"/>
        <v>3</v>
      </c>
      <c r="G91" s="12">
        <f t="shared" si="19"/>
        <v>1</v>
      </c>
      <c r="H91" s="4">
        <f t="shared" si="29"/>
        <v>45109</v>
      </c>
      <c r="I91" t="s">
        <v>647</v>
      </c>
      <c r="J91" t="s">
        <v>652</v>
      </c>
      <c r="K91" t="s">
        <v>694</v>
      </c>
      <c r="L91" t="s">
        <v>702</v>
      </c>
      <c r="M91" t="s">
        <v>709</v>
      </c>
      <c r="N91" t="s">
        <v>721</v>
      </c>
      <c r="O91" t="s">
        <v>732</v>
      </c>
      <c r="P91" t="str" cm="1">
        <f t="array" ref="P91">_xlfn.IFS(S91&lt;=PERCENTILE($S$2:$S$1000, 0.33), "Low", S91&lt;=PERCENTILE($S$2:$S$1000, 0.66), "Medium", TRUE, "High")</f>
        <v>Low</v>
      </c>
      <c r="Q91" t="s">
        <v>823</v>
      </c>
      <c r="R91" s="10">
        <v>55.65</v>
      </c>
      <c r="S91" s="10">
        <v>83.57</v>
      </c>
      <c r="T91" s="8">
        <v>6.6000000000000003E-2</v>
      </c>
      <c r="U91" s="12">
        <f t="shared" si="30"/>
        <v>0</v>
      </c>
      <c r="V91" s="6">
        <v>8</v>
      </c>
      <c r="W91" t="str">
        <f t="shared" si="20"/>
        <v>ok</v>
      </c>
      <c r="X91">
        <f t="shared" si="21"/>
        <v>3</v>
      </c>
      <c r="Y91">
        <f t="shared" si="31"/>
        <v>3</v>
      </c>
      <c r="Z91" s="10">
        <f t="shared" si="32"/>
        <v>624.43503999999996</v>
      </c>
      <c r="AA91" s="10">
        <f t="shared" si="33"/>
        <v>445.2</v>
      </c>
      <c r="AB91" s="10">
        <f t="shared" si="34"/>
        <v>179.23503999999997</v>
      </c>
      <c r="AC91" s="10">
        <f t="shared" si="22"/>
        <v>606.37750000000005</v>
      </c>
      <c r="AD91" s="10">
        <f t="shared" si="23"/>
        <v>1193.865</v>
      </c>
      <c r="AE91" s="10">
        <f t="shared" si="24"/>
        <v>1912.0450000000001</v>
      </c>
      <c r="AF91" s="10" t="str">
        <f t="shared" si="25"/>
        <v>Medium</v>
      </c>
      <c r="AG91" s="6">
        <f t="shared" si="35"/>
        <v>0.2870355257449998</v>
      </c>
      <c r="AH91" s="4">
        <f t="shared" si="36"/>
        <v>44988</v>
      </c>
      <c r="AI91" t="str">
        <f t="shared" si="37"/>
        <v>Mar-2023</v>
      </c>
    </row>
    <row r="92" spans="1:35" x14ac:dyDescent="0.25">
      <c r="A92" t="s">
        <v>105</v>
      </c>
      <c r="B92" s="4">
        <v>45775</v>
      </c>
      <c r="C92" s="4" t="str">
        <f t="shared" si="26"/>
        <v>Q2-2025</v>
      </c>
      <c r="D92" s="4" t="str">
        <f t="shared" si="27"/>
        <v>Apr-2025</v>
      </c>
      <c r="E92" s="4">
        <v>45792</v>
      </c>
      <c r="F92" s="12">
        <f t="shared" si="28"/>
        <v>17</v>
      </c>
      <c r="G92" s="12">
        <f t="shared" si="19"/>
        <v>0</v>
      </c>
      <c r="H92" s="4">
        <f t="shared" si="29"/>
        <v>45792</v>
      </c>
      <c r="I92" t="s">
        <v>647</v>
      </c>
      <c r="J92" t="s">
        <v>652</v>
      </c>
      <c r="K92" t="s">
        <v>694</v>
      </c>
      <c r="L92" t="s">
        <v>702</v>
      </c>
      <c r="M92" t="s">
        <v>711</v>
      </c>
      <c r="N92" t="s">
        <v>725</v>
      </c>
      <c r="O92" t="s">
        <v>729</v>
      </c>
      <c r="P92" t="str" cm="1">
        <f t="array" ref="P92">_xlfn.IFS(S92&lt;=PERCENTILE($S$2:$S$1000, 0.33), "Low", S92&lt;=PERCENTILE($S$2:$S$1000, 0.66), "Medium", TRUE, "High")</f>
        <v>Medium</v>
      </c>
      <c r="Q92" t="s">
        <v>824</v>
      </c>
      <c r="R92" s="10">
        <v>691.19</v>
      </c>
      <c r="S92" s="10">
        <v>1284.3</v>
      </c>
      <c r="T92" s="8">
        <v>7.3999999999999996E-2</v>
      </c>
      <c r="U92" s="12">
        <f t="shared" si="30"/>
        <v>0</v>
      </c>
      <c r="V92" s="6">
        <v>7</v>
      </c>
      <c r="W92" t="str">
        <f t="shared" si="20"/>
        <v>ok</v>
      </c>
      <c r="X92">
        <f t="shared" si="21"/>
        <v>17</v>
      </c>
      <c r="Y92">
        <f t="shared" si="31"/>
        <v>17</v>
      </c>
      <c r="Z92" s="10">
        <f t="shared" si="32"/>
        <v>8324.8326000000015</v>
      </c>
      <c r="AA92" s="10">
        <f t="shared" si="33"/>
        <v>4838.33</v>
      </c>
      <c r="AB92" s="10">
        <f t="shared" si="34"/>
        <v>3486.5026000000016</v>
      </c>
      <c r="AC92" s="10">
        <f t="shared" si="22"/>
        <v>606.37750000000005</v>
      </c>
      <c r="AD92" s="10">
        <f t="shared" si="23"/>
        <v>1193.865</v>
      </c>
      <c r="AE92" s="10">
        <f t="shared" si="24"/>
        <v>1912.0450000000001</v>
      </c>
      <c r="AF92" s="10" t="str">
        <f t="shared" si="25"/>
        <v>Low</v>
      </c>
      <c r="AG92" s="6">
        <f t="shared" si="35"/>
        <v>0.41880753253825198</v>
      </c>
      <c r="AH92" s="4">
        <f t="shared" si="36"/>
        <v>44988</v>
      </c>
      <c r="AI92" t="str">
        <f t="shared" si="37"/>
        <v>Mar-2023</v>
      </c>
    </row>
    <row r="93" spans="1:35" x14ac:dyDescent="0.25">
      <c r="A93" t="s">
        <v>106</v>
      </c>
      <c r="B93" s="4">
        <v>45817</v>
      </c>
      <c r="C93" s="4" t="str">
        <f t="shared" si="26"/>
        <v>Q2-2025</v>
      </c>
      <c r="D93" s="4" t="str">
        <f t="shared" si="27"/>
        <v>Jun-2025</v>
      </c>
      <c r="E93" s="4">
        <v>45833</v>
      </c>
      <c r="F93" s="12">
        <f t="shared" si="28"/>
        <v>16</v>
      </c>
      <c r="G93" s="12">
        <f t="shared" si="19"/>
        <v>0</v>
      </c>
      <c r="H93" s="4">
        <f t="shared" si="29"/>
        <v>45833</v>
      </c>
      <c r="I93" t="s">
        <v>647</v>
      </c>
      <c r="J93" t="s">
        <v>654</v>
      </c>
      <c r="K93" t="s">
        <v>696</v>
      </c>
      <c r="L93" t="s">
        <v>706</v>
      </c>
      <c r="M93" t="s">
        <v>710</v>
      </c>
      <c r="N93" t="s">
        <v>724</v>
      </c>
      <c r="O93" t="s">
        <v>730</v>
      </c>
      <c r="P93" t="str" cm="1">
        <f t="array" ref="P93">_xlfn.IFS(S93&lt;=PERCENTILE($S$2:$S$1000, 0.33), "Low", S93&lt;=PERCENTILE($S$2:$S$1000, 0.66), "Medium", TRUE, "High")</f>
        <v>Medium</v>
      </c>
      <c r="Q93" t="s">
        <v>825</v>
      </c>
      <c r="R93" s="10">
        <v>527.33000000000004</v>
      </c>
      <c r="S93" s="10">
        <v>911.72</v>
      </c>
      <c r="T93" s="8">
        <v>0.14399999999999999</v>
      </c>
      <c r="U93" s="12">
        <f t="shared" si="30"/>
        <v>0</v>
      </c>
      <c r="V93" s="6">
        <v>25</v>
      </c>
      <c r="W93" t="str">
        <f t="shared" si="20"/>
        <v>ok</v>
      </c>
      <c r="X93">
        <f t="shared" si="21"/>
        <v>16</v>
      </c>
      <c r="Y93">
        <f t="shared" si="31"/>
        <v>16</v>
      </c>
      <c r="Z93" s="10">
        <f t="shared" si="32"/>
        <v>19510.808000000001</v>
      </c>
      <c r="AA93" s="10">
        <f t="shared" si="33"/>
        <v>13183.250000000002</v>
      </c>
      <c r="AB93" s="10">
        <f t="shared" si="34"/>
        <v>6327.5579999999991</v>
      </c>
      <c r="AC93" s="10">
        <f t="shared" si="22"/>
        <v>606.37750000000005</v>
      </c>
      <c r="AD93" s="10">
        <f t="shared" si="23"/>
        <v>1193.865</v>
      </c>
      <c r="AE93" s="10">
        <f t="shared" si="24"/>
        <v>1912.0450000000001</v>
      </c>
      <c r="AF93" s="10" t="str">
        <f t="shared" si="25"/>
        <v>Medium</v>
      </c>
      <c r="AG93" s="6">
        <f t="shared" si="35"/>
        <v>0.32431040272652978</v>
      </c>
      <c r="AH93" s="4">
        <f t="shared" si="36"/>
        <v>44955</v>
      </c>
      <c r="AI93" t="str">
        <f t="shared" si="37"/>
        <v>Jan-2023</v>
      </c>
    </row>
    <row r="94" spans="1:35" x14ac:dyDescent="0.25">
      <c r="A94" t="s">
        <v>107</v>
      </c>
      <c r="B94" s="4">
        <v>45101</v>
      </c>
      <c r="C94" s="4" t="str">
        <f t="shared" si="26"/>
        <v>Q2-2023</v>
      </c>
      <c r="D94" s="4" t="str">
        <f t="shared" si="27"/>
        <v>Jun-2023</v>
      </c>
      <c r="E94" s="4">
        <v>45100</v>
      </c>
      <c r="F94" s="12">
        <f t="shared" si="28"/>
        <v>14</v>
      </c>
      <c r="G94" s="12">
        <f t="shared" si="19"/>
        <v>0</v>
      </c>
      <c r="H94" s="4">
        <f t="shared" si="29"/>
        <v>45115</v>
      </c>
      <c r="I94" t="s">
        <v>648</v>
      </c>
      <c r="J94" t="s">
        <v>655</v>
      </c>
      <c r="K94" t="s">
        <v>692</v>
      </c>
      <c r="L94" t="s">
        <v>703</v>
      </c>
      <c r="M94" t="s">
        <v>707</v>
      </c>
      <c r="N94" t="s">
        <v>718</v>
      </c>
      <c r="O94" t="s">
        <v>728</v>
      </c>
      <c r="P94" t="str" cm="1">
        <f t="array" ref="P94">_xlfn.IFS(S94&lt;=PERCENTILE($S$2:$S$1000, 0.33), "Low", S94&lt;=PERCENTILE($S$2:$S$1000, 0.66), "Medium", TRUE, "High")</f>
        <v>Medium</v>
      </c>
      <c r="Q94" t="s">
        <v>826</v>
      </c>
      <c r="R94" s="10">
        <v>804.01</v>
      </c>
      <c r="S94" s="10">
        <v>1405.07</v>
      </c>
      <c r="T94" s="8">
        <v>9.6000000000000002E-2</v>
      </c>
      <c r="U94" s="12">
        <f t="shared" si="30"/>
        <v>0</v>
      </c>
      <c r="V94" s="6">
        <v>8</v>
      </c>
      <c r="W94" t="str">
        <f t="shared" si="20"/>
        <v>sus</v>
      </c>
      <c r="X94">
        <f t="shared" si="21"/>
        <v>-1</v>
      </c>
      <c r="Y94">
        <f t="shared" si="31"/>
        <v>1</v>
      </c>
      <c r="Z94" s="10">
        <f t="shared" si="32"/>
        <v>10161.46624</v>
      </c>
      <c r="AA94" s="10">
        <f t="shared" si="33"/>
        <v>6432.08</v>
      </c>
      <c r="AB94" s="10">
        <f t="shared" si="34"/>
        <v>3729.3862399999998</v>
      </c>
      <c r="AC94" s="10">
        <f t="shared" si="22"/>
        <v>606.37750000000005</v>
      </c>
      <c r="AD94" s="10">
        <f t="shared" si="23"/>
        <v>1193.865</v>
      </c>
      <c r="AE94" s="10">
        <f t="shared" si="24"/>
        <v>1912.0450000000001</v>
      </c>
      <c r="AF94" s="10" t="str">
        <f t="shared" si="25"/>
        <v>Medium</v>
      </c>
      <c r="AG94" s="6">
        <f t="shared" si="35"/>
        <v>0.36701260939287439</v>
      </c>
      <c r="AH94" s="4">
        <f t="shared" si="36"/>
        <v>44955</v>
      </c>
      <c r="AI94" t="str">
        <f t="shared" si="37"/>
        <v>Jan-2023</v>
      </c>
    </row>
    <row r="95" spans="1:35" x14ac:dyDescent="0.25">
      <c r="A95" t="s">
        <v>108</v>
      </c>
      <c r="B95" s="4">
        <v>45569</v>
      </c>
      <c r="C95" s="4" t="str">
        <f t="shared" si="26"/>
        <v>Q4-2024</v>
      </c>
      <c r="D95" s="4" t="str">
        <f t="shared" si="27"/>
        <v>Oct-2024</v>
      </c>
      <c r="E95" s="4">
        <v>45598</v>
      </c>
      <c r="F95" s="12">
        <f t="shared" si="28"/>
        <v>29</v>
      </c>
      <c r="G95" s="12">
        <f t="shared" si="19"/>
        <v>0</v>
      </c>
      <c r="H95" s="4">
        <f t="shared" si="29"/>
        <v>45598</v>
      </c>
      <c r="I95" t="s">
        <v>646</v>
      </c>
      <c r="J95" t="s">
        <v>651</v>
      </c>
      <c r="K95" t="s">
        <v>669</v>
      </c>
      <c r="L95" t="s">
        <v>701</v>
      </c>
      <c r="M95" t="s">
        <v>710</v>
      </c>
      <c r="N95" t="s">
        <v>721</v>
      </c>
      <c r="O95" t="s">
        <v>733</v>
      </c>
      <c r="P95" t="str" cm="1">
        <f t="array" ref="P95">_xlfn.IFS(S95&lt;=PERCENTILE($S$2:$S$1000, 0.33), "Low", S95&lt;=PERCENTILE($S$2:$S$1000, 0.66), "Medium", TRUE, "High")</f>
        <v>Medium</v>
      </c>
      <c r="Q95" t="s">
        <v>827</v>
      </c>
      <c r="R95" s="10">
        <v>412.09</v>
      </c>
      <c r="S95" s="10">
        <v>968.94</v>
      </c>
      <c r="T95" s="8">
        <v>9.9000000000000005E-2</v>
      </c>
      <c r="U95" s="12">
        <f t="shared" si="30"/>
        <v>0</v>
      </c>
      <c r="V95" s="6">
        <v>23</v>
      </c>
      <c r="W95" t="str">
        <f t="shared" si="20"/>
        <v>ok</v>
      </c>
      <c r="X95">
        <f t="shared" si="21"/>
        <v>29</v>
      </c>
      <c r="Y95">
        <f t="shared" si="31"/>
        <v>29</v>
      </c>
      <c r="Z95" s="10">
        <f t="shared" si="32"/>
        <v>20079.343620000003</v>
      </c>
      <c r="AA95" s="10">
        <f t="shared" si="33"/>
        <v>9478.07</v>
      </c>
      <c r="AB95" s="10">
        <f t="shared" si="34"/>
        <v>10601.273620000004</v>
      </c>
      <c r="AC95" s="10">
        <f t="shared" si="22"/>
        <v>606.37750000000005</v>
      </c>
      <c r="AD95" s="10">
        <f t="shared" si="23"/>
        <v>1193.865</v>
      </c>
      <c r="AE95" s="10">
        <f t="shared" si="24"/>
        <v>1912.0450000000001</v>
      </c>
      <c r="AF95" s="10" t="str">
        <f t="shared" si="25"/>
        <v>Medium</v>
      </c>
      <c r="AG95" s="6">
        <f t="shared" si="35"/>
        <v>0.52796913189137418</v>
      </c>
      <c r="AH95" s="4">
        <f t="shared" si="36"/>
        <v>44941</v>
      </c>
      <c r="AI95" t="str">
        <f t="shared" si="37"/>
        <v>Jan-2023</v>
      </c>
    </row>
    <row r="96" spans="1:35" x14ac:dyDescent="0.25">
      <c r="A96" t="s">
        <v>109</v>
      </c>
      <c r="B96" s="4">
        <v>45910</v>
      </c>
      <c r="C96" s="4" t="str">
        <f t="shared" si="26"/>
        <v>Q3-2025</v>
      </c>
      <c r="D96" s="4" t="str">
        <f t="shared" si="27"/>
        <v>Sept-2025</v>
      </c>
      <c r="E96" s="4">
        <v>45930</v>
      </c>
      <c r="F96" s="12">
        <f t="shared" si="28"/>
        <v>20</v>
      </c>
      <c r="G96" s="12">
        <f t="shared" si="19"/>
        <v>0</v>
      </c>
      <c r="H96" s="4">
        <f t="shared" si="29"/>
        <v>45930</v>
      </c>
      <c r="I96" t="s">
        <v>646</v>
      </c>
      <c r="J96" t="s">
        <v>650</v>
      </c>
      <c r="K96" t="s">
        <v>675</v>
      </c>
      <c r="L96" t="s">
        <v>701</v>
      </c>
      <c r="M96" t="s">
        <v>711</v>
      </c>
      <c r="N96" t="s">
        <v>716</v>
      </c>
      <c r="O96" t="s">
        <v>730</v>
      </c>
      <c r="P96" t="str" cm="1">
        <f t="array" ref="P96">_xlfn.IFS(S96&lt;=PERCENTILE($S$2:$S$1000, 0.33), "Low", S96&lt;=PERCENTILE($S$2:$S$1000, 0.66), "Medium", TRUE, "High")</f>
        <v>Medium</v>
      </c>
      <c r="Q96" t="s">
        <v>828</v>
      </c>
      <c r="R96" s="10">
        <v>1009.48</v>
      </c>
      <c r="S96" s="10">
        <v>1088.81</v>
      </c>
      <c r="T96" s="8">
        <v>0.16</v>
      </c>
      <c r="U96" s="12">
        <f t="shared" si="30"/>
        <v>0</v>
      </c>
      <c r="V96" s="6">
        <v>6</v>
      </c>
      <c r="W96" t="str">
        <f t="shared" si="20"/>
        <v>ok</v>
      </c>
      <c r="X96">
        <f t="shared" si="21"/>
        <v>20</v>
      </c>
      <c r="Y96">
        <f t="shared" si="31"/>
        <v>20</v>
      </c>
      <c r="Z96" s="10">
        <f t="shared" si="32"/>
        <v>5487.6023999999998</v>
      </c>
      <c r="AA96" s="10">
        <f t="shared" si="33"/>
        <v>6056.88</v>
      </c>
      <c r="AB96" s="10">
        <f t="shared" si="34"/>
        <v>-569.27760000000035</v>
      </c>
      <c r="AC96" s="10">
        <f t="shared" si="22"/>
        <v>606.37750000000005</v>
      </c>
      <c r="AD96" s="10">
        <f t="shared" si="23"/>
        <v>1193.865</v>
      </c>
      <c r="AE96" s="10">
        <f t="shared" si="24"/>
        <v>1912.0450000000001</v>
      </c>
      <c r="AF96" s="10" t="str">
        <f t="shared" si="25"/>
        <v>Medium</v>
      </c>
      <c r="AG96" s="6">
        <f t="shared" si="35"/>
        <v>-0.10373885688219693</v>
      </c>
      <c r="AH96" s="4">
        <f t="shared" si="36"/>
        <v>44946</v>
      </c>
      <c r="AI96" t="str">
        <f t="shared" si="37"/>
        <v>Jan-2023</v>
      </c>
    </row>
    <row r="97" spans="1:35" x14ac:dyDescent="0.25">
      <c r="A97" t="s">
        <v>110</v>
      </c>
      <c r="B97" s="4">
        <v>45022</v>
      </c>
      <c r="C97" s="4" t="str">
        <f t="shared" si="26"/>
        <v>Q2-2023</v>
      </c>
      <c r="D97" s="4" t="str">
        <f t="shared" si="27"/>
        <v>Apr-2023</v>
      </c>
      <c r="E97" s="4">
        <v>45043</v>
      </c>
      <c r="F97" s="12">
        <f t="shared" si="28"/>
        <v>21</v>
      </c>
      <c r="G97" s="12">
        <f t="shared" si="19"/>
        <v>0</v>
      </c>
      <c r="H97" s="4">
        <f t="shared" si="29"/>
        <v>45043</v>
      </c>
      <c r="I97" t="s">
        <v>649</v>
      </c>
      <c r="J97" t="s">
        <v>658</v>
      </c>
      <c r="K97" t="s">
        <v>693</v>
      </c>
      <c r="L97" t="s">
        <v>706</v>
      </c>
      <c r="M97" t="s">
        <v>710</v>
      </c>
      <c r="N97" t="s">
        <v>714</v>
      </c>
      <c r="O97" t="s">
        <v>728</v>
      </c>
      <c r="P97" t="str" cm="1">
        <f t="array" ref="P97">_xlfn.IFS(S97&lt;=PERCENTILE($S$2:$S$1000, 0.33), "Low", S97&lt;=PERCENTILE($S$2:$S$1000, 0.66), "Medium", TRUE, "High")</f>
        <v>High</v>
      </c>
      <c r="Q97" t="s">
        <v>829</v>
      </c>
      <c r="R97" s="10">
        <v>1084.79</v>
      </c>
      <c r="S97" s="10">
        <v>2484.9899999999998</v>
      </c>
      <c r="T97" s="8">
        <v>3.4000000000000002E-2</v>
      </c>
      <c r="U97" s="12">
        <f t="shared" si="30"/>
        <v>0</v>
      </c>
      <c r="V97" s="6">
        <v>18</v>
      </c>
      <c r="W97" t="str">
        <f t="shared" si="20"/>
        <v>ok</v>
      </c>
      <c r="X97">
        <f t="shared" si="21"/>
        <v>21</v>
      </c>
      <c r="Y97">
        <f t="shared" si="31"/>
        <v>21</v>
      </c>
      <c r="Z97" s="10">
        <f t="shared" si="32"/>
        <v>43209.006119999991</v>
      </c>
      <c r="AA97" s="10">
        <f t="shared" si="33"/>
        <v>19526.22</v>
      </c>
      <c r="AB97" s="10">
        <f t="shared" si="34"/>
        <v>23682.78611999999</v>
      </c>
      <c r="AC97" s="10">
        <f t="shared" si="22"/>
        <v>606.37750000000005</v>
      </c>
      <c r="AD97" s="10">
        <f t="shared" si="23"/>
        <v>1193.865</v>
      </c>
      <c r="AE97" s="10">
        <f t="shared" si="24"/>
        <v>1912.0450000000001</v>
      </c>
      <c r="AF97" s="10" t="str">
        <f t="shared" si="25"/>
        <v>Medium</v>
      </c>
      <c r="AG97" s="6">
        <f t="shared" si="35"/>
        <v>0.54809837685755114</v>
      </c>
      <c r="AH97" s="4">
        <f t="shared" si="36"/>
        <v>44945</v>
      </c>
      <c r="AI97" t="str">
        <f t="shared" si="37"/>
        <v>Jan-2023</v>
      </c>
    </row>
    <row r="98" spans="1:35" x14ac:dyDescent="0.25">
      <c r="A98" t="s">
        <v>111</v>
      </c>
      <c r="B98" s="4">
        <v>45870</v>
      </c>
      <c r="C98" s="4" t="str">
        <f t="shared" si="26"/>
        <v>Q3-2025</v>
      </c>
      <c r="D98" s="4" t="str">
        <f t="shared" si="27"/>
        <v>Aug-2025</v>
      </c>
      <c r="E98" s="4">
        <v>45885</v>
      </c>
      <c r="F98" s="12">
        <f t="shared" si="28"/>
        <v>15</v>
      </c>
      <c r="G98" s="12">
        <f t="shared" si="19"/>
        <v>0</v>
      </c>
      <c r="H98" s="4">
        <f t="shared" si="29"/>
        <v>45885</v>
      </c>
      <c r="I98" t="s">
        <v>647</v>
      </c>
      <c r="J98" t="s">
        <v>654</v>
      </c>
      <c r="K98" t="s">
        <v>1418</v>
      </c>
      <c r="L98" t="s">
        <v>706</v>
      </c>
      <c r="M98" t="s">
        <v>711</v>
      </c>
      <c r="N98" t="s">
        <v>719</v>
      </c>
      <c r="O98" t="s">
        <v>732</v>
      </c>
      <c r="P98" t="str" cm="1">
        <f t="array" ref="P98">_xlfn.IFS(S98&lt;=PERCENTILE($S$2:$S$1000, 0.33), "Low", S98&lt;=PERCENTILE($S$2:$S$1000, 0.66), "Medium", TRUE, "High")</f>
        <v>Low</v>
      </c>
      <c r="Q98" t="s">
        <v>830</v>
      </c>
      <c r="R98" s="10">
        <v>24.44</v>
      </c>
      <c r="S98" s="10">
        <v>28.69</v>
      </c>
      <c r="T98" s="8">
        <v>0.14599999999999999</v>
      </c>
      <c r="U98" s="12">
        <f t="shared" si="30"/>
        <v>0</v>
      </c>
      <c r="V98" s="6">
        <v>6</v>
      </c>
      <c r="W98" t="str">
        <f t="shared" si="20"/>
        <v>ok</v>
      </c>
      <c r="X98">
        <f t="shared" si="21"/>
        <v>15</v>
      </c>
      <c r="Y98">
        <f t="shared" si="31"/>
        <v>15</v>
      </c>
      <c r="Z98" s="10">
        <f t="shared" si="32"/>
        <v>147.00756000000001</v>
      </c>
      <c r="AA98" s="10">
        <f t="shared" si="33"/>
        <v>146.64000000000001</v>
      </c>
      <c r="AB98" s="10">
        <f t="shared" si="34"/>
        <v>0.36755999999999744</v>
      </c>
      <c r="AC98" s="10">
        <f t="shared" si="22"/>
        <v>606.37750000000005</v>
      </c>
      <c r="AD98" s="10">
        <f t="shared" si="23"/>
        <v>1193.865</v>
      </c>
      <c r="AE98" s="10">
        <f t="shared" si="24"/>
        <v>1912.0450000000001</v>
      </c>
      <c r="AF98" s="10" t="str">
        <f t="shared" si="25"/>
        <v>High</v>
      </c>
      <c r="AG98" s="6">
        <f t="shared" si="35"/>
        <v>2.5002795774584476E-3</v>
      </c>
      <c r="AH98" s="4">
        <f t="shared" si="36"/>
        <v>44955</v>
      </c>
      <c r="AI98" t="str">
        <f t="shared" si="37"/>
        <v>Jan-2023</v>
      </c>
    </row>
    <row r="99" spans="1:35" x14ac:dyDescent="0.25">
      <c r="A99" t="s">
        <v>112</v>
      </c>
      <c r="B99" s="4">
        <v>45440</v>
      </c>
      <c r="C99" s="4" t="str">
        <f t="shared" si="26"/>
        <v>Q2-2024</v>
      </c>
      <c r="D99" s="4" t="str">
        <f t="shared" si="27"/>
        <v>May-2024</v>
      </c>
      <c r="E99" s="4">
        <v>45438</v>
      </c>
      <c r="F99" s="12">
        <f t="shared" si="28"/>
        <v>14</v>
      </c>
      <c r="G99" s="12">
        <f t="shared" si="19"/>
        <v>0</v>
      </c>
      <c r="H99" s="4">
        <f t="shared" si="29"/>
        <v>45454</v>
      </c>
      <c r="I99" t="s">
        <v>646</v>
      </c>
      <c r="J99" t="s">
        <v>651</v>
      </c>
      <c r="K99" t="s">
        <v>669</v>
      </c>
      <c r="L99" t="s">
        <v>706</v>
      </c>
      <c r="M99" t="s">
        <v>708</v>
      </c>
      <c r="N99" t="s">
        <v>721</v>
      </c>
      <c r="O99" t="s">
        <v>733</v>
      </c>
      <c r="P99" t="str" cm="1">
        <f t="array" ref="P99">_xlfn.IFS(S99&lt;=PERCENTILE($S$2:$S$1000, 0.33), "Low", S99&lt;=PERCENTILE($S$2:$S$1000, 0.66), "Medium", TRUE, "High")</f>
        <v>High</v>
      </c>
      <c r="Q99" t="s">
        <v>831</v>
      </c>
      <c r="R99" s="10">
        <v>1227.08</v>
      </c>
      <c r="S99" s="10">
        <v>1896.62</v>
      </c>
      <c r="T99" s="8">
        <v>0</v>
      </c>
      <c r="U99" s="12">
        <f t="shared" si="30"/>
        <v>0</v>
      </c>
      <c r="V99" s="6">
        <v>18</v>
      </c>
      <c r="W99" t="str">
        <f t="shared" si="20"/>
        <v>sus</v>
      </c>
      <c r="X99">
        <f t="shared" si="21"/>
        <v>-2</v>
      </c>
      <c r="Y99">
        <f t="shared" si="31"/>
        <v>2</v>
      </c>
      <c r="Z99" s="10">
        <f t="shared" si="32"/>
        <v>34139.159999999996</v>
      </c>
      <c r="AA99" s="10">
        <f t="shared" si="33"/>
        <v>22087.439999999999</v>
      </c>
      <c r="AB99" s="10">
        <f t="shared" si="34"/>
        <v>12051.719999999998</v>
      </c>
      <c r="AC99" s="10">
        <f t="shared" si="22"/>
        <v>606.37750000000005</v>
      </c>
      <c r="AD99" s="10">
        <f t="shared" si="23"/>
        <v>1193.865</v>
      </c>
      <c r="AE99" s="10">
        <f t="shared" si="24"/>
        <v>1912.0450000000001</v>
      </c>
      <c r="AF99" s="10" t="str">
        <f t="shared" si="25"/>
        <v>Low</v>
      </c>
      <c r="AG99" s="6">
        <f t="shared" si="35"/>
        <v>0.353017473189147</v>
      </c>
      <c r="AH99" s="4">
        <f t="shared" si="36"/>
        <v>44941</v>
      </c>
      <c r="AI99" t="str">
        <f t="shared" si="37"/>
        <v>Jan-2023</v>
      </c>
    </row>
    <row r="100" spans="1:35" x14ac:dyDescent="0.25">
      <c r="A100" t="s">
        <v>113</v>
      </c>
      <c r="B100" s="4">
        <v>45860</v>
      </c>
      <c r="C100" s="4" t="str">
        <f t="shared" si="26"/>
        <v>Q3-2025</v>
      </c>
      <c r="D100" s="4" t="str">
        <f t="shared" si="27"/>
        <v>Jul-2025</v>
      </c>
      <c r="E100" s="4">
        <v>45887</v>
      </c>
      <c r="F100" s="12">
        <f t="shared" si="28"/>
        <v>27</v>
      </c>
      <c r="G100" s="12">
        <f t="shared" si="19"/>
        <v>0</v>
      </c>
      <c r="H100" s="4">
        <f t="shared" si="29"/>
        <v>45887</v>
      </c>
      <c r="I100" t="s">
        <v>647</v>
      </c>
      <c r="J100" t="s">
        <v>659</v>
      </c>
      <c r="K100" t="s">
        <v>676</v>
      </c>
      <c r="L100" t="s">
        <v>703</v>
      </c>
      <c r="M100" t="s">
        <v>709</v>
      </c>
      <c r="N100" t="s">
        <v>724</v>
      </c>
      <c r="O100" t="s">
        <v>729</v>
      </c>
      <c r="P100" t="str" cm="1">
        <f t="array" ref="P100">_xlfn.IFS(S100&lt;=PERCENTILE($S$2:$S$1000, 0.33), "Low", S100&lt;=PERCENTILE($S$2:$S$1000, 0.66), "Medium", TRUE, "High")</f>
        <v>Low</v>
      </c>
      <c r="Q100" t="s">
        <v>832</v>
      </c>
      <c r="R100" s="10">
        <v>547.32000000000005</v>
      </c>
      <c r="S100" s="10">
        <v>419.17</v>
      </c>
      <c r="T100" s="8">
        <v>9.1999999999999998E-2</v>
      </c>
      <c r="U100" s="12">
        <f t="shared" si="30"/>
        <v>0</v>
      </c>
      <c r="V100" s="6">
        <v>14</v>
      </c>
      <c r="W100" t="str">
        <f t="shared" si="20"/>
        <v>ok</v>
      </c>
      <c r="X100">
        <f t="shared" si="21"/>
        <v>27</v>
      </c>
      <c r="Y100">
        <f t="shared" si="31"/>
        <v>27</v>
      </c>
      <c r="Z100" s="10">
        <f t="shared" si="32"/>
        <v>5328.4890400000004</v>
      </c>
      <c r="AA100" s="10">
        <f t="shared" si="33"/>
        <v>7662.4800000000005</v>
      </c>
      <c r="AB100" s="10">
        <f t="shared" si="34"/>
        <v>-2333.9909600000001</v>
      </c>
      <c r="AC100" s="10">
        <f t="shared" si="22"/>
        <v>606.37750000000005</v>
      </c>
      <c r="AD100" s="10">
        <f t="shared" si="23"/>
        <v>1193.865</v>
      </c>
      <c r="AE100" s="10">
        <f t="shared" si="24"/>
        <v>1912.0450000000001</v>
      </c>
      <c r="AF100" s="10" t="str">
        <f t="shared" si="25"/>
        <v>Medium</v>
      </c>
      <c r="AG100" s="6">
        <f t="shared" si="35"/>
        <v>-0.43802116181137907</v>
      </c>
      <c r="AH100" s="4">
        <f t="shared" si="36"/>
        <v>44938</v>
      </c>
      <c r="AI100" t="str">
        <f t="shared" si="37"/>
        <v>Jan-2023</v>
      </c>
    </row>
    <row r="101" spans="1:35" x14ac:dyDescent="0.25">
      <c r="A101" t="s">
        <v>114</v>
      </c>
      <c r="B101" s="4">
        <v>44985</v>
      </c>
      <c r="C101" s="4" t="str">
        <f t="shared" si="26"/>
        <v>Q1-2023</v>
      </c>
      <c r="D101" s="4" t="str">
        <f t="shared" si="27"/>
        <v>Feb-2023</v>
      </c>
      <c r="E101" s="4">
        <v>45005</v>
      </c>
      <c r="F101" s="12">
        <f t="shared" si="28"/>
        <v>20</v>
      </c>
      <c r="G101" s="12">
        <f t="shared" si="19"/>
        <v>0</v>
      </c>
      <c r="H101" s="4">
        <f t="shared" si="29"/>
        <v>45005</v>
      </c>
      <c r="I101" t="s">
        <v>649</v>
      </c>
      <c r="J101" t="s">
        <v>656</v>
      </c>
      <c r="K101" t="s">
        <v>671</v>
      </c>
      <c r="L101" t="s">
        <v>705</v>
      </c>
      <c r="M101" t="s">
        <v>711</v>
      </c>
      <c r="N101" t="s">
        <v>722</v>
      </c>
      <c r="O101" t="s">
        <v>731</v>
      </c>
      <c r="P101" t="str" cm="1">
        <f t="array" ref="P101">_xlfn.IFS(S101&lt;=PERCENTILE($S$2:$S$1000, 0.33), "Low", S101&lt;=PERCENTILE($S$2:$S$1000, 0.66), "Medium", TRUE, "High")</f>
        <v>High</v>
      </c>
      <c r="Q101" t="s">
        <v>833</v>
      </c>
      <c r="R101" s="10">
        <v>1200.78</v>
      </c>
      <c r="S101" s="10">
        <v>2001.17</v>
      </c>
      <c r="T101" s="8">
        <v>0.29199999999999998</v>
      </c>
      <c r="U101" s="12">
        <f t="shared" si="30"/>
        <v>1</v>
      </c>
      <c r="V101" s="6">
        <v>18</v>
      </c>
      <c r="W101" t="str">
        <f t="shared" si="20"/>
        <v>ok</v>
      </c>
      <c r="X101">
        <f t="shared" si="21"/>
        <v>20</v>
      </c>
      <c r="Y101">
        <f t="shared" si="31"/>
        <v>20</v>
      </c>
      <c r="Z101" s="10">
        <f t="shared" si="32"/>
        <v>25502.910479999999</v>
      </c>
      <c r="AA101" s="10">
        <f t="shared" si="33"/>
        <v>21614.04</v>
      </c>
      <c r="AB101" s="10">
        <f t="shared" si="34"/>
        <v>3888.8704799999978</v>
      </c>
      <c r="AC101" s="10">
        <f t="shared" si="22"/>
        <v>606.37750000000005</v>
      </c>
      <c r="AD101" s="10">
        <f t="shared" si="23"/>
        <v>1193.865</v>
      </c>
      <c r="AE101" s="10">
        <f t="shared" si="24"/>
        <v>1912.0450000000001</v>
      </c>
      <c r="AF101" s="10" t="str">
        <f t="shared" si="25"/>
        <v>Low</v>
      </c>
      <c r="AG101" s="6">
        <f t="shared" si="35"/>
        <v>0.15248732034132906</v>
      </c>
      <c r="AH101" s="4">
        <f t="shared" si="36"/>
        <v>44948</v>
      </c>
      <c r="AI101" t="str">
        <f t="shared" si="37"/>
        <v>Jan-2023</v>
      </c>
    </row>
    <row r="102" spans="1:35" x14ac:dyDescent="0.25">
      <c r="A102" t="s">
        <v>115</v>
      </c>
      <c r="B102" s="4">
        <v>45684</v>
      </c>
      <c r="C102" s="4" t="str">
        <f t="shared" si="26"/>
        <v>Q1-2025</v>
      </c>
      <c r="D102" s="4" t="str">
        <f t="shared" si="27"/>
        <v>Jan-2025</v>
      </c>
      <c r="E102" s="4">
        <v>45703</v>
      </c>
      <c r="F102" s="12">
        <f t="shared" si="28"/>
        <v>19</v>
      </c>
      <c r="G102" s="12">
        <f t="shared" si="19"/>
        <v>0</v>
      </c>
      <c r="H102" s="4">
        <f t="shared" si="29"/>
        <v>45703</v>
      </c>
      <c r="I102" t="s">
        <v>647</v>
      </c>
      <c r="J102" t="s">
        <v>659</v>
      </c>
      <c r="K102" t="s">
        <v>676</v>
      </c>
      <c r="L102" t="s">
        <v>703</v>
      </c>
      <c r="M102" t="s">
        <v>711</v>
      </c>
      <c r="N102" t="s">
        <v>716</v>
      </c>
      <c r="O102" t="s">
        <v>730</v>
      </c>
      <c r="P102" t="str" cm="1">
        <f t="array" ref="P102">_xlfn.IFS(S102&lt;=PERCENTILE($S$2:$S$1000, 0.33), "Low", S102&lt;=PERCENTILE($S$2:$S$1000, 0.66), "Medium", TRUE, "High")</f>
        <v>High</v>
      </c>
      <c r="Q102" t="s">
        <v>834</v>
      </c>
      <c r="R102" s="10">
        <v>1253.22</v>
      </c>
      <c r="S102" s="10">
        <v>3104.71</v>
      </c>
      <c r="T102" s="8">
        <v>0</v>
      </c>
      <c r="U102" s="12">
        <f t="shared" si="30"/>
        <v>0</v>
      </c>
      <c r="V102" s="6">
        <v>17</v>
      </c>
      <c r="W102" t="str">
        <f t="shared" si="20"/>
        <v>ok</v>
      </c>
      <c r="X102">
        <f t="shared" si="21"/>
        <v>19</v>
      </c>
      <c r="Y102">
        <f t="shared" si="31"/>
        <v>19</v>
      </c>
      <c r="Z102" s="10">
        <f t="shared" si="32"/>
        <v>52780.07</v>
      </c>
      <c r="AA102" s="10">
        <f t="shared" si="33"/>
        <v>21304.74</v>
      </c>
      <c r="AB102" s="10">
        <f t="shared" si="34"/>
        <v>31475.329999999998</v>
      </c>
      <c r="AC102" s="10">
        <f t="shared" si="22"/>
        <v>606.37750000000005</v>
      </c>
      <c r="AD102" s="10">
        <f t="shared" si="23"/>
        <v>1193.865</v>
      </c>
      <c r="AE102" s="10">
        <f t="shared" si="24"/>
        <v>1912.0450000000001</v>
      </c>
      <c r="AF102" s="10" t="str">
        <f t="shared" si="25"/>
        <v>High</v>
      </c>
      <c r="AG102" s="6">
        <f t="shared" si="35"/>
        <v>0.59634877331538205</v>
      </c>
      <c r="AH102" s="4">
        <f t="shared" si="36"/>
        <v>44938</v>
      </c>
      <c r="AI102" t="str">
        <f t="shared" si="37"/>
        <v>Jan-2023</v>
      </c>
    </row>
    <row r="103" spans="1:35" x14ac:dyDescent="0.25">
      <c r="A103" t="s">
        <v>116</v>
      </c>
      <c r="B103" s="4">
        <v>45304</v>
      </c>
      <c r="C103" s="4" t="str">
        <f t="shared" si="26"/>
        <v>Q1-2024</v>
      </c>
      <c r="D103" s="4" t="str">
        <f t="shared" si="27"/>
        <v>Jan-2024</v>
      </c>
      <c r="E103" s="4">
        <v>45313</v>
      </c>
      <c r="F103" s="12">
        <f t="shared" si="28"/>
        <v>9</v>
      </c>
      <c r="G103" s="12">
        <f t="shared" si="19"/>
        <v>0</v>
      </c>
      <c r="H103" s="4">
        <f t="shared" si="29"/>
        <v>45313</v>
      </c>
      <c r="I103" t="s">
        <v>647</v>
      </c>
      <c r="J103" t="s">
        <v>654</v>
      </c>
      <c r="K103" t="s">
        <v>691</v>
      </c>
      <c r="L103" t="s">
        <v>706</v>
      </c>
      <c r="M103" t="s">
        <v>709</v>
      </c>
      <c r="N103" t="s">
        <v>713</v>
      </c>
      <c r="O103" t="s">
        <v>727</v>
      </c>
      <c r="P103" t="str" cm="1">
        <f t="array" ref="P103">_xlfn.IFS(S103&lt;=PERCENTILE($S$2:$S$1000, 0.33), "Low", S103&lt;=PERCENTILE($S$2:$S$1000, 0.66), "Medium", TRUE, "High")</f>
        <v>Low</v>
      </c>
      <c r="Q103" t="s">
        <v>835</v>
      </c>
      <c r="R103" s="10">
        <v>313.60000000000002</v>
      </c>
      <c r="S103" s="10">
        <v>334.28</v>
      </c>
      <c r="T103" s="8">
        <v>0.14000000000000001</v>
      </c>
      <c r="U103" s="12">
        <f t="shared" si="30"/>
        <v>0</v>
      </c>
      <c r="V103" s="6">
        <v>22</v>
      </c>
      <c r="W103" t="str">
        <f t="shared" si="20"/>
        <v>ok</v>
      </c>
      <c r="X103">
        <f t="shared" si="21"/>
        <v>9</v>
      </c>
      <c r="Y103">
        <f t="shared" si="31"/>
        <v>9</v>
      </c>
      <c r="Z103" s="10">
        <f t="shared" si="32"/>
        <v>6324.5775999999996</v>
      </c>
      <c r="AA103" s="10">
        <f t="shared" si="33"/>
        <v>6899.2000000000007</v>
      </c>
      <c r="AB103" s="10">
        <f t="shared" si="34"/>
        <v>-574.62240000000111</v>
      </c>
      <c r="AC103" s="10">
        <f t="shared" si="22"/>
        <v>606.37750000000005</v>
      </c>
      <c r="AD103" s="10">
        <f t="shared" si="23"/>
        <v>1193.865</v>
      </c>
      <c r="AE103" s="10">
        <f t="shared" si="24"/>
        <v>1912.0450000000001</v>
      </c>
      <c r="AF103" s="10" t="str">
        <f t="shared" si="25"/>
        <v>High</v>
      </c>
      <c r="AG103" s="6">
        <f t="shared" si="35"/>
        <v>-9.0855458868905517E-2</v>
      </c>
      <c r="AH103" s="4">
        <f t="shared" si="36"/>
        <v>44955</v>
      </c>
      <c r="AI103" t="str">
        <f t="shared" si="37"/>
        <v>Jan-2023</v>
      </c>
    </row>
    <row r="104" spans="1:35" x14ac:dyDescent="0.25">
      <c r="A104" t="s">
        <v>117</v>
      </c>
      <c r="B104" s="4">
        <v>45747</v>
      </c>
      <c r="C104" s="4" t="str">
        <f t="shared" si="26"/>
        <v>Q1-2025</v>
      </c>
      <c r="D104" s="4" t="str">
        <f t="shared" si="27"/>
        <v>Mar-2025</v>
      </c>
      <c r="E104" s="4">
        <v>45751</v>
      </c>
      <c r="F104" s="12">
        <f t="shared" si="28"/>
        <v>4</v>
      </c>
      <c r="G104" s="12">
        <f t="shared" si="19"/>
        <v>1</v>
      </c>
      <c r="H104" s="4">
        <f t="shared" si="29"/>
        <v>45751</v>
      </c>
      <c r="I104" t="s">
        <v>646</v>
      </c>
      <c r="J104" t="s">
        <v>650</v>
      </c>
      <c r="K104" t="s">
        <v>678</v>
      </c>
      <c r="L104" t="s">
        <v>701</v>
      </c>
      <c r="M104" t="s">
        <v>711</v>
      </c>
      <c r="N104" t="s">
        <v>712</v>
      </c>
      <c r="O104" t="s">
        <v>731</v>
      </c>
      <c r="P104" t="str" cm="1">
        <f t="array" ref="P104">_xlfn.IFS(S104&lt;=PERCENTILE($S$2:$S$1000, 0.33), "Low", S104&lt;=PERCENTILE($S$2:$S$1000, 0.66), "Medium", TRUE, "High")</f>
        <v>High</v>
      </c>
      <c r="Q104" t="s">
        <v>836</v>
      </c>
      <c r="R104" s="10">
        <v>862.08</v>
      </c>
      <c r="S104" s="10">
        <v>1952.83</v>
      </c>
      <c r="T104" s="8">
        <v>0</v>
      </c>
      <c r="U104" s="12">
        <f t="shared" si="30"/>
        <v>0</v>
      </c>
      <c r="V104" s="6">
        <v>7</v>
      </c>
      <c r="W104" t="str">
        <f t="shared" si="20"/>
        <v>ok</v>
      </c>
      <c r="X104">
        <f t="shared" si="21"/>
        <v>4</v>
      </c>
      <c r="Y104">
        <f t="shared" si="31"/>
        <v>4</v>
      </c>
      <c r="Z104" s="10">
        <f t="shared" si="32"/>
        <v>13669.81</v>
      </c>
      <c r="AA104" s="10">
        <f t="shared" si="33"/>
        <v>6034.56</v>
      </c>
      <c r="AB104" s="10">
        <f t="shared" si="34"/>
        <v>7635.2499999999991</v>
      </c>
      <c r="AC104" s="10">
        <f t="shared" si="22"/>
        <v>606.37750000000005</v>
      </c>
      <c r="AD104" s="10">
        <f t="shared" si="23"/>
        <v>1193.865</v>
      </c>
      <c r="AE104" s="10">
        <f t="shared" si="24"/>
        <v>1912.0450000000001</v>
      </c>
      <c r="AF104" s="10" t="str">
        <f t="shared" si="25"/>
        <v>Low</v>
      </c>
      <c r="AG104" s="6">
        <f t="shared" si="35"/>
        <v>0.5585483631447693</v>
      </c>
      <c r="AH104" s="4">
        <f t="shared" si="36"/>
        <v>44946</v>
      </c>
      <c r="AI104" t="str">
        <f t="shared" si="37"/>
        <v>Jan-2023</v>
      </c>
    </row>
    <row r="105" spans="1:35" x14ac:dyDescent="0.25">
      <c r="A105" t="s">
        <v>118</v>
      </c>
      <c r="B105" s="4">
        <v>45631</v>
      </c>
      <c r="C105" s="4" t="str">
        <f t="shared" si="26"/>
        <v>Q4-2024</v>
      </c>
      <c r="D105" s="4" t="str">
        <f t="shared" si="27"/>
        <v>Dec-2024</v>
      </c>
      <c r="E105" s="4">
        <v>45654</v>
      </c>
      <c r="F105" s="12">
        <f t="shared" si="28"/>
        <v>23</v>
      </c>
      <c r="G105" s="12">
        <f t="shared" si="19"/>
        <v>0</v>
      </c>
      <c r="H105" s="4">
        <f t="shared" si="29"/>
        <v>45654</v>
      </c>
      <c r="I105" t="s">
        <v>648</v>
      </c>
      <c r="J105" t="s">
        <v>653</v>
      </c>
      <c r="K105" t="s">
        <v>688</v>
      </c>
      <c r="L105" t="s">
        <v>701</v>
      </c>
      <c r="M105" t="s">
        <v>711</v>
      </c>
      <c r="N105" t="s">
        <v>721</v>
      </c>
      <c r="O105" t="s">
        <v>733</v>
      </c>
      <c r="P105" t="str" cm="1">
        <f t="array" ref="P105">_xlfn.IFS(S105&lt;=PERCENTILE($S$2:$S$1000, 0.33), "Low", S105&lt;=PERCENTILE($S$2:$S$1000, 0.66), "Medium", TRUE, "High")</f>
        <v>Low</v>
      </c>
      <c r="Q105" t="s">
        <v>837</v>
      </c>
      <c r="R105" s="10">
        <v>107.03</v>
      </c>
      <c r="S105" s="10">
        <v>242.29</v>
      </c>
      <c r="T105" s="8">
        <v>0.18</v>
      </c>
      <c r="U105" s="12">
        <f t="shared" si="30"/>
        <v>0</v>
      </c>
      <c r="V105" s="6">
        <v>30</v>
      </c>
      <c r="W105" t="str">
        <f t="shared" si="20"/>
        <v>ok</v>
      </c>
      <c r="X105">
        <f t="shared" si="21"/>
        <v>23</v>
      </c>
      <c r="Y105">
        <f t="shared" si="31"/>
        <v>23</v>
      </c>
      <c r="Z105" s="10">
        <f t="shared" si="32"/>
        <v>5960.3340000000007</v>
      </c>
      <c r="AA105" s="10">
        <f t="shared" si="33"/>
        <v>3210.9</v>
      </c>
      <c r="AB105" s="10">
        <f t="shared" si="34"/>
        <v>2749.4340000000007</v>
      </c>
      <c r="AC105" s="10">
        <f t="shared" si="22"/>
        <v>606.37750000000005</v>
      </c>
      <c r="AD105" s="10">
        <f t="shared" si="23"/>
        <v>1193.865</v>
      </c>
      <c r="AE105" s="10">
        <f t="shared" si="24"/>
        <v>1912.0450000000001</v>
      </c>
      <c r="AF105" s="10" t="str">
        <f t="shared" si="25"/>
        <v>High</v>
      </c>
      <c r="AG105" s="6">
        <f t="shared" si="35"/>
        <v>0.46128857879440988</v>
      </c>
      <c r="AH105" s="4">
        <f t="shared" si="36"/>
        <v>44928</v>
      </c>
      <c r="AI105" t="str">
        <f t="shared" si="37"/>
        <v>Jan-2023</v>
      </c>
    </row>
    <row r="106" spans="1:35" x14ac:dyDescent="0.25">
      <c r="A106" t="s">
        <v>119</v>
      </c>
      <c r="B106" s="4">
        <v>45549</v>
      </c>
      <c r="C106" s="4" t="str">
        <f t="shared" si="26"/>
        <v>Q3-2024</v>
      </c>
      <c r="D106" s="4" t="str">
        <f t="shared" si="27"/>
        <v>Sept-2024</v>
      </c>
      <c r="E106" s="4">
        <v>45570</v>
      </c>
      <c r="F106" s="12">
        <f t="shared" si="28"/>
        <v>21</v>
      </c>
      <c r="G106" s="12">
        <f t="shared" si="19"/>
        <v>0</v>
      </c>
      <c r="H106" s="4">
        <f t="shared" si="29"/>
        <v>45570</v>
      </c>
      <c r="I106" t="s">
        <v>647</v>
      </c>
      <c r="J106" t="s">
        <v>659</v>
      </c>
      <c r="K106" t="s">
        <v>685</v>
      </c>
      <c r="L106" t="s">
        <v>705</v>
      </c>
      <c r="M106" t="s">
        <v>708</v>
      </c>
      <c r="N106" t="s">
        <v>722</v>
      </c>
      <c r="O106" t="s">
        <v>731</v>
      </c>
      <c r="P106" t="str" cm="1">
        <f t="array" ref="P106">_xlfn.IFS(S106&lt;=PERCENTILE($S$2:$S$1000, 0.33), "Low", S106&lt;=PERCENTILE($S$2:$S$1000, 0.66), "Medium", TRUE, "High")</f>
        <v>High</v>
      </c>
      <c r="Q106" t="s">
        <v>838</v>
      </c>
      <c r="R106" s="10">
        <v>1405.56</v>
      </c>
      <c r="S106" s="10">
        <v>2968.87</v>
      </c>
      <c r="T106" s="8">
        <v>0.16900000000000001</v>
      </c>
      <c r="U106" s="12">
        <f t="shared" si="30"/>
        <v>0</v>
      </c>
      <c r="V106" s="6">
        <v>5</v>
      </c>
      <c r="W106" t="str">
        <f t="shared" si="20"/>
        <v>ok</v>
      </c>
      <c r="X106">
        <f t="shared" si="21"/>
        <v>21</v>
      </c>
      <c r="Y106">
        <f t="shared" si="31"/>
        <v>21</v>
      </c>
      <c r="Z106" s="10">
        <f t="shared" si="32"/>
        <v>12335.654849999999</v>
      </c>
      <c r="AA106" s="10">
        <f t="shared" si="33"/>
        <v>7027.7999999999993</v>
      </c>
      <c r="AB106" s="10">
        <f t="shared" si="34"/>
        <v>5307.8548499999997</v>
      </c>
      <c r="AC106" s="10">
        <f t="shared" si="22"/>
        <v>606.37750000000005</v>
      </c>
      <c r="AD106" s="10">
        <f t="shared" si="23"/>
        <v>1193.865</v>
      </c>
      <c r="AE106" s="10">
        <f t="shared" si="24"/>
        <v>1912.0450000000001</v>
      </c>
      <c r="AF106" s="10" t="str">
        <f t="shared" si="25"/>
        <v>Low</v>
      </c>
      <c r="AG106" s="6">
        <f t="shared" si="35"/>
        <v>0.4302856163327235</v>
      </c>
      <c r="AH106" s="4">
        <f t="shared" si="36"/>
        <v>44938</v>
      </c>
      <c r="AI106" t="str">
        <f t="shared" si="37"/>
        <v>Jan-2023</v>
      </c>
    </row>
    <row r="107" spans="1:35" x14ac:dyDescent="0.25">
      <c r="A107" t="s">
        <v>120</v>
      </c>
      <c r="B107" s="4">
        <v>45433</v>
      </c>
      <c r="C107" s="4" t="str">
        <f t="shared" si="26"/>
        <v>Q2-2024</v>
      </c>
      <c r="D107" s="4" t="str">
        <f t="shared" si="27"/>
        <v>May-2024</v>
      </c>
      <c r="E107" s="4">
        <v>45439</v>
      </c>
      <c r="F107" s="12">
        <f t="shared" si="28"/>
        <v>6</v>
      </c>
      <c r="G107" s="12">
        <f t="shared" si="19"/>
        <v>1</v>
      </c>
      <c r="H107" s="4">
        <f t="shared" si="29"/>
        <v>45439</v>
      </c>
      <c r="I107" t="s">
        <v>646</v>
      </c>
      <c r="J107" t="s">
        <v>661</v>
      </c>
      <c r="K107" t="s">
        <v>682</v>
      </c>
      <c r="L107" t="s">
        <v>703</v>
      </c>
      <c r="M107" t="s">
        <v>708</v>
      </c>
      <c r="N107" t="s">
        <v>724</v>
      </c>
      <c r="O107" t="s">
        <v>727</v>
      </c>
      <c r="P107" t="str" cm="1">
        <f t="array" ref="P107">_xlfn.IFS(S107&lt;=PERCENTILE($S$2:$S$1000, 0.33), "Low", S107&lt;=PERCENTILE($S$2:$S$1000, 0.66), "Medium", TRUE, "High")</f>
        <v>Medium</v>
      </c>
      <c r="Q107" t="s">
        <v>839</v>
      </c>
      <c r="R107" s="10">
        <v>1157.51</v>
      </c>
      <c r="S107" s="10">
        <v>1394.3</v>
      </c>
      <c r="T107" s="8">
        <v>0.27800000000000002</v>
      </c>
      <c r="U107" s="12">
        <f t="shared" si="30"/>
        <v>1</v>
      </c>
      <c r="V107" s="6">
        <v>12</v>
      </c>
      <c r="W107" t="str">
        <f t="shared" si="20"/>
        <v>ok</v>
      </c>
      <c r="X107">
        <f t="shared" si="21"/>
        <v>6</v>
      </c>
      <c r="Y107">
        <f t="shared" si="31"/>
        <v>6</v>
      </c>
      <c r="Z107" s="10">
        <f t="shared" si="32"/>
        <v>12080.215199999999</v>
      </c>
      <c r="AA107" s="10">
        <f t="shared" si="33"/>
        <v>13890.119999999999</v>
      </c>
      <c r="AB107" s="10">
        <f t="shared" si="34"/>
        <v>-1809.9048000000003</v>
      </c>
      <c r="AC107" s="10">
        <f t="shared" si="22"/>
        <v>606.37750000000005</v>
      </c>
      <c r="AD107" s="10">
        <f t="shared" si="23"/>
        <v>1193.865</v>
      </c>
      <c r="AE107" s="10">
        <f t="shared" si="24"/>
        <v>1912.0450000000001</v>
      </c>
      <c r="AF107" s="10" t="str">
        <f t="shared" si="25"/>
        <v>High</v>
      </c>
      <c r="AG107" s="6">
        <f t="shared" si="35"/>
        <v>-0.14982388724333326</v>
      </c>
      <c r="AH107" s="4">
        <f t="shared" si="36"/>
        <v>44933</v>
      </c>
      <c r="AI107" t="str">
        <f t="shared" si="37"/>
        <v>Jan-2023</v>
      </c>
    </row>
    <row r="108" spans="1:35" x14ac:dyDescent="0.25">
      <c r="A108" t="s">
        <v>121</v>
      </c>
      <c r="B108" s="4">
        <v>45057</v>
      </c>
      <c r="C108" s="4" t="str">
        <f t="shared" si="26"/>
        <v>Q2-2023</v>
      </c>
      <c r="D108" s="4" t="str">
        <f t="shared" si="27"/>
        <v>May-2023</v>
      </c>
      <c r="E108" s="4">
        <v>45084</v>
      </c>
      <c r="F108" s="12">
        <f t="shared" si="28"/>
        <v>27</v>
      </c>
      <c r="G108" s="12">
        <f t="shared" si="19"/>
        <v>0</v>
      </c>
      <c r="H108" s="4">
        <f t="shared" si="29"/>
        <v>45084</v>
      </c>
      <c r="I108" t="s">
        <v>646</v>
      </c>
      <c r="J108" t="s">
        <v>650</v>
      </c>
      <c r="K108" t="s">
        <v>675</v>
      </c>
      <c r="L108" t="s">
        <v>701</v>
      </c>
      <c r="M108" t="s">
        <v>708</v>
      </c>
      <c r="N108" t="s">
        <v>713</v>
      </c>
      <c r="O108" t="s">
        <v>730</v>
      </c>
      <c r="P108" t="str" cm="1">
        <f t="array" ref="P108">_xlfn.IFS(S108&lt;=PERCENTILE($S$2:$S$1000, 0.33), "Low", S108&lt;=PERCENTILE($S$2:$S$1000, 0.66), "Medium", TRUE, "High")</f>
        <v>Low</v>
      </c>
      <c r="Q108" t="s">
        <v>840</v>
      </c>
      <c r="R108" s="10">
        <v>12.85</v>
      </c>
      <c r="S108" s="10">
        <v>15.41</v>
      </c>
      <c r="T108" s="8">
        <v>0.13700000000000001</v>
      </c>
      <c r="U108" s="12">
        <f t="shared" si="30"/>
        <v>0</v>
      </c>
      <c r="V108" s="6">
        <v>39</v>
      </c>
      <c r="W108" t="str">
        <f t="shared" si="20"/>
        <v>ok</v>
      </c>
      <c r="X108">
        <f t="shared" si="21"/>
        <v>27</v>
      </c>
      <c r="Y108">
        <f t="shared" si="31"/>
        <v>27</v>
      </c>
      <c r="Z108" s="10">
        <f t="shared" si="32"/>
        <v>518.65436999999997</v>
      </c>
      <c r="AA108" s="10">
        <f t="shared" si="33"/>
        <v>501.15</v>
      </c>
      <c r="AB108" s="10">
        <f t="shared" si="34"/>
        <v>17.504369999999994</v>
      </c>
      <c r="AC108" s="10">
        <f t="shared" si="22"/>
        <v>606.37750000000005</v>
      </c>
      <c r="AD108" s="10">
        <f t="shared" si="23"/>
        <v>1193.865</v>
      </c>
      <c r="AE108" s="10">
        <f t="shared" si="24"/>
        <v>1912.0450000000001</v>
      </c>
      <c r="AF108" s="10" t="str">
        <f t="shared" si="25"/>
        <v>Medium</v>
      </c>
      <c r="AG108" s="6">
        <f t="shared" si="35"/>
        <v>3.3749585489851353E-2</v>
      </c>
      <c r="AH108" s="4">
        <f t="shared" si="36"/>
        <v>44946</v>
      </c>
      <c r="AI108" t="str">
        <f t="shared" si="37"/>
        <v>Jan-2023</v>
      </c>
    </row>
    <row r="109" spans="1:35" x14ac:dyDescent="0.25">
      <c r="A109" t="s">
        <v>122</v>
      </c>
      <c r="B109" s="4">
        <v>45518</v>
      </c>
      <c r="C109" s="4" t="str">
        <f t="shared" si="26"/>
        <v>Q3-2024</v>
      </c>
      <c r="D109" s="4" t="str">
        <f t="shared" si="27"/>
        <v>Aug-2024</v>
      </c>
      <c r="E109" s="4">
        <v>45539</v>
      </c>
      <c r="F109" s="12">
        <f t="shared" si="28"/>
        <v>21</v>
      </c>
      <c r="G109" s="12">
        <f t="shared" si="19"/>
        <v>0</v>
      </c>
      <c r="H109" s="4">
        <f t="shared" si="29"/>
        <v>45539</v>
      </c>
      <c r="I109" t="s">
        <v>649</v>
      </c>
      <c r="J109" t="s">
        <v>658</v>
      </c>
      <c r="K109" t="s">
        <v>693</v>
      </c>
      <c r="L109" t="s">
        <v>703</v>
      </c>
      <c r="M109" t="s">
        <v>708</v>
      </c>
      <c r="N109" t="s">
        <v>713</v>
      </c>
      <c r="O109" t="s">
        <v>730</v>
      </c>
      <c r="P109" t="str" cm="1">
        <f t="array" ref="P109">_xlfn.IFS(S109&lt;=PERCENTILE($S$2:$S$1000, 0.33), "Low", S109&lt;=PERCENTILE($S$2:$S$1000, 0.66), "Medium", TRUE, "High")</f>
        <v>High</v>
      </c>
      <c r="Q109" t="s">
        <v>841</v>
      </c>
      <c r="R109" s="10">
        <v>1138.8</v>
      </c>
      <c r="S109" s="10">
        <v>2250.81</v>
      </c>
      <c r="T109" s="8">
        <v>0.123</v>
      </c>
      <c r="U109" s="12">
        <f t="shared" si="30"/>
        <v>0</v>
      </c>
      <c r="V109" s="6">
        <v>12</v>
      </c>
      <c r="W109" t="str">
        <f t="shared" si="20"/>
        <v>ok</v>
      </c>
      <c r="X109">
        <f t="shared" si="21"/>
        <v>21</v>
      </c>
      <c r="Y109">
        <f t="shared" si="31"/>
        <v>21</v>
      </c>
      <c r="Z109" s="10">
        <f t="shared" si="32"/>
        <v>23687.524440000001</v>
      </c>
      <c r="AA109" s="10">
        <f t="shared" si="33"/>
        <v>13665.599999999999</v>
      </c>
      <c r="AB109" s="10">
        <f t="shared" si="34"/>
        <v>10021.924440000003</v>
      </c>
      <c r="AC109" s="10">
        <f t="shared" si="22"/>
        <v>606.37750000000005</v>
      </c>
      <c r="AD109" s="10">
        <f t="shared" si="23"/>
        <v>1193.865</v>
      </c>
      <c r="AE109" s="10">
        <f t="shared" si="24"/>
        <v>1912.0450000000001</v>
      </c>
      <c r="AF109" s="10" t="str">
        <f t="shared" si="25"/>
        <v>Low</v>
      </c>
      <c r="AG109" s="6">
        <f t="shared" si="35"/>
        <v>0.42308872188756258</v>
      </c>
      <c r="AH109" s="4">
        <f t="shared" si="36"/>
        <v>44945</v>
      </c>
      <c r="AI109" t="str">
        <f t="shared" si="37"/>
        <v>Jan-2023</v>
      </c>
    </row>
    <row r="110" spans="1:35" x14ac:dyDescent="0.25">
      <c r="A110" t="s">
        <v>123</v>
      </c>
      <c r="B110" s="4">
        <v>45581</v>
      </c>
      <c r="C110" s="4" t="str">
        <f t="shared" si="26"/>
        <v>Q4-2024</v>
      </c>
      <c r="D110" s="4" t="str">
        <f t="shared" si="27"/>
        <v>Oct-2024</v>
      </c>
      <c r="E110" s="4">
        <v>45604</v>
      </c>
      <c r="F110" s="12">
        <f t="shared" si="28"/>
        <v>23</v>
      </c>
      <c r="G110" s="12">
        <f t="shared" si="19"/>
        <v>0</v>
      </c>
      <c r="H110" s="4">
        <f t="shared" si="29"/>
        <v>45604</v>
      </c>
      <c r="I110" t="s">
        <v>647</v>
      </c>
      <c r="J110" t="s">
        <v>652</v>
      </c>
      <c r="K110" t="s">
        <v>666</v>
      </c>
      <c r="L110" t="s">
        <v>705</v>
      </c>
      <c r="M110" t="s">
        <v>707</v>
      </c>
      <c r="N110" t="s">
        <v>713</v>
      </c>
      <c r="O110" t="s">
        <v>729</v>
      </c>
      <c r="P110" t="str" cm="1">
        <f t="array" ref="P110">_xlfn.IFS(S110&lt;=PERCENTILE($S$2:$S$1000, 0.33), "Low", S110&lt;=PERCENTILE($S$2:$S$1000, 0.66), "Medium", TRUE, "High")</f>
        <v>Low</v>
      </c>
      <c r="Q110" t="s">
        <v>842</v>
      </c>
      <c r="R110" s="10">
        <v>82.14</v>
      </c>
      <c r="S110" s="10">
        <v>166.04</v>
      </c>
      <c r="T110" s="8">
        <v>0</v>
      </c>
      <c r="U110" s="12">
        <f t="shared" si="30"/>
        <v>0</v>
      </c>
      <c r="V110" s="6">
        <v>10</v>
      </c>
      <c r="W110" t="str">
        <f t="shared" si="20"/>
        <v>ok</v>
      </c>
      <c r="X110">
        <f t="shared" si="21"/>
        <v>23</v>
      </c>
      <c r="Y110">
        <f t="shared" si="31"/>
        <v>23</v>
      </c>
      <c r="Z110" s="10">
        <f t="shared" si="32"/>
        <v>1660.3999999999999</v>
      </c>
      <c r="AA110" s="10">
        <f t="shared" si="33"/>
        <v>821.4</v>
      </c>
      <c r="AB110" s="10">
        <f t="shared" si="34"/>
        <v>838.99999999999989</v>
      </c>
      <c r="AC110" s="10">
        <f t="shared" si="22"/>
        <v>606.37750000000005</v>
      </c>
      <c r="AD110" s="10">
        <f t="shared" si="23"/>
        <v>1193.865</v>
      </c>
      <c r="AE110" s="10">
        <f t="shared" si="24"/>
        <v>1912.0450000000001</v>
      </c>
      <c r="AF110" s="10" t="str">
        <f t="shared" si="25"/>
        <v>High</v>
      </c>
      <c r="AG110" s="6">
        <f t="shared" si="35"/>
        <v>0.50529992772825827</v>
      </c>
      <c r="AH110" s="4">
        <f t="shared" si="36"/>
        <v>44988</v>
      </c>
      <c r="AI110" t="str">
        <f t="shared" si="37"/>
        <v>Mar-2023</v>
      </c>
    </row>
    <row r="111" spans="1:35" x14ac:dyDescent="0.25">
      <c r="A111" t="s">
        <v>124</v>
      </c>
      <c r="B111" s="4">
        <v>45445</v>
      </c>
      <c r="C111" s="4" t="str">
        <f t="shared" si="26"/>
        <v>Q2-2024</v>
      </c>
      <c r="D111" s="4" t="str">
        <f t="shared" si="27"/>
        <v>Jun-2024</v>
      </c>
      <c r="E111" s="4">
        <v>45451</v>
      </c>
      <c r="F111" s="12">
        <f t="shared" si="28"/>
        <v>6</v>
      </c>
      <c r="G111" s="12">
        <f t="shared" si="19"/>
        <v>1</v>
      </c>
      <c r="H111" s="4">
        <f t="shared" si="29"/>
        <v>45451</v>
      </c>
      <c r="I111" t="s">
        <v>646</v>
      </c>
      <c r="J111" t="s">
        <v>650</v>
      </c>
      <c r="K111" t="s">
        <v>662</v>
      </c>
      <c r="L111" t="s">
        <v>704</v>
      </c>
      <c r="M111" t="s">
        <v>709</v>
      </c>
      <c r="N111" t="s">
        <v>720</v>
      </c>
      <c r="O111" t="s">
        <v>733</v>
      </c>
      <c r="P111" t="str" cm="1">
        <f t="array" ref="P111">_xlfn.IFS(S111&lt;=PERCENTILE($S$2:$S$1000, 0.33), "Low", S111&lt;=PERCENTILE($S$2:$S$1000, 0.66), "Medium", TRUE, "High")</f>
        <v>Low</v>
      </c>
      <c r="Q111" t="s">
        <v>843</v>
      </c>
      <c r="R111" s="10">
        <v>292.94</v>
      </c>
      <c r="S111" s="10">
        <v>356.55</v>
      </c>
      <c r="T111" s="8">
        <v>0.22900000000000001</v>
      </c>
      <c r="U111" s="12">
        <f t="shared" si="30"/>
        <v>1</v>
      </c>
      <c r="V111" s="6">
        <v>2</v>
      </c>
      <c r="W111" t="str">
        <f t="shared" si="20"/>
        <v>ok</v>
      </c>
      <c r="X111">
        <f t="shared" si="21"/>
        <v>6</v>
      </c>
      <c r="Y111">
        <f t="shared" si="31"/>
        <v>6</v>
      </c>
      <c r="Z111" s="10">
        <f t="shared" si="32"/>
        <v>549.80010000000004</v>
      </c>
      <c r="AA111" s="10">
        <f t="shared" si="33"/>
        <v>585.88</v>
      </c>
      <c r="AB111" s="10">
        <f t="shared" si="34"/>
        <v>-36.079899999999952</v>
      </c>
      <c r="AC111" s="10">
        <f t="shared" si="22"/>
        <v>606.37750000000005</v>
      </c>
      <c r="AD111" s="10">
        <f t="shared" si="23"/>
        <v>1193.865</v>
      </c>
      <c r="AE111" s="10">
        <f t="shared" si="24"/>
        <v>1912.0450000000001</v>
      </c>
      <c r="AF111" s="10" t="str">
        <f t="shared" si="25"/>
        <v>Low</v>
      </c>
      <c r="AG111" s="6">
        <f t="shared" si="35"/>
        <v>-6.5623669402751925E-2</v>
      </c>
      <c r="AH111" s="4">
        <f t="shared" si="36"/>
        <v>44946</v>
      </c>
      <c r="AI111" t="str">
        <f t="shared" si="37"/>
        <v>Jan-2023</v>
      </c>
    </row>
    <row r="112" spans="1:35" x14ac:dyDescent="0.25">
      <c r="A112" t="s">
        <v>125</v>
      </c>
      <c r="B112" s="4">
        <v>45452</v>
      </c>
      <c r="C112" s="4" t="str">
        <f t="shared" si="26"/>
        <v>Q2-2024</v>
      </c>
      <c r="D112" s="4" t="str">
        <f t="shared" si="27"/>
        <v>Jun-2024</v>
      </c>
      <c r="E112" s="4">
        <v>45480</v>
      </c>
      <c r="F112" s="12">
        <f t="shared" si="28"/>
        <v>28</v>
      </c>
      <c r="G112" s="12">
        <f t="shared" si="19"/>
        <v>0</v>
      </c>
      <c r="H112" s="4">
        <f t="shared" si="29"/>
        <v>45480</v>
      </c>
      <c r="I112" t="s">
        <v>647</v>
      </c>
      <c r="J112" t="s">
        <v>659</v>
      </c>
      <c r="K112" t="s">
        <v>676</v>
      </c>
      <c r="L112" t="s">
        <v>701</v>
      </c>
      <c r="M112" t="s">
        <v>708</v>
      </c>
      <c r="N112" t="s">
        <v>713</v>
      </c>
      <c r="O112" t="s">
        <v>727</v>
      </c>
      <c r="P112" t="str" cm="1">
        <f t="array" ref="P112">_xlfn.IFS(S112&lt;=PERCENTILE($S$2:$S$1000, 0.33), "Low", S112&lt;=PERCENTILE($S$2:$S$1000, 0.66), "Medium", TRUE, "High")</f>
        <v>Medium</v>
      </c>
      <c r="Q112" t="s">
        <v>844</v>
      </c>
      <c r="R112" s="10">
        <v>550.22</v>
      </c>
      <c r="S112" s="10">
        <v>1025.05</v>
      </c>
      <c r="T112" s="8">
        <v>0</v>
      </c>
      <c r="U112" s="12">
        <f t="shared" si="30"/>
        <v>0</v>
      </c>
      <c r="V112" s="6">
        <v>27</v>
      </c>
      <c r="W112" t="str">
        <f t="shared" si="20"/>
        <v>ok</v>
      </c>
      <c r="X112">
        <f t="shared" si="21"/>
        <v>28</v>
      </c>
      <c r="Y112">
        <f t="shared" si="31"/>
        <v>28</v>
      </c>
      <c r="Z112" s="10">
        <f t="shared" si="32"/>
        <v>27676.35</v>
      </c>
      <c r="AA112" s="10">
        <f t="shared" si="33"/>
        <v>14855.94</v>
      </c>
      <c r="AB112" s="10">
        <f t="shared" si="34"/>
        <v>12820.409999999998</v>
      </c>
      <c r="AC112" s="10">
        <f t="shared" si="22"/>
        <v>606.37750000000005</v>
      </c>
      <c r="AD112" s="10">
        <f t="shared" si="23"/>
        <v>1193.865</v>
      </c>
      <c r="AE112" s="10">
        <f t="shared" si="24"/>
        <v>1912.0450000000001</v>
      </c>
      <c r="AF112" s="10" t="str">
        <f t="shared" si="25"/>
        <v>Low</v>
      </c>
      <c r="AG112" s="6">
        <f t="shared" si="35"/>
        <v>0.46322618408858102</v>
      </c>
      <c r="AH112" s="4">
        <f t="shared" si="36"/>
        <v>44938</v>
      </c>
      <c r="AI112" t="str">
        <f t="shared" si="37"/>
        <v>Jan-2023</v>
      </c>
    </row>
    <row r="113" spans="1:35" x14ac:dyDescent="0.25">
      <c r="A113" t="s">
        <v>126</v>
      </c>
      <c r="B113" s="4">
        <v>45453</v>
      </c>
      <c r="C113" s="4" t="str">
        <f t="shared" si="26"/>
        <v>Q2-2024</v>
      </c>
      <c r="D113" s="4" t="str">
        <f t="shared" si="27"/>
        <v>Jun-2024</v>
      </c>
      <c r="E113" s="4">
        <v>45454</v>
      </c>
      <c r="F113" s="12">
        <f t="shared" si="28"/>
        <v>1</v>
      </c>
      <c r="G113" s="12">
        <f t="shared" si="19"/>
        <v>1</v>
      </c>
      <c r="H113" s="4">
        <f t="shared" si="29"/>
        <v>45454</v>
      </c>
      <c r="I113" t="s">
        <v>649</v>
      </c>
      <c r="J113" t="s">
        <v>658</v>
      </c>
      <c r="K113" t="s">
        <v>674</v>
      </c>
      <c r="L113" t="s">
        <v>705</v>
      </c>
      <c r="M113" t="s">
        <v>709</v>
      </c>
      <c r="N113" t="s">
        <v>724</v>
      </c>
      <c r="O113" t="s">
        <v>731</v>
      </c>
      <c r="P113" t="str" cm="1">
        <f t="array" ref="P113">_xlfn.IFS(S113&lt;=PERCENTILE($S$2:$S$1000, 0.33), "Low", S113&lt;=PERCENTILE($S$2:$S$1000, 0.66), "Medium", TRUE, "High")</f>
        <v>High</v>
      </c>
      <c r="Q113" t="s">
        <v>845</v>
      </c>
      <c r="R113" s="10">
        <v>1187.1300000000001</v>
      </c>
      <c r="S113" s="10">
        <v>1795.17</v>
      </c>
      <c r="T113" s="8">
        <v>1.2E-2</v>
      </c>
      <c r="U113" s="12">
        <f t="shared" si="30"/>
        <v>0</v>
      </c>
      <c r="V113" s="6">
        <v>17</v>
      </c>
      <c r="W113" t="str">
        <f t="shared" si="20"/>
        <v>ok</v>
      </c>
      <c r="X113">
        <f t="shared" si="21"/>
        <v>1</v>
      </c>
      <c r="Y113">
        <f t="shared" si="31"/>
        <v>1</v>
      </c>
      <c r="Z113" s="10">
        <f t="shared" si="32"/>
        <v>30151.675319999998</v>
      </c>
      <c r="AA113" s="10">
        <f t="shared" si="33"/>
        <v>20181.210000000003</v>
      </c>
      <c r="AB113" s="10">
        <f t="shared" si="34"/>
        <v>9970.4653199999957</v>
      </c>
      <c r="AC113" s="10">
        <f t="shared" si="22"/>
        <v>606.37750000000005</v>
      </c>
      <c r="AD113" s="10">
        <f t="shared" si="23"/>
        <v>1193.865</v>
      </c>
      <c r="AE113" s="10">
        <f t="shared" si="24"/>
        <v>1912.0450000000001</v>
      </c>
      <c r="AF113" s="10" t="str">
        <f t="shared" si="25"/>
        <v>Medium</v>
      </c>
      <c r="AG113" s="6">
        <f t="shared" si="35"/>
        <v>0.33067699271046663</v>
      </c>
      <c r="AH113" s="4">
        <f t="shared" si="36"/>
        <v>44945</v>
      </c>
      <c r="AI113" t="str">
        <f t="shared" si="37"/>
        <v>Jan-2023</v>
      </c>
    </row>
    <row r="114" spans="1:35" x14ac:dyDescent="0.25">
      <c r="A114" t="s">
        <v>127</v>
      </c>
      <c r="B114" s="4">
        <v>45472</v>
      </c>
      <c r="C114" s="4" t="str">
        <f t="shared" si="26"/>
        <v>Q2-2024</v>
      </c>
      <c r="D114" s="4" t="str">
        <f t="shared" si="27"/>
        <v>Jun-2024</v>
      </c>
      <c r="E114" s="4">
        <v>45499</v>
      </c>
      <c r="F114" s="12">
        <f t="shared" si="28"/>
        <v>27</v>
      </c>
      <c r="G114" s="12">
        <f t="shared" si="19"/>
        <v>0</v>
      </c>
      <c r="H114" s="4">
        <f t="shared" si="29"/>
        <v>45499</v>
      </c>
      <c r="I114" t="s">
        <v>646</v>
      </c>
      <c r="J114" t="s">
        <v>661</v>
      </c>
      <c r="K114" t="s">
        <v>687</v>
      </c>
      <c r="L114" t="s">
        <v>706</v>
      </c>
      <c r="M114" t="s">
        <v>710</v>
      </c>
      <c r="N114" t="s">
        <v>717</v>
      </c>
      <c r="O114" t="s">
        <v>729</v>
      </c>
      <c r="P114" t="str" cm="1">
        <f t="array" ref="P114">_xlfn.IFS(S114&lt;=PERCENTILE($S$2:$S$1000, 0.33), "Low", S114&lt;=PERCENTILE($S$2:$S$1000, 0.66), "Medium", TRUE, "High")</f>
        <v>Low</v>
      </c>
      <c r="Q114" t="s">
        <v>846</v>
      </c>
      <c r="R114" s="10">
        <v>5.36</v>
      </c>
      <c r="S114" s="10">
        <v>4.37</v>
      </c>
      <c r="T114" s="8">
        <v>0.11799999999999999</v>
      </c>
      <c r="U114" s="12">
        <f t="shared" si="30"/>
        <v>0</v>
      </c>
      <c r="V114" s="6">
        <v>9</v>
      </c>
      <c r="W114" t="str">
        <f t="shared" si="20"/>
        <v>ok</v>
      </c>
      <c r="X114">
        <f t="shared" si="21"/>
        <v>27</v>
      </c>
      <c r="Y114">
        <f t="shared" si="31"/>
        <v>27</v>
      </c>
      <c r="Z114" s="10">
        <f t="shared" si="32"/>
        <v>34.689059999999998</v>
      </c>
      <c r="AA114" s="10">
        <f t="shared" si="33"/>
        <v>48.24</v>
      </c>
      <c r="AB114" s="10">
        <f t="shared" si="34"/>
        <v>-13.550940000000004</v>
      </c>
      <c r="AC114" s="10">
        <f t="shared" si="22"/>
        <v>606.37750000000005</v>
      </c>
      <c r="AD114" s="10">
        <f t="shared" si="23"/>
        <v>1193.865</v>
      </c>
      <c r="AE114" s="10">
        <f t="shared" si="24"/>
        <v>1912.0450000000001</v>
      </c>
      <c r="AF114" s="10" t="str">
        <f t="shared" si="25"/>
        <v>Medium</v>
      </c>
      <c r="AG114" s="6">
        <f t="shared" si="35"/>
        <v>-0.39064016148030545</v>
      </c>
      <c r="AH114" s="4">
        <f t="shared" si="36"/>
        <v>44933</v>
      </c>
      <c r="AI114" t="str">
        <f t="shared" si="37"/>
        <v>Jan-2023</v>
      </c>
    </row>
    <row r="115" spans="1:35" x14ac:dyDescent="0.25">
      <c r="A115" t="s">
        <v>128</v>
      </c>
      <c r="B115" s="4">
        <v>45674</v>
      </c>
      <c r="C115" s="4" t="str">
        <f t="shared" si="26"/>
        <v>Q1-2025</v>
      </c>
      <c r="D115" s="4" t="str">
        <f t="shared" si="27"/>
        <v>Jan-2025</v>
      </c>
      <c r="E115" s="4">
        <v>45681</v>
      </c>
      <c r="F115" s="12">
        <f t="shared" si="28"/>
        <v>7</v>
      </c>
      <c r="G115" s="12">
        <f t="shared" si="19"/>
        <v>1</v>
      </c>
      <c r="H115" s="4">
        <f t="shared" si="29"/>
        <v>45681</v>
      </c>
      <c r="I115" t="s">
        <v>648</v>
      </c>
      <c r="J115" t="s">
        <v>660</v>
      </c>
      <c r="K115" t="s">
        <v>697</v>
      </c>
      <c r="L115" t="s">
        <v>706</v>
      </c>
      <c r="M115" t="s">
        <v>708</v>
      </c>
      <c r="N115" t="s">
        <v>715</v>
      </c>
      <c r="O115" t="s">
        <v>733</v>
      </c>
      <c r="P115" t="str" cm="1">
        <f t="array" ref="P115">_xlfn.IFS(S115&lt;=PERCENTILE($S$2:$S$1000, 0.33), "Low", S115&lt;=PERCENTILE($S$2:$S$1000, 0.66), "Medium", TRUE, "High")</f>
        <v>Low</v>
      </c>
      <c r="Q115" t="s">
        <v>847</v>
      </c>
      <c r="R115" s="10">
        <v>142.09</v>
      </c>
      <c r="S115" s="10">
        <v>218.5</v>
      </c>
      <c r="T115" s="8">
        <v>0.11899999999999999</v>
      </c>
      <c r="U115" s="12">
        <f t="shared" si="30"/>
        <v>0</v>
      </c>
      <c r="V115" s="6">
        <v>11</v>
      </c>
      <c r="W115" t="str">
        <f t="shared" si="20"/>
        <v>ok</v>
      </c>
      <c r="X115">
        <f t="shared" si="21"/>
        <v>7</v>
      </c>
      <c r="Y115">
        <f t="shared" si="31"/>
        <v>7</v>
      </c>
      <c r="Z115" s="10">
        <f t="shared" si="32"/>
        <v>2117.4834999999998</v>
      </c>
      <c r="AA115" s="10">
        <f t="shared" si="33"/>
        <v>1562.99</v>
      </c>
      <c r="AB115" s="10">
        <f t="shared" si="34"/>
        <v>554.49349999999981</v>
      </c>
      <c r="AC115" s="10">
        <f t="shared" si="22"/>
        <v>606.37750000000005</v>
      </c>
      <c r="AD115" s="10">
        <f t="shared" si="23"/>
        <v>1193.865</v>
      </c>
      <c r="AE115" s="10">
        <f t="shared" si="24"/>
        <v>1912.0450000000001</v>
      </c>
      <c r="AF115" s="10" t="str">
        <f t="shared" si="25"/>
        <v>Low</v>
      </c>
      <c r="AG115" s="6">
        <f t="shared" si="35"/>
        <v>0.26186437816398561</v>
      </c>
      <c r="AH115" s="4">
        <f t="shared" si="36"/>
        <v>44939</v>
      </c>
      <c r="AI115" t="str">
        <f t="shared" si="37"/>
        <v>Jan-2023</v>
      </c>
    </row>
    <row r="116" spans="1:35" x14ac:dyDescent="0.25">
      <c r="A116" t="s">
        <v>129</v>
      </c>
      <c r="B116" s="4">
        <v>45250</v>
      </c>
      <c r="C116" s="4" t="str">
        <f t="shared" si="26"/>
        <v>Q4-2023</v>
      </c>
      <c r="D116" s="4" t="str">
        <f t="shared" si="27"/>
        <v>Nov-2023</v>
      </c>
      <c r="E116" s="4">
        <v>45265</v>
      </c>
      <c r="F116" s="12">
        <f t="shared" si="28"/>
        <v>15</v>
      </c>
      <c r="G116" s="12">
        <f t="shared" si="19"/>
        <v>0</v>
      </c>
      <c r="H116" s="4">
        <f t="shared" si="29"/>
        <v>45265</v>
      </c>
      <c r="I116" t="s">
        <v>647</v>
      </c>
      <c r="J116" t="s">
        <v>652</v>
      </c>
      <c r="K116" t="s">
        <v>689</v>
      </c>
      <c r="L116" t="s">
        <v>706</v>
      </c>
      <c r="M116" t="s">
        <v>707</v>
      </c>
      <c r="N116" t="s">
        <v>716</v>
      </c>
      <c r="O116" t="s">
        <v>729</v>
      </c>
      <c r="P116" t="str" cm="1">
        <f t="array" ref="P116">_xlfn.IFS(S116&lt;=PERCENTILE($S$2:$S$1000, 0.33), "Low", S116&lt;=PERCENTILE($S$2:$S$1000, 0.66), "Medium", TRUE, "High")</f>
        <v>Low</v>
      </c>
      <c r="Q116" t="s">
        <v>848</v>
      </c>
      <c r="R116" s="10">
        <v>354.24</v>
      </c>
      <c r="S116" s="10">
        <v>249.87</v>
      </c>
      <c r="T116" s="8">
        <v>0</v>
      </c>
      <c r="U116" s="12">
        <f t="shared" si="30"/>
        <v>0</v>
      </c>
      <c r="V116" s="6">
        <v>6</v>
      </c>
      <c r="W116" t="str">
        <f t="shared" si="20"/>
        <v>ok</v>
      </c>
      <c r="X116">
        <f t="shared" si="21"/>
        <v>15</v>
      </c>
      <c r="Y116">
        <f t="shared" si="31"/>
        <v>15</v>
      </c>
      <c r="Z116" s="10">
        <f t="shared" si="32"/>
        <v>1499.22</v>
      </c>
      <c r="AA116" s="10">
        <f t="shared" si="33"/>
        <v>2125.44</v>
      </c>
      <c r="AB116" s="10">
        <f t="shared" si="34"/>
        <v>-626.22</v>
      </c>
      <c r="AC116" s="10">
        <f t="shared" si="22"/>
        <v>606.37750000000005</v>
      </c>
      <c r="AD116" s="10">
        <f t="shared" si="23"/>
        <v>1193.865</v>
      </c>
      <c r="AE116" s="10">
        <f t="shared" si="24"/>
        <v>1912.0450000000001</v>
      </c>
      <c r="AF116" s="10" t="str">
        <f t="shared" si="25"/>
        <v>Low</v>
      </c>
      <c r="AG116" s="6">
        <f t="shared" si="35"/>
        <v>-0.41769720254532355</v>
      </c>
      <c r="AH116" s="4">
        <f t="shared" si="36"/>
        <v>44988</v>
      </c>
      <c r="AI116" t="str">
        <f t="shared" si="37"/>
        <v>Mar-2023</v>
      </c>
    </row>
    <row r="117" spans="1:35" x14ac:dyDescent="0.25">
      <c r="A117" t="s">
        <v>130</v>
      </c>
      <c r="B117" s="4">
        <v>44987</v>
      </c>
      <c r="C117" s="4" t="str">
        <f t="shared" si="26"/>
        <v>Q1-2023</v>
      </c>
      <c r="D117" s="4" t="str">
        <f t="shared" si="27"/>
        <v>Mar-2023</v>
      </c>
      <c r="E117" s="4">
        <v>44990</v>
      </c>
      <c r="F117" s="12">
        <f t="shared" si="28"/>
        <v>3</v>
      </c>
      <c r="G117" s="12">
        <f t="shared" si="19"/>
        <v>1</v>
      </c>
      <c r="H117" s="4">
        <f t="shared" si="29"/>
        <v>44990</v>
      </c>
      <c r="I117" t="s">
        <v>648</v>
      </c>
      <c r="J117" t="s">
        <v>655</v>
      </c>
      <c r="K117" t="s">
        <v>672</v>
      </c>
      <c r="L117" t="s">
        <v>706</v>
      </c>
      <c r="M117" t="s">
        <v>711</v>
      </c>
      <c r="N117" t="s">
        <v>715</v>
      </c>
      <c r="O117" t="s">
        <v>732</v>
      </c>
      <c r="P117" t="str" cm="1">
        <f t="array" ref="P117">_xlfn.IFS(S117&lt;=PERCENTILE($S$2:$S$1000, 0.33), "Low", S117&lt;=PERCENTILE($S$2:$S$1000, 0.66), "Medium", TRUE, "High")</f>
        <v>High</v>
      </c>
      <c r="Q117" t="s">
        <v>849</v>
      </c>
      <c r="R117" s="10">
        <v>1473.58</v>
      </c>
      <c r="S117" s="10">
        <v>3436.52</v>
      </c>
      <c r="T117" s="8">
        <v>0.108</v>
      </c>
      <c r="U117" s="12">
        <f t="shared" si="30"/>
        <v>0</v>
      </c>
      <c r="V117" s="6">
        <v>8</v>
      </c>
      <c r="W117" t="str">
        <f t="shared" si="20"/>
        <v>ok</v>
      </c>
      <c r="X117">
        <f t="shared" si="21"/>
        <v>3</v>
      </c>
      <c r="Y117">
        <f t="shared" si="31"/>
        <v>3</v>
      </c>
      <c r="Z117" s="10">
        <f t="shared" si="32"/>
        <v>24523.006720000001</v>
      </c>
      <c r="AA117" s="10">
        <f t="shared" si="33"/>
        <v>11788.64</v>
      </c>
      <c r="AB117" s="10">
        <f t="shared" si="34"/>
        <v>12734.366720000002</v>
      </c>
      <c r="AC117" s="10">
        <f t="shared" si="22"/>
        <v>606.37750000000005</v>
      </c>
      <c r="AD117" s="10">
        <f t="shared" si="23"/>
        <v>1193.865</v>
      </c>
      <c r="AE117" s="10">
        <f t="shared" si="24"/>
        <v>1912.0450000000001</v>
      </c>
      <c r="AF117" s="10" t="str">
        <f t="shared" si="25"/>
        <v>Low</v>
      </c>
      <c r="AG117" s="6">
        <f t="shared" si="35"/>
        <v>0.51928243813652564</v>
      </c>
      <c r="AH117" s="4">
        <f t="shared" si="36"/>
        <v>44955</v>
      </c>
      <c r="AI117" t="str">
        <f t="shared" si="37"/>
        <v>Jan-2023</v>
      </c>
    </row>
    <row r="118" spans="1:35" x14ac:dyDescent="0.25">
      <c r="A118" t="s">
        <v>131</v>
      </c>
      <c r="B118" s="4">
        <v>45811</v>
      </c>
      <c r="C118" s="4" t="str">
        <f t="shared" si="26"/>
        <v>Q2-2025</v>
      </c>
      <c r="D118" s="4" t="str">
        <f t="shared" si="27"/>
        <v>Jun-2025</v>
      </c>
      <c r="E118" s="4">
        <v>45818</v>
      </c>
      <c r="F118" s="12">
        <f t="shared" si="28"/>
        <v>7</v>
      </c>
      <c r="G118" s="12">
        <f t="shared" si="19"/>
        <v>1</v>
      </c>
      <c r="H118" s="4">
        <f t="shared" si="29"/>
        <v>45818</v>
      </c>
      <c r="I118" t="s">
        <v>648</v>
      </c>
      <c r="J118" t="s">
        <v>653</v>
      </c>
      <c r="K118" t="s">
        <v>667</v>
      </c>
      <c r="L118" t="s">
        <v>704</v>
      </c>
      <c r="M118" t="s">
        <v>710</v>
      </c>
      <c r="N118" t="s">
        <v>719</v>
      </c>
      <c r="O118" t="s">
        <v>728</v>
      </c>
      <c r="P118" t="str" cm="1">
        <f t="array" ref="P118">_xlfn.IFS(S118&lt;=PERCENTILE($S$2:$S$1000, 0.33), "Low", S118&lt;=PERCENTILE($S$2:$S$1000, 0.66), "Medium", TRUE, "High")</f>
        <v>Low</v>
      </c>
      <c r="Q118" t="s">
        <v>850</v>
      </c>
      <c r="R118" s="10">
        <v>75.180000000000007</v>
      </c>
      <c r="S118" s="10">
        <v>53.45</v>
      </c>
      <c r="T118" s="8">
        <v>0.157</v>
      </c>
      <c r="U118" s="12">
        <f t="shared" si="30"/>
        <v>0</v>
      </c>
      <c r="V118" s="6">
        <v>17</v>
      </c>
      <c r="W118" t="str">
        <f t="shared" si="20"/>
        <v>ok</v>
      </c>
      <c r="X118">
        <f t="shared" si="21"/>
        <v>7</v>
      </c>
      <c r="Y118">
        <f t="shared" si="31"/>
        <v>7</v>
      </c>
      <c r="Z118" s="10">
        <f t="shared" si="32"/>
        <v>765.99195000000009</v>
      </c>
      <c r="AA118" s="10">
        <f t="shared" si="33"/>
        <v>1278.0600000000002</v>
      </c>
      <c r="AB118" s="10">
        <f t="shared" si="34"/>
        <v>-512.06805000000008</v>
      </c>
      <c r="AC118" s="10">
        <f t="shared" si="22"/>
        <v>606.37750000000005</v>
      </c>
      <c r="AD118" s="10">
        <f t="shared" si="23"/>
        <v>1193.865</v>
      </c>
      <c r="AE118" s="10">
        <f t="shared" si="24"/>
        <v>1912.0450000000001</v>
      </c>
      <c r="AF118" s="10" t="str">
        <f t="shared" si="25"/>
        <v>High</v>
      </c>
      <c r="AG118" s="6">
        <f t="shared" si="35"/>
        <v>-0.66850317421743144</v>
      </c>
      <c r="AH118" s="4">
        <f t="shared" si="36"/>
        <v>44928</v>
      </c>
      <c r="AI118" t="str">
        <f t="shared" si="37"/>
        <v>Jan-2023</v>
      </c>
    </row>
    <row r="119" spans="1:35" x14ac:dyDescent="0.25">
      <c r="A119" t="s">
        <v>132</v>
      </c>
      <c r="B119" s="4">
        <v>45653</v>
      </c>
      <c r="C119" s="4" t="str">
        <f t="shared" si="26"/>
        <v>Q4-2024</v>
      </c>
      <c r="D119" s="4" t="str">
        <f t="shared" si="27"/>
        <v>Dec-2024</v>
      </c>
      <c r="E119" s="4">
        <v>45659</v>
      </c>
      <c r="F119" s="12">
        <f t="shared" si="28"/>
        <v>6</v>
      </c>
      <c r="G119" s="12">
        <f t="shared" si="19"/>
        <v>1</v>
      </c>
      <c r="H119" s="4">
        <f t="shared" si="29"/>
        <v>45659</v>
      </c>
      <c r="I119" t="s">
        <v>649</v>
      </c>
      <c r="J119" t="s">
        <v>656</v>
      </c>
      <c r="K119" t="s">
        <v>698</v>
      </c>
      <c r="L119" t="s">
        <v>702</v>
      </c>
      <c r="M119" t="s">
        <v>711</v>
      </c>
      <c r="N119" t="s">
        <v>721</v>
      </c>
      <c r="O119" t="s">
        <v>731</v>
      </c>
      <c r="P119" t="str" cm="1">
        <f t="array" ref="P119">_xlfn.IFS(S119&lt;=PERCENTILE($S$2:$S$1000, 0.33), "Low", S119&lt;=PERCENTILE($S$2:$S$1000, 0.66), "Medium", TRUE, "High")</f>
        <v>High</v>
      </c>
      <c r="Q119" t="s">
        <v>851</v>
      </c>
      <c r="R119" s="10">
        <v>1391.99</v>
      </c>
      <c r="S119" s="10">
        <v>3469.7</v>
      </c>
      <c r="T119" s="8">
        <v>0.184</v>
      </c>
      <c r="U119" s="12">
        <f t="shared" si="30"/>
        <v>0</v>
      </c>
      <c r="V119" s="6">
        <v>23</v>
      </c>
      <c r="W119" t="str">
        <f t="shared" si="20"/>
        <v>ok</v>
      </c>
      <c r="X119">
        <f t="shared" si="21"/>
        <v>6</v>
      </c>
      <c r="Y119">
        <f t="shared" si="31"/>
        <v>6</v>
      </c>
      <c r="Z119" s="10">
        <f t="shared" si="32"/>
        <v>65119.329599999997</v>
      </c>
      <c r="AA119" s="10">
        <f t="shared" si="33"/>
        <v>32015.77</v>
      </c>
      <c r="AB119" s="10">
        <f t="shared" si="34"/>
        <v>33103.559599999993</v>
      </c>
      <c r="AC119" s="10">
        <f t="shared" si="22"/>
        <v>606.37750000000005</v>
      </c>
      <c r="AD119" s="10">
        <f t="shared" si="23"/>
        <v>1193.865</v>
      </c>
      <c r="AE119" s="10">
        <f t="shared" si="24"/>
        <v>1912.0450000000001</v>
      </c>
      <c r="AF119" s="10" t="str">
        <f t="shared" si="25"/>
        <v>Low</v>
      </c>
      <c r="AG119" s="6">
        <f t="shared" si="35"/>
        <v>0.50835227886006973</v>
      </c>
      <c r="AH119" s="4">
        <f t="shared" si="36"/>
        <v>44948</v>
      </c>
      <c r="AI119" t="str">
        <f t="shared" si="37"/>
        <v>Jan-2023</v>
      </c>
    </row>
    <row r="120" spans="1:35" x14ac:dyDescent="0.25">
      <c r="A120" t="s">
        <v>133</v>
      </c>
      <c r="B120" s="4">
        <v>45086</v>
      </c>
      <c r="C120" s="4" t="str">
        <f t="shared" si="26"/>
        <v>Q2-2023</v>
      </c>
      <c r="D120" s="4" t="str">
        <f t="shared" si="27"/>
        <v>Jun-2023</v>
      </c>
      <c r="E120" s="4">
        <v>45096</v>
      </c>
      <c r="F120" s="12">
        <f t="shared" si="28"/>
        <v>10</v>
      </c>
      <c r="G120" s="12">
        <f t="shared" si="19"/>
        <v>0</v>
      </c>
      <c r="H120" s="4">
        <f t="shared" si="29"/>
        <v>45096</v>
      </c>
      <c r="I120" t="s">
        <v>647</v>
      </c>
      <c r="J120" t="s">
        <v>659</v>
      </c>
      <c r="K120" t="s">
        <v>699</v>
      </c>
      <c r="L120" t="s">
        <v>706</v>
      </c>
      <c r="M120" t="s">
        <v>707</v>
      </c>
      <c r="N120" t="s">
        <v>721</v>
      </c>
      <c r="O120" t="s">
        <v>732</v>
      </c>
      <c r="P120" t="str" cm="1">
        <f t="array" ref="P120">_xlfn.IFS(S120&lt;=PERCENTILE($S$2:$S$1000, 0.33), "Low", S120&lt;=PERCENTILE($S$2:$S$1000, 0.66), "Medium", TRUE, "High")</f>
        <v>Low</v>
      </c>
      <c r="Q120" t="s">
        <v>852</v>
      </c>
      <c r="R120" s="10">
        <v>339.61</v>
      </c>
      <c r="S120" s="10">
        <v>621.02</v>
      </c>
      <c r="T120" s="8">
        <v>7.0999999999999994E-2</v>
      </c>
      <c r="U120" s="12">
        <f t="shared" si="30"/>
        <v>0</v>
      </c>
      <c r="V120" s="6">
        <v>10</v>
      </c>
      <c r="W120" t="str">
        <f t="shared" si="20"/>
        <v>ok</v>
      </c>
      <c r="X120">
        <f t="shared" si="21"/>
        <v>10</v>
      </c>
      <c r="Y120">
        <f t="shared" si="31"/>
        <v>10</v>
      </c>
      <c r="Z120" s="10">
        <f t="shared" si="32"/>
        <v>5769.2758000000003</v>
      </c>
      <c r="AA120" s="10">
        <f t="shared" si="33"/>
        <v>3396.1000000000004</v>
      </c>
      <c r="AB120" s="10">
        <f t="shared" si="34"/>
        <v>2373.1758</v>
      </c>
      <c r="AC120" s="10">
        <f t="shared" si="22"/>
        <v>606.37750000000005</v>
      </c>
      <c r="AD120" s="10">
        <f t="shared" si="23"/>
        <v>1193.865</v>
      </c>
      <c r="AE120" s="10">
        <f t="shared" si="24"/>
        <v>1912.0450000000001</v>
      </c>
      <c r="AF120" s="10" t="str">
        <f t="shared" si="25"/>
        <v>High</v>
      </c>
      <c r="AG120" s="6">
        <f t="shared" si="35"/>
        <v>0.41134726129750981</v>
      </c>
      <c r="AH120" s="4">
        <f t="shared" si="36"/>
        <v>44938</v>
      </c>
      <c r="AI120" t="str">
        <f t="shared" si="37"/>
        <v>Jan-2023</v>
      </c>
    </row>
    <row r="121" spans="1:35" x14ac:dyDescent="0.25">
      <c r="A121" t="s">
        <v>134</v>
      </c>
      <c r="B121" s="4">
        <v>45847</v>
      </c>
      <c r="C121" s="4" t="str">
        <f t="shared" si="26"/>
        <v>Q3-2025</v>
      </c>
      <c r="D121" s="4" t="str">
        <f t="shared" si="27"/>
        <v>Jul-2025</v>
      </c>
      <c r="E121" s="4">
        <v>45856</v>
      </c>
      <c r="F121" s="12">
        <f t="shared" si="28"/>
        <v>9</v>
      </c>
      <c r="G121" s="12">
        <f t="shared" si="19"/>
        <v>0</v>
      </c>
      <c r="H121" s="4">
        <f t="shared" si="29"/>
        <v>45856</v>
      </c>
      <c r="I121" t="s">
        <v>648</v>
      </c>
      <c r="J121" t="s">
        <v>653</v>
      </c>
      <c r="K121" t="s">
        <v>688</v>
      </c>
      <c r="L121" t="s">
        <v>702</v>
      </c>
      <c r="M121" t="s">
        <v>710</v>
      </c>
      <c r="N121" t="s">
        <v>714</v>
      </c>
      <c r="O121" t="s">
        <v>731</v>
      </c>
      <c r="P121" t="str" cm="1">
        <f t="array" ref="P121">_xlfn.IFS(S121&lt;=PERCENTILE($S$2:$S$1000, 0.33), "Low", S121&lt;=PERCENTILE($S$2:$S$1000, 0.66), "Medium", TRUE, "High")</f>
        <v>Low</v>
      </c>
      <c r="Q121" t="s">
        <v>853</v>
      </c>
      <c r="R121" s="10">
        <v>57.96</v>
      </c>
      <c r="S121" s="10">
        <v>88.51</v>
      </c>
      <c r="T121" s="8">
        <v>4.2999999999999997E-2</v>
      </c>
      <c r="U121" s="12">
        <f t="shared" si="30"/>
        <v>0</v>
      </c>
      <c r="V121" s="6">
        <v>7</v>
      </c>
      <c r="W121" t="str">
        <f t="shared" si="20"/>
        <v>ok</v>
      </c>
      <c r="X121">
        <f t="shared" si="21"/>
        <v>9</v>
      </c>
      <c r="Y121">
        <f t="shared" si="31"/>
        <v>9</v>
      </c>
      <c r="Z121" s="10">
        <f t="shared" si="32"/>
        <v>592.92849000000001</v>
      </c>
      <c r="AA121" s="10">
        <f t="shared" si="33"/>
        <v>405.72</v>
      </c>
      <c r="AB121" s="10">
        <f t="shared" si="34"/>
        <v>187.20848999999998</v>
      </c>
      <c r="AC121" s="10">
        <f t="shared" si="22"/>
        <v>606.37750000000005</v>
      </c>
      <c r="AD121" s="10">
        <f t="shared" si="23"/>
        <v>1193.865</v>
      </c>
      <c r="AE121" s="10">
        <f t="shared" si="24"/>
        <v>1912.0450000000001</v>
      </c>
      <c r="AF121" s="10" t="str">
        <f t="shared" si="25"/>
        <v>Medium</v>
      </c>
      <c r="AG121" s="6">
        <f t="shared" si="35"/>
        <v>0.3157353595877978</v>
      </c>
      <c r="AH121" s="4">
        <f t="shared" si="36"/>
        <v>44928</v>
      </c>
      <c r="AI121" t="str">
        <f t="shared" si="37"/>
        <v>Jan-2023</v>
      </c>
    </row>
    <row r="122" spans="1:35" x14ac:dyDescent="0.25">
      <c r="A122" t="s">
        <v>135</v>
      </c>
      <c r="B122" s="4">
        <v>45827</v>
      </c>
      <c r="C122" s="4" t="str">
        <f t="shared" si="26"/>
        <v>Q2-2025</v>
      </c>
      <c r="D122" s="4" t="str">
        <f t="shared" si="27"/>
        <v>Jun-2025</v>
      </c>
      <c r="E122" s="4">
        <v>45850</v>
      </c>
      <c r="F122" s="12">
        <f t="shared" si="28"/>
        <v>23</v>
      </c>
      <c r="G122" s="12">
        <f t="shared" si="19"/>
        <v>0</v>
      </c>
      <c r="H122" s="4">
        <f t="shared" si="29"/>
        <v>45850</v>
      </c>
      <c r="I122" t="s">
        <v>649</v>
      </c>
      <c r="J122" t="s">
        <v>658</v>
      </c>
      <c r="K122" t="s">
        <v>1418</v>
      </c>
      <c r="L122" t="s">
        <v>703</v>
      </c>
      <c r="M122" t="s">
        <v>711</v>
      </c>
      <c r="N122" t="s">
        <v>1418</v>
      </c>
      <c r="O122" t="s">
        <v>729</v>
      </c>
      <c r="P122" t="str" cm="1">
        <f t="array" ref="P122">_xlfn.IFS(S122&lt;=PERCENTILE($S$2:$S$1000, 0.33), "Low", S122&lt;=PERCENTILE($S$2:$S$1000, 0.66), "Medium", TRUE, "High")</f>
        <v>High</v>
      </c>
      <c r="Q122" t="s">
        <v>854</v>
      </c>
      <c r="R122" s="10">
        <v>801.24</v>
      </c>
      <c r="S122" s="10">
        <v>1959.09</v>
      </c>
      <c r="T122" s="8">
        <v>0.123</v>
      </c>
      <c r="U122" s="12">
        <f t="shared" si="30"/>
        <v>0</v>
      </c>
      <c r="V122" s="6">
        <v>23</v>
      </c>
      <c r="W122" t="str">
        <f t="shared" si="20"/>
        <v>ok</v>
      </c>
      <c r="X122">
        <f t="shared" si="21"/>
        <v>23</v>
      </c>
      <c r="Y122">
        <f t="shared" si="31"/>
        <v>23</v>
      </c>
      <c r="Z122" s="10">
        <f t="shared" si="32"/>
        <v>39516.804389999998</v>
      </c>
      <c r="AA122" s="10">
        <f t="shared" si="33"/>
        <v>18428.52</v>
      </c>
      <c r="AB122" s="10">
        <f t="shared" si="34"/>
        <v>21088.284389999997</v>
      </c>
      <c r="AC122" s="10">
        <f t="shared" si="22"/>
        <v>606.37750000000005</v>
      </c>
      <c r="AD122" s="10">
        <f t="shared" si="23"/>
        <v>1193.865</v>
      </c>
      <c r="AE122" s="10">
        <f t="shared" si="24"/>
        <v>1912.0450000000001</v>
      </c>
      <c r="AF122" s="10" t="str">
        <f t="shared" si="25"/>
        <v>Low</v>
      </c>
      <c r="AG122" s="6">
        <f t="shared" si="35"/>
        <v>0.53365358650651762</v>
      </c>
      <c r="AH122" s="4">
        <f t="shared" si="36"/>
        <v>44945</v>
      </c>
      <c r="AI122" t="str">
        <f t="shared" si="37"/>
        <v>Jan-2023</v>
      </c>
    </row>
    <row r="123" spans="1:35" x14ac:dyDescent="0.25">
      <c r="A123" t="s">
        <v>136</v>
      </c>
      <c r="B123" s="4">
        <v>45249</v>
      </c>
      <c r="C123" s="4" t="str">
        <f t="shared" si="26"/>
        <v>Q4-2023</v>
      </c>
      <c r="D123" s="4" t="str">
        <f t="shared" si="27"/>
        <v>Nov-2023</v>
      </c>
      <c r="E123" s="4">
        <v>45273</v>
      </c>
      <c r="F123" s="12">
        <f t="shared" si="28"/>
        <v>24</v>
      </c>
      <c r="G123" s="12">
        <f t="shared" si="19"/>
        <v>0</v>
      </c>
      <c r="H123" s="4">
        <f t="shared" si="29"/>
        <v>45273</v>
      </c>
      <c r="I123" t="s">
        <v>649</v>
      </c>
      <c r="J123" t="s">
        <v>657</v>
      </c>
      <c r="K123" t="s">
        <v>679</v>
      </c>
      <c r="L123" t="s">
        <v>703</v>
      </c>
      <c r="M123" t="s">
        <v>711</v>
      </c>
      <c r="N123" t="s">
        <v>722</v>
      </c>
      <c r="O123" t="s">
        <v>732</v>
      </c>
      <c r="P123" t="str" cm="1">
        <f t="array" ref="P123">_xlfn.IFS(S123&lt;=PERCENTILE($S$2:$S$1000, 0.33), "Low", S123&lt;=PERCENTILE($S$2:$S$1000, 0.66), "Medium", TRUE, "High")</f>
        <v>High</v>
      </c>
      <c r="Q123" t="s">
        <v>855</v>
      </c>
      <c r="R123" s="10">
        <v>1297.42</v>
      </c>
      <c r="S123" s="10">
        <v>2742.97</v>
      </c>
      <c r="T123" s="8">
        <v>6.9000000000000006E-2</v>
      </c>
      <c r="U123" s="12">
        <f t="shared" si="30"/>
        <v>0</v>
      </c>
      <c r="V123" s="6">
        <v>9</v>
      </c>
      <c r="W123" t="str">
        <f t="shared" si="20"/>
        <v>ok</v>
      </c>
      <c r="X123">
        <f t="shared" si="21"/>
        <v>24</v>
      </c>
      <c r="Y123">
        <f t="shared" si="31"/>
        <v>24</v>
      </c>
      <c r="Z123" s="10">
        <f t="shared" si="32"/>
        <v>22983.34563</v>
      </c>
      <c r="AA123" s="10">
        <f t="shared" si="33"/>
        <v>11676.78</v>
      </c>
      <c r="AB123" s="10">
        <f t="shared" si="34"/>
        <v>11306.565629999999</v>
      </c>
      <c r="AC123" s="10">
        <f t="shared" si="22"/>
        <v>606.37750000000005</v>
      </c>
      <c r="AD123" s="10">
        <f t="shared" si="23"/>
        <v>1193.865</v>
      </c>
      <c r="AE123" s="10">
        <f t="shared" si="24"/>
        <v>1912.0450000000001</v>
      </c>
      <c r="AF123" s="10" t="str">
        <f t="shared" si="25"/>
        <v>High</v>
      </c>
      <c r="AG123" s="6">
        <f t="shared" si="35"/>
        <v>0.49194602961727291</v>
      </c>
      <c r="AH123" s="4">
        <f t="shared" si="36"/>
        <v>44936</v>
      </c>
      <c r="AI123" t="str">
        <f t="shared" si="37"/>
        <v>Jan-2023</v>
      </c>
    </row>
    <row r="124" spans="1:35" x14ac:dyDescent="0.25">
      <c r="A124" t="s">
        <v>137</v>
      </c>
      <c r="B124" s="4">
        <v>45289</v>
      </c>
      <c r="C124" s="4" t="str">
        <f t="shared" si="26"/>
        <v>Q4-2023</v>
      </c>
      <c r="D124" s="4" t="str">
        <f t="shared" si="27"/>
        <v>Dec-2023</v>
      </c>
      <c r="E124" s="4">
        <v>45311</v>
      </c>
      <c r="F124" s="12">
        <f t="shared" si="28"/>
        <v>22</v>
      </c>
      <c r="G124" s="12">
        <f t="shared" si="19"/>
        <v>0</v>
      </c>
      <c r="H124" s="4">
        <f t="shared" si="29"/>
        <v>45311</v>
      </c>
      <c r="I124" t="s">
        <v>646</v>
      </c>
      <c r="J124" t="s">
        <v>650</v>
      </c>
      <c r="K124" t="s">
        <v>662</v>
      </c>
      <c r="L124" t="s">
        <v>701</v>
      </c>
      <c r="M124" t="s">
        <v>711</v>
      </c>
      <c r="N124" t="s">
        <v>716</v>
      </c>
      <c r="O124" t="s">
        <v>730</v>
      </c>
      <c r="P124" t="str" cm="1">
        <f t="array" ref="P124">_xlfn.IFS(S124&lt;=PERCENTILE($S$2:$S$1000, 0.33), "Low", S124&lt;=PERCENTILE($S$2:$S$1000, 0.66), "Medium", TRUE, "High")</f>
        <v>High</v>
      </c>
      <c r="Q124" t="s">
        <v>856</v>
      </c>
      <c r="R124" s="10">
        <v>1395.49</v>
      </c>
      <c r="S124" s="10">
        <v>1679.42</v>
      </c>
      <c r="T124" s="8">
        <v>0.20300000000000001</v>
      </c>
      <c r="U124" s="12">
        <f t="shared" si="30"/>
        <v>1</v>
      </c>
      <c r="V124" s="6">
        <v>12</v>
      </c>
      <c r="W124" t="str">
        <f t="shared" si="20"/>
        <v>ok</v>
      </c>
      <c r="X124">
        <f t="shared" si="21"/>
        <v>22</v>
      </c>
      <c r="Y124">
        <f t="shared" si="31"/>
        <v>22</v>
      </c>
      <c r="Z124" s="10">
        <f t="shared" si="32"/>
        <v>16061.972879999999</v>
      </c>
      <c r="AA124" s="10">
        <f t="shared" si="33"/>
        <v>16745.88</v>
      </c>
      <c r="AB124" s="10">
        <f t="shared" si="34"/>
        <v>-683.90712000000167</v>
      </c>
      <c r="AC124" s="10">
        <f t="shared" si="22"/>
        <v>606.37750000000005</v>
      </c>
      <c r="AD124" s="10">
        <f t="shared" si="23"/>
        <v>1193.865</v>
      </c>
      <c r="AE124" s="10">
        <f t="shared" si="24"/>
        <v>1912.0450000000001</v>
      </c>
      <c r="AF124" s="10" t="str">
        <f t="shared" si="25"/>
        <v>High</v>
      </c>
      <c r="AG124" s="6">
        <f t="shared" si="35"/>
        <v>-4.2579272490964493E-2</v>
      </c>
      <c r="AH124" s="4">
        <f t="shared" si="36"/>
        <v>44946</v>
      </c>
      <c r="AI124" t="str">
        <f t="shared" si="37"/>
        <v>Jan-2023</v>
      </c>
    </row>
    <row r="125" spans="1:35" x14ac:dyDescent="0.25">
      <c r="A125" t="s">
        <v>138</v>
      </c>
      <c r="B125" s="4">
        <v>45598</v>
      </c>
      <c r="C125" s="4" t="str">
        <f t="shared" si="26"/>
        <v>Q4-2024</v>
      </c>
      <c r="D125" s="4" t="str">
        <f t="shared" si="27"/>
        <v>Nov-2024</v>
      </c>
      <c r="E125" s="4">
        <v>45625</v>
      </c>
      <c r="F125" s="12">
        <f t="shared" si="28"/>
        <v>27</v>
      </c>
      <c r="G125" s="12">
        <f t="shared" si="19"/>
        <v>0</v>
      </c>
      <c r="H125" s="4">
        <f t="shared" si="29"/>
        <v>45625</v>
      </c>
      <c r="I125" t="s">
        <v>648</v>
      </c>
      <c r="J125" t="s">
        <v>655</v>
      </c>
      <c r="K125" t="s">
        <v>672</v>
      </c>
      <c r="L125" t="s">
        <v>705</v>
      </c>
      <c r="M125" t="s">
        <v>711</v>
      </c>
      <c r="N125" t="s">
        <v>714</v>
      </c>
      <c r="O125" t="s">
        <v>729</v>
      </c>
      <c r="P125" t="str" cm="1">
        <f t="array" ref="P125">_xlfn.IFS(S125&lt;=PERCENTILE($S$2:$S$1000, 0.33), "Low", S125&lt;=PERCENTILE($S$2:$S$1000, 0.66), "Medium", TRUE, "High")</f>
        <v>Medium</v>
      </c>
      <c r="Q125" t="s">
        <v>857</v>
      </c>
      <c r="R125" s="10">
        <v>1363.51</v>
      </c>
      <c r="S125" s="10">
        <v>1433.9</v>
      </c>
      <c r="T125" s="8">
        <v>5.7000000000000002E-2</v>
      </c>
      <c r="U125" s="12">
        <f t="shared" si="30"/>
        <v>0</v>
      </c>
      <c r="V125" s="6">
        <v>8</v>
      </c>
      <c r="W125" t="str">
        <f t="shared" si="20"/>
        <v>ok</v>
      </c>
      <c r="X125">
        <f t="shared" si="21"/>
        <v>27</v>
      </c>
      <c r="Y125">
        <f t="shared" si="31"/>
        <v>27</v>
      </c>
      <c r="Z125" s="10">
        <f t="shared" si="32"/>
        <v>10817.3416</v>
      </c>
      <c r="AA125" s="10">
        <f t="shared" si="33"/>
        <v>10908.08</v>
      </c>
      <c r="AB125" s="10">
        <f t="shared" si="34"/>
        <v>-90.738400000000183</v>
      </c>
      <c r="AC125" s="10">
        <f t="shared" si="22"/>
        <v>606.37750000000005</v>
      </c>
      <c r="AD125" s="10">
        <f t="shared" si="23"/>
        <v>1193.865</v>
      </c>
      <c r="AE125" s="10">
        <f t="shared" si="24"/>
        <v>1912.0450000000001</v>
      </c>
      <c r="AF125" s="10" t="str">
        <f t="shared" si="25"/>
        <v>Medium</v>
      </c>
      <c r="AG125" s="6">
        <f t="shared" si="35"/>
        <v>-8.3882346842037592E-3</v>
      </c>
      <c r="AH125" s="4">
        <f t="shared" si="36"/>
        <v>44955</v>
      </c>
      <c r="AI125" t="str">
        <f t="shared" si="37"/>
        <v>Jan-2023</v>
      </c>
    </row>
    <row r="126" spans="1:35" x14ac:dyDescent="0.25">
      <c r="A126" t="s">
        <v>139</v>
      </c>
      <c r="B126" s="4">
        <v>45159</v>
      </c>
      <c r="C126" s="4" t="str">
        <f t="shared" si="26"/>
        <v>Q3-2023</v>
      </c>
      <c r="D126" s="4" t="str">
        <f t="shared" si="27"/>
        <v>Aug-2023</v>
      </c>
      <c r="E126" s="4">
        <v>45173</v>
      </c>
      <c r="F126" s="12">
        <f t="shared" si="28"/>
        <v>14</v>
      </c>
      <c r="G126" s="12">
        <f t="shared" si="19"/>
        <v>0</v>
      </c>
      <c r="H126" s="4">
        <f t="shared" si="29"/>
        <v>45173</v>
      </c>
      <c r="I126" t="s">
        <v>648</v>
      </c>
      <c r="J126" t="s">
        <v>653</v>
      </c>
      <c r="K126" t="s">
        <v>681</v>
      </c>
      <c r="L126" t="s">
        <v>702</v>
      </c>
      <c r="M126" t="s">
        <v>710</v>
      </c>
      <c r="N126" t="s">
        <v>721</v>
      </c>
      <c r="O126" t="s">
        <v>727</v>
      </c>
      <c r="P126" t="str" cm="1">
        <f t="array" ref="P126">_xlfn.IFS(S126&lt;=PERCENTILE($S$2:$S$1000, 0.33), "Low", S126&lt;=PERCENTILE($S$2:$S$1000, 0.66), "Medium", TRUE, "High")</f>
        <v>Low</v>
      </c>
      <c r="Q126" t="s">
        <v>858</v>
      </c>
      <c r="R126" s="10">
        <v>178.19</v>
      </c>
      <c r="S126" s="10">
        <v>284.43</v>
      </c>
      <c r="T126" s="8">
        <v>8.8999999999999996E-2</v>
      </c>
      <c r="U126" s="12">
        <f t="shared" si="30"/>
        <v>0</v>
      </c>
      <c r="V126" s="6">
        <v>8</v>
      </c>
      <c r="W126" t="str">
        <f t="shared" si="20"/>
        <v>ok</v>
      </c>
      <c r="X126">
        <f t="shared" si="21"/>
        <v>14</v>
      </c>
      <c r="Y126">
        <f t="shared" si="31"/>
        <v>14</v>
      </c>
      <c r="Z126" s="10">
        <f t="shared" si="32"/>
        <v>2072.9258400000003</v>
      </c>
      <c r="AA126" s="10">
        <f t="shared" si="33"/>
        <v>1425.52</v>
      </c>
      <c r="AB126" s="10">
        <f t="shared" si="34"/>
        <v>647.40584000000035</v>
      </c>
      <c r="AC126" s="10">
        <f t="shared" si="22"/>
        <v>606.37750000000005</v>
      </c>
      <c r="AD126" s="10">
        <f t="shared" si="23"/>
        <v>1193.865</v>
      </c>
      <c r="AE126" s="10">
        <f t="shared" si="24"/>
        <v>1912.0450000000001</v>
      </c>
      <c r="AF126" s="10" t="str">
        <f t="shared" si="25"/>
        <v>Medium</v>
      </c>
      <c r="AG126" s="6">
        <f t="shared" si="35"/>
        <v>0.31231500302972742</v>
      </c>
      <c r="AH126" s="4">
        <f t="shared" si="36"/>
        <v>44928</v>
      </c>
      <c r="AI126" t="str">
        <f t="shared" si="37"/>
        <v>Jan-2023</v>
      </c>
    </row>
    <row r="127" spans="1:35" x14ac:dyDescent="0.25">
      <c r="A127" t="s">
        <v>140</v>
      </c>
      <c r="B127" s="4">
        <v>45150</v>
      </c>
      <c r="C127" s="4" t="str">
        <f t="shared" si="26"/>
        <v>Q3-2023</v>
      </c>
      <c r="D127" s="4" t="str">
        <f t="shared" si="27"/>
        <v>Aug-2023</v>
      </c>
      <c r="E127" s="4">
        <v>45175</v>
      </c>
      <c r="F127" s="12">
        <f t="shared" si="28"/>
        <v>25</v>
      </c>
      <c r="G127" s="12">
        <f t="shared" si="19"/>
        <v>0</v>
      </c>
      <c r="H127" s="4">
        <f t="shared" si="29"/>
        <v>45175</v>
      </c>
      <c r="I127" t="s">
        <v>647</v>
      </c>
      <c r="J127" t="s">
        <v>659</v>
      </c>
      <c r="K127" t="s">
        <v>685</v>
      </c>
      <c r="L127" t="s">
        <v>705</v>
      </c>
      <c r="M127" t="s">
        <v>707</v>
      </c>
      <c r="N127" t="s">
        <v>717</v>
      </c>
      <c r="O127" t="s">
        <v>727</v>
      </c>
      <c r="P127" t="str" cm="1">
        <f t="array" ref="P127">_xlfn.IFS(S127&lt;=PERCENTILE($S$2:$S$1000, 0.33), "Low", S127&lt;=PERCENTILE($S$2:$S$1000, 0.66), "Medium", TRUE, "High")</f>
        <v>Low</v>
      </c>
      <c r="Q127" t="s">
        <v>859</v>
      </c>
      <c r="R127" s="10">
        <v>950.77</v>
      </c>
      <c r="S127" s="10">
        <v>694.78</v>
      </c>
      <c r="T127" s="8">
        <v>8.4000000000000005E-2</v>
      </c>
      <c r="U127" s="12">
        <f t="shared" si="30"/>
        <v>0</v>
      </c>
      <c r="V127" s="6">
        <v>14</v>
      </c>
      <c r="W127" t="str">
        <f t="shared" si="20"/>
        <v>ok</v>
      </c>
      <c r="X127">
        <f t="shared" si="21"/>
        <v>25</v>
      </c>
      <c r="Y127">
        <f t="shared" si="31"/>
        <v>25</v>
      </c>
      <c r="Z127" s="10">
        <f t="shared" si="32"/>
        <v>8909.8587200000002</v>
      </c>
      <c r="AA127" s="10">
        <f t="shared" si="33"/>
        <v>13310.779999999999</v>
      </c>
      <c r="AB127" s="10">
        <f t="shared" si="34"/>
        <v>-4400.9212799999987</v>
      </c>
      <c r="AC127" s="10">
        <f t="shared" si="22"/>
        <v>606.37750000000005</v>
      </c>
      <c r="AD127" s="10">
        <f t="shared" si="23"/>
        <v>1193.865</v>
      </c>
      <c r="AE127" s="10">
        <f t="shared" si="24"/>
        <v>1912.0450000000001</v>
      </c>
      <c r="AF127" s="10" t="str">
        <f t="shared" si="25"/>
        <v>Low</v>
      </c>
      <c r="AG127" s="6">
        <f t="shared" si="35"/>
        <v>-0.49393839097821279</v>
      </c>
      <c r="AH127" s="4">
        <f t="shared" si="36"/>
        <v>44938</v>
      </c>
      <c r="AI127" t="str">
        <f t="shared" si="37"/>
        <v>Jan-2023</v>
      </c>
    </row>
    <row r="128" spans="1:35" x14ac:dyDescent="0.25">
      <c r="A128" t="s">
        <v>141</v>
      </c>
      <c r="B128" s="4">
        <v>45450</v>
      </c>
      <c r="C128" s="4" t="str">
        <f t="shared" si="26"/>
        <v>Q2-2024</v>
      </c>
      <c r="D128" s="4" t="str">
        <f t="shared" si="27"/>
        <v>Jun-2024</v>
      </c>
      <c r="E128" s="4">
        <v>45469</v>
      </c>
      <c r="F128" s="12">
        <f t="shared" si="28"/>
        <v>19</v>
      </c>
      <c r="G128" s="12">
        <f t="shared" si="19"/>
        <v>0</v>
      </c>
      <c r="H128" s="4">
        <f t="shared" si="29"/>
        <v>45469</v>
      </c>
      <c r="I128" t="s">
        <v>649</v>
      </c>
      <c r="J128" t="s">
        <v>656</v>
      </c>
      <c r="K128" t="s">
        <v>671</v>
      </c>
      <c r="L128" t="s">
        <v>703</v>
      </c>
      <c r="M128" t="s">
        <v>709</v>
      </c>
      <c r="N128" t="s">
        <v>724</v>
      </c>
      <c r="O128" t="s">
        <v>727</v>
      </c>
      <c r="P128" t="str" cm="1">
        <f t="array" ref="P128">_xlfn.IFS(S128&lt;=PERCENTILE($S$2:$S$1000, 0.33), "Low", S128&lt;=PERCENTILE($S$2:$S$1000, 0.66), "Medium", TRUE, "High")</f>
        <v>High</v>
      </c>
      <c r="Q128" t="s">
        <v>860</v>
      </c>
      <c r="R128" s="10">
        <v>1064.32</v>
      </c>
      <c r="S128" s="10">
        <v>1848.39</v>
      </c>
      <c r="T128" s="8">
        <v>7.2999999999999995E-2</v>
      </c>
      <c r="U128" s="12">
        <f t="shared" si="30"/>
        <v>0</v>
      </c>
      <c r="V128" s="6">
        <v>38</v>
      </c>
      <c r="W128" t="str">
        <f t="shared" si="20"/>
        <v>ok</v>
      </c>
      <c r="X128">
        <f t="shared" si="21"/>
        <v>19</v>
      </c>
      <c r="Y128">
        <f t="shared" si="31"/>
        <v>19</v>
      </c>
      <c r="Z128" s="10">
        <f t="shared" si="32"/>
        <v>65111.38614000001</v>
      </c>
      <c r="AA128" s="10">
        <f t="shared" si="33"/>
        <v>40444.159999999996</v>
      </c>
      <c r="AB128" s="10">
        <f t="shared" si="34"/>
        <v>24667.226140000013</v>
      </c>
      <c r="AC128" s="10">
        <f t="shared" si="22"/>
        <v>606.37750000000005</v>
      </c>
      <c r="AD128" s="10">
        <f t="shared" si="23"/>
        <v>1193.865</v>
      </c>
      <c r="AE128" s="10">
        <f t="shared" si="24"/>
        <v>1912.0450000000001</v>
      </c>
      <c r="AF128" s="10" t="str">
        <f t="shared" si="25"/>
        <v>Medium</v>
      </c>
      <c r="AG128" s="6">
        <f t="shared" si="35"/>
        <v>0.3788465827921631</v>
      </c>
      <c r="AH128" s="4">
        <f t="shared" si="36"/>
        <v>44948</v>
      </c>
      <c r="AI128" t="str">
        <f t="shared" si="37"/>
        <v>Jan-2023</v>
      </c>
    </row>
    <row r="129" spans="1:35" x14ac:dyDescent="0.25">
      <c r="A129" t="s">
        <v>142</v>
      </c>
      <c r="B129" s="4">
        <v>45874</v>
      </c>
      <c r="C129" s="4" t="str">
        <f t="shared" si="26"/>
        <v>Q3-2025</v>
      </c>
      <c r="D129" s="4" t="str">
        <f t="shared" si="27"/>
        <v>Aug-2025</v>
      </c>
      <c r="E129" s="4">
        <v>45883</v>
      </c>
      <c r="F129" s="12">
        <f t="shared" si="28"/>
        <v>9</v>
      </c>
      <c r="G129" s="12">
        <f t="shared" si="19"/>
        <v>0</v>
      </c>
      <c r="H129" s="4">
        <f t="shared" si="29"/>
        <v>45883</v>
      </c>
      <c r="I129" t="s">
        <v>649</v>
      </c>
      <c r="J129" t="s">
        <v>658</v>
      </c>
      <c r="K129" t="s">
        <v>683</v>
      </c>
      <c r="L129" t="s">
        <v>703</v>
      </c>
      <c r="M129" t="s">
        <v>711</v>
      </c>
      <c r="N129" t="s">
        <v>718</v>
      </c>
      <c r="O129" t="s">
        <v>727</v>
      </c>
      <c r="P129" t="str" cm="1">
        <f t="array" ref="P129">_xlfn.IFS(S129&lt;=PERCENTILE($S$2:$S$1000, 0.33), "Low", S129&lt;=PERCENTILE($S$2:$S$1000, 0.66), "Medium", TRUE, "High")</f>
        <v>Low</v>
      </c>
      <c r="Q129" t="s">
        <v>861</v>
      </c>
      <c r="R129" s="10">
        <v>41.76</v>
      </c>
      <c r="S129" s="10">
        <v>45.19</v>
      </c>
      <c r="T129" s="8">
        <v>0.17899999999999999</v>
      </c>
      <c r="U129" s="12">
        <f t="shared" si="30"/>
        <v>0</v>
      </c>
      <c r="V129" s="6">
        <v>23</v>
      </c>
      <c r="W129" t="str">
        <f t="shared" si="20"/>
        <v>ok</v>
      </c>
      <c r="X129">
        <f t="shared" si="21"/>
        <v>9</v>
      </c>
      <c r="Y129">
        <f t="shared" si="31"/>
        <v>9</v>
      </c>
      <c r="Z129" s="10">
        <f t="shared" si="32"/>
        <v>853.32276999999988</v>
      </c>
      <c r="AA129" s="10">
        <f t="shared" si="33"/>
        <v>960.4799999999999</v>
      </c>
      <c r="AB129" s="10">
        <f t="shared" si="34"/>
        <v>-107.15723000000003</v>
      </c>
      <c r="AC129" s="10">
        <f t="shared" si="22"/>
        <v>606.37750000000005</v>
      </c>
      <c r="AD129" s="10">
        <f t="shared" si="23"/>
        <v>1193.865</v>
      </c>
      <c r="AE129" s="10">
        <f t="shared" si="24"/>
        <v>1912.0450000000001</v>
      </c>
      <c r="AF129" s="10" t="str">
        <f t="shared" si="25"/>
        <v>Medium</v>
      </c>
      <c r="AG129" s="6">
        <f t="shared" si="35"/>
        <v>-0.12557643340514638</v>
      </c>
      <c r="AH129" s="4">
        <f t="shared" si="36"/>
        <v>44945</v>
      </c>
      <c r="AI129" t="str">
        <f t="shared" si="37"/>
        <v>Jan-2023</v>
      </c>
    </row>
    <row r="130" spans="1:35" x14ac:dyDescent="0.25">
      <c r="A130" t="s">
        <v>143</v>
      </c>
      <c r="B130" s="4">
        <v>45442</v>
      </c>
      <c r="C130" s="4" t="str">
        <f t="shared" si="26"/>
        <v>Q2-2024</v>
      </c>
      <c r="D130" s="4" t="str">
        <f t="shared" si="27"/>
        <v>May-2024</v>
      </c>
      <c r="E130" s="4">
        <v>45456</v>
      </c>
      <c r="F130" s="12">
        <f t="shared" si="28"/>
        <v>14</v>
      </c>
      <c r="G130" s="12">
        <f t="shared" ref="G130:G193" si="38">IF(F130&lt;=7, 1, 0)</f>
        <v>0</v>
      </c>
      <c r="H130" s="4">
        <f t="shared" si="29"/>
        <v>45456</v>
      </c>
      <c r="I130" t="s">
        <v>648</v>
      </c>
      <c r="J130" t="s">
        <v>660</v>
      </c>
      <c r="K130" t="s">
        <v>686</v>
      </c>
      <c r="L130" t="s">
        <v>705</v>
      </c>
      <c r="M130" t="s">
        <v>707</v>
      </c>
      <c r="N130" t="s">
        <v>721</v>
      </c>
      <c r="O130" t="s">
        <v>730</v>
      </c>
      <c r="P130" t="str" cm="1">
        <f t="array" ref="P130">_xlfn.IFS(S130&lt;=PERCENTILE($S$2:$S$1000, 0.33), "Low", S130&lt;=PERCENTILE($S$2:$S$1000, 0.66), "Medium", TRUE, "High")</f>
        <v>Low</v>
      </c>
      <c r="Q130" t="s">
        <v>862</v>
      </c>
      <c r="R130" s="10">
        <v>157.78</v>
      </c>
      <c r="S130" s="10">
        <v>361.1</v>
      </c>
      <c r="T130" s="8">
        <v>0.187</v>
      </c>
      <c r="U130" s="12">
        <f t="shared" si="30"/>
        <v>0</v>
      </c>
      <c r="V130" s="6">
        <v>9</v>
      </c>
      <c r="W130" t="str">
        <f t="shared" ref="W130:W193" si="39">IF(E130&gt;B130, "ok", "sus")</f>
        <v>ok</v>
      </c>
      <c r="X130">
        <f t="shared" ref="X130:X193" si="40">E130-B130</f>
        <v>14</v>
      </c>
      <c r="Y130">
        <f t="shared" si="31"/>
        <v>14</v>
      </c>
      <c r="Z130" s="10">
        <f t="shared" si="32"/>
        <v>2642.1686999999997</v>
      </c>
      <c r="AA130" s="10">
        <f t="shared" si="33"/>
        <v>1420.02</v>
      </c>
      <c r="AB130" s="10">
        <f t="shared" si="34"/>
        <v>1222.1486999999997</v>
      </c>
      <c r="AC130" s="10">
        <f t="shared" ref="AC130:AC193" si="41">_xlfn.QUARTILE.INC(S:S,1)</f>
        <v>606.37750000000005</v>
      </c>
      <c r="AD130" s="10">
        <f t="shared" ref="AD130:AD193" si="42">_xlfn.QUARTILE.INC(S:S,2)</f>
        <v>1193.865</v>
      </c>
      <c r="AE130" s="10">
        <f t="shared" ref="AE130:AE193" si="43">_xlfn.QUARTILE.INC(S:S,3)</f>
        <v>1912.0450000000001</v>
      </c>
      <c r="AF130" s="10" t="str">
        <f t="shared" ref="AF130:AF193" si="44">IF(S129&lt;=$AC$2,"Low",
 IF(S129&lt;=$AE$3,"Medium",
 "High"))</f>
        <v>Low</v>
      </c>
      <c r="AG130" s="6">
        <f t="shared" si="35"/>
        <v>0.46255513510549112</v>
      </c>
      <c r="AH130" s="4">
        <f t="shared" si="36"/>
        <v>44939</v>
      </c>
      <c r="AI130" t="str">
        <f t="shared" si="37"/>
        <v>Jan-2023</v>
      </c>
    </row>
    <row r="131" spans="1:35" x14ac:dyDescent="0.25">
      <c r="A131" t="s">
        <v>144</v>
      </c>
      <c r="B131" s="4">
        <v>44948</v>
      </c>
      <c r="C131" s="4" t="str">
        <f t="shared" ref="C131:C194" si="45">"Q" &amp; ROUNDUP(MONTH(B131)/3,0) &amp; "-" &amp; YEAR(B131)</f>
        <v>Q1-2023</v>
      </c>
      <c r="D131" s="4" t="str">
        <f t="shared" ref="D131:D194" si="46">TEXT(B131,"MMM-YYYY")</f>
        <v>Jan-2023</v>
      </c>
      <c r="E131" s="4">
        <v>44956</v>
      </c>
      <c r="F131" s="12">
        <f t="shared" ref="F131:F194" si="47">H131-B131</f>
        <v>8</v>
      </c>
      <c r="G131" s="12">
        <f t="shared" si="38"/>
        <v>0</v>
      </c>
      <c r="H131" s="4">
        <f t="shared" ref="H131:H194" si="48">IF(E131&lt;B131,B131+14,E131)</f>
        <v>44956</v>
      </c>
      <c r="I131" t="s">
        <v>648</v>
      </c>
      <c r="J131" t="s">
        <v>660</v>
      </c>
      <c r="K131" t="s">
        <v>686</v>
      </c>
      <c r="L131" t="s">
        <v>705</v>
      </c>
      <c r="M131" t="s">
        <v>708</v>
      </c>
      <c r="N131" t="s">
        <v>720</v>
      </c>
      <c r="O131" t="s">
        <v>729</v>
      </c>
      <c r="P131" t="str" cm="1">
        <f t="array" ref="P131">_xlfn.IFS(S131&lt;=PERCENTILE($S$2:$S$1000, 0.33), "Low", S131&lt;=PERCENTILE($S$2:$S$1000, 0.66), "Medium", TRUE, "High")</f>
        <v>Medium</v>
      </c>
      <c r="Q131" t="s">
        <v>863</v>
      </c>
      <c r="R131" s="10">
        <v>413.52</v>
      </c>
      <c r="S131" s="10">
        <v>1004.34</v>
      </c>
      <c r="T131" s="8">
        <v>0.111</v>
      </c>
      <c r="U131" s="12">
        <f t="shared" ref="U131:U194" si="49">IF(T131&gt;0.2,1,0)</f>
        <v>0</v>
      </c>
      <c r="V131" s="6">
        <v>18</v>
      </c>
      <c r="W131" t="str">
        <f t="shared" si="39"/>
        <v>ok</v>
      </c>
      <c r="X131">
        <f t="shared" si="40"/>
        <v>8</v>
      </c>
      <c r="Y131">
        <f t="shared" ref="Y131:Y194" si="50">ABS(X131)</f>
        <v>8</v>
      </c>
      <c r="Z131" s="10">
        <f t="shared" ref="Z131:Z194" si="51">S131*V131*(1-T131)</f>
        <v>16071.44868</v>
      </c>
      <c r="AA131" s="10">
        <f t="shared" ref="AA131:AA194" si="52">R131*V131</f>
        <v>7443.36</v>
      </c>
      <c r="AB131" s="10">
        <f t="shared" ref="AB131:AB194" si="53">Z131-AA131</f>
        <v>8628.0886800000007</v>
      </c>
      <c r="AC131" s="10">
        <f t="shared" si="41"/>
        <v>606.37750000000005</v>
      </c>
      <c r="AD131" s="10">
        <f t="shared" si="42"/>
        <v>1193.865</v>
      </c>
      <c r="AE131" s="10">
        <f t="shared" si="43"/>
        <v>1912.0450000000001</v>
      </c>
      <c r="AF131" s="10" t="str">
        <f t="shared" si="44"/>
        <v>Low</v>
      </c>
      <c r="AG131" s="6">
        <f t="shared" ref="AG131:AG194" si="54">IF(Z131=0,0,AB131/Z131)</f>
        <v>0.53685817948304593</v>
      </c>
      <c r="AH131" s="4">
        <f t="shared" ref="AH131:AH194" si="55">_xlfn.MINIFS($B:$B,$J:$J,J3)</f>
        <v>44941</v>
      </c>
      <c r="AI131" t="str">
        <f t="shared" ref="AI131:AI194" si="56">TEXT(AH131,"MMM-YYYY")</f>
        <v>Jan-2023</v>
      </c>
    </row>
    <row r="132" spans="1:35" x14ac:dyDescent="0.25">
      <c r="A132" t="s">
        <v>145</v>
      </c>
      <c r="B132" s="4">
        <v>45700</v>
      </c>
      <c r="C132" s="4" t="str">
        <f t="shared" si="45"/>
        <v>Q1-2025</v>
      </c>
      <c r="D132" s="4" t="str">
        <f t="shared" si="46"/>
        <v>Feb-2025</v>
      </c>
      <c r="E132" s="4">
        <v>45716</v>
      </c>
      <c r="F132" s="12">
        <f t="shared" si="47"/>
        <v>16</v>
      </c>
      <c r="G132" s="12">
        <f t="shared" si="38"/>
        <v>0</v>
      </c>
      <c r="H132" s="4">
        <f t="shared" si="48"/>
        <v>45716</v>
      </c>
      <c r="I132" t="s">
        <v>648</v>
      </c>
      <c r="J132" t="s">
        <v>655</v>
      </c>
      <c r="K132" t="s">
        <v>670</v>
      </c>
      <c r="L132" t="s">
        <v>703</v>
      </c>
      <c r="M132" t="s">
        <v>711</v>
      </c>
      <c r="N132" t="s">
        <v>717</v>
      </c>
      <c r="O132" t="s">
        <v>732</v>
      </c>
      <c r="P132" t="str" cm="1">
        <f t="array" ref="P132">_xlfn.IFS(S132&lt;=PERCENTILE($S$2:$S$1000, 0.33), "Low", S132&lt;=PERCENTILE($S$2:$S$1000, 0.66), "Medium", TRUE, "High")</f>
        <v>Medium</v>
      </c>
      <c r="Q132" t="s">
        <v>864</v>
      </c>
      <c r="R132" s="10">
        <v>414.95</v>
      </c>
      <c r="S132" s="10">
        <v>1027.73</v>
      </c>
      <c r="T132" s="8">
        <v>6.3E-2</v>
      </c>
      <c r="U132" s="12">
        <f t="shared" si="49"/>
        <v>0</v>
      </c>
      <c r="V132" s="6">
        <v>8</v>
      </c>
      <c r="W132" t="str">
        <f t="shared" si="39"/>
        <v>ok</v>
      </c>
      <c r="X132">
        <f t="shared" si="40"/>
        <v>16</v>
      </c>
      <c r="Y132">
        <f t="shared" si="50"/>
        <v>16</v>
      </c>
      <c r="Z132" s="10">
        <f t="shared" si="51"/>
        <v>7703.8640800000003</v>
      </c>
      <c r="AA132" s="10">
        <f t="shared" si="52"/>
        <v>3319.6</v>
      </c>
      <c r="AB132" s="10">
        <f t="shared" si="53"/>
        <v>4384.2640800000008</v>
      </c>
      <c r="AC132" s="10">
        <f t="shared" si="41"/>
        <v>606.37750000000005</v>
      </c>
      <c r="AD132" s="10">
        <f t="shared" si="42"/>
        <v>1193.865</v>
      </c>
      <c r="AE132" s="10">
        <f t="shared" si="43"/>
        <v>1912.0450000000001</v>
      </c>
      <c r="AF132" s="10" t="str">
        <f t="shared" si="44"/>
        <v>Medium</v>
      </c>
      <c r="AG132" s="6">
        <f t="shared" si="54"/>
        <v>0.56909935513815568</v>
      </c>
      <c r="AH132" s="4">
        <f t="shared" si="55"/>
        <v>44946</v>
      </c>
      <c r="AI132" t="str">
        <f t="shared" si="56"/>
        <v>Jan-2023</v>
      </c>
    </row>
    <row r="133" spans="1:35" x14ac:dyDescent="0.25">
      <c r="A133" t="s">
        <v>146</v>
      </c>
      <c r="B133" s="4">
        <v>45719</v>
      </c>
      <c r="C133" s="4" t="str">
        <f t="shared" si="45"/>
        <v>Q1-2025</v>
      </c>
      <c r="D133" s="4" t="str">
        <f t="shared" si="46"/>
        <v>Mar-2025</v>
      </c>
      <c r="E133" s="4">
        <v>45740</v>
      </c>
      <c r="F133" s="12">
        <f t="shared" si="47"/>
        <v>21</v>
      </c>
      <c r="G133" s="12">
        <f t="shared" si="38"/>
        <v>0</v>
      </c>
      <c r="H133" s="4">
        <f t="shared" si="48"/>
        <v>45740</v>
      </c>
      <c r="I133" t="s">
        <v>646</v>
      </c>
      <c r="J133" t="s">
        <v>651</v>
      </c>
      <c r="K133" t="s">
        <v>669</v>
      </c>
      <c r="L133" t="s">
        <v>706</v>
      </c>
      <c r="M133" t="s">
        <v>711</v>
      </c>
      <c r="N133" t="s">
        <v>722</v>
      </c>
      <c r="O133" t="s">
        <v>733</v>
      </c>
      <c r="P133" t="str" cm="1">
        <f t="array" ref="P133">_xlfn.IFS(S133&lt;=PERCENTILE($S$2:$S$1000, 0.33), "Low", S133&lt;=PERCENTILE($S$2:$S$1000, 0.66), "Medium", TRUE, "High")</f>
        <v>Low</v>
      </c>
      <c r="Q133" t="s">
        <v>865</v>
      </c>
      <c r="R133" s="10">
        <v>555.95000000000005</v>
      </c>
      <c r="S133" s="10">
        <v>468.09</v>
      </c>
      <c r="T133" s="8">
        <v>0.14199999999999999</v>
      </c>
      <c r="U133" s="12">
        <f t="shared" si="49"/>
        <v>0</v>
      </c>
      <c r="V133" s="6">
        <v>11</v>
      </c>
      <c r="W133" t="str">
        <f t="shared" si="39"/>
        <v>ok</v>
      </c>
      <c r="X133">
        <f t="shared" si="40"/>
        <v>21</v>
      </c>
      <c r="Y133">
        <f t="shared" si="50"/>
        <v>21</v>
      </c>
      <c r="Z133" s="10">
        <f t="shared" si="51"/>
        <v>4417.8334199999999</v>
      </c>
      <c r="AA133" s="10">
        <f t="shared" si="52"/>
        <v>6115.4500000000007</v>
      </c>
      <c r="AB133" s="10">
        <f t="shared" si="53"/>
        <v>-1697.6165800000008</v>
      </c>
      <c r="AC133" s="10">
        <f t="shared" si="41"/>
        <v>606.37750000000005</v>
      </c>
      <c r="AD133" s="10">
        <f t="shared" si="42"/>
        <v>1193.865</v>
      </c>
      <c r="AE133" s="10">
        <f t="shared" si="43"/>
        <v>1912.0450000000001</v>
      </c>
      <c r="AF133" s="10" t="str">
        <f t="shared" si="44"/>
        <v>Medium</v>
      </c>
      <c r="AG133" s="6">
        <f t="shared" si="54"/>
        <v>-0.38426450674095375</v>
      </c>
      <c r="AH133" s="4">
        <f t="shared" si="55"/>
        <v>44941</v>
      </c>
      <c r="AI133" t="str">
        <f t="shared" si="56"/>
        <v>Jan-2023</v>
      </c>
    </row>
    <row r="134" spans="1:35" x14ac:dyDescent="0.25">
      <c r="A134" t="s">
        <v>147</v>
      </c>
      <c r="B134" s="4">
        <v>44953</v>
      </c>
      <c r="C134" s="4" t="str">
        <f t="shared" si="45"/>
        <v>Q1-2023</v>
      </c>
      <c r="D134" s="4" t="str">
        <f t="shared" si="46"/>
        <v>Jan-2023</v>
      </c>
      <c r="E134" s="4">
        <v>44957</v>
      </c>
      <c r="F134" s="12">
        <f t="shared" si="47"/>
        <v>4</v>
      </c>
      <c r="G134" s="12">
        <f t="shared" si="38"/>
        <v>1</v>
      </c>
      <c r="H134" s="4">
        <f t="shared" si="48"/>
        <v>44957</v>
      </c>
      <c r="I134" t="s">
        <v>649</v>
      </c>
      <c r="J134" t="s">
        <v>658</v>
      </c>
      <c r="K134" t="s">
        <v>693</v>
      </c>
      <c r="L134" t="s">
        <v>706</v>
      </c>
      <c r="M134" t="s">
        <v>708</v>
      </c>
      <c r="N134" t="s">
        <v>725</v>
      </c>
      <c r="O134" t="s">
        <v>731</v>
      </c>
      <c r="P134" t="str" cm="1">
        <f t="array" ref="P134">_xlfn.IFS(S134&lt;=PERCENTILE($S$2:$S$1000, 0.33), "Low", S134&lt;=PERCENTILE($S$2:$S$1000, 0.66), "Medium", TRUE, "High")</f>
        <v>Low</v>
      </c>
      <c r="Q134" t="s">
        <v>866</v>
      </c>
      <c r="R134" s="10">
        <v>941.2</v>
      </c>
      <c r="S134" s="10">
        <v>668.02</v>
      </c>
      <c r="T134" s="8">
        <v>0.22</v>
      </c>
      <c r="U134" s="12">
        <f t="shared" si="49"/>
        <v>1</v>
      </c>
      <c r="V134" s="6">
        <v>16</v>
      </c>
      <c r="W134" t="str">
        <f t="shared" si="39"/>
        <v>ok</v>
      </c>
      <c r="X134">
        <f t="shared" si="40"/>
        <v>4</v>
      </c>
      <c r="Y134">
        <f t="shared" si="50"/>
        <v>4</v>
      </c>
      <c r="Z134" s="10">
        <f t="shared" si="51"/>
        <v>8336.8896000000004</v>
      </c>
      <c r="AA134" s="10">
        <f t="shared" si="52"/>
        <v>15059.2</v>
      </c>
      <c r="AB134" s="10">
        <f t="shared" si="53"/>
        <v>-6722.3104000000003</v>
      </c>
      <c r="AC134" s="10">
        <f t="shared" si="41"/>
        <v>606.37750000000005</v>
      </c>
      <c r="AD134" s="10">
        <f t="shared" si="42"/>
        <v>1193.865</v>
      </c>
      <c r="AE134" s="10">
        <f t="shared" si="43"/>
        <v>1912.0450000000001</v>
      </c>
      <c r="AF134" s="10" t="str">
        <f t="shared" si="44"/>
        <v>Low</v>
      </c>
      <c r="AG134" s="6">
        <f t="shared" si="54"/>
        <v>-0.80633314371825193</v>
      </c>
      <c r="AH134" s="4">
        <f t="shared" si="55"/>
        <v>44988</v>
      </c>
      <c r="AI134" t="str">
        <f t="shared" si="56"/>
        <v>Mar-2023</v>
      </c>
    </row>
    <row r="135" spans="1:35" x14ac:dyDescent="0.25">
      <c r="A135" t="s">
        <v>148</v>
      </c>
      <c r="B135" s="4">
        <v>45666</v>
      </c>
      <c r="C135" s="4" t="str">
        <f t="shared" si="45"/>
        <v>Q1-2025</v>
      </c>
      <c r="D135" s="4" t="str">
        <f t="shared" si="46"/>
        <v>Jan-2025</v>
      </c>
      <c r="E135" s="4">
        <v>45672</v>
      </c>
      <c r="F135" s="12">
        <f t="shared" si="47"/>
        <v>6</v>
      </c>
      <c r="G135" s="12">
        <f t="shared" si="38"/>
        <v>1</v>
      </c>
      <c r="H135" s="4">
        <f t="shared" si="48"/>
        <v>45672</v>
      </c>
      <c r="I135" t="s">
        <v>647</v>
      </c>
      <c r="J135" t="s">
        <v>659</v>
      </c>
      <c r="K135" t="s">
        <v>699</v>
      </c>
      <c r="L135" t="s">
        <v>702</v>
      </c>
      <c r="M135" t="s">
        <v>708</v>
      </c>
      <c r="N135" t="s">
        <v>712</v>
      </c>
      <c r="O135" t="s">
        <v>730</v>
      </c>
      <c r="P135" t="str" cm="1">
        <f t="array" ref="P135">_xlfn.IFS(S135&lt;=PERCENTILE($S$2:$S$1000, 0.33), "Low", S135&lt;=PERCENTILE($S$2:$S$1000, 0.66), "Medium", TRUE, "High")</f>
        <v>Low</v>
      </c>
      <c r="Q135" t="s">
        <v>867</v>
      </c>
      <c r="R135" s="10">
        <v>304.77999999999997</v>
      </c>
      <c r="S135" s="10">
        <v>537.27</v>
      </c>
      <c r="T135" s="8">
        <v>0.187</v>
      </c>
      <c r="U135" s="12">
        <f t="shared" si="49"/>
        <v>0</v>
      </c>
      <c r="V135" s="6">
        <v>8</v>
      </c>
      <c r="W135" t="str">
        <f t="shared" si="39"/>
        <v>ok</v>
      </c>
      <c r="X135">
        <f t="shared" si="40"/>
        <v>6</v>
      </c>
      <c r="Y135">
        <f t="shared" si="50"/>
        <v>6</v>
      </c>
      <c r="Z135" s="10">
        <f t="shared" si="51"/>
        <v>3494.4040799999998</v>
      </c>
      <c r="AA135" s="10">
        <f t="shared" si="52"/>
        <v>2438.2399999999998</v>
      </c>
      <c r="AB135" s="10">
        <f t="shared" si="53"/>
        <v>1056.16408</v>
      </c>
      <c r="AC135" s="10">
        <f t="shared" si="41"/>
        <v>606.37750000000005</v>
      </c>
      <c r="AD135" s="10">
        <f t="shared" si="42"/>
        <v>1193.865</v>
      </c>
      <c r="AE135" s="10">
        <f t="shared" si="43"/>
        <v>1912.0450000000001</v>
      </c>
      <c r="AF135" s="10" t="str">
        <f t="shared" si="44"/>
        <v>Medium</v>
      </c>
      <c r="AG135" s="6">
        <f t="shared" si="54"/>
        <v>0.3022444044307549</v>
      </c>
      <c r="AH135" s="4">
        <f t="shared" si="55"/>
        <v>44928</v>
      </c>
      <c r="AI135" t="str">
        <f t="shared" si="56"/>
        <v>Jan-2023</v>
      </c>
    </row>
    <row r="136" spans="1:35" x14ac:dyDescent="0.25">
      <c r="A136" t="s">
        <v>149</v>
      </c>
      <c r="B136" s="4">
        <v>45647</v>
      </c>
      <c r="C136" s="4" t="str">
        <f t="shared" si="45"/>
        <v>Q4-2024</v>
      </c>
      <c r="D136" s="4" t="str">
        <f t="shared" si="46"/>
        <v>Dec-2024</v>
      </c>
      <c r="E136" s="4">
        <v>45652</v>
      </c>
      <c r="F136" s="12">
        <f t="shared" si="47"/>
        <v>5</v>
      </c>
      <c r="G136" s="12">
        <f t="shared" si="38"/>
        <v>1</v>
      </c>
      <c r="H136" s="4">
        <f t="shared" si="48"/>
        <v>45652</v>
      </c>
      <c r="I136" t="s">
        <v>648</v>
      </c>
      <c r="J136" t="s">
        <v>660</v>
      </c>
      <c r="K136" t="s">
        <v>686</v>
      </c>
      <c r="L136" t="s">
        <v>704</v>
      </c>
      <c r="M136" t="s">
        <v>709</v>
      </c>
      <c r="N136" t="s">
        <v>724</v>
      </c>
      <c r="O136" t="s">
        <v>728</v>
      </c>
      <c r="P136" t="str" cm="1">
        <f t="array" ref="P136">_xlfn.IFS(S136&lt;=PERCENTILE($S$2:$S$1000, 0.33), "Low", S136&lt;=PERCENTILE($S$2:$S$1000, 0.66), "Medium", TRUE, "High")</f>
        <v>Low</v>
      </c>
      <c r="Q136" t="s">
        <v>868</v>
      </c>
      <c r="R136" s="10">
        <v>699.57</v>
      </c>
      <c r="S136" s="10">
        <v>572.71</v>
      </c>
      <c r="T136" s="8">
        <v>0.192</v>
      </c>
      <c r="U136" s="12">
        <f t="shared" si="49"/>
        <v>0</v>
      </c>
      <c r="V136" s="6">
        <v>26</v>
      </c>
      <c r="W136" t="str">
        <f t="shared" si="39"/>
        <v>ok</v>
      </c>
      <c r="X136">
        <f t="shared" si="40"/>
        <v>5</v>
      </c>
      <c r="Y136">
        <f t="shared" si="50"/>
        <v>5</v>
      </c>
      <c r="Z136" s="10">
        <f t="shared" si="51"/>
        <v>12031.491680000001</v>
      </c>
      <c r="AA136" s="10">
        <f t="shared" si="52"/>
        <v>18188.82</v>
      </c>
      <c r="AB136" s="10">
        <f t="shared" si="53"/>
        <v>-6157.3283199999987</v>
      </c>
      <c r="AC136" s="10">
        <f t="shared" si="41"/>
        <v>606.37750000000005</v>
      </c>
      <c r="AD136" s="10">
        <f t="shared" si="42"/>
        <v>1193.865</v>
      </c>
      <c r="AE136" s="10">
        <f t="shared" si="43"/>
        <v>1912.0450000000001</v>
      </c>
      <c r="AF136" s="10" t="str">
        <f t="shared" si="44"/>
        <v>Low</v>
      </c>
      <c r="AG136" s="6">
        <f t="shared" si="54"/>
        <v>-0.51176765805651114</v>
      </c>
      <c r="AH136" s="4">
        <f t="shared" si="55"/>
        <v>44955</v>
      </c>
      <c r="AI136" t="str">
        <f t="shared" si="56"/>
        <v>Jan-2023</v>
      </c>
    </row>
    <row r="137" spans="1:35" x14ac:dyDescent="0.25">
      <c r="A137" t="s">
        <v>150</v>
      </c>
      <c r="B137" s="4">
        <v>45028</v>
      </c>
      <c r="C137" s="4" t="str">
        <f t="shared" si="45"/>
        <v>Q2-2023</v>
      </c>
      <c r="D137" s="4" t="str">
        <f t="shared" si="46"/>
        <v>Apr-2023</v>
      </c>
      <c r="E137" s="4">
        <v>45033</v>
      </c>
      <c r="F137" s="12">
        <f t="shared" si="47"/>
        <v>5</v>
      </c>
      <c r="G137" s="12">
        <f t="shared" si="38"/>
        <v>1</v>
      </c>
      <c r="H137" s="4">
        <f t="shared" si="48"/>
        <v>45033</v>
      </c>
      <c r="I137" t="s">
        <v>649</v>
      </c>
      <c r="J137" t="s">
        <v>657</v>
      </c>
      <c r="K137" t="s">
        <v>679</v>
      </c>
      <c r="L137" t="s">
        <v>706</v>
      </c>
      <c r="M137" t="s">
        <v>711</v>
      </c>
      <c r="N137" t="s">
        <v>718</v>
      </c>
      <c r="O137" t="s">
        <v>732</v>
      </c>
      <c r="P137" t="str" cm="1">
        <f t="array" ref="P137">_xlfn.IFS(S137&lt;=PERCENTILE($S$2:$S$1000, 0.33), "Low", S137&lt;=PERCENTILE($S$2:$S$1000, 0.66), "Medium", TRUE, "High")</f>
        <v>High</v>
      </c>
      <c r="Q137" t="s">
        <v>869</v>
      </c>
      <c r="R137" s="10">
        <v>1087.81</v>
      </c>
      <c r="S137" s="10">
        <v>2323.87</v>
      </c>
      <c r="T137" s="8">
        <v>9.4E-2</v>
      </c>
      <c r="U137" s="12">
        <f t="shared" si="49"/>
        <v>0</v>
      </c>
      <c r="V137" s="6">
        <v>13</v>
      </c>
      <c r="W137" t="str">
        <f t="shared" si="39"/>
        <v>ok</v>
      </c>
      <c r="X137">
        <f t="shared" si="40"/>
        <v>5</v>
      </c>
      <c r="Y137">
        <f t="shared" si="50"/>
        <v>5</v>
      </c>
      <c r="Z137" s="10">
        <f t="shared" si="51"/>
        <v>27370.540859999997</v>
      </c>
      <c r="AA137" s="10">
        <f t="shared" si="52"/>
        <v>14141.529999999999</v>
      </c>
      <c r="AB137" s="10">
        <f t="shared" si="53"/>
        <v>13229.010859999999</v>
      </c>
      <c r="AC137" s="10">
        <f t="shared" si="41"/>
        <v>606.37750000000005</v>
      </c>
      <c r="AD137" s="10">
        <f t="shared" si="42"/>
        <v>1193.865</v>
      </c>
      <c r="AE137" s="10">
        <f t="shared" si="43"/>
        <v>1912.0450000000001</v>
      </c>
      <c r="AF137" s="10" t="str">
        <f t="shared" si="44"/>
        <v>Low</v>
      </c>
      <c r="AG137" s="6">
        <f t="shared" si="54"/>
        <v>0.48333026839572651</v>
      </c>
      <c r="AH137" s="4">
        <f t="shared" si="55"/>
        <v>44941</v>
      </c>
      <c r="AI137" t="str">
        <f t="shared" si="56"/>
        <v>Jan-2023</v>
      </c>
    </row>
    <row r="138" spans="1:35" x14ac:dyDescent="0.25">
      <c r="A138" t="s">
        <v>151</v>
      </c>
      <c r="B138" s="4">
        <v>45640</v>
      </c>
      <c r="C138" s="4" t="str">
        <f t="shared" si="45"/>
        <v>Q4-2024</v>
      </c>
      <c r="D138" s="4" t="str">
        <f t="shared" si="46"/>
        <v>Dec-2024</v>
      </c>
      <c r="E138" s="4">
        <v>45669</v>
      </c>
      <c r="F138" s="12">
        <f t="shared" si="47"/>
        <v>29</v>
      </c>
      <c r="G138" s="12">
        <f t="shared" si="38"/>
        <v>0</v>
      </c>
      <c r="H138" s="4">
        <f t="shared" si="48"/>
        <v>45669</v>
      </c>
      <c r="I138" t="s">
        <v>647</v>
      </c>
      <c r="J138" t="s">
        <v>659</v>
      </c>
      <c r="K138" t="s">
        <v>676</v>
      </c>
      <c r="L138" t="s">
        <v>702</v>
      </c>
      <c r="M138" t="s">
        <v>708</v>
      </c>
      <c r="N138" t="s">
        <v>713</v>
      </c>
      <c r="O138" t="s">
        <v>727</v>
      </c>
      <c r="P138" t="str" cm="1">
        <f t="array" ref="P138">_xlfn.IFS(S138&lt;=PERCENTILE($S$2:$S$1000, 0.33), "Low", S138&lt;=PERCENTILE($S$2:$S$1000, 0.66), "Medium", TRUE, "High")</f>
        <v>High</v>
      </c>
      <c r="Q138" t="s">
        <v>870</v>
      </c>
      <c r="R138" s="10">
        <v>1412.15</v>
      </c>
      <c r="S138" s="10">
        <v>1631.04</v>
      </c>
      <c r="T138" s="8">
        <v>8.9999999999999993E-3</v>
      </c>
      <c r="U138" s="12">
        <f t="shared" si="49"/>
        <v>0</v>
      </c>
      <c r="V138" s="6">
        <v>6</v>
      </c>
      <c r="W138" t="str">
        <f t="shared" si="39"/>
        <v>ok</v>
      </c>
      <c r="X138">
        <f t="shared" si="40"/>
        <v>29</v>
      </c>
      <c r="Y138">
        <f t="shared" si="50"/>
        <v>29</v>
      </c>
      <c r="Z138" s="10">
        <f t="shared" si="51"/>
        <v>9698.1638399999993</v>
      </c>
      <c r="AA138" s="10">
        <f t="shared" si="52"/>
        <v>8472.9000000000015</v>
      </c>
      <c r="AB138" s="10">
        <f t="shared" si="53"/>
        <v>1225.2638399999978</v>
      </c>
      <c r="AC138" s="10">
        <f t="shared" si="41"/>
        <v>606.37750000000005</v>
      </c>
      <c r="AD138" s="10">
        <f t="shared" si="42"/>
        <v>1193.865</v>
      </c>
      <c r="AE138" s="10">
        <f t="shared" si="43"/>
        <v>1912.0450000000001</v>
      </c>
      <c r="AF138" s="10" t="str">
        <f t="shared" si="44"/>
        <v>High</v>
      </c>
      <c r="AG138" s="6">
        <f t="shared" si="54"/>
        <v>0.12633977526203535</v>
      </c>
      <c r="AH138" s="4">
        <f t="shared" si="55"/>
        <v>44941</v>
      </c>
      <c r="AI138" t="str">
        <f t="shared" si="56"/>
        <v>Jan-2023</v>
      </c>
    </row>
    <row r="139" spans="1:35" x14ac:dyDescent="0.25">
      <c r="A139" t="s">
        <v>152</v>
      </c>
      <c r="B139" s="4">
        <v>45016</v>
      </c>
      <c r="C139" s="4" t="str">
        <f t="shared" si="45"/>
        <v>Q1-2023</v>
      </c>
      <c r="D139" s="4" t="str">
        <f t="shared" si="46"/>
        <v>Mar-2023</v>
      </c>
      <c r="E139" s="4">
        <v>45028</v>
      </c>
      <c r="F139" s="12">
        <f t="shared" si="47"/>
        <v>12</v>
      </c>
      <c r="G139" s="12">
        <f t="shared" si="38"/>
        <v>0</v>
      </c>
      <c r="H139" s="4">
        <f t="shared" si="48"/>
        <v>45028</v>
      </c>
      <c r="I139" t="s">
        <v>646</v>
      </c>
      <c r="J139" t="s">
        <v>650</v>
      </c>
      <c r="K139" t="s">
        <v>675</v>
      </c>
      <c r="L139" t="s">
        <v>705</v>
      </c>
      <c r="M139" t="s">
        <v>708</v>
      </c>
      <c r="N139" t="s">
        <v>712</v>
      </c>
      <c r="O139" t="s">
        <v>730</v>
      </c>
      <c r="P139" t="str" cm="1">
        <f t="array" ref="P139">_xlfn.IFS(S139&lt;=PERCENTILE($S$2:$S$1000, 0.33), "Low", S139&lt;=PERCENTILE($S$2:$S$1000, 0.66), "Medium", TRUE, "High")</f>
        <v>Low</v>
      </c>
      <c r="Q139" t="s">
        <v>871</v>
      </c>
      <c r="R139" s="10">
        <v>304.22000000000003</v>
      </c>
      <c r="S139" s="10">
        <v>393.31</v>
      </c>
      <c r="T139" s="8">
        <v>0.26500000000000001</v>
      </c>
      <c r="U139" s="12">
        <f t="shared" si="49"/>
        <v>1</v>
      </c>
      <c r="V139" s="6">
        <v>15</v>
      </c>
      <c r="W139" t="str">
        <f t="shared" si="39"/>
        <v>ok</v>
      </c>
      <c r="X139">
        <f t="shared" si="40"/>
        <v>12</v>
      </c>
      <c r="Y139">
        <f t="shared" si="50"/>
        <v>12</v>
      </c>
      <c r="Z139" s="10">
        <f t="shared" si="51"/>
        <v>4336.2427499999994</v>
      </c>
      <c r="AA139" s="10">
        <f t="shared" si="52"/>
        <v>4563.3</v>
      </c>
      <c r="AB139" s="10">
        <f t="shared" si="53"/>
        <v>-227.05725000000075</v>
      </c>
      <c r="AC139" s="10">
        <f t="shared" si="41"/>
        <v>606.37750000000005</v>
      </c>
      <c r="AD139" s="10">
        <f t="shared" si="42"/>
        <v>1193.865</v>
      </c>
      <c r="AE139" s="10">
        <f t="shared" si="43"/>
        <v>1912.0450000000001</v>
      </c>
      <c r="AF139" s="10" t="str">
        <f t="shared" si="44"/>
        <v>Medium</v>
      </c>
      <c r="AG139" s="6">
        <f t="shared" si="54"/>
        <v>-5.2362670424759034E-2</v>
      </c>
      <c r="AH139" s="4">
        <f t="shared" si="55"/>
        <v>44955</v>
      </c>
      <c r="AI139" t="str">
        <f t="shared" si="56"/>
        <v>Jan-2023</v>
      </c>
    </row>
    <row r="140" spans="1:35" x14ac:dyDescent="0.25">
      <c r="A140" t="s">
        <v>153</v>
      </c>
      <c r="B140" s="4">
        <v>45616</v>
      </c>
      <c r="C140" s="4" t="str">
        <f t="shared" si="45"/>
        <v>Q4-2024</v>
      </c>
      <c r="D140" s="4" t="str">
        <f t="shared" si="46"/>
        <v>Nov-2024</v>
      </c>
      <c r="E140" s="4">
        <v>45641</v>
      </c>
      <c r="F140" s="12">
        <f t="shared" si="47"/>
        <v>25</v>
      </c>
      <c r="G140" s="12">
        <f t="shared" si="38"/>
        <v>0</v>
      </c>
      <c r="H140" s="4">
        <f t="shared" si="48"/>
        <v>45641</v>
      </c>
      <c r="I140" t="s">
        <v>649</v>
      </c>
      <c r="J140" t="s">
        <v>657</v>
      </c>
      <c r="K140" t="s">
        <v>690</v>
      </c>
      <c r="L140" t="s">
        <v>701</v>
      </c>
      <c r="M140" t="s">
        <v>708</v>
      </c>
      <c r="N140" t="s">
        <v>715</v>
      </c>
      <c r="O140" t="s">
        <v>728</v>
      </c>
      <c r="P140" t="str" cm="1">
        <f t="array" ref="P140">_xlfn.IFS(S140&lt;=PERCENTILE($S$2:$S$1000, 0.33), "Low", S140&lt;=PERCENTILE($S$2:$S$1000, 0.66), "Medium", TRUE, "High")</f>
        <v>High</v>
      </c>
      <c r="Q140" t="s">
        <v>872</v>
      </c>
      <c r="R140" s="10">
        <v>1203.58</v>
      </c>
      <c r="S140" s="10">
        <v>1856.16</v>
      </c>
      <c r="T140" s="8">
        <v>0.129</v>
      </c>
      <c r="U140" s="12">
        <f t="shared" si="49"/>
        <v>0</v>
      </c>
      <c r="V140" s="6">
        <v>22</v>
      </c>
      <c r="W140" t="str">
        <f t="shared" si="39"/>
        <v>ok</v>
      </c>
      <c r="X140">
        <f t="shared" si="40"/>
        <v>25</v>
      </c>
      <c r="Y140">
        <f t="shared" si="50"/>
        <v>25</v>
      </c>
      <c r="Z140" s="10">
        <f t="shared" si="51"/>
        <v>35567.737920000007</v>
      </c>
      <c r="AA140" s="10">
        <f t="shared" si="52"/>
        <v>26478.76</v>
      </c>
      <c r="AB140" s="10">
        <f t="shared" si="53"/>
        <v>9088.9779200000085</v>
      </c>
      <c r="AC140" s="10">
        <f t="shared" si="41"/>
        <v>606.37750000000005</v>
      </c>
      <c r="AD140" s="10">
        <f t="shared" si="42"/>
        <v>1193.865</v>
      </c>
      <c r="AE140" s="10">
        <f t="shared" si="43"/>
        <v>1912.0450000000001</v>
      </c>
      <c r="AF140" s="10" t="str">
        <f t="shared" si="44"/>
        <v>Low</v>
      </c>
      <c r="AG140" s="6">
        <f t="shared" si="54"/>
        <v>0.25553994860295032</v>
      </c>
      <c r="AH140" s="4">
        <f t="shared" si="55"/>
        <v>44948</v>
      </c>
      <c r="AI140" t="str">
        <f t="shared" si="56"/>
        <v>Jan-2023</v>
      </c>
    </row>
    <row r="141" spans="1:35" x14ac:dyDescent="0.25">
      <c r="A141" t="s">
        <v>154</v>
      </c>
      <c r="B141" s="4">
        <v>45336</v>
      </c>
      <c r="C141" s="4" t="str">
        <f t="shared" si="45"/>
        <v>Q1-2024</v>
      </c>
      <c r="D141" s="4" t="str">
        <f t="shared" si="46"/>
        <v>Feb-2024</v>
      </c>
      <c r="E141" s="4">
        <v>45336</v>
      </c>
      <c r="F141" s="12">
        <f t="shared" si="47"/>
        <v>0</v>
      </c>
      <c r="G141" s="12">
        <f t="shared" si="38"/>
        <v>1</v>
      </c>
      <c r="H141" s="4">
        <f t="shared" si="48"/>
        <v>45336</v>
      </c>
      <c r="I141" t="s">
        <v>647</v>
      </c>
      <c r="J141" t="s">
        <v>659</v>
      </c>
      <c r="K141" t="s">
        <v>699</v>
      </c>
      <c r="L141" t="s">
        <v>701</v>
      </c>
      <c r="M141" t="s">
        <v>710</v>
      </c>
      <c r="N141" t="s">
        <v>716</v>
      </c>
      <c r="O141" t="s">
        <v>733</v>
      </c>
      <c r="P141" t="str" cm="1">
        <f t="array" ref="P141">_xlfn.IFS(S141&lt;=PERCENTILE($S$2:$S$1000, 0.33), "Low", S141&lt;=PERCENTILE($S$2:$S$1000, 0.66), "Medium", TRUE, "High")</f>
        <v>Low</v>
      </c>
      <c r="Q141" t="s">
        <v>873</v>
      </c>
      <c r="R141" s="10">
        <v>65.930000000000007</v>
      </c>
      <c r="S141" s="10">
        <v>84.9</v>
      </c>
      <c r="T141" s="8">
        <v>0.25900000000000001</v>
      </c>
      <c r="U141" s="12">
        <f t="shared" si="49"/>
        <v>1</v>
      </c>
      <c r="V141" s="6">
        <v>23</v>
      </c>
      <c r="W141" t="str">
        <f t="shared" si="39"/>
        <v>sus</v>
      </c>
      <c r="X141">
        <f t="shared" si="40"/>
        <v>0</v>
      </c>
      <c r="Y141">
        <f t="shared" si="50"/>
        <v>0</v>
      </c>
      <c r="Z141" s="10">
        <f t="shared" si="51"/>
        <v>1446.9507000000001</v>
      </c>
      <c r="AA141" s="10">
        <f t="shared" si="52"/>
        <v>1516.39</v>
      </c>
      <c r="AB141" s="10">
        <f t="shared" si="53"/>
        <v>-69.439300000000003</v>
      </c>
      <c r="AC141" s="10">
        <f t="shared" si="41"/>
        <v>606.37750000000005</v>
      </c>
      <c r="AD141" s="10">
        <f t="shared" si="42"/>
        <v>1193.865</v>
      </c>
      <c r="AE141" s="10">
        <f t="shared" si="43"/>
        <v>1912.0450000000001</v>
      </c>
      <c r="AF141" s="10" t="str">
        <f t="shared" si="44"/>
        <v>Medium</v>
      </c>
      <c r="AG141" s="6">
        <f t="shared" si="54"/>
        <v>-4.7990093926489688E-2</v>
      </c>
      <c r="AH141" s="4">
        <f t="shared" si="55"/>
        <v>44988</v>
      </c>
      <c r="AI141" t="str">
        <f t="shared" si="56"/>
        <v>Mar-2023</v>
      </c>
    </row>
    <row r="142" spans="1:35" x14ac:dyDescent="0.25">
      <c r="A142" t="s">
        <v>155</v>
      </c>
      <c r="B142" s="4">
        <v>45048</v>
      </c>
      <c r="C142" s="4" t="str">
        <f t="shared" si="45"/>
        <v>Q2-2023</v>
      </c>
      <c r="D142" s="4" t="str">
        <f t="shared" si="46"/>
        <v>May-2023</v>
      </c>
      <c r="E142" s="4">
        <v>45064</v>
      </c>
      <c r="F142" s="12">
        <f t="shared" si="47"/>
        <v>16</v>
      </c>
      <c r="G142" s="12">
        <f t="shared" si="38"/>
        <v>0</v>
      </c>
      <c r="H142" s="4">
        <f t="shared" si="48"/>
        <v>45064</v>
      </c>
      <c r="I142" t="s">
        <v>647</v>
      </c>
      <c r="J142" t="s">
        <v>654</v>
      </c>
      <c r="K142" t="s">
        <v>680</v>
      </c>
      <c r="L142" t="s">
        <v>705</v>
      </c>
      <c r="M142" t="s">
        <v>709</v>
      </c>
      <c r="N142" t="s">
        <v>723</v>
      </c>
      <c r="O142" t="s">
        <v>732</v>
      </c>
      <c r="P142" t="str" cm="1">
        <f t="array" ref="P142">_xlfn.IFS(S142&lt;=PERCENTILE($S$2:$S$1000, 0.33), "Low", S142&lt;=PERCENTILE($S$2:$S$1000, 0.66), "Medium", TRUE, "High")</f>
        <v>High</v>
      </c>
      <c r="Q142" t="s">
        <v>874</v>
      </c>
      <c r="R142" s="10">
        <v>1463.92</v>
      </c>
      <c r="S142" s="10">
        <v>2252.2399999999998</v>
      </c>
      <c r="T142" s="8">
        <v>0.11799999999999999</v>
      </c>
      <c r="U142" s="12">
        <f t="shared" si="49"/>
        <v>0</v>
      </c>
      <c r="V142" s="6">
        <v>44</v>
      </c>
      <c r="W142" t="str">
        <f t="shared" si="39"/>
        <v>ok</v>
      </c>
      <c r="X142">
        <f t="shared" si="40"/>
        <v>16</v>
      </c>
      <c r="Y142">
        <f t="shared" si="50"/>
        <v>16</v>
      </c>
      <c r="Z142" s="10">
        <f t="shared" si="51"/>
        <v>87404.929919999995</v>
      </c>
      <c r="AA142" s="10">
        <f t="shared" si="52"/>
        <v>64412.480000000003</v>
      </c>
      <c r="AB142" s="10">
        <f t="shared" si="53"/>
        <v>22992.449919999992</v>
      </c>
      <c r="AC142" s="10">
        <f t="shared" si="41"/>
        <v>606.37750000000005</v>
      </c>
      <c r="AD142" s="10">
        <f t="shared" si="42"/>
        <v>1193.865</v>
      </c>
      <c r="AE142" s="10">
        <f t="shared" si="43"/>
        <v>1912.0450000000001</v>
      </c>
      <c r="AF142" s="10" t="str">
        <f t="shared" si="44"/>
        <v>Low</v>
      </c>
      <c r="AG142" s="6">
        <f t="shared" si="54"/>
        <v>0.26305667130040061</v>
      </c>
      <c r="AH142" s="4">
        <f t="shared" si="55"/>
        <v>44955</v>
      </c>
      <c r="AI142" t="str">
        <f t="shared" si="56"/>
        <v>Jan-2023</v>
      </c>
    </row>
    <row r="143" spans="1:35" x14ac:dyDescent="0.25">
      <c r="A143" t="s">
        <v>156</v>
      </c>
      <c r="B143" s="4">
        <v>45649</v>
      </c>
      <c r="C143" s="4" t="str">
        <f t="shared" si="45"/>
        <v>Q4-2024</v>
      </c>
      <c r="D143" s="4" t="str">
        <f t="shared" si="46"/>
        <v>Dec-2024</v>
      </c>
      <c r="E143" s="4">
        <v>45668</v>
      </c>
      <c r="F143" s="12">
        <f t="shared" si="47"/>
        <v>19</v>
      </c>
      <c r="G143" s="12">
        <f t="shared" si="38"/>
        <v>0</v>
      </c>
      <c r="H143" s="4">
        <f t="shared" si="48"/>
        <v>45668</v>
      </c>
      <c r="I143" t="s">
        <v>649</v>
      </c>
      <c r="J143" t="s">
        <v>656</v>
      </c>
      <c r="K143" t="s">
        <v>671</v>
      </c>
      <c r="L143" t="s">
        <v>702</v>
      </c>
      <c r="M143" t="s">
        <v>707</v>
      </c>
      <c r="N143" t="s">
        <v>723</v>
      </c>
      <c r="O143" t="s">
        <v>730</v>
      </c>
      <c r="P143" t="str" cm="1">
        <f t="array" ref="P143">_xlfn.IFS(S143&lt;=PERCENTILE($S$2:$S$1000, 0.33), "Low", S143&lt;=PERCENTILE($S$2:$S$1000, 0.66), "Medium", TRUE, "High")</f>
        <v>Medium</v>
      </c>
      <c r="Q143" t="s">
        <v>875</v>
      </c>
      <c r="R143" s="10">
        <v>501.81</v>
      </c>
      <c r="S143" s="10">
        <v>921.62</v>
      </c>
      <c r="T143" s="8">
        <v>0.01</v>
      </c>
      <c r="U143" s="12">
        <f t="shared" si="49"/>
        <v>0</v>
      </c>
      <c r="V143" s="6">
        <v>9</v>
      </c>
      <c r="W143" t="str">
        <f t="shared" si="39"/>
        <v>ok</v>
      </c>
      <c r="X143">
        <f t="shared" si="40"/>
        <v>19</v>
      </c>
      <c r="Y143">
        <f t="shared" si="50"/>
        <v>19</v>
      </c>
      <c r="Z143" s="10">
        <f t="shared" si="51"/>
        <v>8211.6342000000004</v>
      </c>
      <c r="AA143" s="10">
        <f t="shared" si="52"/>
        <v>4516.29</v>
      </c>
      <c r="AB143" s="10">
        <f t="shared" si="53"/>
        <v>3695.3442000000005</v>
      </c>
      <c r="AC143" s="10">
        <f t="shared" si="41"/>
        <v>606.37750000000005</v>
      </c>
      <c r="AD143" s="10">
        <f t="shared" si="42"/>
        <v>1193.865</v>
      </c>
      <c r="AE143" s="10">
        <f t="shared" si="43"/>
        <v>1912.0450000000001</v>
      </c>
      <c r="AF143" s="10" t="str">
        <f t="shared" si="44"/>
        <v>High</v>
      </c>
      <c r="AG143" s="6">
        <f t="shared" si="54"/>
        <v>0.45001325071202031</v>
      </c>
      <c r="AH143" s="4">
        <f t="shared" si="55"/>
        <v>44936</v>
      </c>
      <c r="AI143" t="str">
        <f t="shared" si="56"/>
        <v>Jan-2023</v>
      </c>
    </row>
    <row r="144" spans="1:35" x14ac:dyDescent="0.25">
      <c r="A144" t="s">
        <v>157</v>
      </c>
      <c r="B144" s="4">
        <v>45133</v>
      </c>
      <c r="C144" s="4" t="str">
        <f t="shared" si="45"/>
        <v>Q3-2023</v>
      </c>
      <c r="D144" s="4" t="str">
        <f t="shared" si="46"/>
        <v>Jul-2023</v>
      </c>
      <c r="E144" s="4">
        <v>45163</v>
      </c>
      <c r="F144" s="12">
        <f t="shared" si="47"/>
        <v>30</v>
      </c>
      <c r="G144" s="12">
        <f t="shared" si="38"/>
        <v>0</v>
      </c>
      <c r="H144" s="4">
        <f t="shared" si="48"/>
        <v>45163</v>
      </c>
      <c r="I144" t="s">
        <v>648</v>
      </c>
      <c r="J144" t="s">
        <v>660</v>
      </c>
      <c r="K144" t="s">
        <v>700</v>
      </c>
      <c r="L144" t="s">
        <v>704</v>
      </c>
      <c r="M144" t="s">
        <v>707</v>
      </c>
      <c r="N144" t="s">
        <v>724</v>
      </c>
      <c r="O144" t="s">
        <v>733</v>
      </c>
      <c r="P144" t="str" cm="1">
        <f t="array" ref="P144">_xlfn.IFS(S144&lt;=PERCENTILE($S$2:$S$1000, 0.33), "Low", S144&lt;=PERCENTILE($S$2:$S$1000, 0.66), "Medium", TRUE, "High")</f>
        <v>High</v>
      </c>
      <c r="Q144" t="s">
        <v>876</v>
      </c>
      <c r="R144" s="10">
        <v>1261.48</v>
      </c>
      <c r="S144" s="10">
        <v>1643.18</v>
      </c>
      <c r="T144" s="8">
        <v>0.151</v>
      </c>
      <c r="U144" s="12">
        <f t="shared" si="49"/>
        <v>0</v>
      </c>
      <c r="V144" s="6">
        <v>23</v>
      </c>
      <c r="W144" t="str">
        <f t="shared" si="39"/>
        <v>ok</v>
      </c>
      <c r="X144">
        <f t="shared" si="40"/>
        <v>30</v>
      </c>
      <c r="Y144">
        <f t="shared" si="50"/>
        <v>30</v>
      </c>
      <c r="Z144" s="10">
        <f t="shared" si="51"/>
        <v>32086.37586</v>
      </c>
      <c r="AA144" s="10">
        <f t="shared" si="52"/>
        <v>29014.04</v>
      </c>
      <c r="AB144" s="10">
        <f t="shared" si="53"/>
        <v>3072.3358599999992</v>
      </c>
      <c r="AC144" s="10">
        <f t="shared" si="41"/>
        <v>606.37750000000005</v>
      </c>
      <c r="AD144" s="10">
        <f t="shared" si="42"/>
        <v>1193.865</v>
      </c>
      <c r="AE144" s="10">
        <f t="shared" si="43"/>
        <v>1912.0450000000001</v>
      </c>
      <c r="AF144" s="10" t="str">
        <f t="shared" si="44"/>
        <v>Medium</v>
      </c>
      <c r="AG144" s="6">
        <f t="shared" si="54"/>
        <v>9.5752037357079045E-2</v>
      </c>
      <c r="AH144" s="4">
        <f t="shared" si="55"/>
        <v>44955</v>
      </c>
      <c r="AI144" t="str">
        <f t="shared" si="56"/>
        <v>Jan-2023</v>
      </c>
    </row>
    <row r="145" spans="1:35" x14ac:dyDescent="0.25">
      <c r="A145" t="s">
        <v>158</v>
      </c>
      <c r="B145" s="4">
        <v>45458</v>
      </c>
      <c r="C145" s="4" t="str">
        <f t="shared" si="45"/>
        <v>Q2-2024</v>
      </c>
      <c r="D145" s="4" t="str">
        <f t="shared" si="46"/>
        <v>Jun-2024</v>
      </c>
      <c r="E145" s="4">
        <v>45479</v>
      </c>
      <c r="F145" s="12">
        <f t="shared" si="47"/>
        <v>21</v>
      </c>
      <c r="G145" s="12">
        <f t="shared" si="38"/>
        <v>0</v>
      </c>
      <c r="H145" s="4">
        <f t="shared" si="48"/>
        <v>45479</v>
      </c>
      <c r="I145" t="s">
        <v>648</v>
      </c>
      <c r="J145" t="s">
        <v>653</v>
      </c>
      <c r="K145" t="s">
        <v>667</v>
      </c>
      <c r="L145" t="s">
        <v>706</v>
      </c>
      <c r="M145" t="s">
        <v>710</v>
      </c>
      <c r="N145" t="s">
        <v>716</v>
      </c>
      <c r="O145" t="s">
        <v>728</v>
      </c>
      <c r="P145" t="str" cm="1">
        <f t="array" ref="P145">_xlfn.IFS(S145&lt;=PERCENTILE($S$2:$S$1000, 0.33), "Low", S145&lt;=PERCENTILE($S$2:$S$1000, 0.66), "Medium", TRUE, "High")</f>
        <v>Medium</v>
      </c>
      <c r="Q145" t="s">
        <v>877</v>
      </c>
      <c r="R145" s="10">
        <v>817.23</v>
      </c>
      <c r="S145" s="10">
        <v>1467.17</v>
      </c>
      <c r="T145" s="8">
        <v>0.245</v>
      </c>
      <c r="U145" s="12">
        <f t="shared" si="49"/>
        <v>1</v>
      </c>
      <c r="V145" s="6">
        <v>9</v>
      </c>
      <c r="W145" t="str">
        <f t="shared" si="39"/>
        <v>ok</v>
      </c>
      <c r="X145">
        <f t="shared" si="40"/>
        <v>21</v>
      </c>
      <c r="Y145">
        <f t="shared" si="50"/>
        <v>21</v>
      </c>
      <c r="Z145" s="10">
        <f t="shared" si="51"/>
        <v>9969.4201499999999</v>
      </c>
      <c r="AA145" s="10">
        <f t="shared" si="52"/>
        <v>7355.07</v>
      </c>
      <c r="AB145" s="10">
        <f t="shared" si="53"/>
        <v>2614.3501500000002</v>
      </c>
      <c r="AC145" s="10">
        <f t="shared" si="41"/>
        <v>606.37750000000005</v>
      </c>
      <c r="AD145" s="10">
        <f t="shared" si="42"/>
        <v>1193.865</v>
      </c>
      <c r="AE145" s="10">
        <f t="shared" si="43"/>
        <v>1912.0450000000001</v>
      </c>
      <c r="AF145" s="10" t="str">
        <f t="shared" si="44"/>
        <v>Medium</v>
      </c>
      <c r="AG145" s="6">
        <f t="shared" si="54"/>
        <v>0.26223693160328893</v>
      </c>
      <c r="AH145" s="4">
        <f t="shared" si="55"/>
        <v>44946</v>
      </c>
      <c r="AI145" t="str">
        <f t="shared" si="56"/>
        <v>Jan-2023</v>
      </c>
    </row>
    <row r="146" spans="1:35" x14ac:dyDescent="0.25">
      <c r="A146" t="s">
        <v>159</v>
      </c>
      <c r="B146" s="4">
        <v>45112</v>
      </c>
      <c r="C146" s="4" t="str">
        <f t="shared" si="45"/>
        <v>Q3-2023</v>
      </c>
      <c r="D146" s="4" t="str">
        <f t="shared" si="46"/>
        <v>Jul-2023</v>
      </c>
      <c r="E146" s="4">
        <v>45121</v>
      </c>
      <c r="F146" s="12">
        <f t="shared" si="47"/>
        <v>9</v>
      </c>
      <c r="G146" s="12">
        <f t="shared" si="38"/>
        <v>0</v>
      </c>
      <c r="H146" s="4">
        <f t="shared" si="48"/>
        <v>45121</v>
      </c>
      <c r="I146" t="s">
        <v>648</v>
      </c>
      <c r="J146" t="s">
        <v>655</v>
      </c>
      <c r="K146" t="s">
        <v>672</v>
      </c>
      <c r="L146" t="s">
        <v>706</v>
      </c>
      <c r="M146" t="s">
        <v>711</v>
      </c>
      <c r="N146" t="s">
        <v>717</v>
      </c>
      <c r="O146" t="s">
        <v>729</v>
      </c>
      <c r="P146" t="str" cm="1">
        <f t="array" ref="P146">_xlfn.IFS(S146&lt;=PERCENTILE($S$2:$S$1000, 0.33), "Low", S146&lt;=PERCENTILE($S$2:$S$1000, 0.66), "Medium", TRUE, "High")</f>
        <v>Medium</v>
      </c>
      <c r="Q146" t="s">
        <v>878</v>
      </c>
      <c r="R146" s="10">
        <v>578.85</v>
      </c>
      <c r="S146" s="10">
        <v>998.76</v>
      </c>
      <c r="T146" s="8">
        <v>8.2000000000000003E-2</v>
      </c>
      <c r="U146" s="12">
        <f t="shared" si="49"/>
        <v>0</v>
      </c>
      <c r="V146" s="6">
        <v>28</v>
      </c>
      <c r="W146" t="str">
        <f t="shared" si="39"/>
        <v>ok</v>
      </c>
      <c r="X146">
        <f t="shared" si="40"/>
        <v>9</v>
      </c>
      <c r="Y146">
        <f t="shared" si="50"/>
        <v>9</v>
      </c>
      <c r="Z146" s="10">
        <f t="shared" si="51"/>
        <v>25672.127039999999</v>
      </c>
      <c r="AA146" s="10">
        <f t="shared" si="52"/>
        <v>16207.800000000001</v>
      </c>
      <c r="AB146" s="10">
        <f t="shared" si="53"/>
        <v>9464.3270399999983</v>
      </c>
      <c r="AC146" s="10">
        <f t="shared" si="41"/>
        <v>606.37750000000005</v>
      </c>
      <c r="AD146" s="10">
        <f t="shared" si="42"/>
        <v>1193.865</v>
      </c>
      <c r="AE146" s="10">
        <f t="shared" si="43"/>
        <v>1912.0450000000001</v>
      </c>
      <c r="AF146" s="10" t="str">
        <f t="shared" si="44"/>
        <v>Medium</v>
      </c>
      <c r="AG146" s="6">
        <f t="shared" si="54"/>
        <v>0.36866158480960831</v>
      </c>
      <c r="AH146" s="4">
        <f t="shared" si="55"/>
        <v>44936</v>
      </c>
      <c r="AI146" t="str">
        <f t="shared" si="56"/>
        <v>Jan-2023</v>
      </c>
    </row>
    <row r="147" spans="1:35" x14ac:dyDescent="0.25">
      <c r="A147" t="s">
        <v>160</v>
      </c>
      <c r="B147" s="4">
        <v>45260</v>
      </c>
      <c r="C147" s="4" t="str">
        <f t="shared" si="45"/>
        <v>Q4-2023</v>
      </c>
      <c r="D147" s="4" t="str">
        <f t="shared" si="46"/>
        <v>Nov-2023</v>
      </c>
      <c r="E147" s="4">
        <v>45259</v>
      </c>
      <c r="F147" s="12">
        <f t="shared" si="47"/>
        <v>14</v>
      </c>
      <c r="G147" s="12">
        <f t="shared" si="38"/>
        <v>0</v>
      </c>
      <c r="H147" s="4">
        <f t="shared" si="48"/>
        <v>45274</v>
      </c>
      <c r="I147" t="s">
        <v>646</v>
      </c>
      <c r="J147" t="s">
        <v>661</v>
      </c>
      <c r="K147" t="s">
        <v>687</v>
      </c>
      <c r="L147" t="s">
        <v>705</v>
      </c>
      <c r="M147" t="s">
        <v>709</v>
      </c>
      <c r="N147" t="s">
        <v>718</v>
      </c>
      <c r="O147" t="s">
        <v>731</v>
      </c>
      <c r="P147" t="str" cm="1">
        <f t="array" ref="P147">_xlfn.IFS(S147&lt;=PERCENTILE($S$2:$S$1000, 0.33), "Low", S147&lt;=PERCENTILE($S$2:$S$1000, 0.66), "Medium", TRUE, "High")</f>
        <v>Low</v>
      </c>
      <c r="Q147" t="s">
        <v>879</v>
      </c>
      <c r="R147" s="10">
        <v>275.56</v>
      </c>
      <c r="S147" s="10">
        <v>630.72</v>
      </c>
      <c r="T147" s="8">
        <v>0.107</v>
      </c>
      <c r="U147" s="12">
        <f t="shared" si="49"/>
        <v>0</v>
      </c>
      <c r="V147" s="6">
        <v>23</v>
      </c>
      <c r="W147" t="str">
        <f t="shared" si="39"/>
        <v>sus</v>
      </c>
      <c r="X147">
        <f t="shared" si="40"/>
        <v>-1</v>
      </c>
      <c r="Y147">
        <f t="shared" si="50"/>
        <v>1</v>
      </c>
      <c r="Z147" s="10">
        <f t="shared" si="51"/>
        <v>12954.358080000002</v>
      </c>
      <c r="AA147" s="10">
        <f t="shared" si="52"/>
        <v>6337.88</v>
      </c>
      <c r="AB147" s="10">
        <f t="shared" si="53"/>
        <v>6616.4780800000017</v>
      </c>
      <c r="AC147" s="10">
        <f t="shared" si="41"/>
        <v>606.37750000000005</v>
      </c>
      <c r="AD147" s="10">
        <f t="shared" si="42"/>
        <v>1193.865</v>
      </c>
      <c r="AE147" s="10">
        <f t="shared" si="43"/>
        <v>1912.0450000000001</v>
      </c>
      <c r="AF147" s="10" t="str">
        <f t="shared" si="44"/>
        <v>Medium</v>
      </c>
      <c r="AG147" s="6">
        <f t="shared" si="54"/>
        <v>0.5107530638831933</v>
      </c>
      <c r="AH147" s="4">
        <f t="shared" si="55"/>
        <v>44988</v>
      </c>
      <c r="AI147" t="str">
        <f t="shared" si="56"/>
        <v>Mar-2023</v>
      </c>
    </row>
    <row r="148" spans="1:35" x14ac:dyDescent="0.25">
      <c r="A148" t="s">
        <v>161</v>
      </c>
      <c r="B148" s="4">
        <v>45911</v>
      </c>
      <c r="C148" s="4" t="str">
        <f t="shared" si="45"/>
        <v>Q3-2025</v>
      </c>
      <c r="D148" s="4" t="str">
        <f t="shared" si="46"/>
        <v>Sept-2025</v>
      </c>
      <c r="E148" s="4">
        <v>45928</v>
      </c>
      <c r="F148" s="12">
        <f t="shared" si="47"/>
        <v>17</v>
      </c>
      <c r="G148" s="12">
        <f t="shared" si="38"/>
        <v>0</v>
      </c>
      <c r="H148" s="4">
        <f t="shared" si="48"/>
        <v>45928</v>
      </c>
      <c r="I148" t="s">
        <v>646</v>
      </c>
      <c r="J148" t="s">
        <v>650</v>
      </c>
      <c r="K148" t="s">
        <v>664</v>
      </c>
      <c r="L148" t="s">
        <v>703</v>
      </c>
      <c r="M148" t="s">
        <v>710</v>
      </c>
      <c r="N148" t="s">
        <v>713</v>
      </c>
      <c r="O148" t="s">
        <v>731</v>
      </c>
      <c r="P148" t="str" cm="1">
        <f t="array" ref="P148">_xlfn.IFS(S148&lt;=PERCENTILE($S$2:$S$1000, 0.33), "Low", S148&lt;=PERCENTILE($S$2:$S$1000, 0.66), "Medium", TRUE, "High")</f>
        <v>Low</v>
      </c>
      <c r="Q148" t="s">
        <v>880</v>
      </c>
      <c r="R148" s="10">
        <v>891.46</v>
      </c>
      <c r="S148" s="10">
        <v>728.61</v>
      </c>
      <c r="T148" s="8">
        <v>0.185</v>
      </c>
      <c r="U148" s="12">
        <f t="shared" si="49"/>
        <v>0</v>
      </c>
      <c r="V148" s="6">
        <v>6</v>
      </c>
      <c r="W148" t="str">
        <f t="shared" si="39"/>
        <v>ok</v>
      </c>
      <c r="X148">
        <f t="shared" si="40"/>
        <v>17</v>
      </c>
      <c r="Y148">
        <f t="shared" si="50"/>
        <v>17</v>
      </c>
      <c r="Z148" s="10">
        <f t="shared" si="51"/>
        <v>3562.9028999999996</v>
      </c>
      <c r="AA148" s="10">
        <f t="shared" si="52"/>
        <v>5348.76</v>
      </c>
      <c r="AB148" s="10">
        <f t="shared" si="53"/>
        <v>-1785.8571000000006</v>
      </c>
      <c r="AC148" s="10">
        <f t="shared" si="41"/>
        <v>606.37750000000005</v>
      </c>
      <c r="AD148" s="10">
        <f t="shared" si="42"/>
        <v>1193.865</v>
      </c>
      <c r="AE148" s="10">
        <f t="shared" si="43"/>
        <v>1912.0450000000001</v>
      </c>
      <c r="AF148" s="10" t="str">
        <f t="shared" si="44"/>
        <v>Medium</v>
      </c>
      <c r="AG148" s="6">
        <f t="shared" si="54"/>
        <v>-0.50123653383874167</v>
      </c>
      <c r="AH148" s="4">
        <f t="shared" si="55"/>
        <v>44955</v>
      </c>
      <c r="AI148" t="str">
        <f t="shared" si="56"/>
        <v>Jan-2023</v>
      </c>
    </row>
    <row r="149" spans="1:35" x14ac:dyDescent="0.25">
      <c r="A149" t="s">
        <v>162</v>
      </c>
      <c r="B149" s="4">
        <v>45386</v>
      </c>
      <c r="C149" s="4" t="str">
        <f t="shared" si="45"/>
        <v>Q2-2024</v>
      </c>
      <c r="D149" s="4" t="str">
        <f t="shared" si="46"/>
        <v>Apr-2024</v>
      </c>
      <c r="E149" s="4">
        <v>45406</v>
      </c>
      <c r="F149" s="12">
        <f t="shared" si="47"/>
        <v>20</v>
      </c>
      <c r="G149" s="12">
        <f t="shared" si="38"/>
        <v>0</v>
      </c>
      <c r="H149" s="4">
        <f t="shared" si="48"/>
        <v>45406</v>
      </c>
      <c r="I149" t="s">
        <v>649</v>
      </c>
      <c r="J149" t="s">
        <v>656</v>
      </c>
      <c r="K149" t="s">
        <v>698</v>
      </c>
      <c r="L149" t="s">
        <v>703</v>
      </c>
      <c r="M149" t="s">
        <v>711</v>
      </c>
      <c r="N149" t="s">
        <v>719</v>
      </c>
      <c r="O149" t="s">
        <v>733</v>
      </c>
      <c r="P149" t="str" cm="1">
        <f t="array" ref="P149">_xlfn.IFS(S149&lt;=PERCENTILE($S$2:$S$1000, 0.33), "Low", S149&lt;=PERCENTILE($S$2:$S$1000, 0.66), "Medium", TRUE, "High")</f>
        <v>Medium</v>
      </c>
      <c r="Q149" t="s">
        <v>881</v>
      </c>
      <c r="R149" s="10">
        <v>683.42</v>
      </c>
      <c r="S149" s="10">
        <v>951.51</v>
      </c>
      <c r="T149" s="8">
        <v>0</v>
      </c>
      <c r="U149" s="12">
        <f t="shared" si="49"/>
        <v>0</v>
      </c>
      <c r="V149" s="6">
        <v>14</v>
      </c>
      <c r="W149" t="str">
        <f t="shared" si="39"/>
        <v>ok</v>
      </c>
      <c r="X149">
        <f t="shared" si="40"/>
        <v>20</v>
      </c>
      <c r="Y149">
        <f t="shared" si="50"/>
        <v>20</v>
      </c>
      <c r="Z149" s="10">
        <f t="shared" si="51"/>
        <v>13321.14</v>
      </c>
      <c r="AA149" s="10">
        <f t="shared" si="52"/>
        <v>9567.8799999999992</v>
      </c>
      <c r="AB149" s="10">
        <f t="shared" si="53"/>
        <v>3753.26</v>
      </c>
      <c r="AC149" s="10">
        <f t="shared" si="41"/>
        <v>606.37750000000005</v>
      </c>
      <c r="AD149" s="10">
        <f t="shared" si="42"/>
        <v>1193.865</v>
      </c>
      <c r="AE149" s="10">
        <f t="shared" si="43"/>
        <v>1912.0450000000001</v>
      </c>
      <c r="AF149" s="10" t="str">
        <f t="shared" si="44"/>
        <v>Medium</v>
      </c>
      <c r="AG149" s="6">
        <f t="shared" si="54"/>
        <v>0.28175216235247136</v>
      </c>
      <c r="AH149" s="4">
        <f t="shared" si="55"/>
        <v>44945</v>
      </c>
      <c r="AI149" t="str">
        <f t="shared" si="56"/>
        <v>Jan-2023</v>
      </c>
    </row>
    <row r="150" spans="1:35" x14ac:dyDescent="0.25">
      <c r="A150" t="s">
        <v>163</v>
      </c>
      <c r="B150" s="4">
        <v>45183</v>
      </c>
      <c r="C150" s="4" t="str">
        <f t="shared" si="45"/>
        <v>Q3-2023</v>
      </c>
      <c r="D150" s="4" t="str">
        <f t="shared" si="46"/>
        <v>Sept-2023</v>
      </c>
      <c r="E150" s="4">
        <v>45185</v>
      </c>
      <c r="F150" s="12">
        <f t="shared" si="47"/>
        <v>2</v>
      </c>
      <c r="G150" s="12">
        <f t="shared" si="38"/>
        <v>1</v>
      </c>
      <c r="H150" s="4">
        <f t="shared" si="48"/>
        <v>45185</v>
      </c>
      <c r="I150" t="s">
        <v>649</v>
      </c>
      <c r="J150" t="s">
        <v>657</v>
      </c>
      <c r="K150" t="s">
        <v>679</v>
      </c>
      <c r="L150" t="s">
        <v>703</v>
      </c>
      <c r="M150" t="s">
        <v>711</v>
      </c>
      <c r="N150" t="s">
        <v>717</v>
      </c>
      <c r="O150" t="s">
        <v>728</v>
      </c>
      <c r="P150" t="str" cm="1">
        <f t="array" ref="P150">_xlfn.IFS(S150&lt;=PERCENTILE($S$2:$S$1000, 0.33), "Low", S150&lt;=PERCENTILE($S$2:$S$1000, 0.66), "Medium", TRUE, "High")</f>
        <v>Low</v>
      </c>
      <c r="Q150" t="s">
        <v>882</v>
      </c>
      <c r="R150" s="10">
        <v>376.83</v>
      </c>
      <c r="S150" s="10">
        <v>732.88</v>
      </c>
      <c r="T150" s="8">
        <v>0.188</v>
      </c>
      <c r="U150" s="12">
        <f t="shared" si="49"/>
        <v>0</v>
      </c>
      <c r="V150" s="6">
        <v>25</v>
      </c>
      <c r="W150" t="str">
        <f t="shared" si="39"/>
        <v>ok</v>
      </c>
      <c r="X150">
        <f t="shared" si="40"/>
        <v>2</v>
      </c>
      <c r="Y150">
        <f t="shared" si="50"/>
        <v>2</v>
      </c>
      <c r="Z150" s="10">
        <f t="shared" si="51"/>
        <v>14877.464000000002</v>
      </c>
      <c r="AA150" s="10">
        <f t="shared" si="52"/>
        <v>9420.75</v>
      </c>
      <c r="AB150" s="10">
        <f t="shared" si="53"/>
        <v>5456.7140000000018</v>
      </c>
      <c r="AC150" s="10">
        <f t="shared" si="41"/>
        <v>606.37750000000005</v>
      </c>
      <c r="AD150" s="10">
        <f t="shared" si="42"/>
        <v>1193.865</v>
      </c>
      <c r="AE150" s="10">
        <f t="shared" si="43"/>
        <v>1912.0450000000001</v>
      </c>
      <c r="AF150" s="10" t="str">
        <f t="shared" si="44"/>
        <v>Medium</v>
      </c>
      <c r="AG150" s="6">
        <f t="shared" si="54"/>
        <v>0.36677716040852132</v>
      </c>
      <c r="AH150" s="4">
        <f t="shared" si="55"/>
        <v>44946</v>
      </c>
      <c r="AI150" t="str">
        <f t="shared" si="56"/>
        <v>Jan-2023</v>
      </c>
    </row>
    <row r="151" spans="1:35" x14ac:dyDescent="0.25">
      <c r="A151" t="s">
        <v>164</v>
      </c>
      <c r="B151" s="4">
        <v>45558</v>
      </c>
      <c r="C151" s="4" t="str">
        <f t="shared" si="45"/>
        <v>Q3-2024</v>
      </c>
      <c r="D151" s="4" t="str">
        <f t="shared" si="46"/>
        <v>Sept-2024</v>
      </c>
      <c r="E151" s="4">
        <v>45583</v>
      </c>
      <c r="F151" s="12">
        <f t="shared" si="47"/>
        <v>25</v>
      </c>
      <c r="G151" s="12">
        <f t="shared" si="38"/>
        <v>0</v>
      </c>
      <c r="H151" s="4">
        <f t="shared" si="48"/>
        <v>45583</v>
      </c>
      <c r="I151" t="s">
        <v>648</v>
      </c>
      <c r="J151" t="s">
        <v>653</v>
      </c>
      <c r="K151" t="s">
        <v>688</v>
      </c>
      <c r="L151" t="s">
        <v>705</v>
      </c>
      <c r="M151" t="s">
        <v>708</v>
      </c>
      <c r="N151" t="s">
        <v>725</v>
      </c>
      <c r="O151" t="s">
        <v>730</v>
      </c>
      <c r="P151" t="str" cm="1">
        <f t="array" ref="P151">_xlfn.IFS(S151&lt;=PERCENTILE($S$2:$S$1000, 0.33), "Low", S151&lt;=PERCENTILE($S$2:$S$1000, 0.66), "Medium", TRUE, "High")</f>
        <v>High</v>
      </c>
      <c r="Q151" t="s">
        <v>883</v>
      </c>
      <c r="R151" s="10">
        <v>1297</v>
      </c>
      <c r="S151" s="10">
        <v>2411.52</v>
      </c>
      <c r="T151" s="8">
        <v>2.1000000000000001E-2</v>
      </c>
      <c r="U151" s="12">
        <f t="shared" si="49"/>
        <v>0</v>
      </c>
      <c r="V151" s="6">
        <v>18</v>
      </c>
      <c r="W151" t="str">
        <f t="shared" si="39"/>
        <v>ok</v>
      </c>
      <c r="X151">
        <f t="shared" si="40"/>
        <v>25</v>
      </c>
      <c r="Y151">
        <f t="shared" si="50"/>
        <v>25</v>
      </c>
      <c r="Z151" s="10">
        <f t="shared" si="51"/>
        <v>42495.805439999996</v>
      </c>
      <c r="AA151" s="10">
        <f t="shared" si="52"/>
        <v>23346</v>
      </c>
      <c r="AB151" s="10">
        <f t="shared" si="53"/>
        <v>19149.805439999996</v>
      </c>
      <c r="AC151" s="10">
        <f t="shared" si="41"/>
        <v>606.37750000000005</v>
      </c>
      <c r="AD151" s="10">
        <f t="shared" si="42"/>
        <v>1193.865</v>
      </c>
      <c r="AE151" s="10">
        <f t="shared" si="43"/>
        <v>1912.0450000000001</v>
      </c>
      <c r="AF151" s="10" t="str">
        <f t="shared" si="44"/>
        <v>Medium</v>
      </c>
      <c r="AG151" s="6">
        <f t="shared" si="54"/>
        <v>0.45062813239385913</v>
      </c>
      <c r="AH151" s="4">
        <f t="shared" si="55"/>
        <v>44938</v>
      </c>
      <c r="AI151" t="str">
        <f t="shared" si="56"/>
        <v>Jan-2023</v>
      </c>
    </row>
    <row r="152" spans="1:35" x14ac:dyDescent="0.25">
      <c r="A152" t="s">
        <v>165</v>
      </c>
      <c r="B152" s="4">
        <v>45763</v>
      </c>
      <c r="C152" s="4" t="str">
        <f t="shared" si="45"/>
        <v>Q2-2025</v>
      </c>
      <c r="D152" s="4" t="str">
        <f t="shared" si="46"/>
        <v>Apr-2025</v>
      </c>
      <c r="E152" s="4">
        <v>45793</v>
      </c>
      <c r="F152" s="12">
        <f t="shared" si="47"/>
        <v>30</v>
      </c>
      <c r="G152" s="12">
        <f t="shared" si="38"/>
        <v>0</v>
      </c>
      <c r="H152" s="4">
        <f t="shared" si="48"/>
        <v>45793</v>
      </c>
      <c r="I152" t="s">
        <v>648</v>
      </c>
      <c r="J152" t="s">
        <v>653</v>
      </c>
      <c r="K152" t="s">
        <v>681</v>
      </c>
      <c r="L152" t="s">
        <v>706</v>
      </c>
      <c r="M152" t="s">
        <v>710</v>
      </c>
      <c r="N152" t="s">
        <v>723</v>
      </c>
      <c r="O152" t="s">
        <v>728</v>
      </c>
      <c r="P152" t="str" cm="1">
        <f t="array" ref="P152">_xlfn.IFS(S152&lt;=PERCENTILE($S$2:$S$1000, 0.33), "Low", S152&lt;=PERCENTILE($S$2:$S$1000, 0.66), "Medium", TRUE, "High")</f>
        <v>Low</v>
      </c>
      <c r="Q152" t="s">
        <v>884</v>
      </c>
      <c r="R152" s="10">
        <v>763.32</v>
      </c>
      <c r="S152" s="10">
        <v>568.29</v>
      </c>
      <c r="T152" s="8">
        <v>0.13100000000000001</v>
      </c>
      <c r="U152" s="12">
        <f t="shared" si="49"/>
        <v>0</v>
      </c>
      <c r="V152" s="6">
        <v>16</v>
      </c>
      <c r="W152" t="str">
        <f t="shared" si="39"/>
        <v>ok</v>
      </c>
      <c r="X152">
        <f t="shared" si="40"/>
        <v>30</v>
      </c>
      <c r="Y152">
        <f t="shared" si="50"/>
        <v>30</v>
      </c>
      <c r="Z152" s="10">
        <f t="shared" si="51"/>
        <v>7901.5041599999995</v>
      </c>
      <c r="AA152" s="10">
        <f t="shared" si="52"/>
        <v>12213.12</v>
      </c>
      <c r="AB152" s="10">
        <f t="shared" si="53"/>
        <v>-4311.6158400000013</v>
      </c>
      <c r="AC152" s="10">
        <f t="shared" si="41"/>
        <v>606.37750000000005</v>
      </c>
      <c r="AD152" s="10">
        <f t="shared" si="42"/>
        <v>1193.865</v>
      </c>
      <c r="AE152" s="10">
        <f t="shared" si="43"/>
        <v>1912.0450000000001</v>
      </c>
      <c r="AF152" s="10" t="str">
        <f t="shared" si="44"/>
        <v>High</v>
      </c>
      <c r="AG152" s="6">
        <f t="shared" si="54"/>
        <v>-0.54567026134426555</v>
      </c>
      <c r="AH152" s="4">
        <f t="shared" si="55"/>
        <v>44941</v>
      </c>
      <c r="AI152" t="str">
        <f t="shared" si="56"/>
        <v>Jan-2023</v>
      </c>
    </row>
    <row r="153" spans="1:35" x14ac:dyDescent="0.25">
      <c r="A153" t="s">
        <v>166</v>
      </c>
      <c r="B153" s="4">
        <v>45110</v>
      </c>
      <c r="C153" s="4" t="str">
        <f t="shared" si="45"/>
        <v>Q3-2023</v>
      </c>
      <c r="D153" s="4" t="str">
        <f t="shared" si="46"/>
        <v>Jul-2023</v>
      </c>
      <c r="E153" s="4">
        <v>45130</v>
      </c>
      <c r="F153" s="12">
        <f t="shared" si="47"/>
        <v>20</v>
      </c>
      <c r="G153" s="12">
        <f t="shared" si="38"/>
        <v>0</v>
      </c>
      <c r="H153" s="4">
        <f t="shared" si="48"/>
        <v>45130</v>
      </c>
      <c r="I153" t="s">
        <v>646</v>
      </c>
      <c r="J153" t="s">
        <v>661</v>
      </c>
      <c r="K153" t="s">
        <v>682</v>
      </c>
      <c r="L153" t="s">
        <v>705</v>
      </c>
      <c r="M153" t="s">
        <v>710</v>
      </c>
      <c r="N153" t="s">
        <v>721</v>
      </c>
      <c r="O153" t="s">
        <v>731</v>
      </c>
      <c r="P153" t="str" cm="1">
        <f t="array" ref="P153">_xlfn.IFS(S153&lt;=PERCENTILE($S$2:$S$1000, 0.33), "Low", S153&lt;=PERCENTILE($S$2:$S$1000, 0.66), "Medium", TRUE, "High")</f>
        <v>Medium</v>
      </c>
      <c r="Q153" t="s">
        <v>885</v>
      </c>
      <c r="R153" s="10">
        <v>1001.96</v>
      </c>
      <c r="S153" s="10">
        <v>1254.95</v>
      </c>
      <c r="T153" s="8">
        <v>4.4999999999999998E-2</v>
      </c>
      <c r="U153" s="12">
        <f t="shared" si="49"/>
        <v>0</v>
      </c>
      <c r="V153" s="6">
        <v>18</v>
      </c>
      <c r="W153" t="str">
        <f t="shared" si="39"/>
        <v>ok</v>
      </c>
      <c r="X153">
        <f t="shared" si="40"/>
        <v>20</v>
      </c>
      <c r="Y153">
        <f t="shared" si="50"/>
        <v>20</v>
      </c>
      <c r="Z153" s="10">
        <f t="shared" si="51"/>
        <v>21572.590500000002</v>
      </c>
      <c r="AA153" s="10">
        <f t="shared" si="52"/>
        <v>18035.28</v>
      </c>
      <c r="AB153" s="10">
        <f t="shared" si="53"/>
        <v>3537.3105000000032</v>
      </c>
      <c r="AC153" s="10">
        <f t="shared" si="41"/>
        <v>606.37750000000005</v>
      </c>
      <c r="AD153" s="10">
        <f t="shared" si="42"/>
        <v>1193.865</v>
      </c>
      <c r="AE153" s="10">
        <f t="shared" si="43"/>
        <v>1912.0450000000001</v>
      </c>
      <c r="AF153" s="10" t="str">
        <f t="shared" si="44"/>
        <v>Low</v>
      </c>
      <c r="AG153" s="6">
        <f t="shared" si="54"/>
        <v>0.16397244920585699</v>
      </c>
      <c r="AH153" s="4">
        <f t="shared" si="55"/>
        <v>44939</v>
      </c>
      <c r="AI153" t="str">
        <f t="shared" si="56"/>
        <v>Jan-2023</v>
      </c>
    </row>
    <row r="154" spans="1:35" x14ac:dyDescent="0.25">
      <c r="A154" t="s">
        <v>167</v>
      </c>
      <c r="B154" s="4">
        <v>45267</v>
      </c>
      <c r="C154" s="4" t="str">
        <f t="shared" si="45"/>
        <v>Q4-2023</v>
      </c>
      <c r="D154" s="4" t="str">
        <f t="shared" si="46"/>
        <v>Dec-2023</v>
      </c>
      <c r="E154" s="4">
        <v>45265</v>
      </c>
      <c r="F154" s="12">
        <f t="shared" si="47"/>
        <v>14</v>
      </c>
      <c r="G154" s="12">
        <f t="shared" si="38"/>
        <v>0</v>
      </c>
      <c r="H154" s="4">
        <f t="shared" si="48"/>
        <v>45281</v>
      </c>
      <c r="I154" t="s">
        <v>647</v>
      </c>
      <c r="J154" t="s">
        <v>652</v>
      </c>
      <c r="K154" t="s">
        <v>689</v>
      </c>
      <c r="L154" t="s">
        <v>703</v>
      </c>
      <c r="M154" t="s">
        <v>709</v>
      </c>
      <c r="N154" t="s">
        <v>722</v>
      </c>
      <c r="O154" t="s">
        <v>728</v>
      </c>
      <c r="P154" t="str" cm="1">
        <f t="array" ref="P154">_xlfn.IFS(S154&lt;=PERCENTILE($S$2:$S$1000, 0.33), "Low", S154&lt;=PERCENTILE($S$2:$S$1000, 0.66), "Medium", TRUE, "High")</f>
        <v>Medium</v>
      </c>
      <c r="Q154" t="s">
        <v>886</v>
      </c>
      <c r="R154" s="10">
        <v>1097.5899999999999</v>
      </c>
      <c r="S154" s="10">
        <v>845.55</v>
      </c>
      <c r="T154" s="8">
        <v>0.184</v>
      </c>
      <c r="U154" s="12">
        <f t="shared" si="49"/>
        <v>0</v>
      </c>
      <c r="V154" s="6">
        <v>6</v>
      </c>
      <c r="W154" t="str">
        <f t="shared" si="39"/>
        <v>sus</v>
      </c>
      <c r="X154">
        <f t="shared" si="40"/>
        <v>-2</v>
      </c>
      <c r="Y154">
        <f t="shared" si="50"/>
        <v>2</v>
      </c>
      <c r="Z154" s="10">
        <f t="shared" si="51"/>
        <v>4139.8127999999997</v>
      </c>
      <c r="AA154" s="10">
        <f t="shared" si="52"/>
        <v>6585.5399999999991</v>
      </c>
      <c r="AB154" s="10">
        <f t="shared" si="53"/>
        <v>-2445.7271999999994</v>
      </c>
      <c r="AC154" s="10">
        <f t="shared" si="41"/>
        <v>606.37750000000005</v>
      </c>
      <c r="AD154" s="10">
        <f t="shared" si="42"/>
        <v>1193.865</v>
      </c>
      <c r="AE154" s="10">
        <f t="shared" si="43"/>
        <v>1912.0450000000001</v>
      </c>
      <c r="AF154" s="10" t="str">
        <f t="shared" si="44"/>
        <v>Medium</v>
      </c>
      <c r="AG154" s="6">
        <f t="shared" si="54"/>
        <v>-0.59078207594314402</v>
      </c>
      <c r="AH154" s="4">
        <f t="shared" si="55"/>
        <v>44955</v>
      </c>
      <c r="AI154" t="str">
        <f t="shared" si="56"/>
        <v>Jan-2023</v>
      </c>
    </row>
    <row r="155" spans="1:35" x14ac:dyDescent="0.25">
      <c r="A155" t="s">
        <v>168</v>
      </c>
      <c r="B155" s="4">
        <v>45340</v>
      </c>
      <c r="C155" s="4" t="str">
        <f t="shared" si="45"/>
        <v>Q1-2024</v>
      </c>
      <c r="D155" s="4" t="str">
        <f t="shared" si="46"/>
        <v>Feb-2024</v>
      </c>
      <c r="E155" s="4">
        <v>45355</v>
      </c>
      <c r="F155" s="12">
        <f t="shared" si="47"/>
        <v>15</v>
      </c>
      <c r="G155" s="12">
        <f t="shared" si="38"/>
        <v>0</v>
      </c>
      <c r="H155" s="4">
        <f t="shared" si="48"/>
        <v>45355</v>
      </c>
      <c r="I155" t="s">
        <v>646</v>
      </c>
      <c r="J155" t="s">
        <v>650</v>
      </c>
      <c r="K155" t="s">
        <v>662</v>
      </c>
      <c r="L155" t="s">
        <v>702</v>
      </c>
      <c r="M155" t="s">
        <v>711</v>
      </c>
      <c r="N155" t="s">
        <v>723</v>
      </c>
      <c r="O155" t="s">
        <v>728</v>
      </c>
      <c r="P155" t="str" cm="1">
        <f t="array" ref="P155">_xlfn.IFS(S155&lt;=PERCENTILE($S$2:$S$1000, 0.33), "Low", S155&lt;=PERCENTILE($S$2:$S$1000, 0.66), "Medium", TRUE, "High")</f>
        <v>High</v>
      </c>
      <c r="Q155" t="s">
        <v>887</v>
      </c>
      <c r="R155" s="10">
        <v>928.68</v>
      </c>
      <c r="S155" s="10">
        <v>2145.17</v>
      </c>
      <c r="T155" s="8">
        <v>0.13600000000000001</v>
      </c>
      <c r="U155" s="12">
        <f t="shared" si="49"/>
        <v>0</v>
      </c>
      <c r="V155" s="6">
        <v>16</v>
      </c>
      <c r="W155" t="str">
        <f t="shared" si="39"/>
        <v>ok</v>
      </c>
      <c r="X155">
        <f t="shared" si="40"/>
        <v>15</v>
      </c>
      <c r="Y155">
        <f t="shared" si="50"/>
        <v>15</v>
      </c>
      <c r="Z155" s="10">
        <f t="shared" si="51"/>
        <v>29654.83008</v>
      </c>
      <c r="AA155" s="10">
        <f t="shared" si="52"/>
        <v>14858.88</v>
      </c>
      <c r="AB155" s="10">
        <f t="shared" si="53"/>
        <v>14795.950080000001</v>
      </c>
      <c r="AC155" s="10">
        <f t="shared" si="41"/>
        <v>606.37750000000005</v>
      </c>
      <c r="AD155" s="10">
        <f t="shared" si="42"/>
        <v>1193.865</v>
      </c>
      <c r="AE155" s="10">
        <f t="shared" si="43"/>
        <v>1912.0450000000001</v>
      </c>
      <c r="AF155" s="10" t="str">
        <f t="shared" si="44"/>
        <v>Medium</v>
      </c>
      <c r="AG155" s="6">
        <f t="shared" si="54"/>
        <v>0.49893896003062177</v>
      </c>
      <c r="AH155" s="4">
        <f t="shared" si="55"/>
        <v>44955</v>
      </c>
      <c r="AI155" t="str">
        <f t="shared" si="56"/>
        <v>Jan-2023</v>
      </c>
    </row>
    <row r="156" spans="1:35" x14ac:dyDescent="0.25">
      <c r="A156" t="s">
        <v>169</v>
      </c>
      <c r="B156" s="4">
        <v>45230</v>
      </c>
      <c r="C156" s="4" t="str">
        <f t="shared" si="45"/>
        <v>Q4-2023</v>
      </c>
      <c r="D156" s="4" t="str">
        <f t="shared" si="46"/>
        <v>Oct-2023</v>
      </c>
      <c r="E156" s="4">
        <v>45232</v>
      </c>
      <c r="F156" s="12">
        <f t="shared" si="47"/>
        <v>2</v>
      </c>
      <c r="G156" s="12">
        <f t="shared" si="38"/>
        <v>1</v>
      </c>
      <c r="H156" s="4">
        <f t="shared" si="48"/>
        <v>45232</v>
      </c>
      <c r="I156" t="s">
        <v>646</v>
      </c>
      <c r="J156" t="s">
        <v>650</v>
      </c>
      <c r="K156" t="s">
        <v>662</v>
      </c>
      <c r="L156" t="s">
        <v>702</v>
      </c>
      <c r="M156" t="s">
        <v>707</v>
      </c>
      <c r="N156" t="s">
        <v>719</v>
      </c>
      <c r="O156" t="s">
        <v>733</v>
      </c>
      <c r="P156" t="str" cm="1">
        <f t="array" ref="P156">_xlfn.IFS(S156&lt;=PERCENTILE($S$2:$S$1000, 0.33), "Low", S156&lt;=PERCENTILE($S$2:$S$1000, 0.66), "Medium", TRUE, "High")</f>
        <v>Medium</v>
      </c>
      <c r="Q156" t="s">
        <v>888</v>
      </c>
      <c r="R156" s="10">
        <v>867.89</v>
      </c>
      <c r="S156" s="10">
        <v>1349.94</v>
      </c>
      <c r="T156" s="8">
        <v>0.184</v>
      </c>
      <c r="U156" s="12">
        <f t="shared" si="49"/>
        <v>0</v>
      </c>
      <c r="V156" s="6">
        <v>10</v>
      </c>
      <c r="W156" t="str">
        <f t="shared" si="39"/>
        <v>ok</v>
      </c>
      <c r="X156">
        <f t="shared" si="40"/>
        <v>2</v>
      </c>
      <c r="Y156">
        <f t="shared" si="50"/>
        <v>2</v>
      </c>
      <c r="Z156" s="10">
        <f t="shared" si="51"/>
        <v>11015.510400000003</v>
      </c>
      <c r="AA156" s="10">
        <f t="shared" si="52"/>
        <v>8678.9</v>
      </c>
      <c r="AB156" s="10">
        <f t="shared" si="53"/>
        <v>2336.6104000000032</v>
      </c>
      <c r="AC156" s="10">
        <f t="shared" si="41"/>
        <v>606.37750000000005</v>
      </c>
      <c r="AD156" s="10">
        <f t="shared" si="42"/>
        <v>1193.865</v>
      </c>
      <c r="AE156" s="10">
        <f t="shared" si="43"/>
        <v>1912.0450000000001</v>
      </c>
      <c r="AF156" s="10" t="str">
        <f t="shared" si="44"/>
        <v>High</v>
      </c>
      <c r="AG156" s="6">
        <f t="shared" si="54"/>
        <v>0.21212003031652557</v>
      </c>
      <c r="AH156" s="4">
        <f t="shared" si="55"/>
        <v>44936</v>
      </c>
      <c r="AI156" t="str">
        <f t="shared" si="56"/>
        <v>Jan-2023</v>
      </c>
    </row>
    <row r="157" spans="1:35" x14ac:dyDescent="0.25">
      <c r="A157" t="s">
        <v>170</v>
      </c>
      <c r="B157" s="4">
        <v>45511</v>
      </c>
      <c r="C157" s="4" t="str">
        <f t="shared" si="45"/>
        <v>Q3-2024</v>
      </c>
      <c r="D157" s="4" t="str">
        <f t="shared" si="46"/>
        <v>Aug-2024</v>
      </c>
      <c r="E157" s="4">
        <v>45521</v>
      </c>
      <c r="F157" s="12">
        <f t="shared" si="47"/>
        <v>10</v>
      </c>
      <c r="G157" s="12">
        <f t="shared" si="38"/>
        <v>0</v>
      </c>
      <c r="H157" s="4">
        <f t="shared" si="48"/>
        <v>45521</v>
      </c>
      <c r="I157" t="s">
        <v>647</v>
      </c>
      <c r="J157" t="s">
        <v>652</v>
      </c>
      <c r="K157" t="s">
        <v>666</v>
      </c>
      <c r="L157" t="s">
        <v>704</v>
      </c>
      <c r="M157" t="s">
        <v>708</v>
      </c>
      <c r="N157" t="s">
        <v>723</v>
      </c>
      <c r="O157" t="s">
        <v>729</v>
      </c>
      <c r="P157" t="str" cm="1">
        <f t="array" ref="P157">_xlfn.IFS(S157&lt;=PERCENTILE($S$2:$S$1000, 0.33), "Low", S157&lt;=PERCENTILE($S$2:$S$1000, 0.66), "Medium", TRUE, "High")</f>
        <v>Low</v>
      </c>
      <c r="Q157" t="s">
        <v>889</v>
      </c>
      <c r="R157" s="10">
        <v>436.58</v>
      </c>
      <c r="S157" s="10">
        <v>527.48</v>
      </c>
      <c r="T157" s="8">
        <v>0.111</v>
      </c>
      <c r="U157" s="12">
        <f t="shared" si="49"/>
        <v>0</v>
      </c>
      <c r="V157" s="6">
        <v>19</v>
      </c>
      <c r="W157" t="str">
        <f t="shared" si="39"/>
        <v>ok</v>
      </c>
      <c r="X157">
        <f t="shared" si="40"/>
        <v>10</v>
      </c>
      <c r="Y157">
        <f t="shared" si="50"/>
        <v>10</v>
      </c>
      <c r="Z157" s="10">
        <f t="shared" si="51"/>
        <v>8909.6646800000017</v>
      </c>
      <c r="AA157" s="10">
        <f t="shared" si="52"/>
        <v>8295.02</v>
      </c>
      <c r="AB157" s="10">
        <f t="shared" si="53"/>
        <v>614.64468000000124</v>
      </c>
      <c r="AC157" s="10">
        <f t="shared" si="41"/>
        <v>606.37750000000005</v>
      </c>
      <c r="AD157" s="10">
        <f t="shared" si="42"/>
        <v>1193.865</v>
      </c>
      <c r="AE157" s="10">
        <f t="shared" si="43"/>
        <v>1912.0450000000001</v>
      </c>
      <c r="AF157" s="10" t="str">
        <f t="shared" si="44"/>
        <v>Medium</v>
      </c>
      <c r="AG157" s="6">
        <f t="shared" si="54"/>
        <v>6.8986286473802644E-2</v>
      </c>
      <c r="AH157" s="4">
        <f t="shared" si="55"/>
        <v>44946</v>
      </c>
      <c r="AI157" t="str">
        <f t="shared" si="56"/>
        <v>Jan-2023</v>
      </c>
    </row>
    <row r="158" spans="1:35" x14ac:dyDescent="0.25">
      <c r="A158" t="s">
        <v>171</v>
      </c>
      <c r="B158" s="4">
        <v>45323</v>
      </c>
      <c r="C158" s="4" t="str">
        <f t="shared" si="45"/>
        <v>Q1-2024</v>
      </c>
      <c r="D158" s="4" t="str">
        <f t="shared" si="46"/>
        <v>Feb-2024</v>
      </c>
      <c r="E158" s="4">
        <v>45343</v>
      </c>
      <c r="F158" s="12">
        <f t="shared" si="47"/>
        <v>20</v>
      </c>
      <c r="G158" s="12">
        <f t="shared" si="38"/>
        <v>0</v>
      </c>
      <c r="H158" s="4">
        <f t="shared" si="48"/>
        <v>45343</v>
      </c>
      <c r="I158" t="s">
        <v>649</v>
      </c>
      <c r="J158" t="s">
        <v>657</v>
      </c>
      <c r="K158" t="s">
        <v>690</v>
      </c>
      <c r="L158" t="s">
        <v>705</v>
      </c>
      <c r="M158" t="s">
        <v>709</v>
      </c>
      <c r="N158" t="s">
        <v>720</v>
      </c>
      <c r="O158" t="s">
        <v>729</v>
      </c>
      <c r="P158" t="str" cm="1">
        <f t="array" ref="P158">_xlfn.IFS(S158&lt;=PERCENTILE($S$2:$S$1000, 0.33), "Low", S158&lt;=PERCENTILE($S$2:$S$1000, 0.66), "Medium", TRUE, "High")</f>
        <v>Medium</v>
      </c>
      <c r="Q158" t="s">
        <v>890</v>
      </c>
      <c r="R158" s="10">
        <v>656.2</v>
      </c>
      <c r="S158" s="10">
        <v>1467.17</v>
      </c>
      <c r="T158" s="8">
        <v>1.7999999999999999E-2</v>
      </c>
      <c r="U158" s="12">
        <f t="shared" si="49"/>
        <v>0</v>
      </c>
      <c r="V158" s="6">
        <v>5</v>
      </c>
      <c r="W158" t="str">
        <f t="shared" si="39"/>
        <v>ok</v>
      </c>
      <c r="X158">
        <f t="shared" si="40"/>
        <v>20</v>
      </c>
      <c r="Y158">
        <f t="shared" si="50"/>
        <v>20</v>
      </c>
      <c r="Z158" s="10">
        <f t="shared" si="51"/>
        <v>7203.8047000000006</v>
      </c>
      <c r="AA158" s="10">
        <f t="shared" si="52"/>
        <v>3281</v>
      </c>
      <c r="AB158" s="10">
        <f t="shared" si="53"/>
        <v>3922.8047000000006</v>
      </c>
      <c r="AC158" s="10">
        <f t="shared" si="41"/>
        <v>606.37750000000005</v>
      </c>
      <c r="AD158" s="10">
        <f t="shared" si="42"/>
        <v>1193.865</v>
      </c>
      <c r="AE158" s="10">
        <f t="shared" si="43"/>
        <v>1912.0450000000001</v>
      </c>
      <c r="AF158" s="10" t="str">
        <f t="shared" si="44"/>
        <v>Low</v>
      </c>
      <c r="AG158" s="6">
        <f t="shared" si="54"/>
        <v>0.54454623124360946</v>
      </c>
      <c r="AH158" s="4">
        <f t="shared" si="55"/>
        <v>44946</v>
      </c>
      <c r="AI158" t="str">
        <f t="shared" si="56"/>
        <v>Jan-2023</v>
      </c>
    </row>
    <row r="159" spans="1:35" x14ac:dyDescent="0.25">
      <c r="A159" t="s">
        <v>172</v>
      </c>
      <c r="B159" s="4">
        <v>45531</v>
      </c>
      <c r="C159" s="4" t="str">
        <f t="shared" si="45"/>
        <v>Q3-2024</v>
      </c>
      <c r="D159" s="4" t="str">
        <f t="shared" si="46"/>
        <v>Aug-2024</v>
      </c>
      <c r="E159" s="4">
        <v>45553</v>
      </c>
      <c r="F159" s="12">
        <f t="shared" si="47"/>
        <v>22</v>
      </c>
      <c r="G159" s="12">
        <f t="shared" si="38"/>
        <v>0</v>
      </c>
      <c r="H159" s="4">
        <f t="shared" si="48"/>
        <v>45553</v>
      </c>
      <c r="I159" t="s">
        <v>647</v>
      </c>
      <c r="J159" t="s">
        <v>654</v>
      </c>
      <c r="K159" t="s">
        <v>680</v>
      </c>
      <c r="L159" t="s">
        <v>704</v>
      </c>
      <c r="M159" t="s">
        <v>711</v>
      </c>
      <c r="N159" t="s">
        <v>717</v>
      </c>
      <c r="O159" t="s">
        <v>727</v>
      </c>
      <c r="P159" t="str" cm="1">
        <f t="array" ref="P159">_xlfn.IFS(S159&lt;=PERCENTILE($S$2:$S$1000, 0.33), "Low", S159&lt;=PERCENTILE($S$2:$S$1000, 0.66), "Medium", TRUE, "High")</f>
        <v>High</v>
      </c>
      <c r="Q159" t="s">
        <v>891</v>
      </c>
      <c r="R159" s="10">
        <v>896.75</v>
      </c>
      <c r="S159" s="10">
        <v>1651.14</v>
      </c>
      <c r="T159" s="8">
        <v>2.5000000000000001E-2</v>
      </c>
      <c r="U159" s="12">
        <f t="shared" si="49"/>
        <v>0</v>
      </c>
      <c r="V159" s="6">
        <v>15</v>
      </c>
      <c r="W159" t="str">
        <f t="shared" si="39"/>
        <v>ok</v>
      </c>
      <c r="X159">
        <f t="shared" si="40"/>
        <v>22</v>
      </c>
      <c r="Y159">
        <f t="shared" si="50"/>
        <v>22</v>
      </c>
      <c r="Z159" s="10">
        <f t="shared" si="51"/>
        <v>24147.922500000001</v>
      </c>
      <c r="AA159" s="10">
        <f t="shared" si="52"/>
        <v>13451.25</v>
      </c>
      <c r="AB159" s="10">
        <f t="shared" si="53"/>
        <v>10696.672500000001</v>
      </c>
      <c r="AC159" s="10">
        <f t="shared" si="41"/>
        <v>606.37750000000005</v>
      </c>
      <c r="AD159" s="10">
        <f t="shared" si="42"/>
        <v>1193.865</v>
      </c>
      <c r="AE159" s="10">
        <f t="shared" si="43"/>
        <v>1912.0450000000001</v>
      </c>
      <c r="AF159" s="10" t="str">
        <f t="shared" si="44"/>
        <v>Medium</v>
      </c>
      <c r="AG159" s="6">
        <f t="shared" si="54"/>
        <v>0.44296450346815552</v>
      </c>
      <c r="AH159" s="4">
        <f t="shared" si="55"/>
        <v>44936</v>
      </c>
      <c r="AI159" t="str">
        <f t="shared" si="56"/>
        <v>Jan-2023</v>
      </c>
    </row>
    <row r="160" spans="1:35" x14ac:dyDescent="0.25">
      <c r="A160" t="s">
        <v>173</v>
      </c>
      <c r="B160" s="4">
        <v>45703</v>
      </c>
      <c r="C160" s="4" t="str">
        <f t="shared" si="45"/>
        <v>Q1-2025</v>
      </c>
      <c r="D160" s="4" t="str">
        <f t="shared" si="46"/>
        <v>Feb-2025</v>
      </c>
      <c r="E160" s="4">
        <v>45703</v>
      </c>
      <c r="F160" s="12">
        <f t="shared" si="47"/>
        <v>0</v>
      </c>
      <c r="G160" s="12">
        <f t="shared" si="38"/>
        <v>1</v>
      </c>
      <c r="H160" s="4">
        <f t="shared" si="48"/>
        <v>45703</v>
      </c>
      <c r="I160" t="s">
        <v>649</v>
      </c>
      <c r="J160" t="s">
        <v>656</v>
      </c>
      <c r="K160" t="s">
        <v>698</v>
      </c>
      <c r="L160" t="s">
        <v>705</v>
      </c>
      <c r="M160" t="s">
        <v>709</v>
      </c>
      <c r="N160" t="s">
        <v>716</v>
      </c>
      <c r="O160" t="s">
        <v>733</v>
      </c>
      <c r="P160" t="str" cm="1">
        <f t="array" ref="P160">_xlfn.IFS(S160&lt;=PERCENTILE($S$2:$S$1000, 0.33), "Low", S160&lt;=PERCENTILE($S$2:$S$1000, 0.66), "Medium", TRUE, "High")</f>
        <v>High</v>
      </c>
      <c r="Q160" t="s">
        <v>892</v>
      </c>
      <c r="R160" s="10">
        <v>815.83</v>
      </c>
      <c r="S160" s="10">
        <v>1982.18</v>
      </c>
      <c r="T160" s="8">
        <v>0.127</v>
      </c>
      <c r="U160" s="12">
        <f t="shared" si="49"/>
        <v>0</v>
      </c>
      <c r="V160" s="6">
        <v>6</v>
      </c>
      <c r="W160" t="str">
        <f t="shared" si="39"/>
        <v>sus</v>
      </c>
      <c r="X160">
        <f t="shared" si="40"/>
        <v>0</v>
      </c>
      <c r="Y160">
        <f t="shared" si="50"/>
        <v>0</v>
      </c>
      <c r="Z160" s="10">
        <f t="shared" si="51"/>
        <v>10382.65884</v>
      </c>
      <c r="AA160" s="10">
        <f t="shared" si="52"/>
        <v>4894.9800000000005</v>
      </c>
      <c r="AB160" s="10">
        <f t="shared" si="53"/>
        <v>5487.6788399999996</v>
      </c>
      <c r="AC160" s="10">
        <f t="shared" si="41"/>
        <v>606.37750000000005</v>
      </c>
      <c r="AD160" s="10">
        <f t="shared" si="42"/>
        <v>1193.865</v>
      </c>
      <c r="AE160" s="10">
        <f t="shared" si="43"/>
        <v>1912.0450000000001</v>
      </c>
      <c r="AF160" s="10" t="str">
        <f t="shared" si="44"/>
        <v>Medium</v>
      </c>
      <c r="AG160" s="6">
        <f t="shared" si="54"/>
        <v>0.52854272923408507</v>
      </c>
      <c r="AH160" s="4">
        <f t="shared" si="55"/>
        <v>44955</v>
      </c>
      <c r="AI160" t="str">
        <f t="shared" si="56"/>
        <v>Jan-2023</v>
      </c>
    </row>
    <row r="161" spans="1:35" x14ac:dyDescent="0.25">
      <c r="A161" t="s">
        <v>174</v>
      </c>
      <c r="B161" s="4">
        <v>45870</v>
      </c>
      <c r="C161" s="4" t="str">
        <f t="shared" si="45"/>
        <v>Q3-2025</v>
      </c>
      <c r="D161" s="4" t="str">
        <f t="shared" si="46"/>
        <v>Aug-2025</v>
      </c>
      <c r="E161" s="4">
        <v>45890</v>
      </c>
      <c r="F161" s="12">
        <f t="shared" si="47"/>
        <v>20</v>
      </c>
      <c r="G161" s="12">
        <f t="shared" si="38"/>
        <v>0</v>
      </c>
      <c r="H161" s="4">
        <f t="shared" si="48"/>
        <v>45890</v>
      </c>
      <c r="I161" t="s">
        <v>647</v>
      </c>
      <c r="J161" t="s">
        <v>659</v>
      </c>
      <c r="K161" t="s">
        <v>685</v>
      </c>
      <c r="L161" t="s">
        <v>701</v>
      </c>
      <c r="M161" t="s">
        <v>711</v>
      </c>
      <c r="N161" t="s">
        <v>714</v>
      </c>
      <c r="O161" t="s">
        <v>730</v>
      </c>
      <c r="P161" t="str" cm="1">
        <f t="array" ref="P161">_xlfn.IFS(S161&lt;=PERCENTILE($S$2:$S$1000, 0.33), "Low", S161&lt;=PERCENTILE($S$2:$S$1000, 0.66), "Medium", TRUE, "High")</f>
        <v>High</v>
      </c>
      <c r="Q161" t="s">
        <v>893</v>
      </c>
      <c r="R161" s="10">
        <v>1220.4100000000001</v>
      </c>
      <c r="S161" s="10">
        <v>2552.2199999999998</v>
      </c>
      <c r="T161" s="8">
        <v>0.18099999999999999</v>
      </c>
      <c r="U161" s="12">
        <f t="shared" si="49"/>
        <v>0</v>
      </c>
      <c r="V161" s="6">
        <v>14</v>
      </c>
      <c r="W161" t="str">
        <f t="shared" si="39"/>
        <v>ok</v>
      </c>
      <c r="X161">
        <f t="shared" si="40"/>
        <v>20</v>
      </c>
      <c r="Y161">
        <f t="shared" si="50"/>
        <v>20</v>
      </c>
      <c r="Z161" s="10">
        <f t="shared" si="51"/>
        <v>29263.754519999995</v>
      </c>
      <c r="AA161" s="10">
        <f t="shared" si="52"/>
        <v>17085.740000000002</v>
      </c>
      <c r="AB161" s="10">
        <f t="shared" si="53"/>
        <v>12178.014519999993</v>
      </c>
      <c r="AC161" s="10">
        <f t="shared" si="41"/>
        <v>606.37750000000005</v>
      </c>
      <c r="AD161" s="10">
        <f t="shared" si="42"/>
        <v>1193.865</v>
      </c>
      <c r="AE161" s="10">
        <f t="shared" si="43"/>
        <v>1912.0450000000001</v>
      </c>
      <c r="AF161" s="10" t="str">
        <f t="shared" si="44"/>
        <v>High</v>
      </c>
      <c r="AG161" s="6">
        <f t="shared" si="54"/>
        <v>0.41614668793360271</v>
      </c>
      <c r="AH161" s="4">
        <f t="shared" si="55"/>
        <v>44928</v>
      </c>
      <c r="AI161" t="str">
        <f t="shared" si="56"/>
        <v>Jan-2023</v>
      </c>
    </row>
    <row r="162" spans="1:35" x14ac:dyDescent="0.25">
      <c r="A162" t="s">
        <v>175</v>
      </c>
      <c r="B162" s="4">
        <v>44977</v>
      </c>
      <c r="C162" s="4" t="str">
        <f t="shared" si="45"/>
        <v>Q1-2023</v>
      </c>
      <c r="D162" s="4" t="str">
        <f t="shared" si="46"/>
        <v>Feb-2023</v>
      </c>
      <c r="E162" s="4">
        <v>44989</v>
      </c>
      <c r="F162" s="12">
        <f t="shared" si="47"/>
        <v>12</v>
      </c>
      <c r="G162" s="12">
        <f t="shared" si="38"/>
        <v>0</v>
      </c>
      <c r="H162" s="4">
        <f t="shared" si="48"/>
        <v>44989</v>
      </c>
      <c r="I162" t="s">
        <v>647</v>
      </c>
      <c r="J162" t="s">
        <v>654</v>
      </c>
      <c r="K162" t="s">
        <v>680</v>
      </c>
      <c r="L162" t="s">
        <v>704</v>
      </c>
      <c r="M162" t="s">
        <v>710</v>
      </c>
      <c r="N162" t="s">
        <v>724</v>
      </c>
      <c r="O162" t="s">
        <v>732</v>
      </c>
      <c r="P162" t="str" cm="1">
        <f t="array" ref="P162">_xlfn.IFS(S162&lt;=PERCENTILE($S$2:$S$1000, 0.33), "Low", S162&lt;=PERCENTILE($S$2:$S$1000, 0.66), "Medium", TRUE, "High")</f>
        <v>Low</v>
      </c>
      <c r="Q162" t="s">
        <v>894</v>
      </c>
      <c r="R162" s="10">
        <v>299.75</v>
      </c>
      <c r="S162" s="10">
        <v>523.01</v>
      </c>
      <c r="T162" s="8">
        <v>0.157</v>
      </c>
      <c r="U162" s="12">
        <f t="shared" si="49"/>
        <v>0</v>
      </c>
      <c r="V162" s="6">
        <v>50</v>
      </c>
      <c r="W162" t="str">
        <f t="shared" si="39"/>
        <v>ok</v>
      </c>
      <c r="X162">
        <f t="shared" si="40"/>
        <v>12</v>
      </c>
      <c r="Y162">
        <f t="shared" si="50"/>
        <v>12</v>
      </c>
      <c r="Z162" s="10">
        <f t="shared" si="51"/>
        <v>22044.871499999997</v>
      </c>
      <c r="AA162" s="10">
        <f t="shared" si="52"/>
        <v>14987.5</v>
      </c>
      <c r="AB162" s="10">
        <f t="shared" si="53"/>
        <v>7057.3714999999975</v>
      </c>
      <c r="AC162" s="10">
        <f t="shared" si="41"/>
        <v>606.37750000000005</v>
      </c>
      <c r="AD162" s="10">
        <f t="shared" si="42"/>
        <v>1193.865</v>
      </c>
      <c r="AE162" s="10">
        <f t="shared" si="43"/>
        <v>1912.0450000000001</v>
      </c>
      <c r="AF162" s="10" t="str">
        <f t="shared" si="44"/>
        <v>High</v>
      </c>
      <c r="AG162" s="6">
        <f t="shared" si="54"/>
        <v>0.32013665854210122</v>
      </c>
      <c r="AH162" s="4">
        <f t="shared" si="55"/>
        <v>44933</v>
      </c>
      <c r="AI162" t="str">
        <f t="shared" si="56"/>
        <v>Jan-2023</v>
      </c>
    </row>
    <row r="163" spans="1:35" x14ac:dyDescent="0.25">
      <c r="A163" t="s">
        <v>176</v>
      </c>
      <c r="B163" s="4">
        <v>45595</v>
      </c>
      <c r="C163" s="4" t="str">
        <f t="shared" si="45"/>
        <v>Q4-2024</v>
      </c>
      <c r="D163" s="4" t="str">
        <f t="shared" si="46"/>
        <v>Oct-2024</v>
      </c>
      <c r="E163" s="4">
        <v>45620</v>
      </c>
      <c r="F163" s="12">
        <f t="shared" si="47"/>
        <v>25</v>
      </c>
      <c r="G163" s="12">
        <f t="shared" si="38"/>
        <v>0</v>
      </c>
      <c r="H163" s="4">
        <f t="shared" si="48"/>
        <v>45620</v>
      </c>
      <c r="I163" t="s">
        <v>647</v>
      </c>
      <c r="J163" t="s">
        <v>659</v>
      </c>
      <c r="K163" t="s">
        <v>676</v>
      </c>
      <c r="L163" t="s">
        <v>705</v>
      </c>
      <c r="M163" t="s">
        <v>708</v>
      </c>
      <c r="N163" t="s">
        <v>718</v>
      </c>
      <c r="O163" t="s">
        <v>727</v>
      </c>
      <c r="P163" t="str" cm="1">
        <f t="array" ref="P163">_xlfn.IFS(S163&lt;=PERCENTILE($S$2:$S$1000, 0.33), "Low", S163&lt;=PERCENTILE($S$2:$S$1000, 0.66), "Medium", TRUE, "High")</f>
        <v>Medium</v>
      </c>
      <c r="Q163" t="s">
        <v>895</v>
      </c>
      <c r="R163" s="10">
        <v>811.05</v>
      </c>
      <c r="S163" s="10">
        <v>1217.71</v>
      </c>
      <c r="T163" s="8">
        <v>7.1999999999999995E-2</v>
      </c>
      <c r="U163" s="12">
        <f t="shared" si="49"/>
        <v>0</v>
      </c>
      <c r="V163" s="6">
        <v>5</v>
      </c>
      <c r="W163" t="str">
        <f t="shared" si="39"/>
        <v>ok</v>
      </c>
      <c r="X163">
        <f t="shared" si="40"/>
        <v>25</v>
      </c>
      <c r="Y163">
        <f t="shared" si="50"/>
        <v>25</v>
      </c>
      <c r="Z163" s="10">
        <f t="shared" si="51"/>
        <v>5650.1744000000008</v>
      </c>
      <c r="AA163" s="10">
        <f t="shared" si="52"/>
        <v>4055.25</v>
      </c>
      <c r="AB163" s="10">
        <f t="shared" si="53"/>
        <v>1594.9244000000008</v>
      </c>
      <c r="AC163" s="10">
        <f t="shared" si="41"/>
        <v>606.37750000000005</v>
      </c>
      <c r="AD163" s="10">
        <f t="shared" si="42"/>
        <v>1193.865</v>
      </c>
      <c r="AE163" s="10">
        <f t="shared" si="43"/>
        <v>1912.0450000000001</v>
      </c>
      <c r="AF163" s="10" t="str">
        <f t="shared" si="44"/>
        <v>Low</v>
      </c>
      <c r="AG163" s="6">
        <f t="shared" si="54"/>
        <v>0.28227879125288602</v>
      </c>
      <c r="AH163" s="4">
        <f t="shared" si="55"/>
        <v>44945</v>
      </c>
      <c r="AI163" t="str">
        <f t="shared" si="56"/>
        <v>Jan-2023</v>
      </c>
    </row>
    <row r="164" spans="1:35" x14ac:dyDescent="0.25">
      <c r="A164" t="s">
        <v>177</v>
      </c>
      <c r="B164" s="4">
        <v>45385</v>
      </c>
      <c r="C164" s="4" t="str">
        <f t="shared" si="45"/>
        <v>Q2-2024</v>
      </c>
      <c r="D164" s="4" t="str">
        <f t="shared" si="46"/>
        <v>Apr-2024</v>
      </c>
      <c r="E164" s="4">
        <v>45389</v>
      </c>
      <c r="F164" s="12">
        <f t="shared" si="47"/>
        <v>4</v>
      </c>
      <c r="G164" s="12">
        <f t="shared" si="38"/>
        <v>1</v>
      </c>
      <c r="H164" s="4">
        <f t="shared" si="48"/>
        <v>45389</v>
      </c>
      <c r="I164" t="s">
        <v>648</v>
      </c>
      <c r="J164" t="s">
        <v>655</v>
      </c>
      <c r="K164" t="s">
        <v>672</v>
      </c>
      <c r="L164" t="s">
        <v>703</v>
      </c>
      <c r="M164" t="s">
        <v>711</v>
      </c>
      <c r="N164" t="s">
        <v>725</v>
      </c>
      <c r="O164" t="s">
        <v>730</v>
      </c>
      <c r="P164" t="str" cm="1">
        <f t="array" ref="P164">_xlfn.IFS(S164&lt;=PERCENTILE($S$2:$S$1000, 0.33), "Low", S164&lt;=PERCENTILE($S$2:$S$1000, 0.66), "Medium", TRUE, "High")</f>
        <v>Medium</v>
      </c>
      <c r="Q164" t="s">
        <v>896</v>
      </c>
      <c r="R164" s="10">
        <v>1023.27</v>
      </c>
      <c r="S164" s="10">
        <v>1343.64</v>
      </c>
      <c r="T164" s="8">
        <v>0.13300000000000001</v>
      </c>
      <c r="U164" s="12">
        <f t="shared" si="49"/>
        <v>0</v>
      </c>
      <c r="V164" s="6">
        <v>7</v>
      </c>
      <c r="W164" t="str">
        <f t="shared" si="39"/>
        <v>ok</v>
      </c>
      <c r="X164">
        <f t="shared" si="40"/>
        <v>4</v>
      </c>
      <c r="Y164">
        <f t="shared" si="50"/>
        <v>4</v>
      </c>
      <c r="Z164" s="10">
        <f t="shared" si="51"/>
        <v>8154.5511600000009</v>
      </c>
      <c r="AA164" s="10">
        <f t="shared" si="52"/>
        <v>7162.8899999999994</v>
      </c>
      <c r="AB164" s="10">
        <f t="shared" si="53"/>
        <v>991.66116000000147</v>
      </c>
      <c r="AC164" s="10">
        <f t="shared" si="41"/>
        <v>606.37750000000005</v>
      </c>
      <c r="AD164" s="10">
        <f t="shared" si="42"/>
        <v>1193.865</v>
      </c>
      <c r="AE164" s="10">
        <f t="shared" si="43"/>
        <v>1912.0450000000001</v>
      </c>
      <c r="AF164" s="10" t="str">
        <f t="shared" si="44"/>
        <v>Medium</v>
      </c>
      <c r="AG164" s="6">
        <f t="shared" si="54"/>
        <v>0.12160830688810116</v>
      </c>
      <c r="AH164" s="4">
        <f t="shared" si="55"/>
        <v>44933</v>
      </c>
      <c r="AI164" t="str">
        <f t="shared" si="56"/>
        <v>Jan-2023</v>
      </c>
    </row>
    <row r="165" spans="1:35" x14ac:dyDescent="0.25">
      <c r="A165" t="s">
        <v>178</v>
      </c>
      <c r="B165" s="4">
        <v>45010</v>
      </c>
      <c r="C165" s="4" t="str">
        <f t="shared" si="45"/>
        <v>Q1-2023</v>
      </c>
      <c r="D165" s="4" t="str">
        <f t="shared" si="46"/>
        <v>Mar-2023</v>
      </c>
      <c r="E165" s="4">
        <v>45011</v>
      </c>
      <c r="F165" s="12">
        <f t="shared" si="47"/>
        <v>1</v>
      </c>
      <c r="G165" s="12">
        <f t="shared" si="38"/>
        <v>1</v>
      </c>
      <c r="H165" s="4">
        <f t="shared" si="48"/>
        <v>45011</v>
      </c>
      <c r="I165" t="s">
        <v>647</v>
      </c>
      <c r="J165" t="s">
        <v>652</v>
      </c>
      <c r="K165" t="s">
        <v>666</v>
      </c>
      <c r="L165" t="s">
        <v>705</v>
      </c>
      <c r="M165" t="s">
        <v>710</v>
      </c>
      <c r="N165" t="s">
        <v>714</v>
      </c>
      <c r="O165" t="s">
        <v>732</v>
      </c>
      <c r="P165" t="str" cm="1">
        <f t="array" ref="P165">_xlfn.IFS(S165&lt;=PERCENTILE($S$2:$S$1000, 0.33), "Low", S165&lt;=PERCENTILE($S$2:$S$1000, 0.66), "Medium", TRUE, "High")</f>
        <v>Low</v>
      </c>
      <c r="Q165" t="s">
        <v>897</v>
      </c>
      <c r="R165" s="10">
        <v>135.12</v>
      </c>
      <c r="S165" s="10">
        <v>301.7</v>
      </c>
      <c r="T165" s="8">
        <v>0.14000000000000001</v>
      </c>
      <c r="U165" s="12">
        <f t="shared" si="49"/>
        <v>0</v>
      </c>
      <c r="V165" s="6">
        <v>47</v>
      </c>
      <c r="W165" t="str">
        <f t="shared" si="39"/>
        <v>ok</v>
      </c>
      <c r="X165">
        <f t="shared" si="40"/>
        <v>1</v>
      </c>
      <c r="Y165">
        <f t="shared" si="50"/>
        <v>1</v>
      </c>
      <c r="Z165" s="10">
        <f t="shared" si="51"/>
        <v>12194.714</v>
      </c>
      <c r="AA165" s="10">
        <f t="shared" si="52"/>
        <v>6350.64</v>
      </c>
      <c r="AB165" s="10">
        <f t="shared" si="53"/>
        <v>5844.0739999999996</v>
      </c>
      <c r="AC165" s="10">
        <f t="shared" si="41"/>
        <v>606.37750000000005</v>
      </c>
      <c r="AD165" s="10">
        <f t="shared" si="42"/>
        <v>1193.865</v>
      </c>
      <c r="AE165" s="10">
        <f t="shared" si="43"/>
        <v>1912.0450000000001</v>
      </c>
      <c r="AF165" s="10" t="str">
        <f t="shared" si="44"/>
        <v>Medium</v>
      </c>
      <c r="AG165" s="6">
        <f t="shared" si="54"/>
        <v>0.47923009920527859</v>
      </c>
      <c r="AH165" s="4">
        <f t="shared" si="55"/>
        <v>44955</v>
      </c>
      <c r="AI165" t="str">
        <f t="shared" si="56"/>
        <v>Jan-2023</v>
      </c>
    </row>
    <row r="166" spans="1:35" x14ac:dyDescent="0.25">
      <c r="A166" t="s">
        <v>179</v>
      </c>
      <c r="B166" s="4">
        <v>45447</v>
      </c>
      <c r="C166" s="4" t="str">
        <f t="shared" si="45"/>
        <v>Q2-2024</v>
      </c>
      <c r="D166" s="4" t="str">
        <f t="shared" si="46"/>
        <v>Jun-2024</v>
      </c>
      <c r="E166" s="4">
        <v>45459</v>
      </c>
      <c r="F166" s="12">
        <f t="shared" si="47"/>
        <v>12</v>
      </c>
      <c r="G166" s="12">
        <f t="shared" si="38"/>
        <v>0</v>
      </c>
      <c r="H166" s="4">
        <f t="shared" si="48"/>
        <v>45459</v>
      </c>
      <c r="I166" t="s">
        <v>647</v>
      </c>
      <c r="J166" t="s">
        <v>659</v>
      </c>
      <c r="K166" t="s">
        <v>685</v>
      </c>
      <c r="L166" t="s">
        <v>701</v>
      </c>
      <c r="M166" t="s">
        <v>707</v>
      </c>
      <c r="N166" t="s">
        <v>713</v>
      </c>
      <c r="O166" t="s">
        <v>728</v>
      </c>
      <c r="P166" t="str" cm="1">
        <f t="array" ref="P166">_xlfn.IFS(S166&lt;=PERCENTILE($S$2:$S$1000, 0.33), "Low", S166&lt;=PERCENTILE($S$2:$S$1000, 0.66), "Medium", TRUE, "High")</f>
        <v>Medium</v>
      </c>
      <c r="Q166" t="s">
        <v>898</v>
      </c>
      <c r="R166" s="10">
        <v>918.42</v>
      </c>
      <c r="S166" s="10">
        <v>1511.71</v>
      </c>
      <c r="T166" s="8">
        <v>0.02</v>
      </c>
      <c r="U166" s="12">
        <f t="shared" si="49"/>
        <v>0</v>
      </c>
      <c r="V166" s="6">
        <v>8</v>
      </c>
      <c r="W166" t="str">
        <f t="shared" si="39"/>
        <v>ok</v>
      </c>
      <c r="X166">
        <f t="shared" si="40"/>
        <v>12</v>
      </c>
      <c r="Y166">
        <f t="shared" si="50"/>
        <v>12</v>
      </c>
      <c r="Z166" s="10">
        <f t="shared" si="51"/>
        <v>11851.806399999999</v>
      </c>
      <c r="AA166" s="10">
        <f t="shared" si="52"/>
        <v>7347.36</v>
      </c>
      <c r="AB166" s="10">
        <f t="shared" si="53"/>
        <v>4504.4463999999998</v>
      </c>
      <c r="AC166" s="10">
        <f t="shared" si="41"/>
        <v>606.37750000000005</v>
      </c>
      <c r="AD166" s="10">
        <f t="shared" si="42"/>
        <v>1193.865</v>
      </c>
      <c r="AE166" s="10">
        <f t="shared" si="43"/>
        <v>1912.0450000000001</v>
      </c>
      <c r="AF166" s="10" t="str">
        <f t="shared" si="44"/>
        <v>Low</v>
      </c>
      <c r="AG166" s="6">
        <f t="shared" si="54"/>
        <v>0.38006412254590999</v>
      </c>
      <c r="AH166" s="4">
        <f t="shared" si="55"/>
        <v>44948</v>
      </c>
      <c r="AI166" t="str">
        <f t="shared" si="56"/>
        <v>Jan-2023</v>
      </c>
    </row>
    <row r="167" spans="1:35" x14ac:dyDescent="0.25">
      <c r="A167" t="s">
        <v>180</v>
      </c>
      <c r="B167" s="4">
        <v>44976</v>
      </c>
      <c r="C167" s="4" t="str">
        <f t="shared" si="45"/>
        <v>Q1-2023</v>
      </c>
      <c r="D167" s="4" t="str">
        <f t="shared" si="46"/>
        <v>Feb-2023</v>
      </c>
      <c r="E167" s="4">
        <v>44997</v>
      </c>
      <c r="F167" s="12">
        <f t="shared" si="47"/>
        <v>21</v>
      </c>
      <c r="G167" s="12">
        <f t="shared" si="38"/>
        <v>0</v>
      </c>
      <c r="H167" s="4">
        <f t="shared" si="48"/>
        <v>44997</v>
      </c>
      <c r="I167" t="s">
        <v>649</v>
      </c>
      <c r="J167" t="s">
        <v>656</v>
      </c>
      <c r="K167" t="s">
        <v>671</v>
      </c>
      <c r="L167" t="s">
        <v>705</v>
      </c>
      <c r="M167" t="s">
        <v>711</v>
      </c>
      <c r="N167" t="s">
        <v>716</v>
      </c>
      <c r="O167" t="s">
        <v>732</v>
      </c>
      <c r="P167" t="str" cm="1">
        <f t="array" ref="P167">_xlfn.IFS(S167&lt;=PERCENTILE($S$2:$S$1000, 0.33), "Low", S167&lt;=PERCENTILE($S$2:$S$1000, 0.66), "Medium", TRUE, "High")</f>
        <v>High</v>
      </c>
      <c r="Q167" t="s">
        <v>899</v>
      </c>
      <c r="R167" s="10">
        <v>1234.81</v>
      </c>
      <c r="S167" s="10">
        <v>2055.2399999999998</v>
      </c>
      <c r="T167" s="8">
        <v>5.2999999999999999E-2</v>
      </c>
      <c r="U167" s="12">
        <f t="shared" si="49"/>
        <v>0</v>
      </c>
      <c r="V167" s="6">
        <v>44</v>
      </c>
      <c r="W167" t="str">
        <f t="shared" si="39"/>
        <v>ok</v>
      </c>
      <c r="X167">
        <f t="shared" si="40"/>
        <v>21</v>
      </c>
      <c r="Y167">
        <f t="shared" si="50"/>
        <v>21</v>
      </c>
      <c r="Z167" s="10">
        <f t="shared" si="51"/>
        <v>85637.740319999997</v>
      </c>
      <c r="AA167" s="10">
        <f t="shared" si="52"/>
        <v>54331.64</v>
      </c>
      <c r="AB167" s="10">
        <f t="shared" si="53"/>
        <v>31306.100319999998</v>
      </c>
      <c r="AC167" s="10">
        <f t="shared" si="41"/>
        <v>606.37750000000005</v>
      </c>
      <c r="AD167" s="10">
        <f t="shared" si="42"/>
        <v>1193.865</v>
      </c>
      <c r="AE167" s="10">
        <f t="shared" si="43"/>
        <v>1912.0450000000001</v>
      </c>
      <c r="AF167" s="10" t="str">
        <f t="shared" si="44"/>
        <v>Medium</v>
      </c>
      <c r="AG167" s="6">
        <f t="shared" si="54"/>
        <v>0.36556429680441616</v>
      </c>
      <c r="AH167" s="4">
        <f t="shared" si="55"/>
        <v>44938</v>
      </c>
      <c r="AI167" t="str">
        <f t="shared" si="56"/>
        <v>Jan-2023</v>
      </c>
    </row>
    <row r="168" spans="1:35" x14ac:dyDescent="0.25">
      <c r="A168" t="s">
        <v>181</v>
      </c>
      <c r="B168" s="4">
        <v>45034</v>
      </c>
      <c r="C168" s="4" t="str">
        <f t="shared" si="45"/>
        <v>Q2-2023</v>
      </c>
      <c r="D168" s="4" t="str">
        <f t="shared" si="46"/>
        <v>Apr-2023</v>
      </c>
      <c r="E168" s="4">
        <v>45064</v>
      </c>
      <c r="F168" s="12">
        <f t="shared" si="47"/>
        <v>30</v>
      </c>
      <c r="G168" s="12">
        <f t="shared" si="38"/>
        <v>0</v>
      </c>
      <c r="H168" s="4">
        <f t="shared" si="48"/>
        <v>45064</v>
      </c>
      <c r="I168" t="s">
        <v>647</v>
      </c>
      <c r="J168" t="s">
        <v>659</v>
      </c>
      <c r="K168" t="s">
        <v>676</v>
      </c>
      <c r="L168" t="s">
        <v>703</v>
      </c>
      <c r="M168" t="s">
        <v>707</v>
      </c>
      <c r="N168" t="s">
        <v>722</v>
      </c>
      <c r="O168" t="s">
        <v>731</v>
      </c>
      <c r="P168" t="str" cm="1">
        <f t="array" ref="P168">_xlfn.IFS(S168&lt;=PERCENTILE($S$2:$S$1000, 0.33), "Low", S168&lt;=PERCENTILE($S$2:$S$1000, 0.66), "Medium", TRUE, "High")</f>
        <v>Low</v>
      </c>
      <c r="Q168" t="s">
        <v>900</v>
      </c>
      <c r="R168" s="10">
        <v>329.03</v>
      </c>
      <c r="S168" s="10">
        <v>391.15</v>
      </c>
      <c r="T168" s="8">
        <v>0.19700000000000001</v>
      </c>
      <c r="U168" s="12">
        <f t="shared" si="49"/>
        <v>0</v>
      </c>
      <c r="V168" s="6">
        <v>46</v>
      </c>
      <c r="W168" t="str">
        <f t="shared" si="39"/>
        <v>ok</v>
      </c>
      <c r="X168">
        <f t="shared" si="40"/>
        <v>30</v>
      </c>
      <c r="Y168">
        <f t="shared" si="50"/>
        <v>30</v>
      </c>
      <c r="Z168" s="10">
        <f t="shared" si="51"/>
        <v>14448.298699999998</v>
      </c>
      <c r="AA168" s="10">
        <f t="shared" si="52"/>
        <v>15135.38</v>
      </c>
      <c r="AB168" s="10">
        <f t="shared" si="53"/>
        <v>-687.08130000000165</v>
      </c>
      <c r="AC168" s="10">
        <f t="shared" si="41"/>
        <v>606.37750000000005</v>
      </c>
      <c r="AD168" s="10">
        <f t="shared" si="42"/>
        <v>1193.865</v>
      </c>
      <c r="AE168" s="10">
        <f t="shared" si="43"/>
        <v>1912.0450000000001</v>
      </c>
      <c r="AF168" s="10" t="str">
        <f t="shared" si="44"/>
        <v>High</v>
      </c>
      <c r="AG168" s="6">
        <f t="shared" si="54"/>
        <v>-4.7554477815440081E-2</v>
      </c>
      <c r="AH168" s="4">
        <f t="shared" si="55"/>
        <v>44941</v>
      </c>
      <c r="AI168" t="str">
        <f t="shared" si="56"/>
        <v>Jan-2023</v>
      </c>
    </row>
    <row r="169" spans="1:35" x14ac:dyDescent="0.25">
      <c r="A169" t="s">
        <v>182</v>
      </c>
      <c r="B169" s="4">
        <v>45435</v>
      </c>
      <c r="C169" s="4" t="str">
        <f t="shared" si="45"/>
        <v>Q2-2024</v>
      </c>
      <c r="D169" s="4" t="str">
        <f t="shared" si="46"/>
        <v>May-2024</v>
      </c>
      <c r="E169" s="4">
        <v>45457</v>
      </c>
      <c r="F169" s="12">
        <f t="shared" si="47"/>
        <v>22</v>
      </c>
      <c r="G169" s="12">
        <f t="shared" si="38"/>
        <v>0</v>
      </c>
      <c r="H169" s="4">
        <f t="shared" si="48"/>
        <v>45457</v>
      </c>
      <c r="I169" t="s">
        <v>649</v>
      </c>
      <c r="J169" t="s">
        <v>657</v>
      </c>
      <c r="K169" t="s">
        <v>673</v>
      </c>
      <c r="L169" t="s">
        <v>705</v>
      </c>
      <c r="M169" t="s">
        <v>708</v>
      </c>
      <c r="N169" t="s">
        <v>725</v>
      </c>
      <c r="O169" t="s">
        <v>732</v>
      </c>
      <c r="P169" t="str" cm="1">
        <f t="array" ref="P169">_xlfn.IFS(S169&lt;=PERCENTILE($S$2:$S$1000, 0.33), "Low", S169&lt;=PERCENTILE($S$2:$S$1000, 0.66), "Medium", TRUE, "High")</f>
        <v>High</v>
      </c>
      <c r="Q169" t="s">
        <v>901</v>
      </c>
      <c r="R169" s="10">
        <v>1481.74</v>
      </c>
      <c r="S169" s="10">
        <v>1848.97</v>
      </c>
      <c r="T169" s="8">
        <v>0.254</v>
      </c>
      <c r="U169" s="12">
        <f t="shared" si="49"/>
        <v>1</v>
      </c>
      <c r="V169" s="6">
        <v>9</v>
      </c>
      <c r="W169" t="str">
        <f t="shared" si="39"/>
        <v>ok</v>
      </c>
      <c r="X169">
        <f t="shared" si="40"/>
        <v>22</v>
      </c>
      <c r="Y169">
        <f t="shared" si="50"/>
        <v>22</v>
      </c>
      <c r="Z169" s="10">
        <f t="shared" si="51"/>
        <v>12413.98458</v>
      </c>
      <c r="AA169" s="10">
        <f t="shared" si="52"/>
        <v>13335.66</v>
      </c>
      <c r="AB169" s="10">
        <f t="shared" si="53"/>
        <v>-921.67541999999958</v>
      </c>
      <c r="AC169" s="10">
        <f t="shared" si="41"/>
        <v>606.37750000000005</v>
      </c>
      <c r="AD169" s="10">
        <f t="shared" si="42"/>
        <v>1193.865</v>
      </c>
      <c r="AE169" s="10">
        <f t="shared" si="43"/>
        <v>1912.0450000000001</v>
      </c>
      <c r="AF169" s="10" t="str">
        <f t="shared" si="44"/>
        <v>Low</v>
      </c>
      <c r="AG169" s="6">
        <f t="shared" si="54"/>
        <v>-7.4244930309072407E-2</v>
      </c>
      <c r="AH169" s="4">
        <f t="shared" si="55"/>
        <v>44939</v>
      </c>
      <c r="AI169" t="str">
        <f t="shared" si="56"/>
        <v>Jan-2023</v>
      </c>
    </row>
    <row r="170" spans="1:35" x14ac:dyDescent="0.25">
      <c r="A170" t="s">
        <v>183</v>
      </c>
      <c r="B170" s="4">
        <v>45206</v>
      </c>
      <c r="C170" s="4" t="str">
        <f t="shared" si="45"/>
        <v>Q4-2023</v>
      </c>
      <c r="D170" s="4" t="str">
        <f t="shared" si="46"/>
        <v>Oct-2023</v>
      </c>
      <c r="E170" s="4">
        <v>45222</v>
      </c>
      <c r="F170" s="12">
        <f t="shared" si="47"/>
        <v>16</v>
      </c>
      <c r="G170" s="12">
        <f t="shared" si="38"/>
        <v>0</v>
      </c>
      <c r="H170" s="4">
        <f t="shared" si="48"/>
        <v>45222</v>
      </c>
      <c r="I170" t="s">
        <v>647</v>
      </c>
      <c r="J170" t="s">
        <v>654</v>
      </c>
      <c r="K170" t="s">
        <v>696</v>
      </c>
      <c r="L170" t="s">
        <v>704</v>
      </c>
      <c r="M170" t="s">
        <v>707</v>
      </c>
      <c r="N170" t="s">
        <v>715</v>
      </c>
      <c r="O170" t="s">
        <v>732</v>
      </c>
      <c r="P170" t="str" cm="1">
        <f t="array" ref="P170">_xlfn.IFS(S170&lt;=PERCENTILE($S$2:$S$1000, 0.33), "Low", S170&lt;=PERCENTILE($S$2:$S$1000, 0.66), "Medium", TRUE, "High")</f>
        <v>Medium</v>
      </c>
      <c r="Q170" t="s">
        <v>902</v>
      </c>
      <c r="R170" s="10">
        <v>906.81</v>
      </c>
      <c r="S170" s="10">
        <v>1395.56</v>
      </c>
      <c r="T170" s="8">
        <v>0.185</v>
      </c>
      <c r="U170" s="12">
        <f t="shared" si="49"/>
        <v>0</v>
      </c>
      <c r="V170" s="6">
        <v>6</v>
      </c>
      <c r="W170" t="str">
        <f t="shared" si="39"/>
        <v>ok</v>
      </c>
      <c r="X170">
        <f t="shared" si="40"/>
        <v>16</v>
      </c>
      <c r="Y170">
        <f t="shared" si="50"/>
        <v>16</v>
      </c>
      <c r="Z170" s="10">
        <f t="shared" si="51"/>
        <v>6824.2884000000004</v>
      </c>
      <c r="AA170" s="10">
        <f t="shared" si="52"/>
        <v>5440.86</v>
      </c>
      <c r="AB170" s="10">
        <f t="shared" si="53"/>
        <v>1383.4284000000007</v>
      </c>
      <c r="AC170" s="10">
        <f t="shared" si="41"/>
        <v>606.37750000000005</v>
      </c>
      <c r="AD170" s="10">
        <f t="shared" si="42"/>
        <v>1193.865</v>
      </c>
      <c r="AE170" s="10">
        <f t="shared" si="43"/>
        <v>1912.0450000000001</v>
      </c>
      <c r="AF170" s="10" t="str">
        <f t="shared" si="44"/>
        <v>Medium</v>
      </c>
      <c r="AG170" s="6">
        <f t="shared" si="54"/>
        <v>0.20272126834498974</v>
      </c>
      <c r="AH170" s="4">
        <f t="shared" si="55"/>
        <v>44948</v>
      </c>
      <c r="AI170" t="str">
        <f t="shared" si="56"/>
        <v>Jan-2023</v>
      </c>
    </row>
    <row r="171" spans="1:35" x14ac:dyDescent="0.25">
      <c r="A171" t="s">
        <v>184</v>
      </c>
      <c r="B171" s="4">
        <v>45574</v>
      </c>
      <c r="C171" s="4" t="str">
        <f t="shared" si="45"/>
        <v>Q4-2024</v>
      </c>
      <c r="D171" s="4" t="str">
        <f t="shared" si="46"/>
        <v>Oct-2024</v>
      </c>
      <c r="E171" s="4">
        <v>45604</v>
      </c>
      <c r="F171" s="12">
        <f t="shared" si="47"/>
        <v>30</v>
      </c>
      <c r="G171" s="12">
        <f t="shared" si="38"/>
        <v>0</v>
      </c>
      <c r="H171" s="4">
        <f t="shared" si="48"/>
        <v>45604</v>
      </c>
      <c r="I171" t="s">
        <v>649</v>
      </c>
      <c r="J171" t="s">
        <v>658</v>
      </c>
      <c r="K171" t="s">
        <v>693</v>
      </c>
      <c r="L171" t="s">
        <v>705</v>
      </c>
      <c r="M171" t="s">
        <v>710</v>
      </c>
      <c r="N171" t="s">
        <v>713</v>
      </c>
      <c r="O171" t="s">
        <v>727</v>
      </c>
      <c r="P171" t="str" cm="1">
        <f t="array" ref="P171">_xlfn.IFS(S171&lt;=PERCENTILE($S$2:$S$1000, 0.33), "Low", S171&lt;=PERCENTILE($S$2:$S$1000, 0.66), "Medium", TRUE, "High")</f>
        <v>Low</v>
      </c>
      <c r="Q171" t="s">
        <v>903</v>
      </c>
      <c r="R171" s="10">
        <v>343.85</v>
      </c>
      <c r="S171" s="10">
        <v>538.04</v>
      </c>
      <c r="T171" s="8">
        <v>0.13900000000000001</v>
      </c>
      <c r="U171" s="12">
        <f t="shared" si="49"/>
        <v>0</v>
      </c>
      <c r="V171" s="6">
        <v>5</v>
      </c>
      <c r="W171" t="str">
        <f t="shared" si="39"/>
        <v>ok</v>
      </c>
      <c r="X171">
        <f t="shared" si="40"/>
        <v>30</v>
      </c>
      <c r="Y171">
        <f t="shared" si="50"/>
        <v>30</v>
      </c>
      <c r="Z171" s="10">
        <f t="shared" si="51"/>
        <v>2316.2621999999997</v>
      </c>
      <c r="AA171" s="10">
        <f t="shared" si="52"/>
        <v>1719.25</v>
      </c>
      <c r="AB171" s="10">
        <f t="shared" si="53"/>
        <v>597.01219999999967</v>
      </c>
      <c r="AC171" s="10">
        <f t="shared" si="41"/>
        <v>606.37750000000005</v>
      </c>
      <c r="AD171" s="10">
        <f t="shared" si="42"/>
        <v>1193.865</v>
      </c>
      <c r="AE171" s="10">
        <f t="shared" si="43"/>
        <v>1912.0450000000001</v>
      </c>
      <c r="AF171" s="10" t="str">
        <f t="shared" si="44"/>
        <v>Medium</v>
      </c>
      <c r="AG171" s="6">
        <f t="shared" si="54"/>
        <v>0.25774810813732563</v>
      </c>
      <c r="AH171" s="4">
        <f t="shared" si="55"/>
        <v>44933</v>
      </c>
      <c r="AI171" t="str">
        <f t="shared" si="56"/>
        <v>Jan-2023</v>
      </c>
    </row>
    <row r="172" spans="1:35" x14ac:dyDescent="0.25">
      <c r="A172" t="s">
        <v>185</v>
      </c>
      <c r="B172" s="4">
        <v>45488</v>
      </c>
      <c r="C172" s="4" t="str">
        <f t="shared" si="45"/>
        <v>Q3-2024</v>
      </c>
      <c r="D172" s="4" t="str">
        <f t="shared" si="46"/>
        <v>Jul-2024</v>
      </c>
      <c r="E172" s="4">
        <v>45488</v>
      </c>
      <c r="F172" s="12">
        <f t="shared" si="47"/>
        <v>0</v>
      </c>
      <c r="G172" s="12">
        <f t="shared" si="38"/>
        <v>1</v>
      </c>
      <c r="H172" s="4">
        <f t="shared" si="48"/>
        <v>45488</v>
      </c>
      <c r="I172" t="s">
        <v>647</v>
      </c>
      <c r="J172" t="s">
        <v>652</v>
      </c>
      <c r="K172" t="s">
        <v>689</v>
      </c>
      <c r="L172" t="s">
        <v>705</v>
      </c>
      <c r="M172" t="s">
        <v>709</v>
      </c>
      <c r="N172" t="s">
        <v>715</v>
      </c>
      <c r="O172" t="s">
        <v>733</v>
      </c>
      <c r="P172" t="str" cm="1">
        <f t="array" ref="P172">_xlfn.IFS(S172&lt;=PERCENTILE($S$2:$S$1000, 0.33), "Low", S172&lt;=PERCENTILE($S$2:$S$1000, 0.66), "Medium", TRUE, "High")</f>
        <v>Medium</v>
      </c>
      <c r="Q172" t="s">
        <v>904</v>
      </c>
      <c r="R172" s="10">
        <v>801.77</v>
      </c>
      <c r="S172" s="10">
        <v>1218.92</v>
      </c>
      <c r="T172" s="8">
        <v>0.254</v>
      </c>
      <c r="U172" s="12">
        <f t="shared" si="49"/>
        <v>1</v>
      </c>
      <c r="V172" s="6">
        <v>16</v>
      </c>
      <c r="W172" t="str">
        <f t="shared" si="39"/>
        <v>sus</v>
      </c>
      <c r="X172">
        <f t="shared" si="40"/>
        <v>0</v>
      </c>
      <c r="Y172">
        <f t="shared" si="50"/>
        <v>0</v>
      </c>
      <c r="Z172" s="10">
        <f t="shared" si="51"/>
        <v>14549.029120000001</v>
      </c>
      <c r="AA172" s="10">
        <f t="shared" si="52"/>
        <v>12828.32</v>
      </c>
      <c r="AB172" s="10">
        <f t="shared" si="53"/>
        <v>1720.7091200000013</v>
      </c>
      <c r="AC172" s="10">
        <f t="shared" si="41"/>
        <v>606.37750000000005</v>
      </c>
      <c r="AD172" s="10">
        <f t="shared" si="42"/>
        <v>1193.865</v>
      </c>
      <c r="AE172" s="10">
        <f t="shared" si="43"/>
        <v>1912.0450000000001</v>
      </c>
      <c r="AF172" s="10" t="str">
        <f t="shared" si="44"/>
        <v>Low</v>
      </c>
      <c r="AG172" s="6">
        <f t="shared" si="54"/>
        <v>0.11826968698788344</v>
      </c>
      <c r="AH172" s="4">
        <f t="shared" si="55"/>
        <v>44946</v>
      </c>
      <c r="AI172" t="str">
        <f t="shared" si="56"/>
        <v>Jan-2023</v>
      </c>
    </row>
    <row r="173" spans="1:35" x14ac:dyDescent="0.25">
      <c r="A173" t="s">
        <v>186</v>
      </c>
      <c r="B173" s="4">
        <v>45190</v>
      </c>
      <c r="C173" s="4" t="str">
        <f t="shared" si="45"/>
        <v>Q3-2023</v>
      </c>
      <c r="D173" s="4" t="str">
        <f t="shared" si="46"/>
        <v>Sept-2023</v>
      </c>
      <c r="E173" s="4">
        <v>45209</v>
      </c>
      <c r="F173" s="12">
        <f t="shared" si="47"/>
        <v>19</v>
      </c>
      <c r="G173" s="12">
        <f t="shared" si="38"/>
        <v>0</v>
      </c>
      <c r="H173" s="4">
        <f t="shared" si="48"/>
        <v>45209</v>
      </c>
      <c r="I173" t="s">
        <v>647</v>
      </c>
      <c r="J173" t="s">
        <v>652</v>
      </c>
      <c r="K173" t="s">
        <v>689</v>
      </c>
      <c r="L173" t="s">
        <v>702</v>
      </c>
      <c r="M173" t="s">
        <v>708</v>
      </c>
      <c r="N173" t="s">
        <v>726</v>
      </c>
      <c r="O173" t="s">
        <v>727</v>
      </c>
      <c r="P173" t="str" cm="1">
        <f t="array" ref="P173">_xlfn.IFS(S173&lt;=PERCENTILE($S$2:$S$1000, 0.33), "Low", S173&lt;=PERCENTILE($S$2:$S$1000, 0.66), "Medium", TRUE, "High")</f>
        <v>High</v>
      </c>
      <c r="Q173" t="s">
        <v>905</v>
      </c>
      <c r="R173" s="10">
        <v>845.63</v>
      </c>
      <c r="S173" s="10">
        <v>2062.12</v>
      </c>
      <c r="T173" s="8">
        <v>0.13400000000000001</v>
      </c>
      <c r="U173" s="12">
        <f t="shared" si="49"/>
        <v>0</v>
      </c>
      <c r="V173" s="6">
        <v>5</v>
      </c>
      <c r="W173" t="str">
        <f t="shared" si="39"/>
        <v>ok</v>
      </c>
      <c r="X173">
        <f t="shared" si="40"/>
        <v>19</v>
      </c>
      <c r="Y173">
        <f t="shared" si="50"/>
        <v>19</v>
      </c>
      <c r="Z173" s="10">
        <f t="shared" si="51"/>
        <v>8928.9795999999988</v>
      </c>
      <c r="AA173" s="10">
        <f t="shared" si="52"/>
        <v>4228.1499999999996</v>
      </c>
      <c r="AB173" s="10">
        <f t="shared" si="53"/>
        <v>4700.8295999999991</v>
      </c>
      <c r="AC173" s="10">
        <f t="shared" si="41"/>
        <v>606.37750000000005</v>
      </c>
      <c r="AD173" s="10">
        <f t="shared" si="42"/>
        <v>1193.865</v>
      </c>
      <c r="AE173" s="10">
        <f t="shared" si="43"/>
        <v>1912.0450000000001</v>
      </c>
      <c r="AF173" s="10" t="str">
        <f t="shared" si="44"/>
        <v>Medium</v>
      </c>
      <c r="AG173" s="6">
        <f t="shared" si="54"/>
        <v>0.52646884757133949</v>
      </c>
      <c r="AH173" s="4">
        <f t="shared" si="55"/>
        <v>44948</v>
      </c>
      <c r="AI173" t="str">
        <f t="shared" si="56"/>
        <v>Jan-2023</v>
      </c>
    </row>
    <row r="174" spans="1:35" x14ac:dyDescent="0.25">
      <c r="A174" t="s">
        <v>187</v>
      </c>
      <c r="B174" s="4">
        <v>44981</v>
      </c>
      <c r="C174" s="4" t="str">
        <f t="shared" si="45"/>
        <v>Q1-2023</v>
      </c>
      <c r="D174" s="4" t="str">
        <f t="shared" si="46"/>
        <v>Feb-2023</v>
      </c>
      <c r="E174" s="4">
        <v>44994</v>
      </c>
      <c r="F174" s="12">
        <f t="shared" si="47"/>
        <v>13</v>
      </c>
      <c r="G174" s="12">
        <f t="shared" si="38"/>
        <v>0</v>
      </c>
      <c r="H174" s="4">
        <f t="shared" si="48"/>
        <v>44994</v>
      </c>
      <c r="I174" t="s">
        <v>648</v>
      </c>
      <c r="J174" t="s">
        <v>660</v>
      </c>
      <c r="K174" t="s">
        <v>700</v>
      </c>
      <c r="L174" t="s">
        <v>706</v>
      </c>
      <c r="M174" t="s">
        <v>708</v>
      </c>
      <c r="N174" t="s">
        <v>724</v>
      </c>
      <c r="O174" t="s">
        <v>727</v>
      </c>
      <c r="P174" t="str" cm="1">
        <f t="array" ref="P174">_xlfn.IFS(S174&lt;=PERCENTILE($S$2:$S$1000, 0.33), "Low", S174&lt;=PERCENTILE($S$2:$S$1000, 0.66), "Medium", TRUE, "High")</f>
        <v>Low</v>
      </c>
      <c r="Q174" t="s">
        <v>906</v>
      </c>
      <c r="R174" s="10">
        <v>6.85</v>
      </c>
      <c r="S174" s="10">
        <v>10.18</v>
      </c>
      <c r="T174" s="8">
        <v>4.7E-2</v>
      </c>
      <c r="U174" s="12">
        <f t="shared" si="49"/>
        <v>0</v>
      </c>
      <c r="V174" s="6">
        <v>10</v>
      </c>
      <c r="W174" t="str">
        <f t="shared" si="39"/>
        <v>ok</v>
      </c>
      <c r="X174">
        <f t="shared" si="40"/>
        <v>13</v>
      </c>
      <c r="Y174">
        <f t="shared" si="50"/>
        <v>13</v>
      </c>
      <c r="Z174" s="10">
        <f t="shared" si="51"/>
        <v>97.0154</v>
      </c>
      <c r="AA174" s="10">
        <f t="shared" si="52"/>
        <v>68.5</v>
      </c>
      <c r="AB174" s="10">
        <f t="shared" si="53"/>
        <v>28.5154</v>
      </c>
      <c r="AC174" s="10">
        <f t="shared" si="41"/>
        <v>606.37750000000005</v>
      </c>
      <c r="AD174" s="10">
        <f t="shared" si="42"/>
        <v>1193.865</v>
      </c>
      <c r="AE174" s="10">
        <f t="shared" si="43"/>
        <v>1912.0450000000001</v>
      </c>
      <c r="AF174" s="10" t="str">
        <f t="shared" si="44"/>
        <v>High</v>
      </c>
      <c r="AG174" s="6">
        <f t="shared" si="54"/>
        <v>0.2939265312517394</v>
      </c>
      <c r="AH174" s="4">
        <f t="shared" si="55"/>
        <v>44928</v>
      </c>
      <c r="AI174" t="str">
        <f t="shared" si="56"/>
        <v>Jan-2023</v>
      </c>
    </row>
    <row r="175" spans="1:35" x14ac:dyDescent="0.25">
      <c r="A175" t="s">
        <v>188</v>
      </c>
      <c r="B175" s="4">
        <v>45798</v>
      </c>
      <c r="C175" s="4" t="str">
        <f t="shared" si="45"/>
        <v>Q2-2025</v>
      </c>
      <c r="D175" s="4" t="str">
        <f t="shared" si="46"/>
        <v>May-2025</v>
      </c>
      <c r="E175" s="4">
        <v>45796</v>
      </c>
      <c r="F175" s="12">
        <f t="shared" si="47"/>
        <v>14</v>
      </c>
      <c r="G175" s="12">
        <f t="shared" si="38"/>
        <v>0</v>
      </c>
      <c r="H175" s="4">
        <f t="shared" si="48"/>
        <v>45812</v>
      </c>
      <c r="I175" t="s">
        <v>646</v>
      </c>
      <c r="J175" t="s">
        <v>661</v>
      </c>
      <c r="K175" t="s">
        <v>682</v>
      </c>
      <c r="L175" t="s">
        <v>703</v>
      </c>
      <c r="M175" t="s">
        <v>710</v>
      </c>
      <c r="N175" t="s">
        <v>719</v>
      </c>
      <c r="O175" t="s">
        <v>731</v>
      </c>
      <c r="P175" t="str" cm="1">
        <f t="array" ref="P175">_xlfn.IFS(S175&lt;=PERCENTILE($S$2:$S$1000, 0.33), "Low", S175&lt;=PERCENTILE($S$2:$S$1000, 0.66), "Medium", TRUE, "High")</f>
        <v>High</v>
      </c>
      <c r="Q175" t="s">
        <v>907</v>
      </c>
      <c r="R175" s="10">
        <v>1263.8399999999999</v>
      </c>
      <c r="S175" s="10">
        <v>2281.7199999999998</v>
      </c>
      <c r="T175" s="8">
        <v>7.8E-2</v>
      </c>
      <c r="U175" s="12">
        <f t="shared" si="49"/>
        <v>0</v>
      </c>
      <c r="V175" s="6">
        <v>15</v>
      </c>
      <c r="W175" t="str">
        <f t="shared" si="39"/>
        <v>sus</v>
      </c>
      <c r="X175">
        <f t="shared" si="40"/>
        <v>-2</v>
      </c>
      <c r="Y175">
        <f t="shared" si="50"/>
        <v>2</v>
      </c>
      <c r="Z175" s="10">
        <f t="shared" si="51"/>
        <v>31556.187599999997</v>
      </c>
      <c r="AA175" s="10">
        <f t="shared" si="52"/>
        <v>18957.599999999999</v>
      </c>
      <c r="AB175" s="10">
        <f t="shared" si="53"/>
        <v>12598.587599999999</v>
      </c>
      <c r="AC175" s="10">
        <f t="shared" si="41"/>
        <v>606.37750000000005</v>
      </c>
      <c r="AD175" s="10">
        <f t="shared" si="42"/>
        <v>1193.865</v>
      </c>
      <c r="AE175" s="10">
        <f t="shared" si="43"/>
        <v>1912.0450000000001</v>
      </c>
      <c r="AF175" s="10" t="str">
        <f t="shared" si="44"/>
        <v>Low</v>
      </c>
      <c r="AG175" s="6">
        <f t="shared" si="54"/>
        <v>0.39924301882398494</v>
      </c>
      <c r="AH175" s="4">
        <f t="shared" si="55"/>
        <v>44955</v>
      </c>
      <c r="AI175" t="str">
        <f t="shared" si="56"/>
        <v>Jan-2023</v>
      </c>
    </row>
    <row r="176" spans="1:35" x14ac:dyDescent="0.25">
      <c r="A176" t="s">
        <v>189</v>
      </c>
      <c r="B176" s="4">
        <v>45435</v>
      </c>
      <c r="C176" s="4" t="str">
        <f t="shared" si="45"/>
        <v>Q2-2024</v>
      </c>
      <c r="D176" s="4" t="str">
        <f t="shared" si="46"/>
        <v>May-2024</v>
      </c>
      <c r="E176" s="4">
        <v>45446</v>
      </c>
      <c r="F176" s="12">
        <f t="shared" si="47"/>
        <v>11</v>
      </c>
      <c r="G176" s="12">
        <f t="shared" si="38"/>
        <v>0</v>
      </c>
      <c r="H176" s="4">
        <f t="shared" si="48"/>
        <v>45446</v>
      </c>
      <c r="I176" t="s">
        <v>646</v>
      </c>
      <c r="J176" t="s">
        <v>661</v>
      </c>
      <c r="K176" t="s">
        <v>682</v>
      </c>
      <c r="L176" t="s">
        <v>705</v>
      </c>
      <c r="M176" t="s">
        <v>710</v>
      </c>
      <c r="N176" t="s">
        <v>721</v>
      </c>
      <c r="O176" t="s">
        <v>728</v>
      </c>
      <c r="P176" t="str" cm="1">
        <f t="array" ref="P176">_xlfn.IFS(S176&lt;=PERCENTILE($S$2:$S$1000, 0.33), "Low", S176&lt;=PERCENTILE($S$2:$S$1000, 0.66), "Medium", TRUE, "High")</f>
        <v>Low</v>
      </c>
      <c r="Q176" t="s">
        <v>908</v>
      </c>
      <c r="R176" s="10">
        <v>180.89</v>
      </c>
      <c r="S176" s="10">
        <v>249.57</v>
      </c>
      <c r="T176" s="8">
        <v>2.1999999999999999E-2</v>
      </c>
      <c r="U176" s="12">
        <f t="shared" si="49"/>
        <v>0</v>
      </c>
      <c r="V176" s="6">
        <v>8</v>
      </c>
      <c r="W176" t="str">
        <f t="shared" si="39"/>
        <v>ok</v>
      </c>
      <c r="X176">
        <f t="shared" si="40"/>
        <v>11</v>
      </c>
      <c r="Y176">
        <f t="shared" si="50"/>
        <v>11</v>
      </c>
      <c r="Z176" s="10">
        <f t="shared" si="51"/>
        <v>1952.6356799999999</v>
      </c>
      <c r="AA176" s="10">
        <f t="shared" si="52"/>
        <v>1447.12</v>
      </c>
      <c r="AB176" s="10">
        <f t="shared" si="53"/>
        <v>505.51567999999997</v>
      </c>
      <c r="AC176" s="10">
        <f t="shared" si="41"/>
        <v>606.37750000000005</v>
      </c>
      <c r="AD176" s="10">
        <f t="shared" si="42"/>
        <v>1193.865</v>
      </c>
      <c r="AE176" s="10">
        <f t="shared" si="43"/>
        <v>1912.0450000000001</v>
      </c>
      <c r="AF176" s="10" t="str">
        <f t="shared" si="44"/>
        <v>High</v>
      </c>
      <c r="AG176" s="6">
        <f t="shared" si="54"/>
        <v>0.25888888806948362</v>
      </c>
      <c r="AH176" s="4">
        <f t="shared" si="55"/>
        <v>44941</v>
      </c>
      <c r="AI176" t="str">
        <f t="shared" si="56"/>
        <v>Jan-2023</v>
      </c>
    </row>
    <row r="177" spans="1:35" x14ac:dyDescent="0.25">
      <c r="A177" t="s">
        <v>190</v>
      </c>
      <c r="B177" s="4">
        <v>45761</v>
      </c>
      <c r="C177" s="4" t="str">
        <f t="shared" si="45"/>
        <v>Q2-2025</v>
      </c>
      <c r="D177" s="4" t="str">
        <f t="shared" si="46"/>
        <v>Apr-2025</v>
      </c>
      <c r="E177" s="4">
        <v>45781</v>
      </c>
      <c r="F177" s="12">
        <f t="shared" si="47"/>
        <v>20</v>
      </c>
      <c r="G177" s="12">
        <f t="shared" si="38"/>
        <v>0</v>
      </c>
      <c r="H177" s="4">
        <f t="shared" si="48"/>
        <v>45781</v>
      </c>
      <c r="I177" t="s">
        <v>649</v>
      </c>
      <c r="J177" t="s">
        <v>658</v>
      </c>
      <c r="K177" t="s">
        <v>674</v>
      </c>
      <c r="L177" t="s">
        <v>706</v>
      </c>
      <c r="M177" t="s">
        <v>709</v>
      </c>
      <c r="N177" t="s">
        <v>723</v>
      </c>
      <c r="O177" t="s">
        <v>732</v>
      </c>
      <c r="P177" t="str" cm="1">
        <f t="array" ref="P177">_xlfn.IFS(S177&lt;=PERCENTILE($S$2:$S$1000, 0.33), "Low", S177&lt;=PERCENTILE($S$2:$S$1000, 0.66), "Medium", TRUE, "High")</f>
        <v>High</v>
      </c>
      <c r="Q177" t="s">
        <v>909</v>
      </c>
      <c r="R177" s="10">
        <v>1413.87</v>
      </c>
      <c r="S177" s="10">
        <v>3275</v>
      </c>
      <c r="T177" s="8">
        <v>0.255</v>
      </c>
      <c r="U177" s="12">
        <f t="shared" si="49"/>
        <v>1</v>
      </c>
      <c r="V177" s="6">
        <v>38</v>
      </c>
      <c r="W177" t="str">
        <f t="shared" si="39"/>
        <v>ok</v>
      </c>
      <c r="X177">
        <f t="shared" si="40"/>
        <v>20</v>
      </c>
      <c r="Y177">
        <f t="shared" si="50"/>
        <v>20</v>
      </c>
      <c r="Z177" s="10">
        <f t="shared" si="51"/>
        <v>92715.25</v>
      </c>
      <c r="AA177" s="10">
        <f t="shared" si="52"/>
        <v>53727.06</v>
      </c>
      <c r="AB177" s="10">
        <f t="shared" si="53"/>
        <v>38988.19</v>
      </c>
      <c r="AC177" s="10">
        <f t="shared" si="41"/>
        <v>606.37750000000005</v>
      </c>
      <c r="AD177" s="10">
        <f t="shared" si="42"/>
        <v>1193.865</v>
      </c>
      <c r="AE177" s="10">
        <f t="shared" si="43"/>
        <v>1912.0450000000001</v>
      </c>
      <c r="AF177" s="10" t="str">
        <f t="shared" si="44"/>
        <v>Low</v>
      </c>
      <c r="AG177" s="6">
        <f t="shared" si="54"/>
        <v>0.42051539525590453</v>
      </c>
      <c r="AH177" s="4">
        <f t="shared" si="55"/>
        <v>44945</v>
      </c>
      <c r="AI177" t="str">
        <f t="shared" si="56"/>
        <v>Jan-2023</v>
      </c>
    </row>
    <row r="178" spans="1:35" x14ac:dyDescent="0.25">
      <c r="A178" t="s">
        <v>191</v>
      </c>
      <c r="B178" s="4">
        <v>45165</v>
      </c>
      <c r="C178" s="4" t="str">
        <f t="shared" si="45"/>
        <v>Q3-2023</v>
      </c>
      <c r="D178" s="4" t="str">
        <f t="shared" si="46"/>
        <v>Aug-2023</v>
      </c>
      <c r="E178" s="4">
        <v>45180</v>
      </c>
      <c r="F178" s="12">
        <f t="shared" si="47"/>
        <v>15</v>
      </c>
      <c r="G178" s="12">
        <f t="shared" si="38"/>
        <v>0</v>
      </c>
      <c r="H178" s="4">
        <f t="shared" si="48"/>
        <v>45180</v>
      </c>
      <c r="I178" t="s">
        <v>649</v>
      </c>
      <c r="J178" t="s">
        <v>658</v>
      </c>
      <c r="K178" t="s">
        <v>683</v>
      </c>
      <c r="L178" t="s">
        <v>704</v>
      </c>
      <c r="M178" t="s">
        <v>709</v>
      </c>
      <c r="N178" t="s">
        <v>725</v>
      </c>
      <c r="O178" t="s">
        <v>728</v>
      </c>
      <c r="P178" t="str" cm="1">
        <f t="array" ref="P178">_xlfn.IFS(S178&lt;=PERCENTILE($S$2:$S$1000, 0.33), "Low", S178&lt;=PERCENTILE($S$2:$S$1000, 0.66), "Medium", TRUE, "High")</f>
        <v>High</v>
      </c>
      <c r="Q178" t="s">
        <v>910</v>
      </c>
      <c r="R178" s="10">
        <v>943.79</v>
      </c>
      <c r="S178" s="10">
        <v>1913.76</v>
      </c>
      <c r="T178" s="8">
        <v>9.0999999999999998E-2</v>
      </c>
      <c r="U178" s="12">
        <f t="shared" si="49"/>
        <v>0</v>
      </c>
      <c r="V178" s="6">
        <v>9</v>
      </c>
      <c r="W178" t="str">
        <f t="shared" si="39"/>
        <v>ok</v>
      </c>
      <c r="X178">
        <f t="shared" si="40"/>
        <v>15</v>
      </c>
      <c r="Y178">
        <f t="shared" si="50"/>
        <v>15</v>
      </c>
      <c r="Z178" s="10">
        <f t="shared" si="51"/>
        <v>15656.47056</v>
      </c>
      <c r="AA178" s="10">
        <f t="shared" si="52"/>
        <v>8494.11</v>
      </c>
      <c r="AB178" s="10">
        <f t="shared" si="53"/>
        <v>7162.3605599999992</v>
      </c>
      <c r="AC178" s="10">
        <f t="shared" si="41"/>
        <v>606.37750000000005</v>
      </c>
      <c r="AD178" s="10">
        <f t="shared" si="42"/>
        <v>1193.865</v>
      </c>
      <c r="AE178" s="10">
        <f t="shared" si="43"/>
        <v>1912.0450000000001</v>
      </c>
      <c r="AF178" s="10" t="str">
        <f t="shared" si="44"/>
        <v>High</v>
      </c>
      <c r="AG178" s="6">
        <f t="shared" si="54"/>
        <v>0.45746967891338081</v>
      </c>
      <c r="AH178" s="4">
        <f t="shared" si="55"/>
        <v>44941</v>
      </c>
      <c r="AI178" t="str">
        <f t="shared" si="56"/>
        <v>Jan-2023</v>
      </c>
    </row>
    <row r="179" spans="1:35" x14ac:dyDescent="0.25">
      <c r="A179" t="s">
        <v>192</v>
      </c>
      <c r="B179" s="4">
        <v>45325</v>
      </c>
      <c r="C179" s="4" t="str">
        <f t="shared" si="45"/>
        <v>Q1-2024</v>
      </c>
      <c r="D179" s="4" t="str">
        <f t="shared" si="46"/>
        <v>Feb-2024</v>
      </c>
      <c r="E179" s="4">
        <v>45343</v>
      </c>
      <c r="F179" s="12">
        <f t="shared" si="47"/>
        <v>18</v>
      </c>
      <c r="G179" s="12">
        <f t="shared" si="38"/>
        <v>0</v>
      </c>
      <c r="H179" s="4">
        <f t="shared" si="48"/>
        <v>45343</v>
      </c>
      <c r="I179" t="s">
        <v>649</v>
      </c>
      <c r="J179" t="s">
        <v>656</v>
      </c>
      <c r="K179" t="s">
        <v>698</v>
      </c>
      <c r="L179" t="s">
        <v>701</v>
      </c>
      <c r="M179" t="s">
        <v>707</v>
      </c>
      <c r="N179" t="s">
        <v>722</v>
      </c>
      <c r="O179" t="s">
        <v>727</v>
      </c>
      <c r="P179" t="str" cm="1">
        <f t="array" ref="P179">_xlfn.IFS(S179&lt;=PERCENTILE($S$2:$S$1000, 0.33), "Low", S179&lt;=PERCENTILE($S$2:$S$1000, 0.66), "Medium", TRUE, "High")</f>
        <v>Low</v>
      </c>
      <c r="Q179" t="s">
        <v>911</v>
      </c>
      <c r="R179" s="10">
        <v>39.229999999999997</v>
      </c>
      <c r="S179" s="10">
        <v>30.09</v>
      </c>
      <c r="T179" s="8">
        <v>0.17699999999999999</v>
      </c>
      <c r="U179" s="12">
        <f t="shared" si="49"/>
        <v>0</v>
      </c>
      <c r="V179" s="6">
        <v>13</v>
      </c>
      <c r="W179" t="str">
        <f t="shared" si="39"/>
        <v>ok</v>
      </c>
      <c r="X179">
        <f t="shared" si="40"/>
        <v>18</v>
      </c>
      <c r="Y179">
        <f t="shared" si="50"/>
        <v>18</v>
      </c>
      <c r="Z179" s="10">
        <f t="shared" si="51"/>
        <v>321.93290999999999</v>
      </c>
      <c r="AA179" s="10">
        <f t="shared" si="52"/>
        <v>509.98999999999995</v>
      </c>
      <c r="AB179" s="10">
        <f t="shared" si="53"/>
        <v>-188.05708999999996</v>
      </c>
      <c r="AC179" s="10">
        <f t="shared" si="41"/>
        <v>606.37750000000005</v>
      </c>
      <c r="AD179" s="10">
        <f t="shared" si="42"/>
        <v>1193.865</v>
      </c>
      <c r="AE179" s="10">
        <f t="shared" si="43"/>
        <v>1912.0450000000001</v>
      </c>
      <c r="AF179" s="10" t="str">
        <f t="shared" si="44"/>
        <v>High</v>
      </c>
      <c r="AG179" s="6">
        <f t="shared" si="54"/>
        <v>-0.58414993981199359</v>
      </c>
      <c r="AH179" s="4">
        <f t="shared" si="55"/>
        <v>44936</v>
      </c>
      <c r="AI179" t="str">
        <f t="shared" si="56"/>
        <v>Jan-2023</v>
      </c>
    </row>
    <row r="180" spans="1:35" x14ac:dyDescent="0.25">
      <c r="A180" t="s">
        <v>193</v>
      </c>
      <c r="B180" s="4">
        <v>45021</v>
      </c>
      <c r="C180" s="4" t="str">
        <f t="shared" si="45"/>
        <v>Q2-2023</v>
      </c>
      <c r="D180" s="4" t="str">
        <f t="shared" si="46"/>
        <v>Apr-2023</v>
      </c>
      <c r="E180" s="4">
        <v>45032</v>
      </c>
      <c r="F180" s="12">
        <f t="shared" si="47"/>
        <v>11</v>
      </c>
      <c r="G180" s="12">
        <f t="shared" si="38"/>
        <v>0</v>
      </c>
      <c r="H180" s="4">
        <f t="shared" si="48"/>
        <v>45032</v>
      </c>
      <c r="I180" t="s">
        <v>648</v>
      </c>
      <c r="J180" t="s">
        <v>653</v>
      </c>
      <c r="K180" t="s">
        <v>688</v>
      </c>
      <c r="L180" t="s">
        <v>703</v>
      </c>
      <c r="M180" t="s">
        <v>708</v>
      </c>
      <c r="N180" t="s">
        <v>719</v>
      </c>
      <c r="O180" t="s">
        <v>732</v>
      </c>
      <c r="P180" t="str" cm="1">
        <f t="array" ref="P180">_xlfn.IFS(S180&lt;=PERCENTILE($S$2:$S$1000, 0.33), "Low", S180&lt;=PERCENTILE($S$2:$S$1000, 0.66), "Medium", TRUE, "High")</f>
        <v>Low</v>
      </c>
      <c r="Q180" t="s">
        <v>912</v>
      </c>
      <c r="R180" s="10">
        <v>213.1</v>
      </c>
      <c r="S180" s="10">
        <v>501.31</v>
      </c>
      <c r="T180" s="8">
        <v>5.6000000000000001E-2</v>
      </c>
      <c r="U180" s="12">
        <f t="shared" si="49"/>
        <v>0</v>
      </c>
      <c r="V180" s="6">
        <v>15</v>
      </c>
      <c r="W180" t="str">
        <f t="shared" si="39"/>
        <v>ok</v>
      </c>
      <c r="X180">
        <f t="shared" si="40"/>
        <v>11</v>
      </c>
      <c r="Y180">
        <f t="shared" si="50"/>
        <v>11</v>
      </c>
      <c r="Z180" s="10">
        <f t="shared" si="51"/>
        <v>7098.5495999999994</v>
      </c>
      <c r="AA180" s="10">
        <f t="shared" si="52"/>
        <v>3196.5</v>
      </c>
      <c r="AB180" s="10">
        <f t="shared" si="53"/>
        <v>3902.0495999999994</v>
      </c>
      <c r="AC180" s="10">
        <f t="shared" si="41"/>
        <v>606.37750000000005</v>
      </c>
      <c r="AD180" s="10">
        <f t="shared" si="42"/>
        <v>1193.865</v>
      </c>
      <c r="AE180" s="10">
        <f t="shared" si="43"/>
        <v>1912.0450000000001</v>
      </c>
      <c r="AF180" s="10" t="str">
        <f t="shared" si="44"/>
        <v>Low</v>
      </c>
      <c r="AG180" s="6">
        <f t="shared" si="54"/>
        <v>0.54969674368409005</v>
      </c>
      <c r="AH180" s="4">
        <f t="shared" si="55"/>
        <v>44928</v>
      </c>
      <c r="AI180" t="str">
        <f t="shared" si="56"/>
        <v>Jan-2023</v>
      </c>
    </row>
    <row r="181" spans="1:35" x14ac:dyDescent="0.25">
      <c r="A181" t="s">
        <v>194</v>
      </c>
      <c r="B181" s="4">
        <v>45890</v>
      </c>
      <c r="C181" s="4" t="str">
        <f t="shared" si="45"/>
        <v>Q3-2025</v>
      </c>
      <c r="D181" s="4" t="str">
        <f t="shared" si="46"/>
        <v>Aug-2025</v>
      </c>
      <c r="E181" s="4">
        <v>45912</v>
      </c>
      <c r="F181" s="12">
        <f t="shared" si="47"/>
        <v>22</v>
      </c>
      <c r="G181" s="12">
        <f t="shared" si="38"/>
        <v>0</v>
      </c>
      <c r="H181" s="4">
        <f t="shared" si="48"/>
        <v>45912</v>
      </c>
      <c r="I181" t="s">
        <v>647</v>
      </c>
      <c r="J181" t="s">
        <v>659</v>
      </c>
      <c r="K181" t="s">
        <v>676</v>
      </c>
      <c r="L181" t="s">
        <v>702</v>
      </c>
      <c r="M181" t="s">
        <v>707</v>
      </c>
      <c r="N181" t="s">
        <v>717</v>
      </c>
      <c r="O181" t="s">
        <v>728</v>
      </c>
      <c r="P181" t="str" cm="1">
        <f t="array" ref="P181">_xlfn.IFS(S181&lt;=PERCENTILE($S$2:$S$1000, 0.33), "Low", S181&lt;=PERCENTILE($S$2:$S$1000, 0.66), "Medium", TRUE, "High")</f>
        <v>Low</v>
      </c>
      <c r="Q181" t="s">
        <v>913</v>
      </c>
      <c r="R181" s="10">
        <v>352.66</v>
      </c>
      <c r="S181" s="10">
        <v>411.18</v>
      </c>
      <c r="T181" s="8">
        <v>0.17299999999999999</v>
      </c>
      <c r="U181" s="12">
        <f t="shared" si="49"/>
        <v>0</v>
      </c>
      <c r="V181" s="6">
        <v>13</v>
      </c>
      <c r="W181" t="str">
        <f t="shared" si="39"/>
        <v>ok</v>
      </c>
      <c r="X181">
        <f t="shared" si="40"/>
        <v>22</v>
      </c>
      <c r="Y181">
        <f t="shared" si="50"/>
        <v>22</v>
      </c>
      <c r="Z181" s="10">
        <f t="shared" si="51"/>
        <v>4420.5961799999995</v>
      </c>
      <c r="AA181" s="10">
        <f t="shared" si="52"/>
        <v>4584.58</v>
      </c>
      <c r="AB181" s="10">
        <f t="shared" si="53"/>
        <v>-163.98382000000038</v>
      </c>
      <c r="AC181" s="10">
        <f t="shared" si="41"/>
        <v>606.37750000000005</v>
      </c>
      <c r="AD181" s="10">
        <f t="shared" si="42"/>
        <v>1193.865</v>
      </c>
      <c r="AE181" s="10">
        <f t="shared" si="43"/>
        <v>1912.0450000000001</v>
      </c>
      <c r="AF181" s="10" t="str">
        <f t="shared" si="44"/>
        <v>Low</v>
      </c>
      <c r="AG181" s="6">
        <f t="shared" si="54"/>
        <v>-3.7095408248758066E-2</v>
      </c>
      <c r="AH181" s="4">
        <f t="shared" si="55"/>
        <v>44955</v>
      </c>
      <c r="AI181" t="str">
        <f t="shared" si="56"/>
        <v>Jan-2023</v>
      </c>
    </row>
    <row r="182" spans="1:35" x14ac:dyDescent="0.25">
      <c r="A182" t="s">
        <v>195</v>
      </c>
      <c r="B182" s="4">
        <v>45915</v>
      </c>
      <c r="C182" s="4" t="str">
        <f t="shared" si="45"/>
        <v>Q3-2025</v>
      </c>
      <c r="D182" s="4" t="str">
        <f t="shared" si="46"/>
        <v>Sept-2025</v>
      </c>
      <c r="E182" s="4">
        <v>45918</v>
      </c>
      <c r="F182" s="12">
        <f t="shared" si="47"/>
        <v>3</v>
      </c>
      <c r="G182" s="12">
        <f t="shared" si="38"/>
        <v>1</v>
      </c>
      <c r="H182" s="4">
        <f t="shared" si="48"/>
        <v>45918</v>
      </c>
      <c r="I182" t="s">
        <v>648</v>
      </c>
      <c r="J182" t="s">
        <v>655</v>
      </c>
      <c r="K182" t="s">
        <v>692</v>
      </c>
      <c r="L182" t="s">
        <v>703</v>
      </c>
      <c r="M182" t="s">
        <v>711</v>
      </c>
      <c r="N182" t="s">
        <v>716</v>
      </c>
      <c r="O182" t="s">
        <v>733</v>
      </c>
      <c r="P182" t="str" cm="1">
        <f t="array" ref="P182">_xlfn.IFS(S182&lt;=PERCENTILE($S$2:$S$1000, 0.33), "Low", S182&lt;=PERCENTILE($S$2:$S$1000, 0.66), "Medium", TRUE, "High")</f>
        <v>Low</v>
      </c>
      <c r="Q182" t="s">
        <v>914</v>
      </c>
      <c r="R182" s="10">
        <v>5.5</v>
      </c>
      <c r="S182" s="10">
        <v>5.92</v>
      </c>
      <c r="T182" s="8">
        <v>0.21199999999999999</v>
      </c>
      <c r="U182" s="12">
        <f t="shared" si="49"/>
        <v>1</v>
      </c>
      <c r="V182" s="6">
        <v>4</v>
      </c>
      <c r="W182" t="str">
        <f t="shared" si="39"/>
        <v>ok</v>
      </c>
      <c r="X182">
        <f t="shared" si="40"/>
        <v>3</v>
      </c>
      <c r="Y182">
        <f t="shared" si="50"/>
        <v>3</v>
      </c>
      <c r="Z182" s="10">
        <f t="shared" si="51"/>
        <v>18.659839999999999</v>
      </c>
      <c r="AA182" s="10">
        <f t="shared" si="52"/>
        <v>22</v>
      </c>
      <c r="AB182" s="10">
        <f t="shared" si="53"/>
        <v>-3.3401600000000009</v>
      </c>
      <c r="AC182" s="10">
        <f t="shared" si="41"/>
        <v>606.37750000000005</v>
      </c>
      <c r="AD182" s="10">
        <f t="shared" si="42"/>
        <v>1193.865</v>
      </c>
      <c r="AE182" s="10">
        <f t="shared" si="43"/>
        <v>1912.0450000000001</v>
      </c>
      <c r="AF182" s="10" t="str">
        <f t="shared" si="44"/>
        <v>Low</v>
      </c>
      <c r="AG182" s="6">
        <f t="shared" si="54"/>
        <v>-0.17900260666758133</v>
      </c>
      <c r="AH182" s="4">
        <f t="shared" si="55"/>
        <v>44946</v>
      </c>
      <c r="AI182" t="str">
        <f t="shared" si="56"/>
        <v>Jan-2023</v>
      </c>
    </row>
    <row r="183" spans="1:35" x14ac:dyDescent="0.25">
      <c r="A183" t="s">
        <v>196</v>
      </c>
      <c r="B183" s="4">
        <v>45568</v>
      </c>
      <c r="C183" s="4" t="str">
        <f t="shared" si="45"/>
        <v>Q4-2024</v>
      </c>
      <c r="D183" s="4" t="str">
        <f t="shared" si="46"/>
        <v>Oct-2024</v>
      </c>
      <c r="E183" s="4">
        <v>45576</v>
      </c>
      <c r="F183" s="12">
        <f t="shared" si="47"/>
        <v>8</v>
      </c>
      <c r="G183" s="12">
        <f t="shared" si="38"/>
        <v>0</v>
      </c>
      <c r="H183" s="4">
        <f t="shared" si="48"/>
        <v>45576</v>
      </c>
      <c r="I183" t="s">
        <v>647</v>
      </c>
      <c r="J183" t="s">
        <v>659</v>
      </c>
      <c r="K183" t="s">
        <v>699</v>
      </c>
      <c r="L183" t="s">
        <v>706</v>
      </c>
      <c r="M183" t="s">
        <v>711</v>
      </c>
      <c r="N183" t="s">
        <v>717</v>
      </c>
      <c r="O183" t="s">
        <v>730</v>
      </c>
      <c r="P183" t="str" cm="1">
        <f t="array" ref="P183">_xlfn.IFS(S183&lt;=PERCENTILE($S$2:$S$1000, 0.33), "Low", S183&lt;=PERCENTILE($S$2:$S$1000, 0.66), "Medium", TRUE, "High")</f>
        <v>High</v>
      </c>
      <c r="Q183" t="s">
        <v>915</v>
      </c>
      <c r="R183" s="10">
        <v>1132.6099999999999</v>
      </c>
      <c r="S183" s="10">
        <v>2206.63</v>
      </c>
      <c r="T183" s="8">
        <v>6.3E-2</v>
      </c>
      <c r="U183" s="12">
        <f t="shared" si="49"/>
        <v>0</v>
      </c>
      <c r="V183" s="6">
        <v>20</v>
      </c>
      <c r="W183" t="str">
        <f t="shared" si="39"/>
        <v>ok</v>
      </c>
      <c r="X183">
        <f t="shared" si="40"/>
        <v>8</v>
      </c>
      <c r="Y183">
        <f t="shared" si="50"/>
        <v>8</v>
      </c>
      <c r="Z183" s="10">
        <f t="shared" si="51"/>
        <v>41352.246200000009</v>
      </c>
      <c r="AA183" s="10">
        <f t="shared" si="52"/>
        <v>22652.199999999997</v>
      </c>
      <c r="AB183" s="10">
        <f t="shared" si="53"/>
        <v>18700.046200000012</v>
      </c>
      <c r="AC183" s="10">
        <f t="shared" si="41"/>
        <v>606.37750000000005</v>
      </c>
      <c r="AD183" s="10">
        <f t="shared" si="42"/>
        <v>1193.865</v>
      </c>
      <c r="AE183" s="10">
        <f t="shared" si="43"/>
        <v>1912.0450000000001</v>
      </c>
      <c r="AF183" s="10" t="str">
        <f t="shared" si="44"/>
        <v>Low</v>
      </c>
      <c r="AG183" s="6">
        <f t="shared" si="54"/>
        <v>0.45221355351671338</v>
      </c>
      <c r="AH183" s="4">
        <f t="shared" si="55"/>
        <v>44936</v>
      </c>
      <c r="AI183" t="str">
        <f t="shared" si="56"/>
        <v>Jan-2023</v>
      </c>
    </row>
    <row r="184" spans="1:35" x14ac:dyDescent="0.25">
      <c r="A184" t="s">
        <v>197</v>
      </c>
      <c r="B184" s="4">
        <v>45690</v>
      </c>
      <c r="C184" s="4" t="str">
        <f t="shared" si="45"/>
        <v>Q1-2025</v>
      </c>
      <c r="D184" s="4" t="str">
        <f t="shared" si="46"/>
        <v>Feb-2025</v>
      </c>
      <c r="E184" s="4">
        <v>45720</v>
      </c>
      <c r="F184" s="12">
        <f t="shared" si="47"/>
        <v>30</v>
      </c>
      <c r="G184" s="12">
        <f t="shared" si="38"/>
        <v>0</v>
      </c>
      <c r="H184" s="4">
        <f t="shared" si="48"/>
        <v>45720</v>
      </c>
      <c r="I184" t="s">
        <v>647</v>
      </c>
      <c r="J184" t="s">
        <v>652</v>
      </c>
      <c r="K184" t="s">
        <v>666</v>
      </c>
      <c r="L184" t="s">
        <v>702</v>
      </c>
      <c r="M184" t="s">
        <v>710</v>
      </c>
      <c r="N184" t="s">
        <v>716</v>
      </c>
      <c r="O184" t="s">
        <v>733</v>
      </c>
      <c r="P184" t="str" cm="1">
        <f t="array" ref="P184">_xlfn.IFS(S184&lt;=PERCENTILE($S$2:$S$1000, 0.33), "Low", S184&lt;=PERCENTILE($S$2:$S$1000, 0.66), "Medium", TRUE, "High")</f>
        <v>High</v>
      </c>
      <c r="Q184" t="s">
        <v>916</v>
      </c>
      <c r="R184" s="10">
        <v>766.59</v>
      </c>
      <c r="S184" s="10">
        <v>1912.8</v>
      </c>
      <c r="T184" s="8">
        <v>0.19600000000000001</v>
      </c>
      <c r="U184" s="12">
        <f t="shared" si="49"/>
        <v>0</v>
      </c>
      <c r="V184" s="6">
        <v>5</v>
      </c>
      <c r="W184" t="str">
        <f t="shared" si="39"/>
        <v>ok</v>
      </c>
      <c r="X184">
        <f t="shared" si="40"/>
        <v>30</v>
      </c>
      <c r="Y184">
        <f t="shared" si="50"/>
        <v>30</v>
      </c>
      <c r="Z184" s="10">
        <f t="shared" si="51"/>
        <v>7689.4560000000001</v>
      </c>
      <c r="AA184" s="10">
        <f t="shared" si="52"/>
        <v>3832.9500000000003</v>
      </c>
      <c r="AB184" s="10">
        <f t="shared" si="53"/>
        <v>3856.5059999999999</v>
      </c>
      <c r="AC184" s="10">
        <f t="shared" si="41"/>
        <v>606.37750000000005</v>
      </c>
      <c r="AD184" s="10">
        <f t="shared" si="42"/>
        <v>1193.865</v>
      </c>
      <c r="AE184" s="10">
        <f t="shared" si="43"/>
        <v>1912.0450000000001</v>
      </c>
      <c r="AF184" s="10" t="str">
        <f t="shared" si="44"/>
        <v>High</v>
      </c>
      <c r="AG184" s="6">
        <f t="shared" si="54"/>
        <v>0.50153170783472845</v>
      </c>
      <c r="AH184" s="4">
        <f t="shared" si="55"/>
        <v>44948</v>
      </c>
      <c r="AI184" t="str">
        <f t="shared" si="56"/>
        <v>Jan-2023</v>
      </c>
    </row>
    <row r="185" spans="1:35" x14ac:dyDescent="0.25">
      <c r="A185" t="s">
        <v>198</v>
      </c>
      <c r="B185" s="4">
        <v>45157</v>
      </c>
      <c r="C185" s="4" t="str">
        <f t="shared" si="45"/>
        <v>Q3-2023</v>
      </c>
      <c r="D185" s="4" t="str">
        <f t="shared" si="46"/>
        <v>Aug-2023</v>
      </c>
      <c r="E185" s="4">
        <v>45161</v>
      </c>
      <c r="F185" s="12">
        <f t="shared" si="47"/>
        <v>4</v>
      </c>
      <c r="G185" s="12">
        <f t="shared" si="38"/>
        <v>1</v>
      </c>
      <c r="H185" s="4">
        <f t="shared" si="48"/>
        <v>45161</v>
      </c>
      <c r="I185" t="s">
        <v>646</v>
      </c>
      <c r="J185" t="s">
        <v>651</v>
      </c>
      <c r="K185" t="s">
        <v>669</v>
      </c>
      <c r="L185" t="s">
        <v>705</v>
      </c>
      <c r="M185" t="s">
        <v>708</v>
      </c>
      <c r="N185" t="s">
        <v>713</v>
      </c>
      <c r="O185" t="s">
        <v>732</v>
      </c>
      <c r="P185" t="str" cm="1">
        <f t="array" ref="P185">_xlfn.IFS(S185&lt;=PERCENTILE($S$2:$S$1000, 0.33), "Low", S185&lt;=PERCENTILE($S$2:$S$1000, 0.66), "Medium", TRUE, "High")</f>
        <v>Medium</v>
      </c>
      <c r="Q185" t="s">
        <v>917</v>
      </c>
      <c r="R185" s="10">
        <v>790.63</v>
      </c>
      <c r="S185" s="10">
        <v>1382.31</v>
      </c>
      <c r="T185" s="8">
        <v>0.10100000000000001</v>
      </c>
      <c r="U185" s="12">
        <f t="shared" si="49"/>
        <v>0</v>
      </c>
      <c r="V185" s="6">
        <v>7</v>
      </c>
      <c r="W185" t="str">
        <f t="shared" si="39"/>
        <v>ok</v>
      </c>
      <c r="X185">
        <f t="shared" si="40"/>
        <v>4</v>
      </c>
      <c r="Y185">
        <f t="shared" si="50"/>
        <v>4</v>
      </c>
      <c r="Z185" s="10">
        <f t="shared" si="51"/>
        <v>8698.8768300000011</v>
      </c>
      <c r="AA185" s="10">
        <f t="shared" si="52"/>
        <v>5534.41</v>
      </c>
      <c r="AB185" s="10">
        <f t="shared" si="53"/>
        <v>3164.4668300000012</v>
      </c>
      <c r="AC185" s="10">
        <f t="shared" si="41"/>
        <v>606.37750000000005</v>
      </c>
      <c r="AD185" s="10">
        <f t="shared" si="42"/>
        <v>1193.865</v>
      </c>
      <c r="AE185" s="10">
        <f t="shared" si="43"/>
        <v>1912.0450000000001</v>
      </c>
      <c r="AF185" s="10" t="str">
        <f t="shared" si="44"/>
        <v>High</v>
      </c>
      <c r="AG185" s="6">
        <f t="shared" si="54"/>
        <v>0.36377878338116448</v>
      </c>
      <c r="AH185" s="4">
        <f t="shared" si="55"/>
        <v>44955</v>
      </c>
      <c r="AI185" t="str">
        <f t="shared" si="56"/>
        <v>Jan-2023</v>
      </c>
    </row>
    <row r="186" spans="1:35" x14ac:dyDescent="0.25">
      <c r="A186" t="s">
        <v>199</v>
      </c>
      <c r="B186" s="4">
        <v>45587</v>
      </c>
      <c r="C186" s="4" t="str">
        <f t="shared" si="45"/>
        <v>Q4-2024</v>
      </c>
      <c r="D186" s="4" t="str">
        <f t="shared" si="46"/>
        <v>Oct-2024</v>
      </c>
      <c r="E186" s="4">
        <v>45594</v>
      </c>
      <c r="F186" s="12">
        <f t="shared" si="47"/>
        <v>7</v>
      </c>
      <c r="G186" s="12">
        <f t="shared" si="38"/>
        <v>1</v>
      </c>
      <c r="H186" s="4">
        <f t="shared" si="48"/>
        <v>45594</v>
      </c>
      <c r="I186" t="s">
        <v>646</v>
      </c>
      <c r="J186" t="s">
        <v>651</v>
      </c>
      <c r="K186" t="s">
        <v>663</v>
      </c>
      <c r="L186" t="s">
        <v>706</v>
      </c>
      <c r="M186" t="s">
        <v>710</v>
      </c>
      <c r="N186" t="s">
        <v>724</v>
      </c>
      <c r="O186" t="s">
        <v>732</v>
      </c>
      <c r="P186" t="str" cm="1">
        <f t="array" ref="P186">_xlfn.IFS(S186&lt;=PERCENTILE($S$2:$S$1000, 0.33), "Low", S186&lt;=PERCENTILE($S$2:$S$1000, 0.66), "Medium", TRUE, "High")</f>
        <v>Medium</v>
      </c>
      <c r="Q186" t="s">
        <v>918</v>
      </c>
      <c r="R186" s="10">
        <v>1023.06</v>
      </c>
      <c r="S186" s="10">
        <v>1355.61</v>
      </c>
      <c r="T186" s="8">
        <v>0.153</v>
      </c>
      <c r="U186" s="12">
        <f t="shared" si="49"/>
        <v>0</v>
      </c>
      <c r="V186" s="6">
        <v>23</v>
      </c>
      <c r="W186" t="str">
        <f t="shared" si="39"/>
        <v>ok</v>
      </c>
      <c r="X186">
        <f t="shared" si="40"/>
        <v>7</v>
      </c>
      <c r="Y186">
        <f t="shared" si="50"/>
        <v>7</v>
      </c>
      <c r="Z186" s="10">
        <f t="shared" si="51"/>
        <v>26408.63841</v>
      </c>
      <c r="AA186" s="10">
        <f t="shared" si="52"/>
        <v>23530.379999999997</v>
      </c>
      <c r="AB186" s="10">
        <f t="shared" si="53"/>
        <v>2878.2584100000022</v>
      </c>
      <c r="AC186" s="10">
        <f t="shared" si="41"/>
        <v>606.37750000000005</v>
      </c>
      <c r="AD186" s="10">
        <f t="shared" si="42"/>
        <v>1193.865</v>
      </c>
      <c r="AE186" s="10">
        <f t="shared" si="43"/>
        <v>1912.0450000000001</v>
      </c>
      <c r="AF186" s="10" t="str">
        <f t="shared" si="44"/>
        <v>Medium</v>
      </c>
      <c r="AG186" s="6">
        <f t="shared" si="54"/>
        <v>0.10898927711888809</v>
      </c>
      <c r="AH186" s="4">
        <f t="shared" si="55"/>
        <v>44955</v>
      </c>
      <c r="AI186" t="str">
        <f t="shared" si="56"/>
        <v>Jan-2023</v>
      </c>
    </row>
    <row r="187" spans="1:35" x14ac:dyDescent="0.25">
      <c r="A187" t="s">
        <v>200</v>
      </c>
      <c r="B187" s="4">
        <v>45099</v>
      </c>
      <c r="C187" s="4" t="str">
        <f t="shared" si="45"/>
        <v>Q2-2023</v>
      </c>
      <c r="D187" s="4" t="str">
        <f t="shared" si="46"/>
        <v>Jun-2023</v>
      </c>
      <c r="E187" s="4">
        <v>45128</v>
      </c>
      <c r="F187" s="12">
        <f t="shared" si="47"/>
        <v>29</v>
      </c>
      <c r="G187" s="12">
        <f t="shared" si="38"/>
        <v>0</v>
      </c>
      <c r="H187" s="4">
        <f t="shared" si="48"/>
        <v>45128</v>
      </c>
      <c r="I187" t="s">
        <v>649</v>
      </c>
      <c r="J187" t="s">
        <v>657</v>
      </c>
      <c r="K187" t="s">
        <v>679</v>
      </c>
      <c r="L187" t="s">
        <v>701</v>
      </c>
      <c r="M187" t="s">
        <v>707</v>
      </c>
      <c r="N187" t="s">
        <v>713</v>
      </c>
      <c r="O187" t="s">
        <v>733</v>
      </c>
      <c r="P187" t="str" cm="1">
        <f t="array" ref="P187">_xlfn.IFS(S187&lt;=PERCENTILE($S$2:$S$1000, 0.33), "Low", S187&lt;=PERCENTILE($S$2:$S$1000, 0.66), "Medium", TRUE, "High")</f>
        <v>Medium</v>
      </c>
      <c r="Q187" t="s">
        <v>919</v>
      </c>
      <c r="R187" s="10">
        <v>734.34</v>
      </c>
      <c r="S187" s="10">
        <v>887.9</v>
      </c>
      <c r="T187" s="8">
        <v>2.5000000000000001E-2</v>
      </c>
      <c r="U187" s="12">
        <f t="shared" si="49"/>
        <v>0</v>
      </c>
      <c r="V187" s="6">
        <v>12</v>
      </c>
      <c r="W187" t="str">
        <f t="shared" si="39"/>
        <v>ok</v>
      </c>
      <c r="X187">
        <f t="shared" si="40"/>
        <v>29</v>
      </c>
      <c r="Y187">
        <f t="shared" si="50"/>
        <v>29</v>
      </c>
      <c r="Z187" s="10">
        <f t="shared" si="51"/>
        <v>10388.429999999998</v>
      </c>
      <c r="AA187" s="10">
        <f t="shared" si="52"/>
        <v>8812.08</v>
      </c>
      <c r="AB187" s="10">
        <f t="shared" si="53"/>
        <v>1576.3499999999985</v>
      </c>
      <c r="AC187" s="10">
        <f t="shared" si="41"/>
        <v>606.37750000000005</v>
      </c>
      <c r="AD187" s="10">
        <f t="shared" si="42"/>
        <v>1193.865</v>
      </c>
      <c r="AE187" s="10">
        <f t="shared" si="43"/>
        <v>1912.0450000000001</v>
      </c>
      <c r="AF187" s="10" t="str">
        <f t="shared" si="44"/>
        <v>Medium</v>
      </c>
      <c r="AG187" s="6">
        <f t="shared" si="54"/>
        <v>0.15174092716608753</v>
      </c>
      <c r="AH187" s="4">
        <f t="shared" si="55"/>
        <v>44948</v>
      </c>
      <c r="AI187" t="str">
        <f t="shared" si="56"/>
        <v>Jan-2023</v>
      </c>
    </row>
    <row r="188" spans="1:35" x14ac:dyDescent="0.25">
      <c r="A188" t="s">
        <v>201</v>
      </c>
      <c r="B188" s="4">
        <v>45670</v>
      </c>
      <c r="C188" s="4" t="str">
        <f t="shared" si="45"/>
        <v>Q1-2025</v>
      </c>
      <c r="D188" s="4" t="str">
        <f t="shared" si="46"/>
        <v>Jan-2025</v>
      </c>
      <c r="E188" s="4">
        <v>45696</v>
      </c>
      <c r="F188" s="12">
        <f t="shared" si="47"/>
        <v>26</v>
      </c>
      <c r="G188" s="12">
        <f t="shared" si="38"/>
        <v>0</v>
      </c>
      <c r="H188" s="4">
        <f t="shared" si="48"/>
        <v>45696</v>
      </c>
      <c r="I188" t="s">
        <v>649</v>
      </c>
      <c r="J188" t="s">
        <v>657</v>
      </c>
      <c r="K188" t="s">
        <v>690</v>
      </c>
      <c r="L188" t="s">
        <v>703</v>
      </c>
      <c r="M188" t="s">
        <v>1418</v>
      </c>
      <c r="N188" t="s">
        <v>718</v>
      </c>
      <c r="O188" t="s">
        <v>732</v>
      </c>
      <c r="P188" t="str" cm="1">
        <f t="array" ref="P188">_xlfn.IFS(S188&lt;=PERCENTILE($S$2:$S$1000, 0.33), "Low", S188&lt;=PERCENTILE($S$2:$S$1000, 0.66), "Medium", TRUE, "High")</f>
        <v>Medium</v>
      </c>
      <c r="Q188" t="s">
        <v>920</v>
      </c>
      <c r="R188" s="10">
        <v>594.74</v>
      </c>
      <c r="S188" s="10">
        <v>1020.69</v>
      </c>
      <c r="T188" s="8">
        <v>0.21099999999999999</v>
      </c>
      <c r="U188" s="12">
        <f t="shared" si="49"/>
        <v>1</v>
      </c>
      <c r="V188" s="6">
        <v>6</v>
      </c>
      <c r="W188" t="str">
        <f t="shared" si="39"/>
        <v>ok</v>
      </c>
      <c r="X188">
        <f t="shared" si="40"/>
        <v>26</v>
      </c>
      <c r="Y188">
        <f t="shared" si="50"/>
        <v>26</v>
      </c>
      <c r="Z188" s="10">
        <f t="shared" si="51"/>
        <v>4831.9464600000001</v>
      </c>
      <c r="AA188" s="10">
        <f t="shared" si="52"/>
        <v>3568.44</v>
      </c>
      <c r="AB188" s="10">
        <f t="shared" si="53"/>
        <v>1263.5064600000001</v>
      </c>
      <c r="AC188" s="10">
        <f t="shared" si="41"/>
        <v>606.37750000000005</v>
      </c>
      <c r="AD188" s="10">
        <f t="shared" si="42"/>
        <v>1193.865</v>
      </c>
      <c r="AE188" s="10">
        <f t="shared" si="43"/>
        <v>1912.0450000000001</v>
      </c>
      <c r="AF188" s="10" t="str">
        <f t="shared" si="44"/>
        <v>Medium</v>
      </c>
      <c r="AG188" s="6">
        <f t="shared" si="54"/>
        <v>0.26149016146176424</v>
      </c>
      <c r="AH188" s="4">
        <f t="shared" si="55"/>
        <v>44936</v>
      </c>
      <c r="AI188" t="str">
        <f t="shared" si="56"/>
        <v>Jan-2023</v>
      </c>
    </row>
    <row r="189" spans="1:35" x14ac:dyDescent="0.25">
      <c r="A189" t="s">
        <v>144</v>
      </c>
      <c r="B189" s="4">
        <v>44955</v>
      </c>
      <c r="C189" s="4" t="str">
        <f t="shared" si="45"/>
        <v>Q1-2023</v>
      </c>
      <c r="D189" s="4" t="str">
        <f t="shared" si="46"/>
        <v>Jan-2023</v>
      </c>
      <c r="E189" s="4">
        <v>44985</v>
      </c>
      <c r="F189" s="12">
        <f t="shared" si="47"/>
        <v>30</v>
      </c>
      <c r="G189" s="12">
        <f t="shared" si="38"/>
        <v>0</v>
      </c>
      <c r="H189" s="4">
        <f t="shared" si="48"/>
        <v>44985</v>
      </c>
      <c r="I189" t="s">
        <v>647</v>
      </c>
      <c r="J189" t="s">
        <v>654</v>
      </c>
      <c r="K189" t="s">
        <v>668</v>
      </c>
      <c r="L189" t="s">
        <v>703</v>
      </c>
      <c r="M189" t="s">
        <v>707</v>
      </c>
      <c r="N189" t="s">
        <v>717</v>
      </c>
      <c r="O189" t="s">
        <v>733</v>
      </c>
      <c r="P189" t="str" cm="1">
        <f t="array" ref="P189">_xlfn.IFS(S189&lt;=PERCENTILE($S$2:$S$1000, 0.33), "Low", S189&lt;=PERCENTILE($S$2:$S$1000, 0.66), "Medium", TRUE, "High")</f>
        <v>Medium</v>
      </c>
      <c r="Q189" t="s">
        <v>921</v>
      </c>
      <c r="R189" s="10">
        <v>1262.0999999999999</v>
      </c>
      <c r="S189" s="10">
        <v>1395.53</v>
      </c>
      <c r="T189" s="8">
        <v>0.23300000000000001</v>
      </c>
      <c r="U189" s="12">
        <f t="shared" si="49"/>
        <v>1</v>
      </c>
      <c r="V189" s="6">
        <v>25</v>
      </c>
      <c r="W189" t="str">
        <f t="shared" si="39"/>
        <v>ok</v>
      </c>
      <c r="X189">
        <f t="shared" si="40"/>
        <v>30</v>
      </c>
      <c r="Y189">
        <f t="shared" si="50"/>
        <v>30</v>
      </c>
      <c r="Z189" s="10">
        <f t="shared" si="51"/>
        <v>26759.28775</v>
      </c>
      <c r="AA189" s="10">
        <f t="shared" si="52"/>
        <v>31552.499999999996</v>
      </c>
      <c r="AB189" s="10">
        <f t="shared" si="53"/>
        <v>-4793.2122499999969</v>
      </c>
      <c r="AC189" s="10">
        <f t="shared" si="41"/>
        <v>606.37750000000005</v>
      </c>
      <c r="AD189" s="10">
        <f t="shared" si="42"/>
        <v>1193.865</v>
      </c>
      <c r="AE189" s="10">
        <f t="shared" si="43"/>
        <v>1912.0450000000001</v>
      </c>
      <c r="AF189" s="10" t="str">
        <f t="shared" si="44"/>
        <v>Medium</v>
      </c>
      <c r="AG189" s="6">
        <f t="shared" si="54"/>
        <v>-0.17912331205452198</v>
      </c>
      <c r="AH189" s="4">
        <f t="shared" si="55"/>
        <v>44946</v>
      </c>
      <c r="AI189" t="str">
        <f t="shared" si="56"/>
        <v>Jan-2023</v>
      </c>
    </row>
    <row r="190" spans="1:35" x14ac:dyDescent="0.25">
      <c r="A190" t="s">
        <v>202</v>
      </c>
      <c r="B190" s="4">
        <v>45126</v>
      </c>
      <c r="C190" s="4" t="str">
        <f t="shared" si="45"/>
        <v>Q3-2023</v>
      </c>
      <c r="D190" s="4" t="str">
        <f t="shared" si="46"/>
        <v>Jul-2023</v>
      </c>
      <c r="E190" s="4">
        <v>45138</v>
      </c>
      <c r="F190" s="12">
        <f t="shared" si="47"/>
        <v>12</v>
      </c>
      <c r="G190" s="12">
        <f t="shared" si="38"/>
        <v>0</v>
      </c>
      <c r="H190" s="4">
        <f t="shared" si="48"/>
        <v>45138</v>
      </c>
      <c r="I190" t="s">
        <v>648</v>
      </c>
      <c r="J190" t="s">
        <v>655</v>
      </c>
      <c r="K190" t="s">
        <v>692</v>
      </c>
      <c r="L190" t="s">
        <v>701</v>
      </c>
      <c r="M190" t="s">
        <v>707</v>
      </c>
      <c r="N190" t="s">
        <v>712</v>
      </c>
      <c r="O190" t="s">
        <v>732</v>
      </c>
      <c r="P190" t="str" cm="1">
        <f t="array" ref="P190">_xlfn.IFS(S190&lt;=PERCENTILE($S$2:$S$1000, 0.33), "Low", S190&lt;=PERCENTILE($S$2:$S$1000, 0.66), "Medium", TRUE, "High")</f>
        <v>High</v>
      </c>
      <c r="Q190" t="s">
        <v>922</v>
      </c>
      <c r="R190" s="10">
        <v>1334.64</v>
      </c>
      <c r="S190" s="10">
        <v>2273.42</v>
      </c>
      <c r="T190" s="8">
        <v>0.11799999999999999</v>
      </c>
      <c r="U190" s="12">
        <f t="shared" si="49"/>
        <v>0</v>
      </c>
      <c r="V190" s="6">
        <v>14</v>
      </c>
      <c r="W190" t="str">
        <f t="shared" si="39"/>
        <v>ok</v>
      </c>
      <c r="X190">
        <f t="shared" si="40"/>
        <v>12</v>
      </c>
      <c r="Y190">
        <f t="shared" si="50"/>
        <v>12</v>
      </c>
      <c r="Z190" s="10">
        <f t="shared" si="51"/>
        <v>28072.190160000002</v>
      </c>
      <c r="AA190" s="10">
        <f t="shared" si="52"/>
        <v>18684.960000000003</v>
      </c>
      <c r="AB190" s="10">
        <f t="shared" si="53"/>
        <v>9387.2301599999992</v>
      </c>
      <c r="AC190" s="10">
        <f t="shared" si="41"/>
        <v>606.37750000000005</v>
      </c>
      <c r="AD190" s="10">
        <f t="shared" si="42"/>
        <v>1193.865</v>
      </c>
      <c r="AE190" s="10">
        <f t="shared" si="43"/>
        <v>1912.0450000000001</v>
      </c>
      <c r="AF190" s="10" t="str">
        <f t="shared" si="44"/>
        <v>Medium</v>
      </c>
      <c r="AG190" s="6">
        <f t="shared" si="54"/>
        <v>0.33439607335575267</v>
      </c>
      <c r="AH190" s="4">
        <f t="shared" si="55"/>
        <v>44936</v>
      </c>
      <c r="AI190" t="str">
        <f t="shared" si="56"/>
        <v>Jan-2023</v>
      </c>
    </row>
    <row r="191" spans="1:35" x14ac:dyDescent="0.25">
      <c r="A191" t="s">
        <v>203</v>
      </c>
      <c r="B191" s="4">
        <v>45431</v>
      </c>
      <c r="C191" s="4" t="str">
        <f t="shared" si="45"/>
        <v>Q2-2024</v>
      </c>
      <c r="D191" s="4" t="str">
        <f t="shared" si="46"/>
        <v>May-2024</v>
      </c>
      <c r="E191" s="4">
        <v>45451</v>
      </c>
      <c r="F191" s="12">
        <f t="shared" si="47"/>
        <v>20</v>
      </c>
      <c r="G191" s="12">
        <f t="shared" si="38"/>
        <v>0</v>
      </c>
      <c r="H191" s="4">
        <f t="shared" si="48"/>
        <v>45451</v>
      </c>
      <c r="I191" t="s">
        <v>648</v>
      </c>
      <c r="J191" t="s">
        <v>655</v>
      </c>
      <c r="K191" t="s">
        <v>672</v>
      </c>
      <c r="L191" t="s">
        <v>705</v>
      </c>
      <c r="M191" t="s">
        <v>707</v>
      </c>
      <c r="N191" t="s">
        <v>718</v>
      </c>
      <c r="O191" t="s">
        <v>732</v>
      </c>
      <c r="P191" t="str" cm="1">
        <f t="array" ref="P191">_xlfn.IFS(S191&lt;=PERCENTILE($S$2:$S$1000, 0.33), "Low", S191&lt;=PERCENTILE($S$2:$S$1000, 0.66), "Medium", TRUE, "High")</f>
        <v>Medium</v>
      </c>
      <c r="Q191" t="s">
        <v>923</v>
      </c>
      <c r="R191" s="10">
        <v>1075.9000000000001</v>
      </c>
      <c r="S191" s="10">
        <v>1242.1500000000001</v>
      </c>
      <c r="T191" s="8">
        <v>1.2E-2</v>
      </c>
      <c r="U191" s="12">
        <f t="shared" si="49"/>
        <v>0</v>
      </c>
      <c r="V191" s="6">
        <v>7</v>
      </c>
      <c r="W191" t="str">
        <f t="shared" si="39"/>
        <v>ok</v>
      </c>
      <c r="X191">
        <f t="shared" si="40"/>
        <v>20</v>
      </c>
      <c r="Y191">
        <f t="shared" si="50"/>
        <v>20</v>
      </c>
      <c r="Z191" s="10">
        <f t="shared" si="51"/>
        <v>8590.7094000000016</v>
      </c>
      <c r="AA191" s="10">
        <f t="shared" si="52"/>
        <v>7531.3000000000011</v>
      </c>
      <c r="AB191" s="10">
        <f t="shared" si="53"/>
        <v>1059.4094000000005</v>
      </c>
      <c r="AC191" s="10">
        <f t="shared" si="41"/>
        <v>606.37750000000005</v>
      </c>
      <c r="AD191" s="10">
        <f t="shared" si="42"/>
        <v>1193.865</v>
      </c>
      <c r="AE191" s="10">
        <f t="shared" si="43"/>
        <v>1912.0450000000001</v>
      </c>
      <c r="AF191" s="10" t="str">
        <f t="shared" si="44"/>
        <v>High</v>
      </c>
      <c r="AG191" s="6">
        <f t="shared" si="54"/>
        <v>0.12332036280961853</v>
      </c>
      <c r="AH191" s="4">
        <f t="shared" si="55"/>
        <v>44988</v>
      </c>
      <c r="AI191" t="str">
        <f t="shared" si="56"/>
        <v>Mar-2023</v>
      </c>
    </row>
    <row r="192" spans="1:35" x14ac:dyDescent="0.25">
      <c r="A192" t="s">
        <v>204</v>
      </c>
      <c r="B192" s="4">
        <v>45325</v>
      </c>
      <c r="C192" s="4" t="str">
        <f t="shared" si="45"/>
        <v>Q1-2024</v>
      </c>
      <c r="D192" s="4" t="str">
        <f t="shared" si="46"/>
        <v>Feb-2024</v>
      </c>
      <c r="E192" s="4">
        <v>45341</v>
      </c>
      <c r="F192" s="12">
        <f t="shared" si="47"/>
        <v>16</v>
      </c>
      <c r="G192" s="12">
        <f t="shared" si="38"/>
        <v>0</v>
      </c>
      <c r="H192" s="4">
        <f t="shared" si="48"/>
        <v>45341</v>
      </c>
      <c r="I192" t="s">
        <v>647</v>
      </c>
      <c r="J192" t="s">
        <v>659</v>
      </c>
      <c r="K192" t="s">
        <v>676</v>
      </c>
      <c r="L192" t="s">
        <v>705</v>
      </c>
      <c r="M192" t="s">
        <v>708</v>
      </c>
      <c r="N192" t="s">
        <v>722</v>
      </c>
      <c r="O192" t="s">
        <v>731</v>
      </c>
      <c r="P192" t="str" cm="1">
        <f t="array" ref="P192">_xlfn.IFS(S192&lt;=PERCENTILE($S$2:$S$1000, 0.33), "Low", S192&lt;=PERCENTILE($S$2:$S$1000, 0.66), "Medium", TRUE, "High")</f>
        <v>Medium</v>
      </c>
      <c r="Q192" t="s">
        <v>924</v>
      </c>
      <c r="R192" s="10">
        <v>993.75</v>
      </c>
      <c r="S192" s="10">
        <v>1310.29</v>
      </c>
      <c r="T192" s="8">
        <v>0.215</v>
      </c>
      <c r="U192" s="12">
        <f t="shared" si="49"/>
        <v>1</v>
      </c>
      <c r="V192" s="6">
        <v>19</v>
      </c>
      <c r="W192" t="str">
        <f t="shared" si="39"/>
        <v>ok</v>
      </c>
      <c r="X192">
        <f t="shared" si="40"/>
        <v>16</v>
      </c>
      <c r="Y192">
        <f t="shared" si="50"/>
        <v>16</v>
      </c>
      <c r="Z192" s="10">
        <f t="shared" si="51"/>
        <v>19542.975350000001</v>
      </c>
      <c r="AA192" s="10">
        <f t="shared" si="52"/>
        <v>18881.25</v>
      </c>
      <c r="AB192" s="10">
        <f t="shared" si="53"/>
        <v>661.72535000000062</v>
      </c>
      <c r="AC192" s="10">
        <f t="shared" si="41"/>
        <v>606.37750000000005</v>
      </c>
      <c r="AD192" s="10">
        <f t="shared" si="42"/>
        <v>1193.865</v>
      </c>
      <c r="AE192" s="10">
        <f t="shared" si="43"/>
        <v>1912.0450000000001</v>
      </c>
      <c r="AF192" s="10" t="str">
        <f t="shared" si="44"/>
        <v>Medium</v>
      </c>
      <c r="AG192" s="6">
        <f t="shared" si="54"/>
        <v>3.3860010471742245E-2</v>
      </c>
      <c r="AH192" s="4">
        <f t="shared" si="55"/>
        <v>44936</v>
      </c>
      <c r="AI192" t="str">
        <f t="shared" si="56"/>
        <v>Jan-2023</v>
      </c>
    </row>
    <row r="193" spans="1:35" x14ac:dyDescent="0.25">
      <c r="A193" t="s">
        <v>205</v>
      </c>
      <c r="B193" s="4">
        <v>45146</v>
      </c>
      <c r="C193" s="4" t="str">
        <f t="shared" si="45"/>
        <v>Q3-2023</v>
      </c>
      <c r="D193" s="4" t="str">
        <f t="shared" si="46"/>
        <v>Aug-2023</v>
      </c>
      <c r="E193" s="4">
        <v>45160</v>
      </c>
      <c r="F193" s="12">
        <f t="shared" si="47"/>
        <v>14</v>
      </c>
      <c r="G193" s="12">
        <f t="shared" si="38"/>
        <v>0</v>
      </c>
      <c r="H193" s="4">
        <f t="shared" si="48"/>
        <v>45160</v>
      </c>
      <c r="I193" t="s">
        <v>649</v>
      </c>
      <c r="J193" t="s">
        <v>658</v>
      </c>
      <c r="K193" t="s">
        <v>674</v>
      </c>
      <c r="L193" t="s">
        <v>703</v>
      </c>
      <c r="M193" t="s">
        <v>711</v>
      </c>
      <c r="N193" t="s">
        <v>725</v>
      </c>
      <c r="O193" t="s">
        <v>732</v>
      </c>
      <c r="P193" t="str" cm="1">
        <f t="array" ref="P193">_xlfn.IFS(S193&lt;=PERCENTILE($S$2:$S$1000, 0.33), "Low", S193&lt;=PERCENTILE($S$2:$S$1000, 0.66), "Medium", TRUE, "High")</f>
        <v>Medium</v>
      </c>
      <c r="Q193" t="s">
        <v>925</v>
      </c>
      <c r="R193" s="10">
        <v>446.69</v>
      </c>
      <c r="S193" s="10">
        <v>967.25</v>
      </c>
      <c r="T193" s="8">
        <v>9.4E-2</v>
      </c>
      <c r="U193" s="12">
        <f t="shared" si="49"/>
        <v>0</v>
      </c>
      <c r="V193" s="6">
        <v>10</v>
      </c>
      <c r="W193" t="str">
        <f t="shared" si="39"/>
        <v>ok</v>
      </c>
      <c r="X193">
        <f t="shared" si="40"/>
        <v>14</v>
      </c>
      <c r="Y193">
        <f t="shared" si="50"/>
        <v>14</v>
      </c>
      <c r="Z193" s="10">
        <f t="shared" si="51"/>
        <v>8763.2849999999999</v>
      </c>
      <c r="AA193" s="10">
        <f t="shared" si="52"/>
        <v>4466.8999999999996</v>
      </c>
      <c r="AB193" s="10">
        <f t="shared" si="53"/>
        <v>4296.3850000000002</v>
      </c>
      <c r="AC193" s="10">
        <f t="shared" si="41"/>
        <v>606.37750000000005</v>
      </c>
      <c r="AD193" s="10">
        <f t="shared" si="42"/>
        <v>1193.865</v>
      </c>
      <c r="AE193" s="10">
        <f t="shared" si="43"/>
        <v>1912.0450000000001</v>
      </c>
      <c r="AF193" s="10" t="str">
        <f t="shared" si="44"/>
        <v>Medium</v>
      </c>
      <c r="AG193" s="6">
        <f t="shared" si="54"/>
        <v>0.49027105702941309</v>
      </c>
      <c r="AH193" s="4">
        <f t="shared" si="55"/>
        <v>44955</v>
      </c>
      <c r="AI193" t="str">
        <f t="shared" si="56"/>
        <v>Jan-2023</v>
      </c>
    </row>
    <row r="194" spans="1:35" x14ac:dyDescent="0.25">
      <c r="A194" t="s">
        <v>206</v>
      </c>
      <c r="B194" s="4">
        <v>45516</v>
      </c>
      <c r="C194" s="4" t="str">
        <f t="shared" si="45"/>
        <v>Q3-2024</v>
      </c>
      <c r="D194" s="4" t="str">
        <f t="shared" si="46"/>
        <v>Aug-2024</v>
      </c>
      <c r="E194" s="4">
        <v>45538</v>
      </c>
      <c r="F194" s="12">
        <f t="shared" si="47"/>
        <v>22</v>
      </c>
      <c r="G194" s="12">
        <f t="shared" ref="G194:G257" si="57">IF(F194&lt;=7, 1, 0)</f>
        <v>0</v>
      </c>
      <c r="H194" s="4">
        <f t="shared" si="48"/>
        <v>45538</v>
      </c>
      <c r="I194" t="s">
        <v>648</v>
      </c>
      <c r="J194" t="s">
        <v>660</v>
      </c>
      <c r="K194" t="s">
        <v>697</v>
      </c>
      <c r="L194" t="s">
        <v>704</v>
      </c>
      <c r="M194" t="s">
        <v>710</v>
      </c>
      <c r="N194" t="s">
        <v>714</v>
      </c>
      <c r="O194" t="s">
        <v>731</v>
      </c>
      <c r="P194" t="str" cm="1">
        <f t="array" ref="P194">_xlfn.IFS(S194&lt;=PERCENTILE($S$2:$S$1000, 0.33), "Low", S194&lt;=PERCENTILE($S$2:$S$1000, 0.66), "Medium", TRUE, "High")</f>
        <v>Medium</v>
      </c>
      <c r="Q194" t="s">
        <v>926</v>
      </c>
      <c r="R194" s="10">
        <v>797.8</v>
      </c>
      <c r="S194" s="10">
        <v>886.22</v>
      </c>
      <c r="T194" s="8">
        <v>0.23599999999999999</v>
      </c>
      <c r="U194" s="12">
        <f t="shared" si="49"/>
        <v>1</v>
      </c>
      <c r="V194" s="6">
        <v>36</v>
      </c>
      <c r="W194" t="str">
        <f t="shared" ref="W194:W257" si="58">IF(E194&gt;B194, "ok", "sus")</f>
        <v>ok</v>
      </c>
      <c r="X194">
        <f t="shared" ref="X194:X257" si="59">E194-B194</f>
        <v>22</v>
      </c>
      <c r="Y194">
        <f t="shared" si="50"/>
        <v>22</v>
      </c>
      <c r="Z194" s="10">
        <f t="shared" si="51"/>
        <v>24374.594880000001</v>
      </c>
      <c r="AA194" s="10">
        <f t="shared" si="52"/>
        <v>28720.799999999999</v>
      </c>
      <c r="AB194" s="10">
        <f t="shared" si="53"/>
        <v>-4346.2051199999987</v>
      </c>
      <c r="AC194" s="10">
        <f t="shared" ref="AC194:AC257" si="60">_xlfn.QUARTILE.INC(S:S,1)</f>
        <v>606.37750000000005</v>
      </c>
      <c r="AD194" s="10">
        <f t="shared" ref="AD194:AD257" si="61">_xlfn.QUARTILE.INC(S:S,2)</f>
        <v>1193.865</v>
      </c>
      <c r="AE194" s="10">
        <f t="shared" ref="AE194:AE257" si="62">_xlfn.QUARTILE.INC(S:S,3)</f>
        <v>1912.0450000000001</v>
      </c>
      <c r="AF194" s="10" t="str">
        <f t="shared" ref="AF194:AF257" si="63">IF(S193&lt;=$AC$2,"Low",
 IF(S193&lt;=$AE$3,"Medium",
 "High"))</f>
        <v>Medium</v>
      </c>
      <c r="AG194" s="6">
        <f t="shared" si="54"/>
        <v>-0.17830881462428633</v>
      </c>
      <c r="AH194" s="4">
        <f t="shared" si="55"/>
        <v>44933</v>
      </c>
      <c r="AI194" t="str">
        <f t="shared" si="56"/>
        <v>Jan-2023</v>
      </c>
    </row>
    <row r="195" spans="1:35" x14ac:dyDescent="0.25">
      <c r="A195" t="s">
        <v>207</v>
      </c>
      <c r="B195" s="4">
        <v>45214</v>
      </c>
      <c r="C195" s="4" t="str">
        <f t="shared" ref="C195:C258" si="64">"Q" &amp; ROUNDUP(MONTH(B195)/3,0) &amp; "-" &amp; YEAR(B195)</f>
        <v>Q4-2023</v>
      </c>
      <c r="D195" s="4" t="str">
        <f t="shared" ref="D195:D258" si="65">TEXT(B195,"MMM-YYYY")</f>
        <v>Oct-2023</v>
      </c>
      <c r="E195" s="4">
        <v>45243</v>
      </c>
      <c r="F195" s="12">
        <f t="shared" ref="F195:F258" si="66">H195-B195</f>
        <v>29</v>
      </c>
      <c r="G195" s="12">
        <f t="shared" si="57"/>
        <v>0</v>
      </c>
      <c r="H195" s="4">
        <f t="shared" ref="H195:H258" si="67">IF(E195&lt;B195,B195+14,E195)</f>
        <v>45243</v>
      </c>
      <c r="I195" t="s">
        <v>647</v>
      </c>
      <c r="J195" t="s">
        <v>659</v>
      </c>
      <c r="K195" t="s">
        <v>676</v>
      </c>
      <c r="L195" t="s">
        <v>703</v>
      </c>
      <c r="M195" t="s">
        <v>710</v>
      </c>
      <c r="N195" t="s">
        <v>713</v>
      </c>
      <c r="O195" t="s">
        <v>728</v>
      </c>
      <c r="P195" t="str" cm="1">
        <f t="array" ref="P195">_xlfn.IFS(S195&lt;=PERCENTILE($S$2:$S$1000, 0.33), "Low", S195&lt;=PERCENTILE($S$2:$S$1000, 0.66), "Medium", TRUE, "High")</f>
        <v>Low</v>
      </c>
      <c r="Q195" t="s">
        <v>927</v>
      </c>
      <c r="R195" s="10">
        <v>986.44</v>
      </c>
      <c r="S195" s="10">
        <v>790.61</v>
      </c>
      <c r="T195" s="8">
        <v>7.1999999999999995E-2</v>
      </c>
      <c r="U195" s="12">
        <f t="shared" ref="U195:U258" si="68">IF(T195&gt;0.2,1,0)</f>
        <v>0</v>
      </c>
      <c r="V195" s="6">
        <v>6</v>
      </c>
      <c r="W195" t="str">
        <f t="shared" si="58"/>
        <v>ok</v>
      </c>
      <c r="X195">
        <f t="shared" si="59"/>
        <v>29</v>
      </c>
      <c r="Y195">
        <f t="shared" ref="Y195:Y258" si="69">ABS(X195)</f>
        <v>29</v>
      </c>
      <c r="Z195" s="10">
        <f t="shared" ref="Z195:Z258" si="70">S195*V195*(1-T195)</f>
        <v>4402.1164799999997</v>
      </c>
      <c r="AA195" s="10">
        <f t="shared" ref="AA195:AA258" si="71">R195*V195</f>
        <v>5918.64</v>
      </c>
      <c r="AB195" s="10">
        <f t="shared" ref="AB195:AB258" si="72">Z195-AA195</f>
        <v>-1516.5235200000006</v>
      </c>
      <c r="AC195" s="10">
        <f t="shared" si="60"/>
        <v>606.37750000000005</v>
      </c>
      <c r="AD195" s="10">
        <f t="shared" si="61"/>
        <v>1193.865</v>
      </c>
      <c r="AE195" s="10">
        <f t="shared" si="62"/>
        <v>1912.0450000000001</v>
      </c>
      <c r="AF195" s="10" t="str">
        <f t="shared" si="63"/>
        <v>Medium</v>
      </c>
      <c r="AG195" s="6">
        <f t="shared" ref="AG195:AG258" si="73">IF(Z195=0,0,AB195/Z195)</f>
        <v>-0.34449872621271499</v>
      </c>
      <c r="AH195" s="4">
        <f t="shared" ref="AH195:AH258" si="74">_xlfn.MINIFS($B:$B,$J:$J,J67)</f>
        <v>44955</v>
      </c>
      <c r="AI195" t="str">
        <f t="shared" ref="AI195:AI258" si="75">TEXT(AH195,"MMM-YYYY")</f>
        <v>Jan-2023</v>
      </c>
    </row>
    <row r="196" spans="1:35" x14ac:dyDescent="0.25">
      <c r="A196" t="s">
        <v>208</v>
      </c>
      <c r="B196" s="4">
        <v>45050</v>
      </c>
      <c r="C196" s="4" t="str">
        <f t="shared" si="64"/>
        <v>Q2-2023</v>
      </c>
      <c r="D196" s="4" t="str">
        <f t="shared" si="65"/>
        <v>May-2023</v>
      </c>
      <c r="E196" s="4">
        <v>45072</v>
      </c>
      <c r="F196" s="12">
        <f t="shared" si="66"/>
        <v>22</v>
      </c>
      <c r="G196" s="12">
        <f t="shared" si="57"/>
        <v>0</v>
      </c>
      <c r="H196" s="4">
        <f t="shared" si="67"/>
        <v>45072</v>
      </c>
      <c r="I196" t="s">
        <v>648</v>
      </c>
      <c r="J196" t="s">
        <v>660</v>
      </c>
      <c r="K196" t="s">
        <v>686</v>
      </c>
      <c r="L196" t="s">
        <v>706</v>
      </c>
      <c r="M196" t="s">
        <v>708</v>
      </c>
      <c r="N196" t="s">
        <v>713</v>
      </c>
      <c r="O196" t="s">
        <v>729</v>
      </c>
      <c r="P196" t="str" cm="1">
        <f t="array" ref="P196">_xlfn.IFS(S196&lt;=PERCENTILE($S$2:$S$1000, 0.33), "Low", S196&lt;=PERCENTILE($S$2:$S$1000, 0.66), "Medium", TRUE, "High")</f>
        <v>Low</v>
      </c>
      <c r="Q196" t="s">
        <v>928</v>
      </c>
      <c r="R196" s="10">
        <v>249.71</v>
      </c>
      <c r="S196" s="10">
        <v>361.33</v>
      </c>
      <c r="T196" s="8">
        <v>9.4E-2</v>
      </c>
      <c r="U196" s="12">
        <f t="shared" si="68"/>
        <v>0</v>
      </c>
      <c r="V196" s="6">
        <v>12</v>
      </c>
      <c r="W196" t="str">
        <f t="shared" si="58"/>
        <v>ok</v>
      </c>
      <c r="X196">
        <f t="shared" si="59"/>
        <v>22</v>
      </c>
      <c r="Y196">
        <f t="shared" si="69"/>
        <v>22</v>
      </c>
      <c r="Z196" s="10">
        <f t="shared" si="70"/>
        <v>3928.3797600000003</v>
      </c>
      <c r="AA196" s="10">
        <f t="shared" si="71"/>
        <v>2996.52</v>
      </c>
      <c r="AB196" s="10">
        <f t="shared" si="72"/>
        <v>931.85976000000028</v>
      </c>
      <c r="AC196" s="10">
        <f t="shared" si="60"/>
        <v>606.37750000000005</v>
      </c>
      <c r="AD196" s="10">
        <f t="shared" si="61"/>
        <v>1193.865</v>
      </c>
      <c r="AE196" s="10">
        <f t="shared" si="62"/>
        <v>1912.0450000000001</v>
      </c>
      <c r="AF196" s="10" t="str">
        <f t="shared" si="63"/>
        <v>Medium</v>
      </c>
      <c r="AG196" s="6">
        <f t="shared" si="73"/>
        <v>0.23721223937881206</v>
      </c>
      <c r="AH196" s="4">
        <f t="shared" si="74"/>
        <v>44945</v>
      </c>
      <c r="AI196" t="str">
        <f t="shared" si="75"/>
        <v>Jan-2023</v>
      </c>
    </row>
    <row r="197" spans="1:35" x14ac:dyDescent="0.25">
      <c r="A197" t="s">
        <v>209</v>
      </c>
      <c r="B197" s="4">
        <v>45557</v>
      </c>
      <c r="C197" s="4" t="str">
        <f t="shared" si="64"/>
        <v>Q3-2024</v>
      </c>
      <c r="D197" s="4" t="str">
        <f t="shared" si="65"/>
        <v>Sept-2024</v>
      </c>
      <c r="E197" s="4">
        <v>45566</v>
      </c>
      <c r="F197" s="12">
        <f t="shared" si="66"/>
        <v>9</v>
      </c>
      <c r="G197" s="12">
        <f t="shared" si="57"/>
        <v>0</v>
      </c>
      <c r="H197" s="4">
        <f t="shared" si="67"/>
        <v>45566</v>
      </c>
      <c r="I197" t="s">
        <v>648</v>
      </c>
      <c r="J197" t="s">
        <v>655</v>
      </c>
      <c r="K197" t="s">
        <v>670</v>
      </c>
      <c r="L197" t="s">
        <v>703</v>
      </c>
      <c r="M197" t="s">
        <v>708</v>
      </c>
      <c r="N197" t="s">
        <v>723</v>
      </c>
      <c r="O197" t="s">
        <v>732</v>
      </c>
      <c r="P197" t="str" cm="1">
        <f t="array" ref="P197">_xlfn.IFS(S197&lt;=PERCENTILE($S$2:$S$1000, 0.33), "Low", S197&lt;=PERCENTILE($S$2:$S$1000, 0.66), "Medium", TRUE, "High")</f>
        <v>High</v>
      </c>
      <c r="Q197" t="s">
        <v>929</v>
      </c>
      <c r="R197" s="10">
        <v>1378.8</v>
      </c>
      <c r="S197" s="10">
        <v>1952.04</v>
      </c>
      <c r="T197" s="8">
        <v>0.159</v>
      </c>
      <c r="U197" s="12">
        <f t="shared" si="68"/>
        <v>0</v>
      </c>
      <c r="V197" s="6">
        <v>19</v>
      </c>
      <c r="W197" t="str">
        <f t="shared" si="58"/>
        <v>ok</v>
      </c>
      <c r="X197">
        <f t="shared" si="59"/>
        <v>9</v>
      </c>
      <c r="Y197">
        <f t="shared" si="69"/>
        <v>9</v>
      </c>
      <c r="Z197" s="10">
        <f t="shared" si="70"/>
        <v>31191.64716</v>
      </c>
      <c r="AA197" s="10">
        <f t="shared" si="71"/>
        <v>26197.200000000001</v>
      </c>
      <c r="AB197" s="10">
        <f t="shared" si="72"/>
        <v>4994.4471599999997</v>
      </c>
      <c r="AC197" s="10">
        <f t="shared" si="60"/>
        <v>606.37750000000005</v>
      </c>
      <c r="AD197" s="10">
        <f t="shared" si="61"/>
        <v>1193.865</v>
      </c>
      <c r="AE197" s="10">
        <f t="shared" si="62"/>
        <v>1912.0450000000001</v>
      </c>
      <c r="AF197" s="10" t="str">
        <f t="shared" si="63"/>
        <v>Low</v>
      </c>
      <c r="AG197" s="6">
        <f t="shared" si="73"/>
        <v>0.16012130216723058</v>
      </c>
      <c r="AH197" s="4">
        <f t="shared" si="74"/>
        <v>44988</v>
      </c>
      <c r="AI197" t="str">
        <f t="shared" si="75"/>
        <v>Mar-2023</v>
      </c>
    </row>
    <row r="198" spans="1:35" x14ac:dyDescent="0.25">
      <c r="A198" t="s">
        <v>210</v>
      </c>
      <c r="B198" s="4">
        <v>45588</v>
      </c>
      <c r="C198" s="4" t="str">
        <f t="shared" si="64"/>
        <v>Q4-2024</v>
      </c>
      <c r="D198" s="4" t="str">
        <f t="shared" si="65"/>
        <v>Oct-2024</v>
      </c>
      <c r="E198" s="4">
        <v>45610</v>
      </c>
      <c r="F198" s="12">
        <f t="shared" si="66"/>
        <v>22</v>
      </c>
      <c r="G198" s="12">
        <f t="shared" si="57"/>
        <v>0</v>
      </c>
      <c r="H198" s="4">
        <f t="shared" si="67"/>
        <v>45610</v>
      </c>
      <c r="I198" t="s">
        <v>647</v>
      </c>
      <c r="J198" t="s">
        <v>652</v>
      </c>
      <c r="K198" t="s">
        <v>666</v>
      </c>
      <c r="L198" t="s">
        <v>703</v>
      </c>
      <c r="M198" t="s">
        <v>711</v>
      </c>
      <c r="N198" t="s">
        <v>717</v>
      </c>
      <c r="O198" t="s">
        <v>730</v>
      </c>
      <c r="P198" t="str" cm="1">
        <f t="array" ref="P198">_xlfn.IFS(S198&lt;=PERCENTILE($S$2:$S$1000, 0.33), "Low", S198&lt;=PERCENTILE($S$2:$S$1000, 0.66), "Medium", TRUE, "High")</f>
        <v>Medium</v>
      </c>
      <c r="Q198" t="s">
        <v>930</v>
      </c>
      <c r="R198" s="10">
        <v>1406.4</v>
      </c>
      <c r="S198" s="10">
        <v>1564.76</v>
      </c>
      <c r="T198" s="8">
        <v>0.185</v>
      </c>
      <c r="U198" s="12">
        <f t="shared" si="68"/>
        <v>0</v>
      </c>
      <c r="V198" s="6">
        <v>17</v>
      </c>
      <c r="W198" t="str">
        <f t="shared" si="58"/>
        <v>ok</v>
      </c>
      <c r="X198">
        <f t="shared" si="59"/>
        <v>22</v>
      </c>
      <c r="Y198">
        <f t="shared" si="69"/>
        <v>22</v>
      </c>
      <c r="Z198" s="10">
        <f t="shared" si="70"/>
        <v>21679.749799999998</v>
      </c>
      <c r="AA198" s="10">
        <f t="shared" si="71"/>
        <v>23908.800000000003</v>
      </c>
      <c r="AB198" s="10">
        <f t="shared" si="72"/>
        <v>-2229.0502000000051</v>
      </c>
      <c r="AC198" s="10">
        <f t="shared" si="60"/>
        <v>606.37750000000005</v>
      </c>
      <c r="AD198" s="10">
        <f t="shared" si="61"/>
        <v>1193.865</v>
      </c>
      <c r="AE198" s="10">
        <f t="shared" si="62"/>
        <v>1912.0450000000001</v>
      </c>
      <c r="AF198" s="10" t="str">
        <f t="shared" si="63"/>
        <v>High</v>
      </c>
      <c r="AG198" s="6">
        <f t="shared" si="73"/>
        <v>-0.10281715520536151</v>
      </c>
      <c r="AH198" s="4">
        <f t="shared" si="74"/>
        <v>44933</v>
      </c>
      <c r="AI198" t="str">
        <f t="shared" si="75"/>
        <v>Jan-2023</v>
      </c>
    </row>
    <row r="199" spans="1:35" x14ac:dyDescent="0.25">
      <c r="A199" t="s">
        <v>211</v>
      </c>
      <c r="B199" s="4">
        <v>45333</v>
      </c>
      <c r="C199" s="4" t="str">
        <f t="shared" si="64"/>
        <v>Q1-2024</v>
      </c>
      <c r="D199" s="4" t="str">
        <f t="shared" si="65"/>
        <v>Feb-2024</v>
      </c>
      <c r="E199" s="4">
        <v>45354</v>
      </c>
      <c r="F199" s="12">
        <f t="shared" si="66"/>
        <v>21</v>
      </c>
      <c r="G199" s="12">
        <f t="shared" si="57"/>
        <v>0</v>
      </c>
      <c r="H199" s="4">
        <f t="shared" si="67"/>
        <v>45354</v>
      </c>
      <c r="I199" t="s">
        <v>646</v>
      </c>
      <c r="J199" t="s">
        <v>650</v>
      </c>
      <c r="K199" t="s">
        <v>662</v>
      </c>
      <c r="L199" t="s">
        <v>706</v>
      </c>
      <c r="M199" t="s">
        <v>708</v>
      </c>
      <c r="N199" t="s">
        <v>717</v>
      </c>
      <c r="O199" t="s">
        <v>730</v>
      </c>
      <c r="P199" t="str" cm="1">
        <f t="array" ref="P199">_xlfn.IFS(S199&lt;=PERCENTILE($S$2:$S$1000, 0.33), "Low", S199&lt;=PERCENTILE($S$2:$S$1000, 0.66), "Medium", TRUE, "High")</f>
        <v>Medium</v>
      </c>
      <c r="Q199" t="s">
        <v>931</v>
      </c>
      <c r="R199" s="10">
        <v>516.86</v>
      </c>
      <c r="S199" s="10">
        <v>852.54</v>
      </c>
      <c r="T199" s="8">
        <v>5.0999999999999997E-2</v>
      </c>
      <c r="U199" s="12">
        <f t="shared" si="68"/>
        <v>0</v>
      </c>
      <c r="V199" s="6">
        <v>14</v>
      </c>
      <c r="W199" t="str">
        <f t="shared" si="58"/>
        <v>ok</v>
      </c>
      <c r="X199">
        <f t="shared" si="59"/>
        <v>21</v>
      </c>
      <c r="Y199">
        <f t="shared" si="69"/>
        <v>21</v>
      </c>
      <c r="Z199" s="10">
        <f t="shared" si="70"/>
        <v>11326.846439999999</v>
      </c>
      <c r="AA199" s="10">
        <f t="shared" si="71"/>
        <v>7236.04</v>
      </c>
      <c r="AB199" s="10">
        <f t="shared" si="72"/>
        <v>4090.8064399999994</v>
      </c>
      <c r="AC199" s="10">
        <f t="shared" si="60"/>
        <v>606.37750000000005</v>
      </c>
      <c r="AD199" s="10">
        <f t="shared" si="61"/>
        <v>1193.865</v>
      </c>
      <c r="AE199" s="10">
        <f t="shared" si="62"/>
        <v>1912.0450000000001</v>
      </c>
      <c r="AF199" s="10" t="str">
        <f t="shared" si="63"/>
        <v>Medium</v>
      </c>
      <c r="AG199" s="6">
        <f t="shared" si="73"/>
        <v>0.36116022775355994</v>
      </c>
      <c r="AH199" s="4">
        <f t="shared" si="74"/>
        <v>44938</v>
      </c>
      <c r="AI199" t="str">
        <f t="shared" si="75"/>
        <v>Jan-2023</v>
      </c>
    </row>
    <row r="200" spans="1:35" x14ac:dyDescent="0.25">
      <c r="A200" t="s">
        <v>212</v>
      </c>
      <c r="B200" s="4">
        <v>44956</v>
      </c>
      <c r="C200" s="4" t="str">
        <f t="shared" si="64"/>
        <v>Q1-2023</v>
      </c>
      <c r="D200" s="4" t="str">
        <f t="shared" si="65"/>
        <v>Jan-2023</v>
      </c>
      <c r="E200" s="4">
        <v>44978</v>
      </c>
      <c r="F200" s="12">
        <f t="shared" si="66"/>
        <v>22</v>
      </c>
      <c r="G200" s="12">
        <f t="shared" si="57"/>
        <v>0</v>
      </c>
      <c r="H200" s="4">
        <f t="shared" si="67"/>
        <v>44978</v>
      </c>
      <c r="I200" t="s">
        <v>649</v>
      </c>
      <c r="J200" t="s">
        <v>656</v>
      </c>
      <c r="K200" t="s">
        <v>684</v>
      </c>
      <c r="L200" t="s">
        <v>705</v>
      </c>
      <c r="M200" t="s">
        <v>709</v>
      </c>
      <c r="N200" t="s">
        <v>715</v>
      </c>
      <c r="O200" t="s">
        <v>729</v>
      </c>
      <c r="P200" t="str" cm="1">
        <f t="array" ref="P200">_xlfn.IFS(S200&lt;=PERCENTILE($S$2:$S$1000, 0.33), "Low", S200&lt;=PERCENTILE($S$2:$S$1000, 0.66), "Medium", TRUE, "High")</f>
        <v>Medium</v>
      </c>
      <c r="Q200" t="s">
        <v>932</v>
      </c>
      <c r="R200" s="10">
        <v>1142.8800000000001</v>
      </c>
      <c r="S200" s="10">
        <v>1465.29</v>
      </c>
      <c r="T200" s="8">
        <v>0.186</v>
      </c>
      <c r="U200" s="12">
        <f t="shared" si="68"/>
        <v>0</v>
      </c>
      <c r="V200" s="6">
        <v>7</v>
      </c>
      <c r="W200" t="str">
        <f t="shared" si="58"/>
        <v>ok</v>
      </c>
      <c r="X200">
        <f t="shared" si="59"/>
        <v>22</v>
      </c>
      <c r="Y200">
        <f t="shared" si="69"/>
        <v>22</v>
      </c>
      <c r="Z200" s="10">
        <f t="shared" si="70"/>
        <v>8349.2224200000001</v>
      </c>
      <c r="AA200" s="10">
        <f t="shared" si="71"/>
        <v>8000.1600000000008</v>
      </c>
      <c r="AB200" s="10">
        <f t="shared" si="72"/>
        <v>349.06241999999929</v>
      </c>
      <c r="AC200" s="10">
        <f t="shared" si="60"/>
        <v>606.37750000000005</v>
      </c>
      <c r="AD200" s="10">
        <f t="shared" si="61"/>
        <v>1193.865</v>
      </c>
      <c r="AE200" s="10">
        <f t="shared" si="62"/>
        <v>1912.0450000000001</v>
      </c>
      <c r="AF200" s="10" t="str">
        <f t="shared" si="63"/>
        <v>Medium</v>
      </c>
      <c r="AG200" s="6">
        <f t="shared" si="73"/>
        <v>4.1807775915017401E-2</v>
      </c>
      <c r="AH200" s="4">
        <f t="shared" si="74"/>
        <v>44948</v>
      </c>
      <c r="AI200" t="str">
        <f t="shared" si="75"/>
        <v>Jan-2023</v>
      </c>
    </row>
    <row r="201" spans="1:35" x14ac:dyDescent="0.25">
      <c r="A201" t="s">
        <v>213</v>
      </c>
      <c r="B201" s="4">
        <v>45030</v>
      </c>
      <c r="C201" s="4" t="str">
        <f t="shared" si="64"/>
        <v>Q2-2023</v>
      </c>
      <c r="D201" s="4" t="str">
        <f t="shared" si="65"/>
        <v>Apr-2023</v>
      </c>
      <c r="E201" s="4">
        <v>45059</v>
      </c>
      <c r="F201" s="12">
        <f t="shared" si="66"/>
        <v>29</v>
      </c>
      <c r="G201" s="12">
        <f t="shared" si="57"/>
        <v>0</v>
      </c>
      <c r="H201" s="4">
        <f t="shared" si="67"/>
        <v>45059</v>
      </c>
      <c r="I201" t="s">
        <v>649</v>
      </c>
      <c r="J201" t="s">
        <v>656</v>
      </c>
      <c r="K201" t="s">
        <v>698</v>
      </c>
      <c r="L201" t="s">
        <v>704</v>
      </c>
      <c r="M201" t="s">
        <v>711</v>
      </c>
      <c r="N201" t="s">
        <v>713</v>
      </c>
      <c r="O201" t="s">
        <v>728</v>
      </c>
      <c r="P201" t="str" cm="1">
        <f t="array" ref="P201">_xlfn.IFS(S201&lt;=PERCENTILE($S$2:$S$1000, 0.33), "Low", S201&lt;=PERCENTILE($S$2:$S$1000, 0.66), "Medium", TRUE, "High")</f>
        <v>High</v>
      </c>
      <c r="Q201" t="s">
        <v>933</v>
      </c>
      <c r="R201" s="10">
        <v>1320.33</v>
      </c>
      <c r="S201" s="10">
        <v>2645.23</v>
      </c>
      <c r="T201" s="8">
        <v>0.155</v>
      </c>
      <c r="U201" s="12">
        <f t="shared" si="68"/>
        <v>0</v>
      </c>
      <c r="V201" s="6">
        <v>25</v>
      </c>
      <c r="W201" t="str">
        <f t="shared" si="58"/>
        <v>ok</v>
      </c>
      <c r="X201">
        <f t="shared" si="59"/>
        <v>29</v>
      </c>
      <c r="Y201">
        <f t="shared" si="69"/>
        <v>29</v>
      </c>
      <c r="Z201" s="10">
        <f t="shared" si="70"/>
        <v>55880.483749999999</v>
      </c>
      <c r="AA201" s="10">
        <f t="shared" si="71"/>
        <v>33008.25</v>
      </c>
      <c r="AB201" s="10">
        <f t="shared" si="72"/>
        <v>22872.233749999999</v>
      </c>
      <c r="AC201" s="10">
        <f t="shared" si="60"/>
        <v>606.37750000000005</v>
      </c>
      <c r="AD201" s="10">
        <f t="shared" si="61"/>
        <v>1193.865</v>
      </c>
      <c r="AE201" s="10">
        <f t="shared" si="62"/>
        <v>1912.0450000000001</v>
      </c>
      <c r="AF201" s="10" t="str">
        <f t="shared" si="63"/>
        <v>Medium</v>
      </c>
      <c r="AG201" s="6">
        <f t="shared" si="73"/>
        <v>0.40930629470436536</v>
      </c>
      <c r="AH201" s="4">
        <f t="shared" si="74"/>
        <v>44955</v>
      </c>
      <c r="AI201" t="str">
        <f t="shared" si="75"/>
        <v>Jan-2023</v>
      </c>
    </row>
    <row r="202" spans="1:35" x14ac:dyDescent="0.25">
      <c r="A202" t="s">
        <v>214</v>
      </c>
      <c r="B202" s="4">
        <v>44939</v>
      </c>
      <c r="C202" s="4" t="str">
        <f t="shared" si="64"/>
        <v>Q1-2023</v>
      </c>
      <c r="D202" s="4" t="str">
        <f t="shared" si="65"/>
        <v>Jan-2023</v>
      </c>
      <c r="E202" s="4">
        <v>44945</v>
      </c>
      <c r="F202" s="12">
        <f t="shared" si="66"/>
        <v>6</v>
      </c>
      <c r="G202" s="12">
        <f t="shared" si="57"/>
        <v>1</v>
      </c>
      <c r="H202" s="4">
        <f t="shared" si="67"/>
        <v>44945</v>
      </c>
      <c r="I202" t="s">
        <v>648</v>
      </c>
      <c r="J202" t="s">
        <v>660</v>
      </c>
      <c r="K202" t="s">
        <v>677</v>
      </c>
      <c r="L202" t="s">
        <v>701</v>
      </c>
      <c r="M202" t="s">
        <v>711</v>
      </c>
      <c r="N202" t="s">
        <v>722</v>
      </c>
      <c r="O202" t="s">
        <v>730</v>
      </c>
      <c r="P202" t="str" cm="1">
        <f t="array" ref="P202">_xlfn.IFS(S202&lt;=PERCENTILE($S$2:$S$1000, 0.33), "Low", S202&lt;=PERCENTILE($S$2:$S$1000, 0.66), "Medium", TRUE, "High")</f>
        <v>Medium</v>
      </c>
      <c r="Q202" t="s">
        <v>934</v>
      </c>
      <c r="R202" s="10">
        <v>833.57</v>
      </c>
      <c r="S202" s="10">
        <v>881.57</v>
      </c>
      <c r="T202" s="8">
        <v>5.7000000000000002E-2</v>
      </c>
      <c r="U202" s="12">
        <f t="shared" si="68"/>
        <v>0</v>
      </c>
      <c r="V202" s="6">
        <v>18</v>
      </c>
      <c r="W202" t="str">
        <f t="shared" si="58"/>
        <v>ok</v>
      </c>
      <c r="X202">
        <f t="shared" si="59"/>
        <v>6</v>
      </c>
      <c r="Y202">
        <f t="shared" si="69"/>
        <v>6</v>
      </c>
      <c r="Z202" s="10">
        <f t="shared" si="70"/>
        <v>14963.769179999999</v>
      </c>
      <c r="AA202" s="10">
        <f t="shared" si="71"/>
        <v>15004.26</v>
      </c>
      <c r="AB202" s="10">
        <f t="shared" si="72"/>
        <v>-40.490820000000895</v>
      </c>
      <c r="AC202" s="10">
        <f t="shared" si="60"/>
        <v>606.37750000000005</v>
      </c>
      <c r="AD202" s="10">
        <f t="shared" si="61"/>
        <v>1193.865</v>
      </c>
      <c r="AE202" s="10">
        <f t="shared" si="62"/>
        <v>1912.0450000000001</v>
      </c>
      <c r="AF202" s="10" t="str">
        <f t="shared" si="63"/>
        <v>High</v>
      </c>
      <c r="AG202" s="6">
        <f t="shared" si="73"/>
        <v>-2.7059238560107821E-3</v>
      </c>
      <c r="AH202" s="4">
        <f t="shared" si="74"/>
        <v>44933</v>
      </c>
      <c r="AI202" t="str">
        <f t="shared" si="75"/>
        <v>Jan-2023</v>
      </c>
    </row>
    <row r="203" spans="1:35" x14ac:dyDescent="0.25">
      <c r="A203" t="s">
        <v>215</v>
      </c>
      <c r="B203" s="4">
        <v>45303</v>
      </c>
      <c r="C203" s="4" t="str">
        <f t="shared" si="64"/>
        <v>Q1-2024</v>
      </c>
      <c r="D203" s="4" t="str">
        <f t="shared" si="65"/>
        <v>Jan-2024</v>
      </c>
      <c r="E203" s="4">
        <v>45320</v>
      </c>
      <c r="F203" s="12">
        <f t="shared" si="66"/>
        <v>17</v>
      </c>
      <c r="G203" s="12">
        <f t="shared" si="57"/>
        <v>0</v>
      </c>
      <c r="H203" s="4">
        <f t="shared" si="67"/>
        <v>45320</v>
      </c>
      <c r="I203" t="s">
        <v>648</v>
      </c>
      <c r="J203" t="s">
        <v>660</v>
      </c>
      <c r="K203" t="s">
        <v>677</v>
      </c>
      <c r="L203" t="s">
        <v>702</v>
      </c>
      <c r="M203" t="s">
        <v>710</v>
      </c>
      <c r="N203" t="s">
        <v>720</v>
      </c>
      <c r="O203" t="s">
        <v>728</v>
      </c>
      <c r="P203" t="str" cm="1">
        <f t="array" ref="P203">_xlfn.IFS(S203&lt;=PERCENTILE($S$2:$S$1000, 0.33), "Low", S203&lt;=PERCENTILE($S$2:$S$1000, 0.66), "Medium", TRUE, "High")</f>
        <v>Low</v>
      </c>
      <c r="Q203" t="s">
        <v>935</v>
      </c>
      <c r="R203" s="10">
        <v>493.76</v>
      </c>
      <c r="S203" s="10">
        <v>625.04</v>
      </c>
      <c r="T203" s="8">
        <v>0.25800000000000001</v>
      </c>
      <c r="U203" s="12">
        <f t="shared" si="68"/>
        <v>1</v>
      </c>
      <c r="V203" s="6">
        <v>10</v>
      </c>
      <c r="W203" t="str">
        <f t="shared" si="58"/>
        <v>ok</v>
      </c>
      <c r="X203">
        <f t="shared" si="59"/>
        <v>17</v>
      </c>
      <c r="Y203">
        <f t="shared" si="69"/>
        <v>17</v>
      </c>
      <c r="Z203" s="10">
        <f t="shared" si="70"/>
        <v>4637.7968000000001</v>
      </c>
      <c r="AA203" s="10">
        <f t="shared" si="71"/>
        <v>4937.6000000000004</v>
      </c>
      <c r="AB203" s="10">
        <f t="shared" si="72"/>
        <v>-299.80320000000029</v>
      </c>
      <c r="AC203" s="10">
        <f t="shared" si="60"/>
        <v>606.37750000000005</v>
      </c>
      <c r="AD203" s="10">
        <f t="shared" si="61"/>
        <v>1193.865</v>
      </c>
      <c r="AE203" s="10">
        <f t="shared" si="62"/>
        <v>1912.0450000000001</v>
      </c>
      <c r="AF203" s="10" t="str">
        <f t="shared" si="63"/>
        <v>Medium</v>
      </c>
      <c r="AG203" s="6">
        <f t="shared" si="73"/>
        <v>-6.464345311549663E-2</v>
      </c>
      <c r="AH203" s="4">
        <f t="shared" si="74"/>
        <v>44938</v>
      </c>
      <c r="AI203" t="str">
        <f t="shared" si="75"/>
        <v>Jan-2023</v>
      </c>
    </row>
    <row r="204" spans="1:35" x14ac:dyDescent="0.25">
      <c r="A204" t="s">
        <v>216</v>
      </c>
      <c r="B204" s="4">
        <v>45153</v>
      </c>
      <c r="C204" s="4" t="str">
        <f t="shared" si="64"/>
        <v>Q3-2023</v>
      </c>
      <c r="D204" s="4" t="str">
        <f t="shared" si="65"/>
        <v>Aug-2023</v>
      </c>
      <c r="E204" s="4">
        <v>45176</v>
      </c>
      <c r="F204" s="12">
        <f t="shared" si="66"/>
        <v>23</v>
      </c>
      <c r="G204" s="12">
        <f t="shared" si="57"/>
        <v>0</v>
      </c>
      <c r="H204" s="4">
        <f t="shared" si="67"/>
        <v>45176</v>
      </c>
      <c r="I204" t="s">
        <v>648</v>
      </c>
      <c r="J204" t="s">
        <v>660</v>
      </c>
      <c r="K204" t="s">
        <v>700</v>
      </c>
      <c r="L204" t="s">
        <v>706</v>
      </c>
      <c r="M204" t="s">
        <v>708</v>
      </c>
      <c r="N204" t="s">
        <v>723</v>
      </c>
      <c r="O204" t="s">
        <v>730</v>
      </c>
      <c r="P204" t="str" cm="1">
        <f t="array" ref="P204">_xlfn.IFS(S204&lt;=PERCENTILE($S$2:$S$1000, 0.33), "Low", S204&lt;=PERCENTILE($S$2:$S$1000, 0.66), "Medium", TRUE, "High")</f>
        <v>Medium</v>
      </c>
      <c r="Q204" t="s">
        <v>936</v>
      </c>
      <c r="R204" s="10">
        <v>590.33000000000004</v>
      </c>
      <c r="S204" s="10">
        <v>973.04</v>
      </c>
      <c r="T204" s="8">
        <v>0</v>
      </c>
      <c r="U204" s="12">
        <f t="shared" si="68"/>
        <v>0</v>
      </c>
      <c r="V204" s="6">
        <v>26</v>
      </c>
      <c r="W204" t="str">
        <f t="shared" si="58"/>
        <v>ok</v>
      </c>
      <c r="X204">
        <f t="shared" si="59"/>
        <v>23</v>
      </c>
      <c r="Y204">
        <f t="shared" si="69"/>
        <v>23</v>
      </c>
      <c r="Z204" s="10">
        <f t="shared" si="70"/>
        <v>25299.040000000001</v>
      </c>
      <c r="AA204" s="10">
        <f t="shared" si="71"/>
        <v>15348.580000000002</v>
      </c>
      <c r="AB204" s="10">
        <f t="shared" si="72"/>
        <v>9950.4599999999991</v>
      </c>
      <c r="AC204" s="10">
        <f t="shared" si="60"/>
        <v>606.37750000000005</v>
      </c>
      <c r="AD204" s="10">
        <f t="shared" si="61"/>
        <v>1193.865</v>
      </c>
      <c r="AE204" s="10">
        <f t="shared" si="62"/>
        <v>1912.0450000000001</v>
      </c>
      <c r="AF204" s="10" t="str">
        <f t="shared" si="63"/>
        <v>Medium</v>
      </c>
      <c r="AG204" s="6">
        <f t="shared" si="73"/>
        <v>0.39331373838691108</v>
      </c>
      <c r="AH204" s="4">
        <f t="shared" si="74"/>
        <v>44933</v>
      </c>
      <c r="AI204" t="str">
        <f t="shared" si="75"/>
        <v>Jan-2023</v>
      </c>
    </row>
    <row r="205" spans="1:35" x14ac:dyDescent="0.25">
      <c r="A205" t="s">
        <v>217</v>
      </c>
      <c r="B205" s="4">
        <v>44946</v>
      </c>
      <c r="C205" s="4" t="str">
        <f t="shared" si="64"/>
        <v>Q1-2023</v>
      </c>
      <c r="D205" s="4" t="str">
        <f t="shared" si="65"/>
        <v>Jan-2023</v>
      </c>
      <c r="E205" s="4">
        <v>44960</v>
      </c>
      <c r="F205" s="12">
        <f t="shared" si="66"/>
        <v>14</v>
      </c>
      <c r="G205" s="12">
        <f t="shared" si="57"/>
        <v>0</v>
      </c>
      <c r="H205" s="4">
        <f t="shared" si="67"/>
        <v>44960</v>
      </c>
      <c r="I205" t="s">
        <v>646</v>
      </c>
      <c r="J205" t="s">
        <v>650</v>
      </c>
      <c r="K205" t="s">
        <v>662</v>
      </c>
      <c r="L205" t="s">
        <v>701</v>
      </c>
      <c r="M205" t="s">
        <v>707</v>
      </c>
      <c r="N205" t="s">
        <v>724</v>
      </c>
      <c r="O205" t="s">
        <v>729</v>
      </c>
      <c r="P205" t="str" cm="1">
        <f t="array" ref="P205">_xlfn.IFS(S205&lt;=PERCENTILE($S$2:$S$1000, 0.33), "Low", S205&lt;=PERCENTILE($S$2:$S$1000, 0.66), "Medium", TRUE, "High")</f>
        <v>Medium</v>
      </c>
      <c r="Q205" t="s">
        <v>937</v>
      </c>
      <c r="R205" s="10">
        <v>884.36</v>
      </c>
      <c r="S205" s="10">
        <v>1545.34</v>
      </c>
      <c r="T205" s="8">
        <v>0.24299999999999999</v>
      </c>
      <c r="U205" s="12">
        <f t="shared" si="68"/>
        <v>1</v>
      </c>
      <c r="V205" s="6">
        <v>41</v>
      </c>
      <c r="W205" t="str">
        <f t="shared" si="58"/>
        <v>ok</v>
      </c>
      <c r="X205">
        <f t="shared" si="59"/>
        <v>14</v>
      </c>
      <c r="Y205">
        <f t="shared" si="69"/>
        <v>14</v>
      </c>
      <c r="Z205" s="10">
        <f t="shared" si="70"/>
        <v>47962.717579999997</v>
      </c>
      <c r="AA205" s="10">
        <f t="shared" si="71"/>
        <v>36258.76</v>
      </c>
      <c r="AB205" s="10">
        <f t="shared" si="72"/>
        <v>11703.957579999995</v>
      </c>
      <c r="AC205" s="10">
        <f t="shared" si="60"/>
        <v>606.37750000000005</v>
      </c>
      <c r="AD205" s="10">
        <f t="shared" si="61"/>
        <v>1193.865</v>
      </c>
      <c r="AE205" s="10">
        <f t="shared" si="62"/>
        <v>1912.0450000000001</v>
      </c>
      <c r="AF205" s="10" t="str">
        <f t="shared" si="63"/>
        <v>Medium</v>
      </c>
      <c r="AG205" s="6">
        <f t="shared" si="73"/>
        <v>0.24402198562827965</v>
      </c>
      <c r="AH205" s="4">
        <f t="shared" si="74"/>
        <v>44955</v>
      </c>
      <c r="AI205" t="str">
        <f t="shared" si="75"/>
        <v>Jan-2023</v>
      </c>
    </row>
    <row r="206" spans="1:35" x14ac:dyDescent="0.25">
      <c r="A206" t="s">
        <v>218</v>
      </c>
      <c r="B206" s="4">
        <v>45692</v>
      </c>
      <c r="C206" s="4" t="str">
        <f t="shared" si="64"/>
        <v>Q1-2025</v>
      </c>
      <c r="D206" s="4" t="str">
        <f t="shared" si="65"/>
        <v>Feb-2025</v>
      </c>
      <c r="E206" s="4">
        <v>45713</v>
      </c>
      <c r="F206" s="12">
        <f t="shared" si="66"/>
        <v>21</v>
      </c>
      <c r="G206" s="12">
        <f t="shared" si="57"/>
        <v>0</v>
      </c>
      <c r="H206" s="4">
        <f t="shared" si="67"/>
        <v>45713</v>
      </c>
      <c r="I206" t="s">
        <v>649</v>
      </c>
      <c r="J206" t="s">
        <v>658</v>
      </c>
      <c r="K206" t="s">
        <v>674</v>
      </c>
      <c r="L206" t="s">
        <v>701</v>
      </c>
      <c r="M206" t="s">
        <v>709</v>
      </c>
      <c r="N206" t="s">
        <v>726</v>
      </c>
      <c r="O206" t="s">
        <v>732</v>
      </c>
      <c r="P206" t="str" cm="1">
        <f t="array" ref="P206">_xlfn.IFS(S206&lt;=PERCENTILE($S$2:$S$1000, 0.33), "Low", S206&lt;=PERCENTILE($S$2:$S$1000, 0.66), "Medium", TRUE, "High")</f>
        <v>High</v>
      </c>
      <c r="Q206" t="s">
        <v>938</v>
      </c>
      <c r="R206" s="10">
        <v>1016.32</v>
      </c>
      <c r="S206" s="10">
        <v>2253.42</v>
      </c>
      <c r="T206" s="8">
        <v>5.5E-2</v>
      </c>
      <c r="U206" s="12">
        <f t="shared" si="68"/>
        <v>0</v>
      </c>
      <c r="V206" s="6">
        <v>12</v>
      </c>
      <c r="W206" t="str">
        <f t="shared" si="58"/>
        <v>ok</v>
      </c>
      <c r="X206">
        <f t="shared" si="59"/>
        <v>21</v>
      </c>
      <c r="Y206">
        <f t="shared" si="69"/>
        <v>21</v>
      </c>
      <c r="Z206" s="10">
        <f t="shared" si="70"/>
        <v>25553.782800000001</v>
      </c>
      <c r="AA206" s="10">
        <f t="shared" si="71"/>
        <v>12195.84</v>
      </c>
      <c r="AB206" s="10">
        <f t="shared" si="72"/>
        <v>13357.942800000001</v>
      </c>
      <c r="AC206" s="10">
        <f t="shared" si="60"/>
        <v>606.37750000000005</v>
      </c>
      <c r="AD206" s="10">
        <f t="shared" si="61"/>
        <v>1193.865</v>
      </c>
      <c r="AE206" s="10">
        <f t="shared" si="62"/>
        <v>1912.0450000000001</v>
      </c>
      <c r="AF206" s="10" t="str">
        <f t="shared" si="63"/>
        <v>Medium</v>
      </c>
      <c r="AG206" s="6">
        <f t="shared" si="73"/>
        <v>0.52273837124419797</v>
      </c>
      <c r="AH206" s="4">
        <f t="shared" si="74"/>
        <v>44955</v>
      </c>
      <c r="AI206" t="str">
        <f t="shared" si="75"/>
        <v>Jan-2023</v>
      </c>
    </row>
    <row r="207" spans="1:35" x14ac:dyDescent="0.25">
      <c r="A207" t="s">
        <v>219</v>
      </c>
      <c r="B207" s="4">
        <v>45035</v>
      </c>
      <c r="C207" s="4" t="str">
        <f t="shared" si="64"/>
        <v>Q2-2023</v>
      </c>
      <c r="D207" s="4" t="str">
        <f t="shared" si="65"/>
        <v>Apr-2023</v>
      </c>
      <c r="E207" s="4">
        <v>45044</v>
      </c>
      <c r="F207" s="12">
        <f t="shared" si="66"/>
        <v>9</v>
      </c>
      <c r="G207" s="12">
        <f t="shared" si="57"/>
        <v>0</v>
      </c>
      <c r="H207" s="4">
        <f t="shared" si="67"/>
        <v>45044</v>
      </c>
      <c r="I207" t="s">
        <v>649</v>
      </c>
      <c r="J207" t="s">
        <v>656</v>
      </c>
      <c r="K207" t="s">
        <v>671</v>
      </c>
      <c r="L207" t="s">
        <v>702</v>
      </c>
      <c r="M207" t="s">
        <v>708</v>
      </c>
      <c r="N207" t="s">
        <v>718</v>
      </c>
      <c r="O207" t="s">
        <v>732</v>
      </c>
      <c r="P207" t="str" cm="1">
        <f t="array" ref="P207">_xlfn.IFS(S207&lt;=PERCENTILE($S$2:$S$1000, 0.33), "Low", S207&lt;=PERCENTILE($S$2:$S$1000, 0.66), "Medium", TRUE, "High")</f>
        <v>High</v>
      </c>
      <c r="Q207" t="s">
        <v>939</v>
      </c>
      <c r="R207" s="10">
        <v>1178.42</v>
      </c>
      <c r="S207" s="10">
        <v>2446.56</v>
      </c>
      <c r="T207" s="8">
        <v>2.9000000000000001E-2</v>
      </c>
      <c r="U207" s="12">
        <f t="shared" si="68"/>
        <v>0</v>
      </c>
      <c r="V207" s="6">
        <v>11</v>
      </c>
      <c r="W207" t="str">
        <f t="shared" si="58"/>
        <v>ok</v>
      </c>
      <c r="X207">
        <f t="shared" si="59"/>
        <v>9</v>
      </c>
      <c r="Y207">
        <f t="shared" si="69"/>
        <v>9</v>
      </c>
      <c r="Z207" s="10">
        <f t="shared" si="70"/>
        <v>26131.70736</v>
      </c>
      <c r="AA207" s="10">
        <f t="shared" si="71"/>
        <v>12962.62</v>
      </c>
      <c r="AB207" s="10">
        <f t="shared" si="72"/>
        <v>13169.08736</v>
      </c>
      <c r="AC207" s="10">
        <f t="shared" si="60"/>
        <v>606.37750000000005</v>
      </c>
      <c r="AD207" s="10">
        <f t="shared" si="61"/>
        <v>1193.865</v>
      </c>
      <c r="AE207" s="10">
        <f t="shared" si="62"/>
        <v>1912.0450000000001</v>
      </c>
      <c r="AF207" s="10" t="str">
        <f t="shared" si="63"/>
        <v>High</v>
      </c>
      <c r="AG207" s="6">
        <f t="shared" si="73"/>
        <v>0.5039505141618883</v>
      </c>
      <c r="AH207" s="4">
        <f t="shared" si="74"/>
        <v>44955</v>
      </c>
      <c r="AI207" t="str">
        <f t="shared" si="75"/>
        <v>Jan-2023</v>
      </c>
    </row>
    <row r="208" spans="1:35" x14ac:dyDescent="0.25">
      <c r="A208" t="s">
        <v>220</v>
      </c>
      <c r="B208" s="4">
        <v>45109</v>
      </c>
      <c r="C208" s="4" t="str">
        <f t="shared" si="64"/>
        <v>Q3-2023</v>
      </c>
      <c r="D208" s="4" t="str">
        <f t="shared" si="65"/>
        <v>Jul-2023</v>
      </c>
      <c r="E208" s="4">
        <v>45139</v>
      </c>
      <c r="F208" s="12">
        <f t="shared" si="66"/>
        <v>30</v>
      </c>
      <c r="G208" s="12">
        <f t="shared" si="57"/>
        <v>0</v>
      </c>
      <c r="H208" s="4">
        <f t="shared" si="67"/>
        <v>45139</v>
      </c>
      <c r="I208" t="s">
        <v>649</v>
      </c>
      <c r="J208" t="s">
        <v>658</v>
      </c>
      <c r="K208" t="s">
        <v>674</v>
      </c>
      <c r="L208" t="s">
        <v>705</v>
      </c>
      <c r="M208" t="s">
        <v>707</v>
      </c>
      <c r="N208" t="s">
        <v>717</v>
      </c>
      <c r="O208" t="s">
        <v>727</v>
      </c>
      <c r="P208" t="str" cm="1">
        <f t="array" ref="P208">_xlfn.IFS(S208&lt;=PERCENTILE($S$2:$S$1000, 0.33), "Low", S208&lt;=PERCENTILE($S$2:$S$1000, 0.66), "Medium", TRUE, "High")</f>
        <v>Low</v>
      </c>
      <c r="Q208" t="s">
        <v>940</v>
      </c>
      <c r="R208" s="10">
        <v>137.46</v>
      </c>
      <c r="S208" s="10">
        <v>188.3</v>
      </c>
      <c r="T208" s="8">
        <v>3.7999999999999999E-2</v>
      </c>
      <c r="U208" s="12">
        <f t="shared" si="68"/>
        <v>0</v>
      </c>
      <c r="V208" s="6">
        <v>37</v>
      </c>
      <c r="W208" t="str">
        <f t="shared" si="58"/>
        <v>ok</v>
      </c>
      <c r="X208">
        <f t="shared" si="59"/>
        <v>30</v>
      </c>
      <c r="Y208">
        <f t="shared" si="69"/>
        <v>30</v>
      </c>
      <c r="Z208" s="10">
        <f t="shared" si="70"/>
        <v>6702.3501999999999</v>
      </c>
      <c r="AA208" s="10">
        <f t="shared" si="71"/>
        <v>5086.0200000000004</v>
      </c>
      <c r="AB208" s="10">
        <f t="shared" si="72"/>
        <v>1616.3301999999994</v>
      </c>
      <c r="AC208" s="10">
        <f t="shared" si="60"/>
        <v>606.37750000000005</v>
      </c>
      <c r="AD208" s="10">
        <f t="shared" si="61"/>
        <v>1193.865</v>
      </c>
      <c r="AE208" s="10">
        <f t="shared" si="62"/>
        <v>1912.0450000000001</v>
      </c>
      <c r="AF208" s="10" t="str">
        <f t="shared" si="63"/>
        <v>High</v>
      </c>
      <c r="AG208" s="6">
        <f t="shared" si="73"/>
        <v>0.24115872071262398</v>
      </c>
      <c r="AH208" s="4">
        <f t="shared" si="74"/>
        <v>44945</v>
      </c>
      <c r="AI208" t="str">
        <f t="shared" si="75"/>
        <v>Jan-2023</v>
      </c>
    </row>
    <row r="209" spans="1:35" x14ac:dyDescent="0.25">
      <c r="A209" t="s">
        <v>221</v>
      </c>
      <c r="B209" s="4">
        <v>45678</v>
      </c>
      <c r="C209" s="4" t="str">
        <f t="shared" si="64"/>
        <v>Q1-2025</v>
      </c>
      <c r="D209" s="4" t="str">
        <f t="shared" si="65"/>
        <v>Jan-2025</v>
      </c>
      <c r="E209" s="4">
        <v>45702</v>
      </c>
      <c r="F209" s="12">
        <f t="shared" si="66"/>
        <v>24</v>
      </c>
      <c r="G209" s="12">
        <f t="shared" si="57"/>
        <v>0</v>
      </c>
      <c r="H209" s="4">
        <f t="shared" si="67"/>
        <v>45702</v>
      </c>
      <c r="I209" t="s">
        <v>646</v>
      </c>
      <c r="J209" t="s">
        <v>650</v>
      </c>
      <c r="K209" t="s">
        <v>664</v>
      </c>
      <c r="L209" t="s">
        <v>705</v>
      </c>
      <c r="M209" t="s">
        <v>707</v>
      </c>
      <c r="N209" t="s">
        <v>713</v>
      </c>
      <c r="O209" t="s">
        <v>733</v>
      </c>
      <c r="P209" t="str" cm="1">
        <f t="array" ref="P209">_xlfn.IFS(S209&lt;=PERCENTILE($S$2:$S$1000, 0.33), "Low", S209&lt;=PERCENTILE($S$2:$S$1000, 0.66), "Medium", TRUE, "High")</f>
        <v>High</v>
      </c>
      <c r="Q209" t="s">
        <v>941</v>
      </c>
      <c r="R209" s="10">
        <v>1030.44</v>
      </c>
      <c r="S209" s="10">
        <v>2562.84</v>
      </c>
      <c r="T209" s="8">
        <v>0.14799999999999999</v>
      </c>
      <c r="U209" s="12">
        <f t="shared" si="68"/>
        <v>0</v>
      </c>
      <c r="V209" s="6">
        <v>13</v>
      </c>
      <c r="W209" t="str">
        <f t="shared" si="58"/>
        <v>ok</v>
      </c>
      <c r="X209">
        <f t="shared" si="59"/>
        <v>24</v>
      </c>
      <c r="Y209">
        <f t="shared" si="69"/>
        <v>24</v>
      </c>
      <c r="Z209" s="10">
        <f t="shared" si="70"/>
        <v>28386.015839999996</v>
      </c>
      <c r="AA209" s="10">
        <f t="shared" si="71"/>
        <v>13395.720000000001</v>
      </c>
      <c r="AB209" s="10">
        <f t="shared" si="72"/>
        <v>14990.295839999995</v>
      </c>
      <c r="AC209" s="10">
        <f t="shared" si="60"/>
        <v>606.37750000000005</v>
      </c>
      <c r="AD209" s="10">
        <f t="shared" si="61"/>
        <v>1193.865</v>
      </c>
      <c r="AE209" s="10">
        <f t="shared" si="62"/>
        <v>1912.0450000000001</v>
      </c>
      <c r="AF209" s="10" t="str">
        <f t="shared" si="63"/>
        <v>Low</v>
      </c>
      <c r="AG209" s="6">
        <f t="shared" si="73"/>
        <v>0.52808734852027039</v>
      </c>
      <c r="AH209" s="4">
        <f t="shared" si="74"/>
        <v>44936</v>
      </c>
      <c r="AI209" t="str">
        <f t="shared" si="75"/>
        <v>Jan-2023</v>
      </c>
    </row>
    <row r="210" spans="1:35" x14ac:dyDescent="0.25">
      <c r="A210" t="s">
        <v>222</v>
      </c>
      <c r="B210" s="4">
        <v>45545</v>
      </c>
      <c r="C210" s="4" t="str">
        <f t="shared" si="64"/>
        <v>Q3-2024</v>
      </c>
      <c r="D210" s="4" t="str">
        <f t="shared" si="65"/>
        <v>Sept-2024</v>
      </c>
      <c r="E210" s="4">
        <v>45572</v>
      </c>
      <c r="F210" s="12">
        <f t="shared" si="66"/>
        <v>27</v>
      </c>
      <c r="G210" s="12">
        <f t="shared" si="57"/>
        <v>0</v>
      </c>
      <c r="H210" s="4">
        <f t="shared" si="67"/>
        <v>45572</v>
      </c>
      <c r="I210" t="s">
        <v>646</v>
      </c>
      <c r="J210" t="s">
        <v>650</v>
      </c>
      <c r="K210" t="s">
        <v>662</v>
      </c>
      <c r="L210" t="s">
        <v>704</v>
      </c>
      <c r="M210" t="s">
        <v>707</v>
      </c>
      <c r="N210" t="s">
        <v>716</v>
      </c>
      <c r="O210" t="s">
        <v>728</v>
      </c>
      <c r="P210" t="str" cm="1">
        <f t="array" ref="P210">_xlfn.IFS(S210&lt;=PERCENTILE($S$2:$S$1000, 0.33), "Low", S210&lt;=PERCENTILE($S$2:$S$1000, 0.66), "Medium", TRUE, "High")</f>
        <v>High</v>
      </c>
      <c r="Q210" t="s">
        <v>942</v>
      </c>
      <c r="R210" s="10">
        <v>1248.3900000000001</v>
      </c>
      <c r="S210" s="10">
        <v>1805.11</v>
      </c>
      <c r="T210" s="8">
        <v>0.20300000000000001</v>
      </c>
      <c r="U210" s="12">
        <f t="shared" si="68"/>
        <v>1</v>
      </c>
      <c r="V210" s="6">
        <v>11</v>
      </c>
      <c r="W210" t="str">
        <f t="shared" si="58"/>
        <v>ok</v>
      </c>
      <c r="X210">
        <f t="shared" si="59"/>
        <v>27</v>
      </c>
      <c r="Y210">
        <f t="shared" si="69"/>
        <v>27</v>
      </c>
      <c r="Z210" s="10">
        <f t="shared" si="70"/>
        <v>15825.399369999997</v>
      </c>
      <c r="AA210" s="10">
        <f t="shared" si="71"/>
        <v>13732.29</v>
      </c>
      <c r="AB210" s="10">
        <f t="shared" si="72"/>
        <v>2093.1093699999965</v>
      </c>
      <c r="AC210" s="10">
        <f t="shared" si="60"/>
        <v>606.37750000000005</v>
      </c>
      <c r="AD210" s="10">
        <f t="shared" si="61"/>
        <v>1193.865</v>
      </c>
      <c r="AE210" s="10">
        <f t="shared" si="62"/>
        <v>1912.0450000000001</v>
      </c>
      <c r="AF210" s="10" t="str">
        <f t="shared" si="63"/>
        <v>High</v>
      </c>
      <c r="AG210" s="6">
        <f t="shared" si="73"/>
        <v>0.13226265707820786</v>
      </c>
      <c r="AH210" s="4">
        <f t="shared" si="74"/>
        <v>44933</v>
      </c>
      <c r="AI210" t="str">
        <f t="shared" si="75"/>
        <v>Jan-2023</v>
      </c>
    </row>
    <row r="211" spans="1:35" x14ac:dyDescent="0.25">
      <c r="A211" t="s">
        <v>223</v>
      </c>
      <c r="B211" s="4">
        <v>45859</v>
      </c>
      <c r="C211" s="4" t="str">
        <f t="shared" si="64"/>
        <v>Q3-2025</v>
      </c>
      <c r="D211" s="4" t="str">
        <f t="shared" si="65"/>
        <v>Jul-2025</v>
      </c>
      <c r="E211" s="4">
        <v>45876</v>
      </c>
      <c r="F211" s="12">
        <f t="shared" si="66"/>
        <v>17</v>
      </c>
      <c r="G211" s="12">
        <f t="shared" si="57"/>
        <v>0</v>
      </c>
      <c r="H211" s="4">
        <f t="shared" si="67"/>
        <v>45876</v>
      </c>
      <c r="I211" t="s">
        <v>646</v>
      </c>
      <c r="J211" t="s">
        <v>651</v>
      </c>
      <c r="K211" t="s">
        <v>665</v>
      </c>
      <c r="L211" t="s">
        <v>706</v>
      </c>
      <c r="M211" t="s">
        <v>711</v>
      </c>
      <c r="N211" t="s">
        <v>724</v>
      </c>
      <c r="O211" t="s">
        <v>733</v>
      </c>
      <c r="P211" t="str" cm="1">
        <f t="array" ref="P211">_xlfn.IFS(S211&lt;=PERCENTILE($S$2:$S$1000, 0.33), "Low", S211&lt;=PERCENTILE($S$2:$S$1000, 0.66), "Medium", TRUE, "High")</f>
        <v>High</v>
      </c>
      <c r="Q211" t="s">
        <v>943</v>
      </c>
      <c r="R211" s="10">
        <v>1204.95</v>
      </c>
      <c r="S211" s="10">
        <v>2065.73</v>
      </c>
      <c r="T211" s="8">
        <v>0.13600000000000001</v>
      </c>
      <c r="U211" s="12">
        <f t="shared" si="68"/>
        <v>0</v>
      </c>
      <c r="V211" s="6">
        <v>10</v>
      </c>
      <c r="W211" t="str">
        <f t="shared" si="58"/>
        <v>ok</v>
      </c>
      <c r="X211">
        <f t="shared" si="59"/>
        <v>17</v>
      </c>
      <c r="Y211">
        <f t="shared" si="69"/>
        <v>17</v>
      </c>
      <c r="Z211" s="10">
        <f t="shared" si="70"/>
        <v>17847.907199999998</v>
      </c>
      <c r="AA211" s="10">
        <f t="shared" si="71"/>
        <v>12049.5</v>
      </c>
      <c r="AB211" s="10">
        <f t="shared" si="72"/>
        <v>5798.4071999999978</v>
      </c>
      <c r="AC211" s="10">
        <f t="shared" si="60"/>
        <v>606.37750000000005</v>
      </c>
      <c r="AD211" s="10">
        <f t="shared" si="61"/>
        <v>1193.865</v>
      </c>
      <c r="AE211" s="10">
        <f t="shared" si="62"/>
        <v>1912.0450000000001</v>
      </c>
      <c r="AF211" s="10" t="str">
        <f t="shared" si="63"/>
        <v>Medium</v>
      </c>
      <c r="AG211" s="6">
        <f t="shared" si="73"/>
        <v>0.32487882949100039</v>
      </c>
      <c r="AH211" s="4">
        <f t="shared" si="74"/>
        <v>44928</v>
      </c>
      <c r="AI211" t="str">
        <f t="shared" si="75"/>
        <v>Jan-2023</v>
      </c>
    </row>
    <row r="212" spans="1:35" x14ac:dyDescent="0.25">
      <c r="A212" t="s">
        <v>224</v>
      </c>
      <c r="B212" s="4">
        <v>45567</v>
      </c>
      <c r="C212" s="4" t="str">
        <f t="shared" si="64"/>
        <v>Q4-2024</v>
      </c>
      <c r="D212" s="4" t="str">
        <f t="shared" si="65"/>
        <v>Oct-2024</v>
      </c>
      <c r="E212" s="4">
        <v>45588</v>
      </c>
      <c r="F212" s="12">
        <f t="shared" si="66"/>
        <v>21</v>
      </c>
      <c r="G212" s="12">
        <f t="shared" si="57"/>
        <v>0</v>
      </c>
      <c r="H212" s="4">
        <f t="shared" si="67"/>
        <v>45588</v>
      </c>
      <c r="I212" t="s">
        <v>646</v>
      </c>
      <c r="J212" t="s">
        <v>661</v>
      </c>
      <c r="K212" t="s">
        <v>687</v>
      </c>
      <c r="L212" t="s">
        <v>701</v>
      </c>
      <c r="M212" t="s">
        <v>709</v>
      </c>
      <c r="N212" t="s">
        <v>720</v>
      </c>
      <c r="O212" t="s">
        <v>727</v>
      </c>
      <c r="P212" t="str" cm="1">
        <f t="array" ref="P212">_xlfn.IFS(S212&lt;=PERCENTILE($S$2:$S$1000, 0.33), "Low", S212&lt;=PERCENTILE($S$2:$S$1000, 0.66), "Medium", TRUE, "High")</f>
        <v>High</v>
      </c>
      <c r="Q212" t="s">
        <v>944</v>
      </c>
      <c r="R212" s="10">
        <v>1095.6099999999999</v>
      </c>
      <c r="S212" s="10">
        <v>2366.5100000000002</v>
      </c>
      <c r="T212" s="8">
        <v>0.152</v>
      </c>
      <c r="U212" s="12">
        <f t="shared" si="68"/>
        <v>0</v>
      </c>
      <c r="V212" s="6">
        <v>9</v>
      </c>
      <c r="W212" t="str">
        <f t="shared" si="58"/>
        <v>ok</v>
      </c>
      <c r="X212">
        <f t="shared" si="59"/>
        <v>21</v>
      </c>
      <c r="Y212">
        <f t="shared" si="69"/>
        <v>21</v>
      </c>
      <c r="Z212" s="10">
        <f t="shared" si="70"/>
        <v>18061.204320000004</v>
      </c>
      <c r="AA212" s="10">
        <f t="shared" si="71"/>
        <v>9860.49</v>
      </c>
      <c r="AB212" s="10">
        <f t="shared" si="72"/>
        <v>8200.7143200000046</v>
      </c>
      <c r="AC212" s="10">
        <f t="shared" si="60"/>
        <v>606.37750000000005</v>
      </c>
      <c r="AD212" s="10">
        <f t="shared" si="61"/>
        <v>1193.865</v>
      </c>
      <c r="AE212" s="10">
        <f t="shared" si="62"/>
        <v>1912.0450000000001</v>
      </c>
      <c r="AF212" s="10" t="str">
        <f t="shared" si="63"/>
        <v>High</v>
      </c>
      <c r="AG212" s="6">
        <f t="shared" si="73"/>
        <v>0.4540513564158607</v>
      </c>
      <c r="AH212" s="4">
        <f t="shared" si="74"/>
        <v>44936</v>
      </c>
      <c r="AI212" t="str">
        <f t="shared" si="75"/>
        <v>Jan-2023</v>
      </c>
    </row>
    <row r="213" spans="1:35" x14ac:dyDescent="0.25">
      <c r="A213" t="s">
        <v>225</v>
      </c>
      <c r="B213" s="4">
        <v>45852</v>
      </c>
      <c r="C213" s="4" t="str">
        <f t="shared" si="64"/>
        <v>Q3-2025</v>
      </c>
      <c r="D213" s="4" t="str">
        <f t="shared" si="65"/>
        <v>Jul-2025</v>
      </c>
      <c r="E213" s="4">
        <v>45873</v>
      </c>
      <c r="F213" s="12">
        <f t="shared" si="66"/>
        <v>21</v>
      </c>
      <c r="G213" s="12">
        <f t="shared" si="57"/>
        <v>0</v>
      </c>
      <c r="H213" s="4">
        <f t="shared" si="67"/>
        <v>45873</v>
      </c>
      <c r="I213" t="s">
        <v>648</v>
      </c>
      <c r="J213" t="s">
        <v>653</v>
      </c>
      <c r="K213" t="s">
        <v>681</v>
      </c>
      <c r="L213" t="s">
        <v>704</v>
      </c>
      <c r="M213" t="s">
        <v>708</v>
      </c>
      <c r="N213" t="s">
        <v>722</v>
      </c>
      <c r="O213" t="s">
        <v>732</v>
      </c>
      <c r="P213" t="str" cm="1">
        <f t="array" ref="P213">_xlfn.IFS(S213&lt;=PERCENTILE($S$2:$S$1000, 0.33), "Low", S213&lt;=PERCENTILE($S$2:$S$1000, 0.66), "Medium", TRUE, "High")</f>
        <v>Low</v>
      </c>
      <c r="Q213" t="s">
        <v>945</v>
      </c>
      <c r="R213" s="10">
        <v>90.3</v>
      </c>
      <c r="S213" s="10">
        <v>131.76</v>
      </c>
      <c r="T213" s="8">
        <v>0.10199999999999999</v>
      </c>
      <c r="U213" s="12">
        <f t="shared" si="68"/>
        <v>0</v>
      </c>
      <c r="V213" s="6">
        <v>15</v>
      </c>
      <c r="W213" t="str">
        <f t="shared" si="58"/>
        <v>ok</v>
      </c>
      <c r="X213">
        <f t="shared" si="59"/>
        <v>21</v>
      </c>
      <c r="Y213">
        <f t="shared" si="69"/>
        <v>21</v>
      </c>
      <c r="Z213" s="10">
        <f t="shared" si="70"/>
        <v>1774.8072</v>
      </c>
      <c r="AA213" s="10">
        <f t="shared" si="71"/>
        <v>1354.5</v>
      </c>
      <c r="AB213" s="10">
        <f t="shared" si="72"/>
        <v>420.30719999999997</v>
      </c>
      <c r="AC213" s="10">
        <f t="shared" si="60"/>
        <v>606.37750000000005</v>
      </c>
      <c r="AD213" s="10">
        <f t="shared" si="61"/>
        <v>1193.865</v>
      </c>
      <c r="AE213" s="10">
        <f t="shared" si="62"/>
        <v>1912.0450000000001</v>
      </c>
      <c r="AF213" s="10" t="str">
        <f t="shared" si="63"/>
        <v>High</v>
      </c>
      <c r="AG213" s="6">
        <f t="shared" si="73"/>
        <v>0.23681851189244668</v>
      </c>
      <c r="AH213" s="4">
        <f t="shared" si="74"/>
        <v>44939</v>
      </c>
      <c r="AI213" t="str">
        <f t="shared" si="75"/>
        <v>Jan-2023</v>
      </c>
    </row>
    <row r="214" spans="1:35" x14ac:dyDescent="0.25">
      <c r="A214" t="s">
        <v>226</v>
      </c>
      <c r="B214" s="4">
        <v>45544</v>
      </c>
      <c r="C214" s="4" t="str">
        <f t="shared" si="64"/>
        <v>Q3-2024</v>
      </c>
      <c r="D214" s="4" t="str">
        <f t="shared" si="65"/>
        <v>Sept-2024</v>
      </c>
      <c r="E214" s="4">
        <v>45566</v>
      </c>
      <c r="F214" s="12">
        <f t="shared" si="66"/>
        <v>22</v>
      </c>
      <c r="G214" s="12">
        <f t="shared" si="57"/>
        <v>0</v>
      </c>
      <c r="H214" s="4">
        <f t="shared" si="67"/>
        <v>45566</v>
      </c>
      <c r="I214" t="s">
        <v>647</v>
      </c>
      <c r="J214" t="s">
        <v>659</v>
      </c>
      <c r="K214" t="s">
        <v>676</v>
      </c>
      <c r="L214" t="s">
        <v>704</v>
      </c>
      <c r="M214" t="s">
        <v>711</v>
      </c>
      <c r="N214" t="s">
        <v>716</v>
      </c>
      <c r="O214" t="s">
        <v>728</v>
      </c>
      <c r="P214" t="str" cm="1">
        <f t="array" ref="P214">_xlfn.IFS(S214&lt;=PERCENTILE($S$2:$S$1000, 0.33), "Low", S214&lt;=PERCENTILE($S$2:$S$1000, 0.66), "Medium", TRUE, "High")</f>
        <v>Medium</v>
      </c>
      <c r="Q214" t="s">
        <v>946</v>
      </c>
      <c r="R214" s="10">
        <v>1166.18</v>
      </c>
      <c r="S214" s="10">
        <v>1335.02</v>
      </c>
      <c r="T214" s="8">
        <v>0.128</v>
      </c>
      <c r="U214" s="12">
        <f t="shared" si="68"/>
        <v>0</v>
      </c>
      <c r="V214" s="6">
        <v>6</v>
      </c>
      <c r="W214" t="str">
        <f t="shared" si="58"/>
        <v>ok</v>
      </c>
      <c r="X214">
        <f t="shared" si="59"/>
        <v>22</v>
      </c>
      <c r="Y214">
        <f t="shared" si="69"/>
        <v>22</v>
      </c>
      <c r="Z214" s="10">
        <f t="shared" si="70"/>
        <v>6984.8246399999998</v>
      </c>
      <c r="AA214" s="10">
        <f t="shared" si="71"/>
        <v>6997.08</v>
      </c>
      <c r="AB214" s="10">
        <f t="shared" si="72"/>
        <v>-12.25536000000011</v>
      </c>
      <c r="AC214" s="10">
        <f t="shared" si="60"/>
        <v>606.37750000000005</v>
      </c>
      <c r="AD214" s="10">
        <f t="shared" si="61"/>
        <v>1193.865</v>
      </c>
      <c r="AE214" s="10">
        <f t="shared" si="62"/>
        <v>1912.0450000000001</v>
      </c>
      <c r="AF214" s="10" t="str">
        <f t="shared" si="63"/>
        <v>Low</v>
      </c>
      <c r="AG214" s="6">
        <f t="shared" si="73"/>
        <v>-1.7545694604582242E-3</v>
      </c>
      <c r="AH214" s="4">
        <f t="shared" si="74"/>
        <v>44945</v>
      </c>
      <c r="AI214" t="str">
        <f t="shared" si="75"/>
        <v>Jan-2023</v>
      </c>
    </row>
    <row r="215" spans="1:35" x14ac:dyDescent="0.25">
      <c r="A215" t="s">
        <v>227</v>
      </c>
      <c r="B215" s="4">
        <v>45686</v>
      </c>
      <c r="C215" s="4" t="str">
        <f t="shared" si="64"/>
        <v>Q1-2025</v>
      </c>
      <c r="D215" s="4" t="str">
        <f t="shared" si="65"/>
        <v>Jan-2025</v>
      </c>
      <c r="E215" s="4">
        <v>45694</v>
      </c>
      <c r="F215" s="12">
        <f t="shared" si="66"/>
        <v>8</v>
      </c>
      <c r="G215" s="12">
        <f t="shared" si="57"/>
        <v>0</v>
      </c>
      <c r="H215" s="4">
        <f t="shared" si="67"/>
        <v>45694</v>
      </c>
      <c r="I215" t="s">
        <v>646</v>
      </c>
      <c r="J215" t="s">
        <v>650</v>
      </c>
      <c r="K215" t="s">
        <v>662</v>
      </c>
      <c r="L215" t="s">
        <v>702</v>
      </c>
      <c r="M215" t="s">
        <v>707</v>
      </c>
      <c r="N215" t="s">
        <v>717</v>
      </c>
      <c r="O215" t="s">
        <v>730</v>
      </c>
      <c r="P215" t="str" cm="1">
        <f t="array" ref="P215">_xlfn.IFS(S215&lt;=PERCENTILE($S$2:$S$1000, 0.33), "Low", S215&lt;=PERCENTILE($S$2:$S$1000, 0.66), "Medium", TRUE, "High")</f>
        <v>High</v>
      </c>
      <c r="Q215" t="s">
        <v>947</v>
      </c>
      <c r="R215" s="10">
        <v>1445.27</v>
      </c>
      <c r="S215" s="10">
        <v>2691.45</v>
      </c>
      <c r="T215" s="8">
        <v>0</v>
      </c>
      <c r="U215" s="12">
        <f t="shared" si="68"/>
        <v>0</v>
      </c>
      <c r="V215" s="6">
        <v>9</v>
      </c>
      <c r="W215" t="str">
        <f t="shared" si="58"/>
        <v>ok</v>
      </c>
      <c r="X215">
        <f t="shared" si="59"/>
        <v>8</v>
      </c>
      <c r="Y215">
        <f t="shared" si="69"/>
        <v>8</v>
      </c>
      <c r="Z215" s="10">
        <f t="shared" si="70"/>
        <v>24223.05</v>
      </c>
      <c r="AA215" s="10">
        <f t="shared" si="71"/>
        <v>13007.43</v>
      </c>
      <c r="AB215" s="10">
        <f t="shared" si="72"/>
        <v>11215.619999999999</v>
      </c>
      <c r="AC215" s="10">
        <f t="shared" si="60"/>
        <v>606.37750000000005</v>
      </c>
      <c r="AD215" s="10">
        <f t="shared" si="61"/>
        <v>1193.865</v>
      </c>
      <c r="AE215" s="10">
        <f t="shared" si="62"/>
        <v>1912.0450000000001</v>
      </c>
      <c r="AF215" s="10" t="str">
        <f t="shared" si="63"/>
        <v>Medium</v>
      </c>
      <c r="AG215" s="6">
        <f t="shared" si="73"/>
        <v>0.46301436028906351</v>
      </c>
      <c r="AH215" s="4">
        <f t="shared" si="74"/>
        <v>44933</v>
      </c>
      <c r="AI215" t="str">
        <f t="shared" si="75"/>
        <v>Jan-2023</v>
      </c>
    </row>
    <row r="216" spans="1:35" x14ac:dyDescent="0.25">
      <c r="A216" t="s">
        <v>228</v>
      </c>
      <c r="B216" s="4">
        <v>45240</v>
      </c>
      <c r="C216" s="4" t="str">
        <f t="shared" si="64"/>
        <v>Q4-2023</v>
      </c>
      <c r="D216" s="4" t="str">
        <f t="shared" si="65"/>
        <v>Nov-2023</v>
      </c>
      <c r="E216" s="4">
        <v>45258</v>
      </c>
      <c r="F216" s="12">
        <f t="shared" si="66"/>
        <v>18</v>
      </c>
      <c r="G216" s="12">
        <f t="shared" si="57"/>
        <v>0</v>
      </c>
      <c r="H216" s="4">
        <f t="shared" si="67"/>
        <v>45258</v>
      </c>
      <c r="I216" t="s">
        <v>648</v>
      </c>
      <c r="J216" t="s">
        <v>655</v>
      </c>
      <c r="K216" t="s">
        <v>672</v>
      </c>
      <c r="L216" t="s">
        <v>702</v>
      </c>
      <c r="M216" t="s">
        <v>709</v>
      </c>
      <c r="N216" t="s">
        <v>716</v>
      </c>
      <c r="O216" t="s">
        <v>733</v>
      </c>
      <c r="P216" t="str" cm="1">
        <f t="array" ref="P216">_xlfn.IFS(S216&lt;=PERCENTILE($S$2:$S$1000, 0.33), "Low", S216&lt;=PERCENTILE($S$2:$S$1000, 0.66), "Medium", TRUE, "High")</f>
        <v>Low</v>
      </c>
      <c r="Q216" t="s">
        <v>948</v>
      </c>
      <c r="R216" s="10">
        <v>388.51</v>
      </c>
      <c r="S216" s="10">
        <v>776.46</v>
      </c>
      <c r="T216" s="8">
        <v>0.157</v>
      </c>
      <c r="U216" s="12">
        <f t="shared" si="68"/>
        <v>0</v>
      </c>
      <c r="V216" s="6">
        <v>12</v>
      </c>
      <c r="W216" t="str">
        <f t="shared" si="58"/>
        <v>ok</v>
      </c>
      <c r="X216">
        <f t="shared" si="59"/>
        <v>18</v>
      </c>
      <c r="Y216">
        <f t="shared" si="69"/>
        <v>18</v>
      </c>
      <c r="Z216" s="10">
        <f t="shared" si="70"/>
        <v>7854.6693599999999</v>
      </c>
      <c r="AA216" s="10">
        <f t="shared" si="71"/>
        <v>4662.12</v>
      </c>
      <c r="AB216" s="10">
        <f t="shared" si="72"/>
        <v>3192.54936</v>
      </c>
      <c r="AC216" s="10">
        <f t="shared" si="60"/>
        <v>606.37750000000005</v>
      </c>
      <c r="AD216" s="10">
        <f t="shared" si="61"/>
        <v>1193.865</v>
      </c>
      <c r="AE216" s="10">
        <f t="shared" si="62"/>
        <v>1912.0450000000001</v>
      </c>
      <c r="AF216" s="10" t="str">
        <f t="shared" si="63"/>
        <v>High</v>
      </c>
      <c r="AG216" s="6">
        <f t="shared" si="73"/>
        <v>0.40645241876864946</v>
      </c>
      <c r="AH216" s="4">
        <f t="shared" si="74"/>
        <v>44938</v>
      </c>
      <c r="AI216" t="str">
        <f t="shared" si="75"/>
        <v>Jan-2023</v>
      </c>
    </row>
    <row r="217" spans="1:35" x14ac:dyDescent="0.25">
      <c r="A217" t="s">
        <v>229</v>
      </c>
      <c r="B217" s="4">
        <v>45351</v>
      </c>
      <c r="C217" s="4" t="str">
        <f t="shared" si="64"/>
        <v>Q1-2024</v>
      </c>
      <c r="D217" s="4" t="str">
        <f t="shared" si="65"/>
        <v>Feb-2024</v>
      </c>
      <c r="E217" s="4">
        <v>45381</v>
      </c>
      <c r="F217" s="12">
        <f t="shared" si="66"/>
        <v>30</v>
      </c>
      <c r="G217" s="12">
        <f t="shared" si="57"/>
        <v>0</v>
      </c>
      <c r="H217" s="4">
        <f t="shared" si="67"/>
        <v>45381</v>
      </c>
      <c r="I217" t="s">
        <v>647</v>
      </c>
      <c r="J217" t="s">
        <v>652</v>
      </c>
      <c r="K217" t="s">
        <v>694</v>
      </c>
      <c r="L217" t="s">
        <v>705</v>
      </c>
      <c r="M217" t="s">
        <v>711</v>
      </c>
      <c r="N217" t="s">
        <v>714</v>
      </c>
      <c r="O217" t="s">
        <v>729</v>
      </c>
      <c r="P217" t="str" cm="1">
        <f t="array" ref="P217">_xlfn.IFS(S217&lt;=PERCENTILE($S$2:$S$1000, 0.33), "Low", S217&lt;=PERCENTILE($S$2:$S$1000, 0.66), "Medium", TRUE, "High")</f>
        <v>Low</v>
      </c>
      <c r="Q217" t="s">
        <v>949</v>
      </c>
      <c r="R217" s="10">
        <v>231.11</v>
      </c>
      <c r="S217" s="10">
        <v>318.17</v>
      </c>
      <c r="T217" s="8">
        <v>0.20100000000000001</v>
      </c>
      <c r="U217" s="12">
        <f t="shared" si="68"/>
        <v>1</v>
      </c>
      <c r="V217" s="6">
        <v>60</v>
      </c>
      <c r="W217" t="str">
        <f t="shared" si="58"/>
        <v>ok</v>
      </c>
      <c r="X217">
        <f t="shared" si="59"/>
        <v>30</v>
      </c>
      <c r="Y217">
        <f t="shared" si="69"/>
        <v>30</v>
      </c>
      <c r="Z217" s="10">
        <f t="shared" si="70"/>
        <v>15253.069799999999</v>
      </c>
      <c r="AA217" s="10">
        <f t="shared" si="71"/>
        <v>13866.6</v>
      </c>
      <c r="AB217" s="10">
        <f t="shared" si="72"/>
        <v>1386.4697999999989</v>
      </c>
      <c r="AC217" s="10">
        <f t="shared" si="60"/>
        <v>606.37750000000005</v>
      </c>
      <c r="AD217" s="10">
        <f t="shared" si="61"/>
        <v>1193.865</v>
      </c>
      <c r="AE217" s="10">
        <f t="shared" si="62"/>
        <v>1912.0450000000001</v>
      </c>
      <c r="AF217" s="10" t="str">
        <f t="shared" si="63"/>
        <v>Medium</v>
      </c>
      <c r="AG217" s="6">
        <f t="shared" si="73"/>
        <v>9.0897754889969692E-2</v>
      </c>
      <c r="AH217" s="4">
        <f t="shared" si="74"/>
        <v>44946</v>
      </c>
      <c r="AI217" t="str">
        <f t="shared" si="75"/>
        <v>Jan-2023</v>
      </c>
    </row>
    <row r="218" spans="1:35" x14ac:dyDescent="0.25">
      <c r="A218" t="s">
        <v>230</v>
      </c>
      <c r="B218" s="4">
        <v>45280</v>
      </c>
      <c r="C218" s="4" t="str">
        <f t="shared" si="64"/>
        <v>Q4-2023</v>
      </c>
      <c r="D218" s="4" t="str">
        <f t="shared" si="65"/>
        <v>Dec-2023</v>
      </c>
      <c r="E218" s="4">
        <v>45305</v>
      </c>
      <c r="F218" s="12">
        <f t="shared" si="66"/>
        <v>25</v>
      </c>
      <c r="G218" s="12">
        <f t="shared" si="57"/>
        <v>0</v>
      </c>
      <c r="H218" s="4">
        <f t="shared" si="67"/>
        <v>45305</v>
      </c>
      <c r="I218" t="s">
        <v>647</v>
      </c>
      <c r="J218" t="s">
        <v>654</v>
      </c>
      <c r="K218" t="s">
        <v>691</v>
      </c>
      <c r="L218" t="s">
        <v>703</v>
      </c>
      <c r="M218" t="s">
        <v>709</v>
      </c>
      <c r="N218" t="s">
        <v>716</v>
      </c>
      <c r="O218" t="s">
        <v>732</v>
      </c>
      <c r="P218" t="str" cm="1">
        <f t="array" ref="P218">_xlfn.IFS(S218&lt;=PERCENTILE($S$2:$S$1000, 0.33), "Low", S218&lt;=PERCENTILE($S$2:$S$1000, 0.66), "Medium", TRUE, "High")</f>
        <v>Medium</v>
      </c>
      <c r="Q218" t="s">
        <v>950</v>
      </c>
      <c r="R218" s="10">
        <v>1085.6099999999999</v>
      </c>
      <c r="S218" s="10">
        <v>1246.4100000000001</v>
      </c>
      <c r="T218" s="8">
        <v>0.113</v>
      </c>
      <c r="U218" s="12">
        <f t="shared" si="68"/>
        <v>0</v>
      </c>
      <c r="V218" s="6">
        <v>7</v>
      </c>
      <c r="W218" t="str">
        <f t="shared" si="58"/>
        <v>ok</v>
      </c>
      <c r="X218">
        <f t="shared" si="59"/>
        <v>25</v>
      </c>
      <c r="Y218">
        <f t="shared" si="69"/>
        <v>25</v>
      </c>
      <c r="Z218" s="10">
        <f t="shared" si="70"/>
        <v>7738.9596900000006</v>
      </c>
      <c r="AA218" s="10">
        <f t="shared" si="71"/>
        <v>7599.2699999999995</v>
      </c>
      <c r="AB218" s="10">
        <f t="shared" si="72"/>
        <v>139.68969000000106</v>
      </c>
      <c r="AC218" s="10">
        <f t="shared" si="60"/>
        <v>606.37750000000005</v>
      </c>
      <c r="AD218" s="10">
        <f t="shared" si="61"/>
        <v>1193.865</v>
      </c>
      <c r="AE218" s="10">
        <f t="shared" si="62"/>
        <v>1912.0450000000001</v>
      </c>
      <c r="AF218" s="10" t="str">
        <f t="shared" si="63"/>
        <v>Low</v>
      </c>
      <c r="AG218" s="6">
        <f t="shared" si="73"/>
        <v>1.8050189637310417E-2</v>
      </c>
      <c r="AH218" s="4">
        <f t="shared" si="74"/>
        <v>44955</v>
      </c>
      <c r="AI218" t="str">
        <f t="shared" si="75"/>
        <v>Jan-2023</v>
      </c>
    </row>
    <row r="219" spans="1:35" x14ac:dyDescent="0.25">
      <c r="A219" t="s">
        <v>231</v>
      </c>
      <c r="B219" s="4">
        <v>44948</v>
      </c>
      <c r="C219" s="4" t="str">
        <f t="shared" si="64"/>
        <v>Q1-2023</v>
      </c>
      <c r="D219" s="4" t="str">
        <f t="shared" si="65"/>
        <v>Jan-2023</v>
      </c>
      <c r="E219" s="4">
        <v>44947</v>
      </c>
      <c r="F219" s="12">
        <f t="shared" si="66"/>
        <v>14</v>
      </c>
      <c r="G219" s="12">
        <f t="shared" si="57"/>
        <v>0</v>
      </c>
      <c r="H219" s="4">
        <f t="shared" si="67"/>
        <v>44962</v>
      </c>
      <c r="I219" t="s">
        <v>649</v>
      </c>
      <c r="J219" t="s">
        <v>656</v>
      </c>
      <c r="K219" t="s">
        <v>684</v>
      </c>
      <c r="L219" t="s">
        <v>701</v>
      </c>
      <c r="M219" t="s">
        <v>711</v>
      </c>
      <c r="N219" t="s">
        <v>721</v>
      </c>
      <c r="O219" t="s">
        <v>732</v>
      </c>
      <c r="P219" t="str" cm="1">
        <f t="array" ref="P219">_xlfn.IFS(S219&lt;=PERCENTILE($S$2:$S$1000, 0.33), "Low", S219&lt;=PERCENTILE($S$2:$S$1000, 0.66), "Medium", TRUE, "High")</f>
        <v>Low</v>
      </c>
      <c r="Q219" t="s">
        <v>951</v>
      </c>
      <c r="R219" s="10">
        <v>150.86000000000001</v>
      </c>
      <c r="S219" s="10">
        <v>346.96</v>
      </c>
      <c r="T219" s="8">
        <v>0.19600000000000001</v>
      </c>
      <c r="U219" s="12">
        <f t="shared" si="68"/>
        <v>0</v>
      </c>
      <c r="V219" s="6">
        <v>8</v>
      </c>
      <c r="W219" t="str">
        <f t="shared" si="58"/>
        <v>sus</v>
      </c>
      <c r="X219">
        <f t="shared" si="59"/>
        <v>-1</v>
      </c>
      <c r="Y219">
        <f t="shared" si="69"/>
        <v>1</v>
      </c>
      <c r="Z219" s="10">
        <f t="shared" si="70"/>
        <v>2231.6467200000002</v>
      </c>
      <c r="AA219" s="10">
        <f t="shared" si="71"/>
        <v>1206.8800000000001</v>
      </c>
      <c r="AB219" s="10">
        <f t="shared" si="72"/>
        <v>1024.7667200000001</v>
      </c>
      <c r="AC219" s="10">
        <f t="shared" si="60"/>
        <v>606.37750000000005</v>
      </c>
      <c r="AD219" s="10">
        <f t="shared" si="61"/>
        <v>1193.865</v>
      </c>
      <c r="AE219" s="10">
        <f t="shared" si="62"/>
        <v>1912.0450000000001</v>
      </c>
      <c r="AF219" s="10" t="str">
        <f t="shared" si="63"/>
        <v>Medium</v>
      </c>
      <c r="AG219" s="6">
        <f t="shared" si="73"/>
        <v>0.45919755614365343</v>
      </c>
      <c r="AH219" s="4">
        <f t="shared" si="74"/>
        <v>44988</v>
      </c>
      <c r="AI219" t="str">
        <f t="shared" si="75"/>
        <v>Mar-2023</v>
      </c>
    </row>
    <row r="220" spans="1:35" x14ac:dyDescent="0.25">
      <c r="A220" t="s">
        <v>232</v>
      </c>
      <c r="B220" s="4">
        <v>45576</v>
      </c>
      <c r="C220" s="4" t="str">
        <f t="shared" si="64"/>
        <v>Q4-2024</v>
      </c>
      <c r="D220" s="4" t="str">
        <f t="shared" si="65"/>
        <v>Oct-2024</v>
      </c>
      <c r="E220" s="4">
        <v>45605</v>
      </c>
      <c r="F220" s="12">
        <f t="shared" si="66"/>
        <v>29</v>
      </c>
      <c r="G220" s="12">
        <f t="shared" si="57"/>
        <v>0</v>
      </c>
      <c r="H220" s="4">
        <f t="shared" si="67"/>
        <v>45605</v>
      </c>
      <c r="I220" t="s">
        <v>647</v>
      </c>
      <c r="J220" t="s">
        <v>659</v>
      </c>
      <c r="K220" t="s">
        <v>685</v>
      </c>
      <c r="L220" t="s">
        <v>703</v>
      </c>
      <c r="M220" t="s">
        <v>708</v>
      </c>
      <c r="N220" t="s">
        <v>721</v>
      </c>
      <c r="O220" t="s">
        <v>728</v>
      </c>
      <c r="P220" t="str" cm="1">
        <f t="array" ref="P220">_xlfn.IFS(S220&lt;=PERCENTILE($S$2:$S$1000, 0.33), "Low", S220&lt;=PERCENTILE($S$2:$S$1000, 0.66), "Medium", TRUE, "High")</f>
        <v>Low</v>
      </c>
      <c r="Q220" t="s">
        <v>952</v>
      </c>
      <c r="R220" s="10">
        <v>391.64</v>
      </c>
      <c r="S220" s="10">
        <v>504.76</v>
      </c>
      <c r="T220" s="8">
        <v>4.0000000000000001E-3</v>
      </c>
      <c r="U220" s="12">
        <f t="shared" si="68"/>
        <v>0</v>
      </c>
      <c r="V220" s="6">
        <v>13</v>
      </c>
      <c r="W220" t="str">
        <f t="shared" si="58"/>
        <v>ok</v>
      </c>
      <c r="X220">
        <f t="shared" si="59"/>
        <v>29</v>
      </c>
      <c r="Y220">
        <f t="shared" si="69"/>
        <v>29</v>
      </c>
      <c r="Z220" s="10">
        <f t="shared" si="70"/>
        <v>6535.6324800000002</v>
      </c>
      <c r="AA220" s="10">
        <f t="shared" si="71"/>
        <v>5091.32</v>
      </c>
      <c r="AB220" s="10">
        <f t="shared" si="72"/>
        <v>1444.3124800000005</v>
      </c>
      <c r="AC220" s="10">
        <f t="shared" si="60"/>
        <v>606.37750000000005</v>
      </c>
      <c r="AD220" s="10">
        <f t="shared" si="61"/>
        <v>1193.865</v>
      </c>
      <c r="AE220" s="10">
        <f t="shared" si="62"/>
        <v>1912.0450000000001</v>
      </c>
      <c r="AF220" s="10" t="str">
        <f t="shared" si="63"/>
        <v>Low</v>
      </c>
      <c r="AG220" s="6">
        <f t="shared" si="73"/>
        <v>0.22099046793402319</v>
      </c>
      <c r="AH220" s="4">
        <f t="shared" si="74"/>
        <v>44988</v>
      </c>
      <c r="AI220" t="str">
        <f t="shared" si="75"/>
        <v>Mar-2023</v>
      </c>
    </row>
    <row r="221" spans="1:35" x14ac:dyDescent="0.25">
      <c r="A221" t="s">
        <v>233</v>
      </c>
      <c r="B221" s="4">
        <v>45554</v>
      </c>
      <c r="C221" s="4" t="str">
        <f t="shared" si="64"/>
        <v>Q3-2024</v>
      </c>
      <c r="D221" s="4" t="str">
        <f t="shared" si="65"/>
        <v>Sept-2024</v>
      </c>
      <c r="E221" s="4">
        <v>45579</v>
      </c>
      <c r="F221" s="12">
        <f t="shared" si="66"/>
        <v>25</v>
      </c>
      <c r="G221" s="12">
        <f t="shared" si="57"/>
        <v>0</v>
      </c>
      <c r="H221" s="4">
        <f t="shared" si="67"/>
        <v>45579</v>
      </c>
      <c r="I221" t="s">
        <v>648</v>
      </c>
      <c r="J221" t="s">
        <v>655</v>
      </c>
      <c r="K221" t="s">
        <v>692</v>
      </c>
      <c r="L221" t="s">
        <v>705</v>
      </c>
      <c r="M221" t="s">
        <v>707</v>
      </c>
      <c r="N221" t="s">
        <v>723</v>
      </c>
      <c r="O221" t="s">
        <v>728</v>
      </c>
      <c r="P221" t="str" cm="1">
        <f t="array" ref="P221">_xlfn.IFS(S221&lt;=PERCENTILE($S$2:$S$1000, 0.33), "Low", S221&lt;=PERCENTILE($S$2:$S$1000, 0.66), "Medium", TRUE, "High")</f>
        <v>Medium</v>
      </c>
      <c r="Q221" t="s">
        <v>953</v>
      </c>
      <c r="R221" s="10">
        <v>386.96</v>
      </c>
      <c r="S221" s="10">
        <v>937.46</v>
      </c>
      <c r="T221" s="8">
        <v>0.26600000000000001</v>
      </c>
      <c r="U221" s="12">
        <f t="shared" si="68"/>
        <v>1</v>
      </c>
      <c r="V221" s="6">
        <v>41</v>
      </c>
      <c r="W221" t="str">
        <f t="shared" si="58"/>
        <v>ok</v>
      </c>
      <c r="X221">
        <f t="shared" si="59"/>
        <v>25</v>
      </c>
      <c r="Y221">
        <f t="shared" si="69"/>
        <v>25</v>
      </c>
      <c r="Z221" s="10">
        <f t="shared" si="70"/>
        <v>28211.92124</v>
      </c>
      <c r="AA221" s="10">
        <f t="shared" si="71"/>
        <v>15865.359999999999</v>
      </c>
      <c r="AB221" s="10">
        <f t="shared" si="72"/>
        <v>12346.561240000001</v>
      </c>
      <c r="AC221" s="10">
        <f t="shared" si="60"/>
        <v>606.37750000000005</v>
      </c>
      <c r="AD221" s="10">
        <f t="shared" si="61"/>
        <v>1193.865</v>
      </c>
      <c r="AE221" s="10">
        <f t="shared" si="62"/>
        <v>1912.0450000000001</v>
      </c>
      <c r="AF221" s="10" t="str">
        <f t="shared" si="63"/>
        <v>Low</v>
      </c>
      <c r="AG221" s="6">
        <f t="shared" si="73"/>
        <v>0.43763631462626335</v>
      </c>
      <c r="AH221" s="4">
        <f t="shared" si="74"/>
        <v>44955</v>
      </c>
      <c r="AI221" t="str">
        <f t="shared" si="75"/>
        <v>Jan-2023</v>
      </c>
    </row>
    <row r="222" spans="1:35" x14ac:dyDescent="0.25">
      <c r="A222" t="s">
        <v>234</v>
      </c>
      <c r="B222" s="4">
        <v>45894</v>
      </c>
      <c r="C222" s="4" t="str">
        <f t="shared" si="64"/>
        <v>Q3-2025</v>
      </c>
      <c r="D222" s="4" t="str">
        <f t="shared" si="65"/>
        <v>Aug-2025</v>
      </c>
      <c r="E222" s="4">
        <v>45924</v>
      </c>
      <c r="F222" s="12">
        <f t="shared" si="66"/>
        <v>30</v>
      </c>
      <c r="G222" s="12">
        <f t="shared" si="57"/>
        <v>0</v>
      </c>
      <c r="H222" s="4">
        <f t="shared" si="67"/>
        <v>45924</v>
      </c>
      <c r="I222" t="s">
        <v>646</v>
      </c>
      <c r="J222" t="s">
        <v>650</v>
      </c>
      <c r="K222" t="s">
        <v>664</v>
      </c>
      <c r="L222" t="s">
        <v>704</v>
      </c>
      <c r="M222" t="s">
        <v>711</v>
      </c>
      <c r="N222" t="s">
        <v>717</v>
      </c>
      <c r="O222" t="s">
        <v>727</v>
      </c>
      <c r="P222" t="str" cm="1">
        <f t="array" ref="P222">_xlfn.IFS(S222&lt;=PERCENTILE($S$2:$S$1000, 0.33), "Low", S222&lt;=PERCENTILE($S$2:$S$1000, 0.66), "Medium", TRUE, "High")</f>
        <v>Medium</v>
      </c>
      <c r="Q222" t="s">
        <v>954</v>
      </c>
      <c r="R222" s="10">
        <v>589.14</v>
      </c>
      <c r="S222" s="10">
        <v>1300.58</v>
      </c>
      <c r="T222" s="8">
        <v>5.5E-2</v>
      </c>
      <c r="U222" s="12">
        <f t="shared" si="68"/>
        <v>0</v>
      </c>
      <c r="V222" s="6">
        <v>11</v>
      </c>
      <c r="W222" t="str">
        <f t="shared" si="58"/>
        <v>ok</v>
      </c>
      <c r="X222">
        <f t="shared" si="59"/>
        <v>30</v>
      </c>
      <c r="Y222">
        <f t="shared" si="69"/>
        <v>30</v>
      </c>
      <c r="Z222" s="10">
        <f t="shared" si="70"/>
        <v>13519.529099999998</v>
      </c>
      <c r="AA222" s="10">
        <f t="shared" si="71"/>
        <v>6480.54</v>
      </c>
      <c r="AB222" s="10">
        <f t="shared" si="72"/>
        <v>7038.989099999998</v>
      </c>
      <c r="AC222" s="10">
        <f t="shared" si="60"/>
        <v>606.37750000000005</v>
      </c>
      <c r="AD222" s="10">
        <f t="shared" si="61"/>
        <v>1193.865</v>
      </c>
      <c r="AE222" s="10">
        <f t="shared" si="62"/>
        <v>1912.0450000000001</v>
      </c>
      <c r="AF222" s="10" t="str">
        <f t="shared" si="63"/>
        <v>Medium</v>
      </c>
      <c r="AG222" s="6">
        <f t="shared" si="73"/>
        <v>0.52065342275863724</v>
      </c>
      <c r="AH222" s="4">
        <f t="shared" si="74"/>
        <v>44955</v>
      </c>
      <c r="AI222" t="str">
        <f t="shared" si="75"/>
        <v>Jan-2023</v>
      </c>
    </row>
    <row r="223" spans="1:35" x14ac:dyDescent="0.25">
      <c r="A223" t="s">
        <v>235</v>
      </c>
      <c r="B223" s="4">
        <v>45194</v>
      </c>
      <c r="C223" s="4" t="str">
        <f t="shared" si="64"/>
        <v>Q3-2023</v>
      </c>
      <c r="D223" s="4" t="str">
        <f t="shared" si="65"/>
        <v>Sept-2023</v>
      </c>
      <c r="E223" s="4">
        <v>45201</v>
      </c>
      <c r="F223" s="12">
        <f t="shared" si="66"/>
        <v>7</v>
      </c>
      <c r="G223" s="12">
        <f t="shared" si="57"/>
        <v>1</v>
      </c>
      <c r="H223" s="4">
        <f t="shared" si="67"/>
        <v>45201</v>
      </c>
      <c r="I223" t="s">
        <v>648</v>
      </c>
      <c r="J223" t="s">
        <v>660</v>
      </c>
      <c r="K223" t="s">
        <v>700</v>
      </c>
      <c r="L223" t="s">
        <v>702</v>
      </c>
      <c r="M223" t="s">
        <v>709</v>
      </c>
      <c r="N223" t="s">
        <v>714</v>
      </c>
      <c r="O223" t="s">
        <v>733</v>
      </c>
      <c r="P223" t="str" cm="1">
        <f t="array" ref="P223">_xlfn.IFS(S223&lt;=PERCENTILE($S$2:$S$1000, 0.33), "Low", S223&lt;=PERCENTILE($S$2:$S$1000, 0.66), "Medium", TRUE, "High")</f>
        <v>Low</v>
      </c>
      <c r="Q223" t="s">
        <v>955</v>
      </c>
      <c r="R223" s="10">
        <v>145.58000000000001</v>
      </c>
      <c r="S223" s="10">
        <v>228.15</v>
      </c>
      <c r="T223" s="8">
        <v>0.20399999999999999</v>
      </c>
      <c r="U223" s="12">
        <f t="shared" si="68"/>
        <v>1</v>
      </c>
      <c r="V223" s="6">
        <v>5</v>
      </c>
      <c r="W223" t="str">
        <f t="shared" si="58"/>
        <v>ok</v>
      </c>
      <c r="X223">
        <f t="shared" si="59"/>
        <v>7</v>
      </c>
      <c r="Y223">
        <f t="shared" si="69"/>
        <v>7</v>
      </c>
      <c r="Z223" s="10">
        <f t="shared" si="70"/>
        <v>908.03700000000003</v>
      </c>
      <c r="AA223" s="10">
        <f t="shared" si="71"/>
        <v>727.90000000000009</v>
      </c>
      <c r="AB223" s="10">
        <f t="shared" si="72"/>
        <v>180.13699999999994</v>
      </c>
      <c r="AC223" s="10">
        <f t="shared" si="60"/>
        <v>606.37750000000005</v>
      </c>
      <c r="AD223" s="10">
        <f t="shared" si="61"/>
        <v>1193.865</v>
      </c>
      <c r="AE223" s="10">
        <f t="shared" si="62"/>
        <v>1912.0450000000001</v>
      </c>
      <c r="AF223" s="10" t="str">
        <f t="shared" si="63"/>
        <v>Medium</v>
      </c>
      <c r="AG223" s="6">
        <f t="shared" si="73"/>
        <v>0.19838068272548359</v>
      </c>
      <c r="AH223" s="4">
        <f t="shared" si="74"/>
        <v>44941</v>
      </c>
      <c r="AI223" t="str">
        <f t="shared" si="75"/>
        <v>Jan-2023</v>
      </c>
    </row>
    <row r="224" spans="1:35" x14ac:dyDescent="0.25">
      <c r="A224" t="s">
        <v>236</v>
      </c>
      <c r="B224" s="4">
        <v>45164</v>
      </c>
      <c r="C224" s="4" t="str">
        <f t="shared" si="64"/>
        <v>Q3-2023</v>
      </c>
      <c r="D224" s="4" t="str">
        <f t="shared" si="65"/>
        <v>Aug-2023</v>
      </c>
      <c r="E224" s="4">
        <v>45179</v>
      </c>
      <c r="F224" s="12">
        <f t="shared" si="66"/>
        <v>15</v>
      </c>
      <c r="G224" s="12">
        <f t="shared" si="57"/>
        <v>0</v>
      </c>
      <c r="H224" s="4">
        <f t="shared" si="67"/>
        <v>45179</v>
      </c>
      <c r="I224" t="s">
        <v>646</v>
      </c>
      <c r="J224" t="s">
        <v>661</v>
      </c>
      <c r="K224" t="s">
        <v>695</v>
      </c>
      <c r="L224" t="s">
        <v>703</v>
      </c>
      <c r="M224" t="s">
        <v>711</v>
      </c>
      <c r="N224" t="s">
        <v>725</v>
      </c>
      <c r="O224" t="s">
        <v>727</v>
      </c>
      <c r="P224" t="str" cm="1">
        <f t="array" ref="P224">_xlfn.IFS(S224&lt;=PERCENTILE($S$2:$S$1000, 0.33), "Low", S224&lt;=PERCENTILE($S$2:$S$1000, 0.66), "Medium", TRUE, "High")</f>
        <v>Low</v>
      </c>
      <c r="Q224" t="s">
        <v>956</v>
      </c>
      <c r="R224" s="10">
        <v>241.14</v>
      </c>
      <c r="S224" s="10">
        <v>496.52</v>
      </c>
      <c r="T224" s="8">
        <v>9.2999999999999999E-2</v>
      </c>
      <c r="U224" s="12">
        <f t="shared" si="68"/>
        <v>0</v>
      </c>
      <c r="V224" s="6">
        <v>10</v>
      </c>
      <c r="W224" t="str">
        <f t="shared" si="58"/>
        <v>ok</v>
      </c>
      <c r="X224">
        <f t="shared" si="59"/>
        <v>15</v>
      </c>
      <c r="Y224">
        <f t="shared" si="69"/>
        <v>15</v>
      </c>
      <c r="Z224" s="10">
        <f t="shared" si="70"/>
        <v>4503.4363999999996</v>
      </c>
      <c r="AA224" s="10">
        <f t="shared" si="71"/>
        <v>2411.3999999999996</v>
      </c>
      <c r="AB224" s="10">
        <f t="shared" si="72"/>
        <v>2092.0364</v>
      </c>
      <c r="AC224" s="10">
        <f t="shared" si="60"/>
        <v>606.37750000000005</v>
      </c>
      <c r="AD224" s="10">
        <f t="shared" si="61"/>
        <v>1193.865</v>
      </c>
      <c r="AE224" s="10">
        <f t="shared" si="62"/>
        <v>1912.0450000000001</v>
      </c>
      <c r="AF224" s="10" t="str">
        <f t="shared" si="63"/>
        <v>Low</v>
      </c>
      <c r="AG224" s="6">
        <f t="shared" si="73"/>
        <v>0.46454223268257994</v>
      </c>
      <c r="AH224" s="4">
        <f t="shared" si="74"/>
        <v>44946</v>
      </c>
      <c r="AI224" t="str">
        <f t="shared" si="75"/>
        <v>Jan-2023</v>
      </c>
    </row>
    <row r="225" spans="1:35" x14ac:dyDescent="0.25">
      <c r="A225" t="s">
        <v>237</v>
      </c>
      <c r="B225" s="4">
        <v>45854</v>
      </c>
      <c r="C225" s="4" t="str">
        <f t="shared" si="64"/>
        <v>Q3-2025</v>
      </c>
      <c r="D225" s="4" t="str">
        <f t="shared" si="65"/>
        <v>Jul-2025</v>
      </c>
      <c r="E225" s="4">
        <v>45855</v>
      </c>
      <c r="F225" s="12">
        <f t="shared" si="66"/>
        <v>1</v>
      </c>
      <c r="G225" s="12">
        <f t="shared" si="57"/>
        <v>1</v>
      </c>
      <c r="H225" s="4">
        <f t="shared" si="67"/>
        <v>45855</v>
      </c>
      <c r="I225" t="s">
        <v>646</v>
      </c>
      <c r="J225" t="s">
        <v>661</v>
      </c>
      <c r="K225" t="s">
        <v>687</v>
      </c>
      <c r="L225" t="s">
        <v>705</v>
      </c>
      <c r="M225" t="s">
        <v>710</v>
      </c>
      <c r="N225" t="s">
        <v>717</v>
      </c>
      <c r="O225" t="s">
        <v>729</v>
      </c>
      <c r="P225" t="str" cm="1">
        <f t="array" ref="P225">_xlfn.IFS(S225&lt;=PERCENTILE($S$2:$S$1000, 0.33), "Low", S225&lt;=PERCENTILE($S$2:$S$1000, 0.66), "Medium", TRUE, "High")</f>
        <v>High</v>
      </c>
      <c r="Q225" t="s">
        <v>957</v>
      </c>
      <c r="R225" s="10">
        <v>1198.9000000000001</v>
      </c>
      <c r="S225" s="10">
        <v>2941.2</v>
      </c>
      <c r="T225" s="8">
        <v>5.0999999999999997E-2</v>
      </c>
      <c r="U225" s="12">
        <f t="shared" si="68"/>
        <v>0</v>
      </c>
      <c r="V225" s="6">
        <v>24</v>
      </c>
      <c r="W225" t="str">
        <f t="shared" si="58"/>
        <v>ok</v>
      </c>
      <c r="X225">
        <f t="shared" si="59"/>
        <v>1</v>
      </c>
      <c r="Y225">
        <f t="shared" si="69"/>
        <v>1</v>
      </c>
      <c r="Z225" s="10">
        <f t="shared" si="70"/>
        <v>66988.771199999988</v>
      </c>
      <c r="AA225" s="10">
        <f t="shared" si="71"/>
        <v>28773.600000000002</v>
      </c>
      <c r="AB225" s="10">
        <f t="shared" si="72"/>
        <v>38215.171199999982</v>
      </c>
      <c r="AC225" s="10">
        <f t="shared" si="60"/>
        <v>606.37750000000005</v>
      </c>
      <c r="AD225" s="10">
        <f t="shared" si="61"/>
        <v>1193.865</v>
      </c>
      <c r="AE225" s="10">
        <f t="shared" si="62"/>
        <v>1912.0450000000001</v>
      </c>
      <c r="AF225" s="10" t="str">
        <f t="shared" si="63"/>
        <v>Low</v>
      </c>
      <c r="AG225" s="6">
        <f t="shared" si="73"/>
        <v>0.57047129713583977</v>
      </c>
      <c r="AH225" s="4">
        <f t="shared" si="74"/>
        <v>44945</v>
      </c>
      <c r="AI225" t="str">
        <f t="shared" si="75"/>
        <v>Jan-2023</v>
      </c>
    </row>
    <row r="226" spans="1:35" x14ac:dyDescent="0.25">
      <c r="A226" t="s">
        <v>238</v>
      </c>
      <c r="B226" s="4">
        <v>45035</v>
      </c>
      <c r="C226" s="4" t="str">
        <f t="shared" si="64"/>
        <v>Q2-2023</v>
      </c>
      <c r="D226" s="4" t="str">
        <f t="shared" si="65"/>
        <v>Apr-2023</v>
      </c>
      <c r="E226" s="4">
        <v>45053</v>
      </c>
      <c r="F226" s="12">
        <f t="shared" si="66"/>
        <v>18</v>
      </c>
      <c r="G226" s="12">
        <f t="shared" si="57"/>
        <v>0</v>
      </c>
      <c r="H226" s="4">
        <f t="shared" si="67"/>
        <v>45053</v>
      </c>
      <c r="I226" t="s">
        <v>649</v>
      </c>
      <c r="J226" t="s">
        <v>658</v>
      </c>
      <c r="K226" t="s">
        <v>674</v>
      </c>
      <c r="L226" t="s">
        <v>706</v>
      </c>
      <c r="M226" t="s">
        <v>707</v>
      </c>
      <c r="N226" t="s">
        <v>725</v>
      </c>
      <c r="O226" t="s">
        <v>731</v>
      </c>
      <c r="P226" t="str" cm="1">
        <f t="array" ref="P226">_xlfn.IFS(S226&lt;=PERCENTILE($S$2:$S$1000, 0.33), "Low", S226&lt;=PERCENTILE($S$2:$S$1000, 0.66), "Medium", TRUE, "High")</f>
        <v>Medium</v>
      </c>
      <c r="Q226" t="s">
        <v>958</v>
      </c>
      <c r="R226" s="10">
        <v>1089.1500000000001</v>
      </c>
      <c r="S226" s="10">
        <v>1088.2</v>
      </c>
      <c r="T226" s="8">
        <v>5.0999999999999997E-2</v>
      </c>
      <c r="U226" s="12">
        <f t="shared" si="68"/>
        <v>0</v>
      </c>
      <c r="V226" s="6">
        <v>15</v>
      </c>
      <c r="W226" t="str">
        <f t="shared" si="58"/>
        <v>ok</v>
      </c>
      <c r="X226">
        <f t="shared" si="59"/>
        <v>18</v>
      </c>
      <c r="Y226">
        <f t="shared" si="69"/>
        <v>18</v>
      </c>
      <c r="Z226" s="10">
        <f t="shared" si="70"/>
        <v>15490.527</v>
      </c>
      <c r="AA226" s="10">
        <f t="shared" si="71"/>
        <v>16337.250000000002</v>
      </c>
      <c r="AB226" s="10">
        <f t="shared" si="72"/>
        <v>-846.72300000000178</v>
      </c>
      <c r="AC226" s="10">
        <f t="shared" si="60"/>
        <v>606.37750000000005</v>
      </c>
      <c r="AD226" s="10">
        <f t="shared" si="61"/>
        <v>1193.865</v>
      </c>
      <c r="AE226" s="10">
        <f t="shared" si="62"/>
        <v>1912.0450000000001</v>
      </c>
      <c r="AF226" s="10" t="str">
        <f t="shared" si="63"/>
        <v>High</v>
      </c>
      <c r="AG226" s="6">
        <f t="shared" si="73"/>
        <v>-5.4660696824582002E-2</v>
      </c>
      <c r="AH226" s="4">
        <f t="shared" si="74"/>
        <v>44955</v>
      </c>
      <c r="AI226" t="str">
        <f t="shared" si="75"/>
        <v>Jan-2023</v>
      </c>
    </row>
    <row r="227" spans="1:35" x14ac:dyDescent="0.25">
      <c r="A227" t="s">
        <v>239</v>
      </c>
      <c r="B227" s="4">
        <v>45279</v>
      </c>
      <c r="C227" s="4" t="str">
        <f t="shared" si="64"/>
        <v>Q4-2023</v>
      </c>
      <c r="D227" s="4" t="str">
        <f t="shared" si="65"/>
        <v>Dec-2023</v>
      </c>
      <c r="E227" s="4">
        <v>45280</v>
      </c>
      <c r="F227" s="12">
        <f t="shared" si="66"/>
        <v>1</v>
      </c>
      <c r="G227" s="12">
        <f t="shared" si="57"/>
        <v>1</v>
      </c>
      <c r="H227" s="4">
        <f t="shared" si="67"/>
        <v>45280</v>
      </c>
      <c r="I227" t="s">
        <v>648</v>
      </c>
      <c r="J227" t="s">
        <v>655</v>
      </c>
      <c r="K227" t="s">
        <v>692</v>
      </c>
      <c r="L227" t="s">
        <v>704</v>
      </c>
      <c r="M227" t="s">
        <v>710</v>
      </c>
      <c r="N227" t="s">
        <v>713</v>
      </c>
      <c r="O227" t="s">
        <v>730</v>
      </c>
      <c r="P227" t="str" cm="1">
        <f t="array" ref="P227">_xlfn.IFS(S227&lt;=PERCENTILE($S$2:$S$1000, 0.33), "Low", S227&lt;=PERCENTILE($S$2:$S$1000, 0.66), "Medium", TRUE, "High")</f>
        <v>High</v>
      </c>
      <c r="Q227" t="s">
        <v>959</v>
      </c>
      <c r="R227" s="10">
        <v>1080.43</v>
      </c>
      <c r="S227" s="10">
        <v>2529.15</v>
      </c>
      <c r="T227" s="8">
        <v>0.14699999999999999</v>
      </c>
      <c r="U227" s="12">
        <f t="shared" si="68"/>
        <v>0</v>
      </c>
      <c r="V227" s="6">
        <v>10</v>
      </c>
      <c r="W227" t="str">
        <f t="shared" si="58"/>
        <v>ok</v>
      </c>
      <c r="X227">
        <f t="shared" si="59"/>
        <v>1</v>
      </c>
      <c r="Y227">
        <f t="shared" si="69"/>
        <v>1</v>
      </c>
      <c r="Z227" s="10">
        <f t="shared" si="70"/>
        <v>21573.6495</v>
      </c>
      <c r="AA227" s="10">
        <f t="shared" si="71"/>
        <v>10804.300000000001</v>
      </c>
      <c r="AB227" s="10">
        <f t="shared" si="72"/>
        <v>10769.349499999998</v>
      </c>
      <c r="AC227" s="10">
        <f t="shared" si="60"/>
        <v>606.37750000000005</v>
      </c>
      <c r="AD227" s="10">
        <f t="shared" si="61"/>
        <v>1193.865</v>
      </c>
      <c r="AE227" s="10">
        <f t="shared" si="62"/>
        <v>1912.0450000000001</v>
      </c>
      <c r="AF227" s="10" t="str">
        <f t="shared" si="63"/>
        <v>Medium</v>
      </c>
      <c r="AG227" s="6">
        <f t="shared" si="73"/>
        <v>0.49918997247081437</v>
      </c>
      <c r="AH227" s="4">
        <f t="shared" si="74"/>
        <v>44941</v>
      </c>
      <c r="AI227" t="str">
        <f t="shared" si="75"/>
        <v>Jan-2023</v>
      </c>
    </row>
    <row r="228" spans="1:35" x14ac:dyDescent="0.25">
      <c r="A228" t="s">
        <v>240</v>
      </c>
      <c r="B228" s="4">
        <v>45137</v>
      </c>
      <c r="C228" s="4" t="str">
        <f t="shared" si="64"/>
        <v>Q3-2023</v>
      </c>
      <c r="D228" s="4" t="str">
        <f t="shared" si="65"/>
        <v>Jul-2023</v>
      </c>
      <c r="E228" s="4">
        <v>45145</v>
      </c>
      <c r="F228" s="12">
        <f t="shared" si="66"/>
        <v>8</v>
      </c>
      <c r="G228" s="12">
        <f t="shared" si="57"/>
        <v>0</v>
      </c>
      <c r="H228" s="4">
        <f t="shared" si="67"/>
        <v>45145</v>
      </c>
      <c r="I228" t="s">
        <v>647</v>
      </c>
      <c r="J228" t="s">
        <v>652</v>
      </c>
      <c r="K228" t="s">
        <v>694</v>
      </c>
      <c r="L228" t="s">
        <v>702</v>
      </c>
      <c r="M228" t="s">
        <v>709</v>
      </c>
      <c r="N228" t="s">
        <v>720</v>
      </c>
      <c r="O228" t="s">
        <v>729</v>
      </c>
      <c r="P228" t="str" cm="1">
        <f t="array" ref="P228">_xlfn.IFS(S228&lt;=PERCENTILE($S$2:$S$1000, 0.33), "Low", S228&lt;=PERCENTILE($S$2:$S$1000, 0.66), "Medium", TRUE, "High")</f>
        <v>High</v>
      </c>
      <c r="Q228" t="s">
        <v>960</v>
      </c>
      <c r="R228" s="10">
        <v>1352.44</v>
      </c>
      <c r="S228" s="10">
        <v>2698.01</v>
      </c>
      <c r="T228" s="8">
        <v>0.13100000000000001</v>
      </c>
      <c r="U228" s="12">
        <f t="shared" si="68"/>
        <v>0</v>
      </c>
      <c r="V228" s="6">
        <v>13</v>
      </c>
      <c r="W228" t="str">
        <f t="shared" si="58"/>
        <v>ok</v>
      </c>
      <c r="X228">
        <f t="shared" si="59"/>
        <v>8</v>
      </c>
      <c r="Y228">
        <f t="shared" si="69"/>
        <v>8</v>
      </c>
      <c r="Z228" s="10">
        <f t="shared" si="70"/>
        <v>30479.418970000002</v>
      </c>
      <c r="AA228" s="10">
        <f t="shared" si="71"/>
        <v>17581.72</v>
      </c>
      <c r="AB228" s="10">
        <f t="shared" si="72"/>
        <v>12897.698970000001</v>
      </c>
      <c r="AC228" s="10">
        <f t="shared" si="60"/>
        <v>606.37750000000005</v>
      </c>
      <c r="AD228" s="10">
        <f t="shared" si="61"/>
        <v>1193.865</v>
      </c>
      <c r="AE228" s="10">
        <f t="shared" si="62"/>
        <v>1912.0450000000001</v>
      </c>
      <c r="AF228" s="10" t="str">
        <f t="shared" si="63"/>
        <v>High</v>
      </c>
      <c r="AG228" s="6">
        <f t="shared" si="73"/>
        <v>0.42316091992090887</v>
      </c>
      <c r="AH228" s="4">
        <f t="shared" si="74"/>
        <v>44938</v>
      </c>
      <c r="AI228" t="str">
        <f t="shared" si="75"/>
        <v>Jan-2023</v>
      </c>
    </row>
    <row r="229" spans="1:35" x14ac:dyDescent="0.25">
      <c r="A229" t="s">
        <v>241</v>
      </c>
      <c r="B229" s="4">
        <v>45203</v>
      </c>
      <c r="C229" s="4" t="str">
        <f t="shared" si="64"/>
        <v>Q4-2023</v>
      </c>
      <c r="D229" s="4" t="str">
        <f t="shared" si="65"/>
        <v>Oct-2023</v>
      </c>
      <c r="E229" s="4">
        <v>45228</v>
      </c>
      <c r="F229" s="12">
        <f t="shared" si="66"/>
        <v>25</v>
      </c>
      <c r="G229" s="12">
        <f t="shared" si="57"/>
        <v>0</v>
      </c>
      <c r="H229" s="4">
        <f t="shared" si="67"/>
        <v>45228</v>
      </c>
      <c r="I229" t="s">
        <v>648</v>
      </c>
      <c r="J229" t="s">
        <v>660</v>
      </c>
      <c r="K229" t="s">
        <v>686</v>
      </c>
      <c r="L229" t="s">
        <v>705</v>
      </c>
      <c r="M229" t="s">
        <v>710</v>
      </c>
      <c r="N229" t="s">
        <v>719</v>
      </c>
      <c r="O229" t="s">
        <v>733</v>
      </c>
      <c r="P229" t="str" cm="1">
        <f t="array" ref="P229">_xlfn.IFS(S229&lt;=PERCENTILE($S$2:$S$1000, 0.33), "Low", S229&lt;=PERCENTILE($S$2:$S$1000, 0.66), "Medium", TRUE, "High")</f>
        <v>Medium</v>
      </c>
      <c r="Q229" t="s">
        <v>961</v>
      </c>
      <c r="R229" s="10">
        <v>1239.8399999999999</v>
      </c>
      <c r="S229" s="10">
        <v>1482.75</v>
      </c>
      <c r="T229" s="8">
        <v>6.7000000000000004E-2</v>
      </c>
      <c r="U229" s="12">
        <f t="shared" si="68"/>
        <v>0</v>
      </c>
      <c r="V229" s="6">
        <v>4</v>
      </c>
      <c r="W229" t="str">
        <f t="shared" si="58"/>
        <v>ok</v>
      </c>
      <c r="X229">
        <f t="shared" si="59"/>
        <v>25</v>
      </c>
      <c r="Y229">
        <f t="shared" si="69"/>
        <v>25</v>
      </c>
      <c r="Z229" s="10">
        <f t="shared" si="70"/>
        <v>5533.6230000000005</v>
      </c>
      <c r="AA229" s="10">
        <f t="shared" si="71"/>
        <v>4959.3599999999997</v>
      </c>
      <c r="AB229" s="10">
        <f t="shared" si="72"/>
        <v>574.26300000000083</v>
      </c>
      <c r="AC229" s="10">
        <f t="shared" si="60"/>
        <v>606.37750000000005</v>
      </c>
      <c r="AD229" s="10">
        <f t="shared" si="61"/>
        <v>1193.865</v>
      </c>
      <c r="AE229" s="10">
        <f t="shared" si="62"/>
        <v>1912.0450000000001</v>
      </c>
      <c r="AF229" s="10" t="str">
        <f t="shared" si="63"/>
        <v>High</v>
      </c>
      <c r="AG229" s="6">
        <f t="shared" si="73"/>
        <v>0.10377703721413634</v>
      </c>
      <c r="AH229" s="4">
        <f t="shared" si="74"/>
        <v>44948</v>
      </c>
      <c r="AI229" t="str">
        <f t="shared" si="75"/>
        <v>Jan-2023</v>
      </c>
    </row>
    <row r="230" spans="1:35" x14ac:dyDescent="0.25">
      <c r="A230" t="s">
        <v>242</v>
      </c>
      <c r="B230" s="4">
        <v>45879</v>
      </c>
      <c r="C230" s="4" t="str">
        <f t="shared" si="64"/>
        <v>Q3-2025</v>
      </c>
      <c r="D230" s="4" t="str">
        <f t="shared" si="65"/>
        <v>Aug-2025</v>
      </c>
      <c r="E230" s="4">
        <v>45899</v>
      </c>
      <c r="F230" s="12">
        <f t="shared" si="66"/>
        <v>20</v>
      </c>
      <c r="G230" s="12">
        <f t="shared" si="57"/>
        <v>0</v>
      </c>
      <c r="H230" s="4">
        <f t="shared" si="67"/>
        <v>45899</v>
      </c>
      <c r="I230" t="s">
        <v>648</v>
      </c>
      <c r="J230" t="s">
        <v>660</v>
      </c>
      <c r="K230" t="s">
        <v>686</v>
      </c>
      <c r="L230" t="s">
        <v>701</v>
      </c>
      <c r="M230" t="s">
        <v>709</v>
      </c>
      <c r="N230" t="s">
        <v>723</v>
      </c>
      <c r="O230" t="s">
        <v>728</v>
      </c>
      <c r="P230" t="str" cm="1">
        <f t="array" ref="P230">_xlfn.IFS(S230&lt;=PERCENTILE($S$2:$S$1000, 0.33), "Low", S230&lt;=PERCENTILE($S$2:$S$1000, 0.66), "Medium", TRUE, "High")</f>
        <v>Medium</v>
      </c>
      <c r="Q230" t="s">
        <v>962</v>
      </c>
      <c r="R230" s="10">
        <v>933.29</v>
      </c>
      <c r="S230" s="10">
        <v>1456.81</v>
      </c>
      <c r="T230" s="8">
        <v>0.123</v>
      </c>
      <c r="U230" s="12">
        <f t="shared" si="68"/>
        <v>0</v>
      </c>
      <c r="V230" s="6">
        <v>13</v>
      </c>
      <c r="W230" t="str">
        <f t="shared" si="58"/>
        <v>ok</v>
      </c>
      <c r="X230">
        <f t="shared" si="59"/>
        <v>20</v>
      </c>
      <c r="Y230">
        <f t="shared" si="69"/>
        <v>20</v>
      </c>
      <c r="Z230" s="10">
        <f t="shared" si="70"/>
        <v>16609.090809999998</v>
      </c>
      <c r="AA230" s="10">
        <f t="shared" si="71"/>
        <v>12132.77</v>
      </c>
      <c r="AB230" s="10">
        <f t="shared" si="72"/>
        <v>4476.3208099999974</v>
      </c>
      <c r="AC230" s="10">
        <f t="shared" si="60"/>
        <v>606.37750000000005</v>
      </c>
      <c r="AD230" s="10">
        <f t="shared" si="61"/>
        <v>1193.865</v>
      </c>
      <c r="AE230" s="10">
        <f t="shared" si="62"/>
        <v>1912.0450000000001</v>
      </c>
      <c r="AF230" s="10" t="str">
        <f t="shared" si="63"/>
        <v>Medium</v>
      </c>
      <c r="AG230" s="6">
        <f t="shared" si="73"/>
        <v>0.26951028573489977</v>
      </c>
      <c r="AH230" s="4">
        <f t="shared" si="74"/>
        <v>44938</v>
      </c>
      <c r="AI230" t="str">
        <f t="shared" si="75"/>
        <v>Jan-2023</v>
      </c>
    </row>
    <row r="231" spans="1:35" x14ac:dyDescent="0.25">
      <c r="A231" t="s">
        <v>243</v>
      </c>
      <c r="B231" s="4">
        <v>44992</v>
      </c>
      <c r="C231" s="4" t="str">
        <f t="shared" si="64"/>
        <v>Q1-2023</v>
      </c>
      <c r="D231" s="4" t="str">
        <f t="shared" si="65"/>
        <v>Mar-2023</v>
      </c>
      <c r="E231" s="4">
        <v>45017</v>
      </c>
      <c r="F231" s="12">
        <f t="shared" si="66"/>
        <v>25</v>
      </c>
      <c r="G231" s="12">
        <f t="shared" si="57"/>
        <v>0</v>
      </c>
      <c r="H231" s="4">
        <f t="shared" si="67"/>
        <v>45017</v>
      </c>
      <c r="I231" t="s">
        <v>646</v>
      </c>
      <c r="J231" t="s">
        <v>650</v>
      </c>
      <c r="K231" t="s">
        <v>664</v>
      </c>
      <c r="L231" t="s">
        <v>704</v>
      </c>
      <c r="M231" t="s">
        <v>709</v>
      </c>
      <c r="N231" t="s">
        <v>726</v>
      </c>
      <c r="O231" t="s">
        <v>728</v>
      </c>
      <c r="P231" t="str" cm="1">
        <f t="array" ref="P231">_xlfn.IFS(S231&lt;=PERCENTILE($S$2:$S$1000, 0.33), "Low", S231&lt;=PERCENTILE($S$2:$S$1000, 0.66), "Medium", TRUE, "High")</f>
        <v>Medium</v>
      </c>
      <c r="Q231" t="s">
        <v>963</v>
      </c>
      <c r="R231" s="10">
        <v>1024.0999999999999</v>
      </c>
      <c r="S231" s="10">
        <v>918.19</v>
      </c>
      <c r="T231" s="8">
        <v>0.189</v>
      </c>
      <c r="U231" s="12">
        <f t="shared" si="68"/>
        <v>0</v>
      </c>
      <c r="V231" s="6">
        <v>10</v>
      </c>
      <c r="W231" t="str">
        <f t="shared" si="58"/>
        <v>ok</v>
      </c>
      <c r="X231">
        <f t="shared" si="59"/>
        <v>25</v>
      </c>
      <c r="Y231">
        <f t="shared" si="69"/>
        <v>25</v>
      </c>
      <c r="Z231" s="10">
        <f t="shared" si="70"/>
        <v>7446.5209000000004</v>
      </c>
      <c r="AA231" s="10">
        <f t="shared" si="71"/>
        <v>10241</v>
      </c>
      <c r="AB231" s="10">
        <f t="shared" si="72"/>
        <v>-2794.4790999999996</v>
      </c>
      <c r="AC231" s="10">
        <f t="shared" si="60"/>
        <v>606.37750000000005</v>
      </c>
      <c r="AD231" s="10">
        <f t="shared" si="61"/>
        <v>1193.865</v>
      </c>
      <c r="AE231" s="10">
        <f t="shared" si="62"/>
        <v>1912.0450000000001</v>
      </c>
      <c r="AF231" s="10" t="str">
        <f t="shared" si="63"/>
        <v>Medium</v>
      </c>
      <c r="AG231" s="6">
        <f t="shared" si="73"/>
        <v>-0.37527311579827827</v>
      </c>
      <c r="AH231" s="4">
        <f t="shared" si="74"/>
        <v>44955</v>
      </c>
      <c r="AI231" t="str">
        <f t="shared" si="75"/>
        <v>Jan-2023</v>
      </c>
    </row>
    <row r="232" spans="1:35" x14ac:dyDescent="0.25">
      <c r="A232" t="s">
        <v>244</v>
      </c>
      <c r="B232" s="4">
        <v>45069</v>
      </c>
      <c r="C232" s="4" t="str">
        <f t="shared" si="64"/>
        <v>Q2-2023</v>
      </c>
      <c r="D232" s="4" t="str">
        <f t="shared" si="65"/>
        <v>May-2023</v>
      </c>
      <c r="E232" s="4">
        <v>45087</v>
      </c>
      <c r="F232" s="12">
        <f t="shared" si="66"/>
        <v>18</v>
      </c>
      <c r="G232" s="12">
        <f t="shared" si="57"/>
        <v>0</v>
      </c>
      <c r="H232" s="4">
        <f t="shared" si="67"/>
        <v>45087</v>
      </c>
      <c r="I232" t="s">
        <v>647</v>
      </c>
      <c r="J232" t="s">
        <v>659</v>
      </c>
      <c r="K232" t="s">
        <v>685</v>
      </c>
      <c r="L232" t="s">
        <v>701</v>
      </c>
      <c r="M232" t="s">
        <v>710</v>
      </c>
      <c r="N232" t="s">
        <v>718</v>
      </c>
      <c r="O232" t="s">
        <v>727</v>
      </c>
      <c r="P232" t="str" cm="1">
        <f t="array" ref="P232">_xlfn.IFS(S232&lt;=PERCENTILE($S$2:$S$1000, 0.33), "Low", S232&lt;=PERCENTILE($S$2:$S$1000, 0.66), "Medium", TRUE, "High")</f>
        <v>Low</v>
      </c>
      <c r="Q232" t="s">
        <v>964</v>
      </c>
      <c r="R232" s="10">
        <v>54.62</v>
      </c>
      <c r="S232" s="10">
        <v>48.94</v>
      </c>
      <c r="T232" s="8">
        <v>0.14799999999999999</v>
      </c>
      <c r="U232" s="12">
        <f t="shared" si="68"/>
        <v>0</v>
      </c>
      <c r="V232" s="6">
        <v>16</v>
      </c>
      <c r="W232" t="str">
        <f t="shared" si="58"/>
        <v>ok</v>
      </c>
      <c r="X232">
        <f t="shared" si="59"/>
        <v>18</v>
      </c>
      <c r="Y232">
        <f t="shared" si="69"/>
        <v>18</v>
      </c>
      <c r="Z232" s="10">
        <f t="shared" si="70"/>
        <v>667.15008</v>
      </c>
      <c r="AA232" s="10">
        <f t="shared" si="71"/>
        <v>873.92</v>
      </c>
      <c r="AB232" s="10">
        <f t="shared" si="72"/>
        <v>-206.76991999999996</v>
      </c>
      <c r="AC232" s="10">
        <f t="shared" si="60"/>
        <v>606.37750000000005</v>
      </c>
      <c r="AD232" s="10">
        <f t="shared" si="61"/>
        <v>1193.865</v>
      </c>
      <c r="AE232" s="10">
        <f t="shared" si="62"/>
        <v>1912.0450000000001</v>
      </c>
      <c r="AF232" s="10" t="str">
        <f t="shared" si="63"/>
        <v>Medium</v>
      </c>
      <c r="AG232" s="6">
        <f t="shared" si="73"/>
        <v>-0.3099301434543783</v>
      </c>
      <c r="AH232" s="4">
        <f t="shared" si="74"/>
        <v>44946</v>
      </c>
      <c r="AI232" t="str">
        <f t="shared" si="75"/>
        <v>Jan-2023</v>
      </c>
    </row>
    <row r="233" spans="1:35" x14ac:dyDescent="0.25">
      <c r="A233" t="s">
        <v>245</v>
      </c>
      <c r="B233" s="4">
        <v>45771</v>
      </c>
      <c r="C233" s="4" t="str">
        <f t="shared" si="64"/>
        <v>Q2-2025</v>
      </c>
      <c r="D233" s="4" t="str">
        <f t="shared" si="65"/>
        <v>Apr-2025</v>
      </c>
      <c r="E233" s="4">
        <v>45783</v>
      </c>
      <c r="F233" s="12">
        <f t="shared" si="66"/>
        <v>12</v>
      </c>
      <c r="G233" s="12">
        <f t="shared" si="57"/>
        <v>0</v>
      </c>
      <c r="H233" s="4">
        <f t="shared" si="67"/>
        <v>45783</v>
      </c>
      <c r="I233" t="s">
        <v>648</v>
      </c>
      <c r="J233" t="s">
        <v>655</v>
      </c>
      <c r="K233" t="s">
        <v>672</v>
      </c>
      <c r="L233" t="s">
        <v>704</v>
      </c>
      <c r="M233" t="s">
        <v>708</v>
      </c>
      <c r="N233" t="s">
        <v>712</v>
      </c>
      <c r="O233" t="s">
        <v>730</v>
      </c>
      <c r="P233" t="str" cm="1">
        <f t="array" ref="P233">_xlfn.IFS(S233&lt;=PERCENTILE($S$2:$S$1000, 0.33), "Low", S233&lt;=PERCENTILE($S$2:$S$1000, 0.66), "Medium", TRUE, "High")</f>
        <v>Medium</v>
      </c>
      <c r="Q233" t="s">
        <v>965</v>
      </c>
      <c r="R233" s="10">
        <v>394.13</v>
      </c>
      <c r="S233" s="10">
        <v>932.29</v>
      </c>
      <c r="T233" s="8">
        <v>0.109</v>
      </c>
      <c r="U233" s="12">
        <f t="shared" si="68"/>
        <v>0</v>
      </c>
      <c r="V233" s="6">
        <v>7</v>
      </c>
      <c r="W233" t="str">
        <f t="shared" si="58"/>
        <v>ok</v>
      </c>
      <c r="X233">
        <f t="shared" si="59"/>
        <v>12</v>
      </c>
      <c r="Y233">
        <f t="shared" si="69"/>
        <v>12</v>
      </c>
      <c r="Z233" s="10">
        <f t="shared" si="70"/>
        <v>5814.6927299999998</v>
      </c>
      <c r="AA233" s="10">
        <f t="shared" si="71"/>
        <v>2758.91</v>
      </c>
      <c r="AB233" s="10">
        <f t="shared" si="72"/>
        <v>3055.7827299999999</v>
      </c>
      <c r="AC233" s="10">
        <f t="shared" si="60"/>
        <v>606.37750000000005</v>
      </c>
      <c r="AD233" s="10">
        <f t="shared" si="61"/>
        <v>1193.865</v>
      </c>
      <c r="AE233" s="10">
        <f t="shared" si="62"/>
        <v>1912.0450000000001</v>
      </c>
      <c r="AF233" s="10" t="str">
        <f t="shared" si="63"/>
        <v>Low</v>
      </c>
      <c r="AG233" s="6">
        <f t="shared" si="73"/>
        <v>0.5255278089303268</v>
      </c>
      <c r="AH233" s="4">
        <f t="shared" si="74"/>
        <v>44928</v>
      </c>
      <c r="AI233" t="str">
        <f t="shared" si="75"/>
        <v>Jan-2023</v>
      </c>
    </row>
    <row r="234" spans="1:35" x14ac:dyDescent="0.25">
      <c r="A234" t="s">
        <v>246</v>
      </c>
      <c r="B234" s="4">
        <v>45538</v>
      </c>
      <c r="C234" s="4" t="str">
        <f t="shared" si="64"/>
        <v>Q3-2024</v>
      </c>
      <c r="D234" s="4" t="str">
        <f t="shared" si="65"/>
        <v>Sept-2024</v>
      </c>
      <c r="E234" s="4">
        <v>45543</v>
      </c>
      <c r="F234" s="12">
        <f t="shared" si="66"/>
        <v>5</v>
      </c>
      <c r="G234" s="12">
        <f t="shared" si="57"/>
        <v>1</v>
      </c>
      <c r="H234" s="4">
        <f t="shared" si="67"/>
        <v>45543</v>
      </c>
      <c r="I234" t="s">
        <v>646</v>
      </c>
      <c r="J234" t="s">
        <v>651</v>
      </c>
      <c r="K234" t="s">
        <v>665</v>
      </c>
      <c r="L234" t="s">
        <v>705</v>
      </c>
      <c r="M234" t="s">
        <v>711</v>
      </c>
      <c r="N234" t="s">
        <v>723</v>
      </c>
      <c r="O234" t="s">
        <v>728</v>
      </c>
      <c r="P234" t="str" cm="1">
        <f t="array" ref="P234">_xlfn.IFS(S234&lt;=PERCENTILE($S$2:$S$1000, 0.33), "Low", S234&lt;=PERCENTILE($S$2:$S$1000, 0.66), "Medium", TRUE, "High")</f>
        <v>Low</v>
      </c>
      <c r="Q234" t="s">
        <v>966</v>
      </c>
      <c r="R234" s="10">
        <v>197.63</v>
      </c>
      <c r="S234" s="10">
        <v>325.79000000000002</v>
      </c>
      <c r="T234" s="8">
        <v>0.11600000000000001</v>
      </c>
      <c r="U234" s="12">
        <f t="shared" si="68"/>
        <v>0</v>
      </c>
      <c r="V234" s="6">
        <v>10</v>
      </c>
      <c r="W234" t="str">
        <f t="shared" si="58"/>
        <v>ok</v>
      </c>
      <c r="X234">
        <f t="shared" si="59"/>
        <v>5</v>
      </c>
      <c r="Y234">
        <f t="shared" si="69"/>
        <v>5</v>
      </c>
      <c r="Z234" s="10">
        <f t="shared" si="70"/>
        <v>2879.9836</v>
      </c>
      <c r="AA234" s="10">
        <f t="shared" si="71"/>
        <v>1976.3</v>
      </c>
      <c r="AB234" s="10">
        <f t="shared" si="72"/>
        <v>903.68360000000007</v>
      </c>
      <c r="AC234" s="10">
        <f t="shared" si="60"/>
        <v>606.37750000000005</v>
      </c>
      <c r="AD234" s="10">
        <f t="shared" si="61"/>
        <v>1193.865</v>
      </c>
      <c r="AE234" s="10">
        <f t="shared" si="62"/>
        <v>1912.0450000000001</v>
      </c>
      <c r="AF234" s="10" t="str">
        <f t="shared" si="63"/>
        <v>Medium</v>
      </c>
      <c r="AG234" s="6">
        <f t="shared" si="73"/>
        <v>0.31378081458519419</v>
      </c>
      <c r="AH234" s="4">
        <f t="shared" si="74"/>
        <v>44938</v>
      </c>
      <c r="AI234" t="str">
        <f t="shared" si="75"/>
        <v>Jan-2023</v>
      </c>
    </row>
    <row r="235" spans="1:35" x14ac:dyDescent="0.25">
      <c r="A235" t="s">
        <v>247</v>
      </c>
      <c r="B235" s="4">
        <v>45540</v>
      </c>
      <c r="C235" s="4" t="str">
        <f t="shared" si="64"/>
        <v>Q3-2024</v>
      </c>
      <c r="D235" s="4" t="str">
        <f t="shared" si="65"/>
        <v>Sept-2024</v>
      </c>
      <c r="E235" s="4">
        <v>45560</v>
      </c>
      <c r="F235" s="12">
        <f t="shared" si="66"/>
        <v>20</v>
      </c>
      <c r="G235" s="12">
        <f t="shared" si="57"/>
        <v>0</v>
      </c>
      <c r="H235" s="4">
        <f t="shared" si="67"/>
        <v>45560</v>
      </c>
      <c r="I235" t="s">
        <v>647</v>
      </c>
      <c r="J235" t="s">
        <v>652</v>
      </c>
      <c r="K235" t="s">
        <v>666</v>
      </c>
      <c r="L235" t="s">
        <v>706</v>
      </c>
      <c r="M235" t="s">
        <v>710</v>
      </c>
      <c r="N235" t="s">
        <v>726</v>
      </c>
      <c r="O235" t="s">
        <v>732</v>
      </c>
      <c r="P235" t="str" cm="1">
        <f t="array" ref="P235">_xlfn.IFS(S235&lt;=PERCENTILE($S$2:$S$1000, 0.33), "Low", S235&lt;=PERCENTILE($S$2:$S$1000, 0.66), "Medium", TRUE, "High")</f>
        <v>Low</v>
      </c>
      <c r="Q235" t="s">
        <v>967</v>
      </c>
      <c r="R235" s="10">
        <v>195.54</v>
      </c>
      <c r="S235" s="10">
        <v>405.97</v>
      </c>
      <c r="T235" s="8">
        <v>0.187</v>
      </c>
      <c r="U235" s="12">
        <f t="shared" si="68"/>
        <v>0</v>
      </c>
      <c r="V235" s="6">
        <v>16</v>
      </c>
      <c r="W235" t="str">
        <f t="shared" si="58"/>
        <v>ok</v>
      </c>
      <c r="X235">
        <f t="shared" si="59"/>
        <v>20</v>
      </c>
      <c r="Y235">
        <f t="shared" si="69"/>
        <v>20</v>
      </c>
      <c r="Z235" s="10">
        <f t="shared" si="70"/>
        <v>5280.8577599999999</v>
      </c>
      <c r="AA235" s="10">
        <f t="shared" si="71"/>
        <v>3128.64</v>
      </c>
      <c r="AB235" s="10">
        <f t="shared" si="72"/>
        <v>2152.21776</v>
      </c>
      <c r="AC235" s="10">
        <f t="shared" si="60"/>
        <v>606.37750000000005</v>
      </c>
      <c r="AD235" s="10">
        <f t="shared" si="61"/>
        <v>1193.865</v>
      </c>
      <c r="AE235" s="10">
        <f t="shared" si="62"/>
        <v>1912.0450000000001</v>
      </c>
      <c r="AF235" s="10" t="str">
        <f t="shared" si="63"/>
        <v>Low</v>
      </c>
      <c r="AG235" s="6">
        <f t="shared" si="73"/>
        <v>0.40755079152141377</v>
      </c>
      <c r="AH235" s="4">
        <f t="shared" si="74"/>
        <v>44933</v>
      </c>
      <c r="AI235" t="str">
        <f t="shared" si="75"/>
        <v>Jan-2023</v>
      </c>
    </row>
    <row r="236" spans="1:35" x14ac:dyDescent="0.25">
      <c r="A236" t="s">
        <v>248</v>
      </c>
      <c r="B236" s="4">
        <v>44999</v>
      </c>
      <c r="C236" s="4" t="str">
        <f t="shared" si="64"/>
        <v>Q1-2023</v>
      </c>
      <c r="D236" s="4" t="str">
        <f t="shared" si="65"/>
        <v>Mar-2023</v>
      </c>
      <c r="E236" s="4">
        <v>45015</v>
      </c>
      <c r="F236" s="12">
        <f t="shared" si="66"/>
        <v>16</v>
      </c>
      <c r="G236" s="12">
        <f t="shared" si="57"/>
        <v>0</v>
      </c>
      <c r="H236" s="4">
        <f t="shared" si="67"/>
        <v>45015</v>
      </c>
      <c r="I236" t="s">
        <v>646</v>
      </c>
      <c r="J236" t="s">
        <v>661</v>
      </c>
      <c r="K236" t="s">
        <v>695</v>
      </c>
      <c r="L236" t="s">
        <v>704</v>
      </c>
      <c r="M236" t="s">
        <v>710</v>
      </c>
      <c r="N236" t="s">
        <v>723</v>
      </c>
      <c r="O236" t="s">
        <v>727</v>
      </c>
      <c r="P236" t="str" cm="1">
        <f t="array" ref="P236">_xlfn.IFS(S236&lt;=PERCENTILE($S$2:$S$1000, 0.33), "Low", S236&lt;=PERCENTILE($S$2:$S$1000, 0.66), "Medium", TRUE, "High")</f>
        <v>Medium</v>
      </c>
      <c r="Q236" t="s">
        <v>968</v>
      </c>
      <c r="R236" s="10">
        <v>1309.77</v>
      </c>
      <c r="S236" s="10">
        <v>1589.07</v>
      </c>
      <c r="T236" s="8">
        <v>0.10199999999999999</v>
      </c>
      <c r="U236" s="12">
        <f t="shared" si="68"/>
        <v>0</v>
      </c>
      <c r="V236" s="6">
        <v>10</v>
      </c>
      <c r="W236" t="str">
        <f t="shared" si="58"/>
        <v>ok</v>
      </c>
      <c r="X236">
        <f t="shared" si="59"/>
        <v>16</v>
      </c>
      <c r="Y236">
        <f t="shared" si="69"/>
        <v>16</v>
      </c>
      <c r="Z236" s="10">
        <f t="shared" si="70"/>
        <v>14269.848599999999</v>
      </c>
      <c r="AA236" s="10">
        <f t="shared" si="71"/>
        <v>13097.7</v>
      </c>
      <c r="AB236" s="10">
        <f t="shared" si="72"/>
        <v>1172.1485999999986</v>
      </c>
      <c r="AC236" s="10">
        <f t="shared" si="60"/>
        <v>606.37750000000005</v>
      </c>
      <c r="AD236" s="10">
        <f t="shared" si="61"/>
        <v>1193.865</v>
      </c>
      <c r="AE236" s="10">
        <f t="shared" si="62"/>
        <v>1912.0450000000001</v>
      </c>
      <c r="AF236" s="10" t="str">
        <f t="shared" si="63"/>
        <v>Low</v>
      </c>
      <c r="AG236" s="6">
        <f t="shared" si="73"/>
        <v>8.2141628328137886E-2</v>
      </c>
      <c r="AH236" s="4">
        <f t="shared" si="74"/>
        <v>44946</v>
      </c>
      <c r="AI236" t="str">
        <f t="shared" si="75"/>
        <v>Jan-2023</v>
      </c>
    </row>
    <row r="237" spans="1:35" x14ac:dyDescent="0.25">
      <c r="A237" t="s">
        <v>249</v>
      </c>
      <c r="B237" s="4">
        <v>45302</v>
      </c>
      <c r="C237" s="4" t="str">
        <f t="shared" si="64"/>
        <v>Q1-2024</v>
      </c>
      <c r="D237" s="4" t="str">
        <f t="shared" si="65"/>
        <v>Jan-2024</v>
      </c>
      <c r="E237" s="4">
        <v>45324</v>
      </c>
      <c r="F237" s="12">
        <f t="shared" si="66"/>
        <v>22</v>
      </c>
      <c r="G237" s="12">
        <f t="shared" si="57"/>
        <v>0</v>
      </c>
      <c r="H237" s="4">
        <f t="shared" si="67"/>
        <v>45324</v>
      </c>
      <c r="I237" t="s">
        <v>647</v>
      </c>
      <c r="J237" t="s">
        <v>652</v>
      </c>
      <c r="K237" t="s">
        <v>694</v>
      </c>
      <c r="L237" t="s">
        <v>705</v>
      </c>
      <c r="M237" t="s">
        <v>708</v>
      </c>
      <c r="N237" t="s">
        <v>1418</v>
      </c>
      <c r="O237" t="s">
        <v>728</v>
      </c>
      <c r="P237" t="str" cm="1">
        <f t="array" ref="P237">_xlfn.IFS(S237&lt;=PERCENTILE($S$2:$S$1000, 0.33), "Low", S237&lt;=PERCENTILE($S$2:$S$1000, 0.66), "Medium", TRUE, "High")</f>
        <v>Medium</v>
      </c>
      <c r="Q237" t="s">
        <v>969</v>
      </c>
      <c r="R237" s="10">
        <v>1237.68</v>
      </c>
      <c r="S237" s="10">
        <v>1432.8</v>
      </c>
      <c r="T237" s="8">
        <v>6.8000000000000005E-2</v>
      </c>
      <c r="U237" s="12">
        <f t="shared" si="68"/>
        <v>0</v>
      </c>
      <c r="V237" s="6">
        <v>13</v>
      </c>
      <c r="W237" t="str">
        <f t="shared" si="58"/>
        <v>ok</v>
      </c>
      <c r="X237">
        <f t="shared" si="59"/>
        <v>22</v>
      </c>
      <c r="Y237">
        <f t="shared" si="69"/>
        <v>22</v>
      </c>
      <c r="Z237" s="10">
        <f t="shared" si="70"/>
        <v>17359.804799999998</v>
      </c>
      <c r="AA237" s="10">
        <f t="shared" si="71"/>
        <v>16089.84</v>
      </c>
      <c r="AB237" s="10">
        <f t="shared" si="72"/>
        <v>1269.9647999999979</v>
      </c>
      <c r="AC237" s="10">
        <f t="shared" si="60"/>
        <v>606.37750000000005</v>
      </c>
      <c r="AD237" s="10">
        <f t="shared" si="61"/>
        <v>1193.865</v>
      </c>
      <c r="AE237" s="10">
        <f t="shared" si="62"/>
        <v>1912.0450000000001</v>
      </c>
      <c r="AF237" s="10" t="str">
        <f t="shared" si="63"/>
        <v>Medium</v>
      </c>
      <c r="AG237" s="6">
        <f t="shared" si="73"/>
        <v>7.315547695559331E-2</v>
      </c>
      <c r="AH237" s="4">
        <f t="shared" si="74"/>
        <v>44945</v>
      </c>
      <c r="AI237" t="str">
        <f t="shared" si="75"/>
        <v>Jan-2023</v>
      </c>
    </row>
    <row r="238" spans="1:35" x14ac:dyDescent="0.25">
      <c r="A238" t="s">
        <v>250</v>
      </c>
      <c r="B238" s="4">
        <v>45548</v>
      </c>
      <c r="C238" s="4" t="str">
        <f t="shared" si="64"/>
        <v>Q3-2024</v>
      </c>
      <c r="D238" s="4" t="str">
        <f t="shared" si="65"/>
        <v>Sept-2024</v>
      </c>
      <c r="E238" s="4">
        <v>45567</v>
      </c>
      <c r="F238" s="12">
        <f t="shared" si="66"/>
        <v>19</v>
      </c>
      <c r="G238" s="12">
        <f t="shared" si="57"/>
        <v>0</v>
      </c>
      <c r="H238" s="4">
        <f t="shared" si="67"/>
        <v>45567</v>
      </c>
      <c r="I238" t="s">
        <v>646</v>
      </c>
      <c r="J238" t="s">
        <v>650</v>
      </c>
      <c r="K238" t="s">
        <v>675</v>
      </c>
      <c r="L238" t="s">
        <v>705</v>
      </c>
      <c r="M238" t="s">
        <v>707</v>
      </c>
      <c r="N238" t="s">
        <v>724</v>
      </c>
      <c r="O238" t="s">
        <v>730</v>
      </c>
      <c r="P238" t="str" cm="1">
        <f t="array" ref="P238">_xlfn.IFS(S238&lt;=PERCENTILE($S$2:$S$1000, 0.33), "Low", S238&lt;=PERCENTILE($S$2:$S$1000, 0.66), "Medium", TRUE, "High")</f>
        <v>High</v>
      </c>
      <c r="Q238" t="s">
        <v>970</v>
      </c>
      <c r="R238" s="10">
        <v>1338.99</v>
      </c>
      <c r="S238" s="10">
        <v>1765.76</v>
      </c>
      <c r="T238" s="8">
        <v>0.126</v>
      </c>
      <c r="U238" s="12">
        <f t="shared" si="68"/>
        <v>0</v>
      </c>
      <c r="V238" s="6">
        <v>24</v>
      </c>
      <c r="W238" t="str">
        <f t="shared" si="58"/>
        <v>ok</v>
      </c>
      <c r="X238">
        <f t="shared" si="59"/>
        <v>19</v>
      </c>
      <c r="Y238">
        <f t="shared" si="69"/>
        <v>19</v>
      </c>
      <c r="Z238" s="10">
        <f t="shared" si="70"/>
        <v>37038.581760000001</v>
      </c>
      <c r="AA238" s="10">
        <f t="shared" si="71"/>
        <v>32135.760000000002</v>
      </c>
      <c r="AB238" s="10">
        <f t="shared" si="72"/>
        <v>4902.8217599999989</v>
      </c>
      <c r="AC238" s="10">
        <f t="shared" si="60"/>
        <v>606.37750000000005</v>
      </c>
      <c r="AD238" s="10">
        <f t="shared" si="61"/>
        <v>1193.865</v>
      </c>
      <c r="AE238" s="10">
        <f t="shared" si="62"/>
        <v>1912.0450000000001</v>
      </c>
      <c r="AF238" s="10" t="str">
        <f t="shared" si="63"/>
        <v>Medium</v>
      </c>
      <c r="AG238" s="6">
        <f t="shared" si="73"/>
        <v>0.1323706666677725</v>
      </c>
      <c r="AH238" s="4">
        <f t="shared" si="74"/>
        <v>44988</v>
      </c>
      <c r="AI238" t="str">
        <f t="shared" si="75"/>
        <v>Mar-2023</v>
      </c>
    </row>
    <row r="239" spans="1:35" x14ac:dyDescent="0.25">
      <c r="A239" t="s">
        <v>251</v>
      </c>
      <c r="B239" s="4">
        <v>45855</v>
      </c>
      <c r="C239" s="4" t="str">
        <f t="shared" si="64"/>
        <v>Q3-2025</v>
      </c>
      <c r="D239" s="4" t="str">
        <f t="shared" si="65"/>
        <v>Jul-2025</v>
      </c>
      <c r="E239" s="4">
        <v>45861</v>
      </c>
      <c r="F239" s="12">
        <f t="shared" si="66"/>
        <v>6</v>
      </c>
      <c r="G239" s="12">
        <f t="shared" si="57"/>
        <v>1</v>
      </c>
      <c r="H239" s="4">
        <f t="shared" si="67"/>
        <v>45861</v>
      </c>
      <c r="I239" t="s">
        <v>648</v>
      </c>
      <c r="J239" t="s">
        <v>653</v>
      </c>
      <c r="K239" t="s">
        <v>688</v>
      </c>
      <c r="L239" t="s">
        <v>704</v>
      </c>
      <c r="M239" t="s">
        <v>708</v>
      </c>
      <c r="N239" t="s">
        <v>722</v>
      </c>
      <c r="O239" t="s">
        <v>727</v>
      </c>
      <c r="P239" t="str" cm="1">
        <f t="array" ref="P239">_xlfn.IFS(S239&lt;=PERCENTILE($S$2:$S$1000, 0.33), "Low", S239&lt;=PERCENTILE($S$2:$S$1000, 0.66), "Medium", TRUE, "High")</f>
        <v>High</v>
      </c>
      <c r="Q239" t="s">
        <v>971</v>
      </c>
      <c r="R239" s="10">
        <v>1364.89</v>
      </c>
      <c r="S239" s="10">
        <v>2757.54</v>
      </c>
      <c r="T239" s="8">
        <v>0.17199999999999999</v>
      </c>
      <c r="U239" s="12">
        <f t="shared" si="68"/>
        <v>0</v>
      </c>
      <c r="V239" s="6">
        <v>61</v>
      </c>
      <c r="W239" t="str">
        <f t="shared" si="58"/>
        <v>ok</v>
      </c>
      <c r="X239">
        <f t="shared" si="59"/>
        <v>6</v>
      </c>
      <c r="Y239">
        <f t="shared" si="69"/>
        <v>6</v>
      </c>
      <c r="Z239" s="10">
        <f t="shared" si="70"/>
        <v>139277.83032000001</v>
      </c>
      <c r="AA239" s="10">
        <f t="shared" si="71"/>
        <v>83258.290000000008</v>
      </c>
      <c r="AB239" s="10">
        <f t="shared" si="72"/>
        <v>56019.54032</v>
      </c>
      <c r="AC239" s="10">
        <f t="shared" si="60"/>
        <v>606.37750000000005</v>
      </c>
      <c r="AD239" s="10">
        <f t="shared" si="61"/>
        <v>1193.865</v>
      </c>
      <c r="AE239" s="10">
        <f t="shared" si="62"/>
        <v>1912.0450000000001</v>
      </c>
      <c r="AF239" s="10" t="str">
        <f t="shared" si="63"/>
        <v>Medium</v>
      </c>
      <c r="AG239" s="6">
        <f t="shared" si="73"/>
        <v>0.4022143379983118</v>
      </c>
      <c r="AH239" s="4">
        <f t="shared" si="74"/>
        <v>44946</v>
      </c>
      <c r="AI239" t="str">
        <f t="shared" si="75"/>
        <v>Jan-2023</v>
      </c>
    </row>
    <row r="240" spans="1:35" x14ac:dyDescent="0.25">
      <c r="A240" t="s">
        <v>252</v>
      </c>
      <c r="B240" s="4">
        <v>45258</v>
      </c>
      <c r="C240" s="4" t="str">
        <f t="shared" si="64"/>
        <v>Q4-2023</v>
      </c>
      <c r="D240" s="4" t="str">
        <f t="shared" si="65"/>
        <v>Nov-2023</v>
      </c>
      <c r="E240" s="4">
        <v>45267</v>
      </c>
      <c r="F240" s="12">
        <f t="shared" si="66"/>
        <v>9</v>
      </c>
      <c r="G240" s="12">
        <f t="shared" si="57"/>
        <v>0</v>
      </c>
      <c r="H240" s="4">
        <f t="shared" si="67"/>
        <v>45267</v>
      </c>
      <c r="I240" t="s">
        <v>647</v>
      </c>
      <c r="J240" t="s">
        <v>654</v>
      </c>
      <c r="K240" t="s">
        <v>680</v>
      </c>
      <c r="L240" t="s">
        <v>706</v>
      </c>
      <c r="M240" t="s">
        <v>709</v>
      </c>
      <c r="N240" t="s">
        <v>716</v>
      </c>
      <c r="O240" t="s">
        <v>730</v>
      </c>
      <c r="P240" t="str" cm="1">
        <f t="array" ref="P240">_xlfn.IFS(S240&lt;=PERCENTILE($S$2:$S$1000, 0.33), "Low", S240&lt;=PERCENTILE($S$2:$S$1000, 0.66), "Medium", TRUE, "High")</f>
        <v>Medium</v>
      </c>
      <c r="Q240" t="s">
        <v>972</v>
      </c>
      <c r="R240" s="10">
        <v>699.33</v>
      </c>
      <c r="S240" s="10">
        <v>873.75</v>
      </c>
      <c r="T240" s="8">
        <v>0.23499999999999999</v>
      </c>
      <c r="U240" s="12">
        <f t="shared" si="68"/>
        <v>1</v>
      </c>
      <c r="V240" s="6">
        <v>10</v>
      </c>
      <c r="W240" t="str">
        <f t="shared" si="58"/>
        <v>ok</v>
      </c>
      <c r="X240">
        <f t="shared" si="59"/>
        <v>9</v>
      </c>
      <c r="Y240">
        <f t="shared" si="69"/>
        <v>9</v>
      </c>
      <c r="Z240" s="10">
        <f t="shared" si="70"/>
        <v>6684.1875</v>
      </c>
      <c r="AA240" s="10">
        <f t="shared" si="71"/>
        <v>6993.3</v>
      </c>
      <c r="AB240" s="10">
        <f t="shared" si="72"/>
        <v>-309.11250000000018</v>
      </c>
      <c r="AC240" s="10">
        <f t="shared" si="60"/>
        <v>606.37750000000005</v>
      </c>
      <c r="AD240" s="10">
        <f t="shared" si="61"/>
        <v>1193.865</v>
      </c>
      <c r="AE240" s="10">
        <f t="shared" si="62"/>
        <v>1912.0450000000001</v>
      </c>
      <c r="AF240" s="10" t="str">
        <f t="shared" si="63"/>
        <v>High</v>
      </c>
      <c r="AG240" s="6">
        <f t="shared" si="73"/>
        <v>-4.6245336475076469E-2</v>
      </c>
      <c r="AH240" s="4">
        <f t="shared" si="74"/>
        <v>44938</v>
      </c>
      <c r="AI240" t="str">
        <f t="shared" si="75"/>
        <v>Jan-2023</v>
      </c>
    </row>
    <row r="241" spans="1:35" x14ac:dyDescent="0.25">
      <c r="A241" t="s">
        <v>253</v>
      </c>
      <c r="B241" s="4">
        <v>45381</v>
      </c>
      <c r="C241" s="4" t="str">
        <f t="shared" si="64"/>
        <v>Q1-2024</v>
      </c>
      <c r="D241" s="4" t="str">
        <f t="shared" si="65"/>
        <v>Mar-2024</v>
      </c>
      <c r="E241" s="4">
        <v>45406</v>
      </c>
      <c r="F241" s="12">
        <f t="shared" si="66"/>
        <v>25</v>
      </c>
      <c r="G241" s="12">
        <f t="shared" si="57"/>
        <v>0</v>
      </c>
      <c r="H241" s="4">
        <f t="shared" si="67"/>
        <v>45406</v>
      </c>
      <c r="I241" t="s">
        <v>648</v>
      </c>
      <c r="J241" t="s">
        <v>660</v>
      </c>
      <c r="K241" t="s">
        <v>697</v>
      </c>
      <c r="L241" t="s">
        <v>703</v>
      </c>
      <c r="M241" t="s">
        <v>708</v>
      </c>
      <c r="N241" t="s">
        <v>715</v>
      </c>
      <c r="O241" t="s">
        <v>731</v>
      </c>
      <c r="P241" t="str" cm="1">
        <f t="array" ref="P241">_xlfn.IFS(S241&lt;=PERCENTILE($S$2:$S$1000, 0.33), "Low", S241&lt;=PERCENTILE($S$2:$S$1000, 0.66), "Medium", TRUE, "High")</f>
        <v>Low</v>
      </c>
      <c r="Q241" t="s">
        <v>973</v>
      </c>
      <c r="R241" s="10">
        <v>160.82</v>
      </c>
      <c r="S241" s="10">
        <v>258.52</v>
      </c>
      <c r="T241" s="8">
        <v>0.13</v>
      </c>
      <c r="U241" s="12">
        <f t="shared" si="68"/>
        <v>0</v>
      </c>
      <c r="V241" s="6">
        <v>17</v>
      </c>
      <c r="W241" t="str">
        <f t="shared" si="58"/>
        <v>ok</v>
      </c>
      <c r="X241">
        <f t="shared" si="59"/>
        <v>25</v>
      </c>
      <c r="Y241">
        <f t="shared" si="69"/>
        <v>25</v>
      </c>
      <c r="Z241" s="10">
        <f t="shared" si="70"/>
        <v>3823.5108</v>
      </c>
      <c r="AA241" s="10">
        <f t="shared" si="71"/>
        <v>2733.94</v>
      </c>
      <c r="AB241" s="10">
        <f t="shared" si="72"/>
        <v>1089.5708</v>
      </c>
      <c r="AC241" s="10">
        <f t="shared" si="60"/>
        <v>606.37750000000005</v>
      </c>
      <c r="AD241" s="10">
        <f t="shared" si="61"/>
        <v>1193.865</v>
      </c>
      <c r="AE241" s="10">
        <f t="shared" si="62"/>
        <v>1912.0450000000001</v>
      </c>
      <c r="AF241" s="10" t="str">
        <f t="shared" si="63"/>
        <v>Medium</v>
      </c>
      <c r="AG241" s="6">
        <f t="shared" si="73"/>
        <v>0.28496605789631874</v>
      </c>
      <c r="AH241" s="4">
        <f t="shared" si="74"/>
        <v>44945</v>
      </c>
      <c r="AI241" t="str">
        <f t="shared" si="75"/>
        <v>Jan-2023</v>
      </c>
    </row>
    <row r="242" spans="1:35" x14ac:dyDescent="0.25">
      <c r="A242" t="s">
        <v>254</v>
      </c>
      <c r="B242" s="4">
        <v>45188</v>
      </c>
      <c r="C242" s="4" t="str">
        <f t="shared" si="64"/>
        <v>Q3-2023</v>
      </c>
      <c r="D242" s="4" t="str">
        <f t="shared" si="65"/>
        <v>Sept-2023</v>
      </c>
      <c r="E242" s="4">
        <v>45207</v>
      </c>
      <c r="F242" s="12">
        <f t="shared" si="66"/>
        <v>19</v>
      </c>
      <c r="G242" s="12">
        <f t="shared" si="57"/>
        <v>0</v>
      </c>
      <c r="H242" s="4">
        <f t="shared" si="67"/>
        <v>45207</v>
      </c>
      <c r="I242" t="s">
        <v>647</v>
      </c>
      <c r="J242" t="s">
        <v>654</v>
      </c>
      <c r="K242" t="s">
        <v>668</v>
      </c>
      <c r="L242" t="s">
        <v>702</v>
      </c>
      <c r="M242" t="s">
        <v>711</v>
      </c>
      <c r="N242" t="s">
        <v>713</v>
      </c>
      <c r="O242" t="s">
        <v>728</v>
      </c>
      <c r="P242" t="str" cm="1">
        <f t="array" ref="P242">_xlfn.IFS(S242&lt;=PERCENTILE($S$2:$S$1000, 0.33), "Low", S242&lt;=PERCENTILE($S$2:$S$1000, 0.66), "Medium", TRUE, "High")</f>
        <v>Low</v>
      </c>
      <c r="Q242" t="s">
        <v>974</v>
      </c>
      <c r="R242" s="10">
        <v>385.32</v>
      </c>
      <c r="S242" s="10">
        <v>606.76</v>
      </c>
      <c r="T242" s="8">
        <v>8.5999999999999993E-2</v>
      </c>
      <c r="U242" s="12">
        <f t="shared" si="68"/>
        <v>0</v>
      </c>
      <c r="V242" s="6">
        <v>8</v>
      </c>
      <c r="W242" t="str">
        <f t="shared" si="58"/>
        <v>ok</v>
      </c>
      <c r="X242">
        <f t="shared" si="59"/>
        <v>19</v>
      </c>
      <c r="Y242">
        <f t="shared" si="69"/>
        <v>19</v>
      </c>
      <c r="Z242" s="10">
        <f t="shared" si="70"/>
        <v>4436.6291200000005</v>
      </c>
      <c r="AA242" s="10">
        <f t="shared" si="71"/>
        <v>3082.56</v>
      </c>
      <c r="AB242" s="10">
        <f t="shared" si="72"/>
        <v>1354.0691200000006</v>
      </c>
      <c r="AC242" s="10">
        <f t="shared" si="60"/>
        <v>606.37750000000005</v>
      </c>
      <c r="AD242" s="10">
        <f t="shared" si="61"/>
        <v>1193.865</v>
      </c>
      <c r="AE242" s="10">
        <f t="shared" si="62"/>
        <v>1912.0450000000001</v>
      </c>
      <c r="AF242" s="10" t="str">
        <f t="shared" si="63"/>
        <v>Low</v>
      </c>
      <c r="AG242" s="6">
        <f t="shared" si="73"/>
        <v>0.30520223425842735</v>
      </c>
      <c r="AH242" s="4">
        <f t="shared" si="74"/>
        <v>44933</v>
      </c>
      <c r="AI242" t="str">
        <f t="shared" si="75"/>
        <v>Jan-2023</v>
      </c>
    </row>
    <row r="243" spans="1:35" x14ac:dyDescent="0.25">
      <c r="A243" t="s">
        <v>255</v>
      </c>
      <c r="B243" s="4">
        <v>45793</v>
      </c>
      <c r="C243" s="4" t="str">
        <f t="shared" si="64"/>
        <v>Q2-2025</v>
      </c>
      <c r="D243" s="4" t="str">
        <f t="shared" si="65"/>
        <v>May-2025</v>
      </c>
      <c r="E243" s="4">
        <v>45804</v>
      </c>
      <c r="F243" s="12">
        <f t="shared" si="66"/>
        <v>11</v>
      </c>
      <c r="G243" s="12">
        <f t="shared" si="57"/>
        <v>0</v>
      </c>
      <c r="H243" s="4">
        <f t="shared" si="67"/>
        <v>45804</v>
      </c>
      <c r="I243" t="s">
        <v>647</v>
      </c>
      <c r="J243" t="s">
        <v>659</v>
      </c>
      <c r="K243" t="s">
        <v>699</v>
      </c>
      <c r="L243" t="s">
        <v>706</v>
      </c>
      <c r="M243" t="s">
        <v>708</v>
      </c>
      <c r="N243" t="s">
        <v>721</v>
      </c>
      <c r="O243" t="s">
        <v>730</v>
      </c>
      <c r="P243" t="str" cm="1">
        <f t="array" ref="P243">_xlfn.IFS(S243&lt;=PERCENTILE($S$2:$S$1000, 0.33), "Low", S243&lt;=PERCENTILE($S$2:$S$1000, 0.66), "Medium", TRUE, "High")</f>
        <v>Medium</v>
      </c>
      <c r="Q243" t="s">
        <v>975</v>
      </c>
      <c r="R243" s="10">
        <v>918.12</v>
      </c>
      <c r="S243" s="10">
        <v>1337.69</v>
      </c>
      <c r="T243" s="8">
        <v>9.5000000000000001E-2</v>
      </c>
      <c r="U243" s="12">
        <f t="shared" si="68"/>
        <v>0</v>
      </c>
      <c r="V243" s="6">
        <v>8</v>
      </c>
      <c r="W243" t="str">
        <f t="shared" si="58"/>
        <v>ok</v>
      </c>
      <c r="X243">
        <f t="shared" si="59"/>
        <v>11</v>
      </c>
      <c r="Y243">
        <f t="shared" si="69"/>
        <v>11</v>
      </c>
      <c r="Z243" s="10">
        <f t="shared" si="70"/>
        <v>9684.8756000000012</v>
      </c>
      <c r="AA243" s="10">
        <f t="shared" si="71"/>
        <v>7344.96</v>
      </c>
      <c r="AB243" s="10">
        <f t="shared" si="72"/>
        <v>2339.9156000000012</v>
      </c>
      <c r="AC243" s="10">
        <f t="shared" si="60"/>
        <v>606.37750000000005</v>
      </c>
      <c r="AD243" s="10">
        <f t="shared" si="61"/>
        <v>1193.865</v>
      </c>
      <c r="AE243" s="10">
        <f t="shared" si="62"/>
        <v>1912.0450000000001</v>
      </c>
      <c r="AF243" s="10" t="str">
        <f t="shared" si="63"/>
        <v>Medium</v>
      </c>
      <c r="AG243" s="6">
        <f t="shared" si="73"/>
        <v>0.24160512707050164</v>
      </c>
      <c r="AH243" s="4">
        <f t="shared" si="74"/>
        <v>44939</v>
      </c>
      <c r="AI243" t="str">
        <f t="shared" si="75"/>
        <v>Jan-2023</v>
      </c>
    </row>
    <row r="244" spans="1:35" x14ac:dyDescent="0.25">
      <c r="A244" t="s">
        <v>256</v>
      </c>
      <c r="B244" s="4">
        <v>45871</v>
      </c>
      <c r="C244" s="4" t="str">
        <f t="shared" si="64"/>
        <v>Q3-2025</v>
      </c>
      <c r="D244" s="4" t="str">
        <f t="shared" si="65"/>
        <v>Aug-2025</v>
      </c>
      <c r="E244" s="4">
        <v>45877</v>
      </c>
      <c r="F244" s="12">
        <f t="shared" si="66"/>
        <v>6</v>
      </c>
      <c r="G244" s="12">
        <f t="shared" si="57"/>
        <v>1</v>
      </c>
      <c r="H244" s="4">
        <f t="shared" si="67"/>
        <v>45877</v>
      </c>
      <c r="I244" t="s">
        <v>647</v>
      </c>
      <c r="J244" t="s">
        <v>652</v>
      </c>
      <c r="K244" t="s">
        <v>666</v>
      </c>
      <c r="L244" t="s">
        <v>704</v>
      </c>
      <c r="M244" t="s">
        <v>711</v>
      </c>
      <c r="N244" t="s">
        <v>725</v>
      </c>
      <c r="O244" t="s">
        <v>731</v>
      </c>
      <c r="P244" t="str" cm="1">
        <f t="array" ref="P244">_xlfn.IFS(S244&lt;=PERCENTILE($S$2:$S$1000, 0.33), "Low", S244&lt;=PERCENTILE($S$2:$S$1000, 0.66), "Medium", TRUE, "High")</f>
        <v>High</v>
      </c>
      <c r="Q244" t="s">
        <v>976</v>
      </c>
      <c r="R244" s="10">
        <v>1225.94</v>
      </c>
      <c r="S244" s="10">
        <v>1793.08</v>
      </c>
      <c r="T244" s="8">
        <v>0.13600000000000001</v>
      </c>
      <c r="U244" s="12">
        <f t="shared" si="68"/>
        <v>0</v>
      </c>
      <c r="V244" s="6">
        <v>22</v>
      </c>
      <c r="W244" t="str">
        <f t="shared" si="58"/>
        <v>ok</v>
      </c>
      <c r="X244">
        <f t="shared" si="59"/>
        <v>6</v>
      </c>
      <c r="Y244">
        <f t="shared" si="69"/>
        <v>6</v>
      </c>
      <c r="Z244" s="10">
        <f t="shared" si="70"/>
        <v>34082.864639999993</v>
      </c>
      <c r="AA244" s="10">
        <f t="shared" si="71"/>
        <v>26970.68</v>
      </c>
      <c r="AB244" s="10">
        <f t="shared" si="72"/>
        <v>7112.1846399999922</v>
      </c>
      <c r="AC244" s="10">
        <f t="shared" si="60"/>
        <v>606.37750000000005</v>
      </c>
      <c r="AD244" s="10">
        <f t="shared" si="61"/>
        <v>1193.865</v>
      </c>
      <c r="AE244" s="10">
        <f t="shared" si="62"/>
        <v>1912.0450000000001</v>
      </c>
      <c r="AF244" s="10" t="str">
        <f t="shared" si="63"/>
        <v>Medium</v>
      </c>
      <c r="AG244" s="6">
        <f t="shared" si="73"/>
        <v>0.20867332353434462</v>
      </c>
      <c r="AH244" s="4">
        <f t="shared" si="74"/>
        <v>44988</v>
      </c>
      <c r="AI244" t="str">
        <f t="shared" si="75"/>
        <v>Mar-2023</v>
      </c>
    </row>
    <row r="245" spans="1:35" x14ac:dyDescent="0.25">
      <c r="A245" t="s">
        <v>257</v>
      </c>
      <c r="B245" s="4">
        <v>45630</v>
      </c>
      <c r="C245" s="4" t="str">
        <f t="shared" si="64"/>
        <v>Q4-2024</v>
      </c>
      <c r="D245" s="4" t="str">
        <f t="shared" si="65"/>
        <v>Dec-2024</v>
      </c>
      <c r="E245" s="4">
        <v>45638</v>
      </c>
      <c r="F245" s="12">
        <f t="shared" si="66"/>
        <v>8</v>
      </c>
      <c r="G245" s="12">
        <f t="shared" si="57"/>
        <v>0</v>
      </c>
      <c r="H245" s="4">
        <f t="shared" si="67"/>
        <v>45638</v>
      </c>
      <c r="I245" t="s">
        <v>649</v>
      </c>
      <c r="J245" t="s">
        <v>656</v>
      </c>
      <c r="K245" t="s">
        <v>698</v>
      </c>
      <c r="L245" t="s">
        <v>706</v>
      </c>
      <c r="M245" t="s">
        <v>709</v>
      </c>
      <c r="N245" t="s">
        <v>717</v>
      </c>
      <c r="O245" t="s">
        <v>728</v>
      </c>
      <c r="P245" t="str" cm="1">
        <f t="array" ref="P245">_xlfn.IFS(S245&lt;=PERCENTILE($S$2:$S$1000, 0.33), "Low", S245&lt;=PERCENTILE($S$2:$S$1000, 0.66), "Medium", TRUE, "High")</f>
        <v>Low</v>
      </c>
      <c r="Q245" t="s">
        <v>977</v>
      </c>
      <c r="R245" s="10">
        <v>72.06</v>
      </c>
      <c r="S245" s="10">
        <v>122.74</v>
      </c>
      <c r="T245" s="8">
        <v>0.23799999999999999</v>
      </c>
      <c r="U245" s="12">
        <f t="shared" si="68"/>
        <v>1</v>
      </c>
      <c r="V245" s="6">
        <v>8</v>
      </c>
      <c r="W245" t="str">
        <f t="shared" si="58"/>
        <v>ok</v>
      </c>
      <c r="X245">
        <f t="shared" si="59"/>
        <v>8</v>
      </c>
      <c r="Y245">
        <f t="shared" si="69"/>
        <v>8</v>
      </c>
      <c r="Z245" s="10">
        <f t="shared" si="70"/>
        <v>748.22303999999997</v>
      </c>
      <c r="AA245" s="10">
        <f t="shared" si="71"/>
        <v>576.48</v>
      </c>
      <c r="AB245" s="10">
        <f t="shared" si="72"/>
        <v>171.74303999999995</v>
      </c>
      <c r="AC245" s="10">
        <f t="shared" si="60"/>
        <v>606.37750000000005</v>
      </c>
      <c r="AD245" s="10">
        <f t="shared" si="61"/>
        <v>1193.865</v>
      </c>
      <c r="AE245" s="10">
        <f t="shared" si="62"/>
        <v>1912.0450000000001</v>
      </c>
      <c r="AF245" s="10" t="str">
        <f t="shared" si="63"/>
        <v>Medium</v>
      </c>
      <c r="AG245" s="6">
        <f t="shared" si="73"/>
        <v>0.22953455162246802</v>
      </c>
      <c r="AH245" s="4">
        <f t="shared" si="74"/>
        <v>44955</v>
      </c>
      <c r="AI245" t="str">
        <f t="shared" si="75"/>
        <v>Jan-2023</v>
      </c>
    </row>
    <row r="246" spans="1:35" x14ac:dyDescent="0.25">
      <c r="A246" t="s">
        <v>258</v>
      </c>
      <c r="B246" s="4">
        <v>45035</v>
      </c>
      <c r="C246" s="4" t="str">
        <f t="shared" si="64"/>
        <v>Q2-2023</v>
      </c>
      <c r="D246" s="4" t="str">
        <f t="shared" si="65"/>
        <v>Apr-2023</v>
      </c>
      <c r="E246" s="4">
        <v>45044</v>
      </c>
      <c r="F246" s="12">
        <f t="shared" si="66"/>
        <v>9</v>
      </c>
      <c r="G246" s="12">
        <f t="shared" si="57"/>
        <v>0</v>
      </c>
      <c r="H246" s="4">
        <f t="shared" si="67"/>
        <v>45044</v>
      </c>
      <c r="I246" t="s">
        <v>648</v>
      </c>
      <c r="J246" t="s">
        <v>655</v>
      </c>
      <c r="K246" t="s">
        <v>692</v>
      </c>
      <c r="L246" t="s">
        <v>701</v>
      </c>
      <c r="M246" t="s">
        <v>710</v>
      </c>
      <c r="N246" t="s">
        <v>724</v>
      </c>
      <c r="O246" t="s">
        <v>730</v>
      </c>
      <c r="P246" t="str" cm="1">
        <f t="array" ref="P246">_xlfn.IFS(S246&lt;=PERCENTILE($S$2:$S$1000, 0.33), "Low", S246&lt;=PERCENTILE($S$2:$S$1000, 0.66), "Medium", TRUE, "High")</f>
        <v>Medium</v>
      </c>
      <c r="Q246" t="s">
        <v>978</v>
      </c>
      <c r="R246" s="10">
        <v>1013.54</v>
      </c>
      <c r="S246" s="10">
        <v>927.93</v>
      </c>
      <c r="T246" s="8">
        <v>0.17499999999999999</v>
      </c>
      <c r="U246" s="12">
        <f t="shared" si="68"/>
        <v>0</v>
      </c>
      <c r="V246" s="6">
        <v>16</v>
      </c>
      <c r="W246" t="str">
        <f t="shared" si="58"/>
        <v>ok</v>
      </c>
      <c r="X246">
        <f t="shared" si="59"/>
        <v>9</v>
      </c>
      <c r="Y246">
        <f t="shared" si="69"/>
        <v>9</v>
      </c>
      <c r="Z246" s="10">
        <f t="shared" si="70"/>
        <v>12248.675999999999</v>
      </c>
      <c r="AA246" s="10">
        <f t="shared" si="71"/>
        <v>16216.64</v>
      </c>
      <c r="AB246" s="10">
        <f t="shared" si="72"/>
        <v>-3967.9639999999999</v>
      </c>
      <c r="AC246" s="10">
        <f t="shared" si="60"/>
        <v>606.37750000000005</v>
      </c>
      <c r="AD246" s="10">
        <f t="shared" si="61"/>
        <v>1193.865</v>
      </c>
      <c r="AE246" s="10">
        <f t="shared" si="62"/>
        <v>1912.0450000000001</v>
      </c>
      <c r="AF246" s="10" t="str">
        <f t="shared" si="63"/>
        <v>Low</v>
      </c>
      <c r="AG246" s="6">
        <f t="shared" si="73"/>
        <v>-0.32395044166406234</v>
      </c>
      <c r="AH246" s="4">
        <f t="shared" si="74"/>
        <v>44928</v>
      </c>
      <c r="AI246" t="str">
        <f t="shared" si="75"/>
        <v>Jan-2023</v>
      </c>
    </row>
    <row r="247" spans="1:35" x14ac:dyDescent="0.25">
      <c r="A247" t="s">
        <v>259</v>
      </c>
      <c r="B247" s="4">
        <v>45357</v>
      </c>
      <c r="C247" s="4" t="str">
        <f t="shared" si="64"/>
        <v>Q1-2024</v>
      </c>
      <c r="D247" s="4" t="str">
        <f t="shared" si="65"/>
        <v>Mar-2024</v>
      </c>
      <c r="E247" s="4">
        <v>45377</v>
      </c>
      <c r="F247" s="12">
        <f t="shared" si="66"/>
        <v>20</v>
      </c>
      <c r="G247" s="12">
        <f t="shared" si="57"/>
        <v>0</v>
      </c>
      <c r="H247" s="4">
        <f t="shared" si="67"/>
        <v>45377</v>
      </c>
      <c r="I247" t="s">
        <v>646</v>
      </c>
      <c r="J247" t="s">
        <v>651</v>
      </c>
      <c r="K247" t="s">
        <v>663</v>
      </c>
      <c r="L247" t="s">
        <v>704</v>
      </c>
      <c r="M247" t="s">
        <v>709</v>
      </c>
      <c r="N247" t="s">
        <v>714</v>
      </c>
      <c r="O247" t="s">
        <v>730</v>
      </c>
      <c r="P247" t="str" cm="1">
        <f t="array" ref="P247">_xlfn.IFS(S247&lt;=PERCENTILE($S$2:$S$1000, 0.33), "Low", S247&lt;=PERCENTILE($S$2:$S$1000, 0.66), "Medium", TRUE, "High")</f>
        <v>Low</v>
      </c>
      <c r="Q247" t="s">
        <v>979</v>
      </c>
      <c r="R247" s="10">
        <v>65.64</v>
      </c>
      <c r="S247" s="10">
        <v>151.88</v>
      </c>
      <c r="T247" s="8">
        <v>0.16700000000000001</v>
      </c>
      <c r="U247" s="12">
        <f t="shared" si="68"/>
        <v>0</v>
      </c>
      <c r="V247" s="6">
        <v>23</v>
      </c>
      <c r="W247" t="str">
        <f t="shared" si="58"/>
        <v>ok</v>
      </c>
      <c r="X247">
        <f t="shared" si="59"/>
        <v>20</v>
      </c>
      <c r="Y247">
        <f t="shared" si="69"/>
        <v>20</v>
      </c>
      <c r="Z247" s="10">
        <f t="shared" si="70"/>
        <v>2909.8689199999999</v>
      </c>
      <c r="AA247" s="10">
        <f t="shared" si="71"/>
        <v>1509.72</v>
      </c>
      <c r="AB247" s="10">
        <f t="shared" si="72"/>
        <v>1400.1489199999999</v>
      </c>
      <c r="AC247" s="10">
        <f t="shared" si="60"/>
        <v>606.37750000000005</v>
      </c>
      <c r="AD247" s="10">
        <f t="shared" si="61"/>
        <v>1193.865</v>
      </c>
      <c r="AE247" s="10">
        <f t="shared" si="62"/>
        <v>1912.0450000000001</v>
      </c>
      <c r="AF247" s="10" t="str">
        <f t="shared" si="63"/>
        <v>Medium</v>
      </c>
      <c r="AG247" s="6">
        <f t="shared" si="73"/>
        <v>0.48117250587356353</v>
      </c>
      <c r="AH247" s="4">
        <f t="shared" si="74"/>
        <v>44948</v>
      </c>
      <c r="AI247" t="str">
        <f t="shared" si="75"/>
        <v>Jan-2023</v>
      </c>
    </row>
    <row r="248" spans="1:35" x14ac:dyDescent="0.25">
      <c r="A248" t="s">
        <v>260</v>
      </c>
      <c r="B248" s="4">
        <v>45338</v>
      </c>
      <c r="C248" s="4" t="str">
        <f t="shared" si="64"/>
        <v>Q1-2024</v>
      </c>
      <c r="D248" s="4" t="str">
        <f t="shared" si="65"/>
        <v>Feb-2024</v>
      </c>
      <c r="E248" s="4">
        <v>45355</v>
      </c>
      <c r="F248" s="12">
        <f t="shared" si="66"/>
        <v>17</v>
      </c>
      <c r="G248" s="12">
        <f t="shared" si="57"/>
        <v>0</v>
      </c>
      <c r="H248" s="4">
        <f t="shared" si="67"/>
        <v>45355</v>
      </c>
      <c r="I248" t="s">
        <v>648</v>
      </c>
      <c r="J248" t="s">
        <v>653</v>
      </c>
      <c r="K248" t="s">
        <v>681</v>
      </c>
      <c r="L248" t="s">
        <v>703</v>
      </c>
      <c r="M248" t="s">
        <v>707</v>
      </c>
      <c r="N248" t="s">
        <v>726</v>
      </c>
      <c r="O248" t="s">
        <v>731</v>
      </c>
      <c r="P248" t="str" cm="1">
        <f t="array" ref="P248">_xlfn.IFS(S248&lt;=PERCENTILE($S$2:$S$1000, 0.33), "Low", S248&lt;=PERCENTILE($S$2:$S$1000, 0.66), "Medium", TRUE, "High")</f>
        <v>High</v>
      </c>
      <c r="Q248" t="s">
        <v>980</v>
      </c>
      <c r="R248" s="10">
        <v>1350.98</v>
      </c>
      <c r="S248" s="10">
        <v>2210.4</v>
      </c>
      <c r="T248" s="8">
        <v>0.26300000000000001</v>
      </c>
      <c r="U248" s="12">
        <f t="shared" si="68"/>
        <v>1</v>
      </c>
      <c r="V248" s="6">
        <v>6</v>
      </c>
      <c r="W248" t="str">
        <f t="shared" si="58"/>
        <v>ok</v>
      </c>
      <c r="X248">
        <f t="shared" si="59"/>
        <v>17</v>
      </c>
      <c r="Y248">
        <f t="shared" si="69"/>
        <v>17</v>
      </c>
      <c r="Z248" s="10">
        <f t="shared" si="70"/>
        <v>9774.3888000000006</v>
      </c>
      <c r="AA248" s="10">
        <f t="shared" si="71"/>
        <v>8105.88</v>
      </c>
      <c r="AB248" s="10">
        <f t="shared" si="72"/>
        <v>1668.5088000000005</v>
      </c>
      <c r="AC248" s="10">
        <f t="shared" si="60"/>
        <v>606.37750000000005</v>
      </c>
      <c r="AD248" s="10">
        <f t="shared" si="61"/>
        <v>1193.865</v>
      </c>
      <c r="AE248" s="10">
        <f t="shared" si="62"/>
        <v>1912.0450000000001</v>
      </c>
      <c r="AF248" s="10" t="str">
        <f t="shared" si="63"/>
        <v>Low</v>
      </c>
      <c r="AG248" s="6">
        <f t="shared" si="73"/>
        <v>0.17070211080615091</v>
      </c>
      <c r="AH248" s="4">
        <f t="shared" si="74"/>
        <v>44938</v>
      </c>
      <c r="AI248" t="str">
        <f t="shared" si="75"/>
        <v>Jan-2023</v>
      </c>
    </row>
    <row r="249" spans="1:35" x14ac:dyDescent="0.25">
      <c r="A249" t="s">
        <v>261</v>
      </c>
      <c r="B249" s="4">
        <v>45769</v>
      </c>
      <c r="C249" s="4" t="str">
        <f t="shared" si="64"/>
        <v>Q2-2025</v>
      </c>
      <c r="D249" s="4" t="str">
        <f t="shared" si="65"/>
        <v>Apr-2025</v>
      </c>
      <c r="E249" s="4">
        <v>45779</v>
      </c>
      <c r="F249" s="12">
        <f t="shared" si="66"/>
        <v>10</v>
      </c>
      <c r="G249" s="12">
        <f t="shared" si="57"/>
        <v>0</v>
      </c>
      <c r="H249" s="4">
        <f t="shared" si="67"/>
        <v>45779</v>
      </c>
      <c r="I249" t="s">
        <v>649</v>
      </c>
      <c r="J249" t="s">
        <v>656</v>
      </c>
      <c r="K249" t="s">
        <v>671</v>
      </c>
      <c r="L249" t="s">
        <v>701</v>
      </c>
      <c r="M249" t="s">
        <v>709</v>
      </c>
      <c r="N249" t="s">
        <v>712</v>
      </c>
      <c r="O249" t="s">
        <v>732</v>
      </c>
      <c r="P249" t="str" cm="1">
        <f t="array" ref="P249">_xlfn.IFS(S249&lt;=PERCENTILE($S$2:$S$1000, 0.33), "Low", S249&lt;=PERCENTILE($S$2:$S$1000, 0.66), "Medium", TRUE, "High")</f>
        <v>Low</v>
      </c>
      <c r="Q249" t="s">
        <v>981</v>
      </c>
      <c r="R249" s="10">
        <v>20.149999999999999</v>
      </c>
      <c r="S249" s="10">
        <v>39.74</v>
      </c>
      <c r="T249" s="8">
        <v>0.151</v>
      </c>
      <c r="U249" s="12">
        <f t="shared" si="68"/>
        <v>0</v>
      </c>
      <c r="V249" s="6">
        <v>18</v>
      </c>
      <c r="W249" t="str">
        <f t="shared" si="58"/>
        <v>ok</v>
      </c>
      <c r="X249">
        <f t="shared" si="59"/>
        <v>10</v>
      </c>
      <c r="Y249">
        <f t="shared" si="69"/>
        <v>10</v>
      </c>
      <c r="Z249" s="10">
        <f t="shared" si="70"/>
        <v>607.30668000000003</v>
      </c>
      <c r="AA249" s="10">
        <f t="shared" si="71"/>
        <v>362.7</v>
      </c>
      <c r="AB249" s="10">
        <f t="shared" si="72"/>
        <v>244.60668000000004</v>
      </c>
      <c r="AC249" s="10">
        <f t="shared" si="60"/>
        <v>606.37750000000005</v>
      </c>
      <c r="AD249" s="10">
        <f t="shared" si="61"/>
        <v>1193.865</v>
      </c>
      <c r="AE249" s="10">
        <f t="shared" si="62"/>
        <v>1912.0450000000001</v>
      </c>
      <c r="AF249" s="10" t="str">
        <f t="shared" si="63"/>
        <v>High</v>
      </c>
      <c r="AG249" s="6">
        <f t="shared" si="73"/>
        <v>0.4027729120318585</v>
      </c>
      <c r="AH249" s="4">
        <f t="shared" si="74"/>
        <v>44928</v>
      </c>
      <c r="AI249" t="str">
        <f t="shared" si="75"/>
        <v>Jan-2023</v>
      </c>
    </row>
    <row r="250" spans="1:35" x14ac:dyDescent="0.25">
      <c r="A250" t="s">
        <v>262</v>
      </c>
      <c r="B250" s="4">
        <v>45604</v>
      </c>
      <c r="C250" s="4" t="str">
        <f t="shared" si="64"/>
        <v>Q4-2024</v>
      </c>
      <c r="D250" s="4" t="str">
        <f t="shared" si="65"/>
        <v>Nov-2024</v>
      </c>
      <c r="E250" s="4">
        <v>45604</v>
      </c>
      <c r="F250" s="12">
        <f t="shared" si="66"/>
        <v>0</v>
      </c>
      <c r="G250" s="12">
        <f t="shared" si="57"/>
        <v>1</v>
      </c>
      <c r="H250" s="4">
        <f t="shared" si="67"/>
        <v>45604</v>
      </c>
      <c r="I250" t="s">
        <v>646</v>
      </c>
      <c r="J250" t="s">
        <v>650</v>
      </c>
      <c r="K250" t="s">
        <v>678</v>
      </c>
      <c r="L250" t="s">
        <v>706</v>
      </c>
      <c r="M250" t="s">
        <v>709</v>
      </c>
      <c r="N250" t="s">
        <v>724</v>
      </c>
      <c r="O250" t="s">
        <v>729</v>
      </c>
      <c r="P250" t="str" cm="1">
        <f t="array" ref="P250">_xlfn.IFS(S250&lt;=PERCENTILE($S$2:$S$1000, 0.33), "Low", S250&lt;=PERCENTILE($S$2:$S$1000, 0.66), "Medium", TRUE, "High")</f>
        <v>Medium</v>
      </c>
      <c r="Q250" t="s">
        <v>982</v>
      </c>
      <c r="R250" s="10">
        <v>803.28</v>
      </c>
      <c r="S250" s="10">
        <v>1009</v>
      </c>
      <c r="T250" s="8">
        <v>0.11</v>
      </c>
      <c r="U250" s="12">
        <f t="shared" si="68"/>
        <v>0</v>
      </c>
      <c r="V250" s="6">
        <v>4</v>
      </c>
      <c r="W250" t="str">
        <f t="shared" si="58"/>
        <v>sus</v>
      </c>
      <c r="X250">
        <f t="shared" si="59"/>
        <v>0</v>
      </c>
      <c r="Y250">
        <f t="shared" si="69"/>
        <v>0</v>
      </c>
      <c r="Z250" s="10">
        <f t="shared" si="70"/>
        <v>3592.04</v>
      </c>
      <c r="AA250" s="10">
        <f t="shared" si="71"/>
        <v>3213.12</v>
      </c>
      <c r="AB250" s="10">
        <f t="shared" si="72"/>
        <v>378.92000000000007</v>
      </c>
      <c r="AC250" s="10">
        <f t="shared" si="60"/>
        <v>606.37750000000005</v>
      </c>
      <c r="AD250" s="10">
        <f t="shared" si="61"/>
        <v>1193.865</v>
      </c>
      <c r="AE250" s="10">
        <f t="shared" si="62"/>
        <v>1912.0450000000001</v>
      </c>
      <c r="AF250" s="10" t="str">
        <f t="shared" si="63"/>
        <v>Low</v>
      </c>
      <c r="AG250" s="6">
        <f t="shared" si="73"/>
        <v>0.10548880302001093</v>
      </c>
      <c r="AH250" s="4">
        <f t="shared" si="74"/>
        <v>44945</v>
      </c>
      <c r="AI250" t="str">
        <f t="shared" si="75"/>
        <v>Jan-2023</v>
      </c>
    </row>
    <row r="251" spans="1:35" x14ac:dyDescent="0.25">
      <c r="A251" t="s">
        <v>263</v>
      </c>
      <c r="B251" s="4">
        <v>45912</v>
      </c>
      <c r="C251" s="4" t="str">
        <f t="shared" si="64"/>
        <v>Q3-2025</v>
      </c>
      <c r="D251" s="4" t="str">
        <f t="shared" si="65"/>
        <v>Sept-2025</v>
      </c>
      <c r="E251" s="4">
        <v>45930</v>
      </c>
      <c r="F251" s="12">
        <f t="shared" si="66"/>
        <v>18</v>
      </c>
      <c r="G251" s="12">
        <f t="shared" si="57"/>
        <v>0</v>
      </c>
      <c r="H251" s="4">
        <f t="shared" si="67"/>
        <v>45930</v>
      </c>
      <c r="I251" t="s">
        <v>647</v>
      </c>
      <c r="J251" t="s">
        <v>652</v>
      </c>
      <c r="K251" t="s">
        <v>694</v>
      </c>
      <c r="L251" t="s">
        <v>703</v>
      </c>
      <c r="M251" t="s">
        <v>709</v>
      </c>
      <c r="N251" t="s">
        <v>721</v>
      </c>
      <c r="O251" t="s">
        <v>732</v>
      </c>
      <c r="P251" t="str" cm="1">
        <f t="array" ref="P251">_xlfn.IFS(S251&lt;=PERCENTILE($S$2:$S$1000, 0.33), "Low", S251&lt;=PERCENTILE($S$2:$S$1000, 0.66), "Medium", TRUE, "High")</f>
        <v>High</v>
      </c>
      <c r="Q251" t="s">
        <v>983</v>
      </c>
      <c r="R251" s="10">
        <v>1212.99</v>
      </c>
      <c r="S251" s="10">
        <v>1653.64</v>
      </c>
      <c r="T251" s="8">
        <v>0.107</v>
      </c>
      <c r="U251" s="12">
        <f t="shared" si="68"/>
        <v>0</v>
      </c>
      <c r="V251" s="6">
        <v>8</v>
      </c>
      <c r="W251" t="str">
        <f t="shared" si="58"/>
        <v>ok</v>
      </c>
      <c r="X251">
        <f t="shared" si="59"/>
        <v>18</v>
      </c>
      <c r="Y251">
        <f t="shared" si="69"/>
        <v>18</v>
      </c>
      <c r="Z251" s="10">
        <f t="shared" si="70"/>
        <v>11813.604160000001</v>
      </c>
      <c r="AA251" s="10">
        <f t="shared" si="71"/>
        <v>9703.92</v>
      </c>
      <c r="AB251" s="10">
        <f t="shared" si="72"/>
        <v>2109.6841600000007</v>
      </c>
      <c r="AC251" s="10">
        <f t="shared" si="60"/>
        <v>606.37750000000005</v>
      </c>
      <c r="AD251" s="10">
        <f t="shared" si="61"/>
        <v>1193.865</v>
      </c>
      <c r="AE251" s="10">
        <f t="shared" si="62"/>
        <v>1912.0450000000001</v>
      </c>
      <c r="AF251" s="10" t="str">
        <f t="shared" si="63"/>
        <v>Medium</v>
      </c>
      <c r="AG251" s="6">
        <f t="shared" si="73"/>
        <v>0.17858090819931455</v>
      </c>
      <c r="AH251" s="4">
        <f t="shared" si="74"/>
        <v>44936</v>
      </c>
      <c r="AI251" t="str">
        <f t="shared" si="75"/>
        <v>Jan-2023</v>
      </c>
    </row>
    <row r="252" spans="1:35" x14ac:dyDescent="0.25">
      <c r="A252" t="s">
        <v>264</v>
      </c>
      <c r="B252" s="4">
        <v>45537</v>
      </c>
      <c r="C252" s="4" t="str">
        <f t="shared" si="64"/>
        <v>Q3-2024</v>
      </c>
      <c r="D252" s="4" t="str">
        <f t="shared" si="65"/>
        <v>Sept-2024</v>
      </c>
      <c r="E252" s="4">
        <v>45543</v>
      </c>
      <c r="F252" s="12">
        <f t="shared" si="66"/>
        <v>6</v>
      </c>
      <c r="G252" s="12">
        <f t="shared" si="57"/>
        <v>1</v>
      </c>
      <c r="H252" s="4">
        <f t="shared" si="67"/>
        <v>45543</v>
      </c>
      <c r="I252" t="s">
        <v>648</v>
      </c>
      <c r="J252" t="s">
        <v>660</v>
      </c>
      <c r="K252" t="s">
        <v>697</v>
      </c>
      <c r="L252" t="s">
        <v>704</v>
      </c>
      <c r="M252" t="s">
        <v>711</v>
      </c>
      <c r="N252" t="s">
        <v>722</v>
      </c>
      <c r="O252" t="s">
        <v>727</v>
      </c>
      <c r="P252" t="str" cm="1">
        <f t="array" ref="P252">_xlfn.IFS(S252&lt;=PERCENTILE($S$2:$S$1000, 0.33), "Low", S252&lt;=PERCENTILE($S$2:$S$1000, 0.66), "Medium", TRUE, "High")</f>
        <v>Medium</v>
      </c>
      <c r="Q252" t="s">
        <v>984</v>
      </c>
      <c r="R252" s="10">
        <v>462.94</v>
      </c>
      <c r="S252" s="10">
        <v>1015.7</v>
      </c>
      <c r="T252" s="8">
        <v>0.14299999999999999</v>
      </c>
      <c r="U252" s="12">
        <f t="shared" si="68"/>
        <v>0</v>
      </c>
      <c r="V252" s="6">
        <v>14</v>
      </c>
      <c r="W252" t="str">
        <f t="shared" si="58"/>
        <v>ok</v>
      </c>
      <c r="X252">
        <f t="shared" si="59"/>
        <v>6</v>
      </c>
      <c r="Y252">
        <f t="shared" si="69"/>
        <v>6</v>
      </c>
      <c r="Z252" s="10">
        <f t="shared" si="70"/>
        <v>12186.368600000002</v>
      </c>
      <c r="AA252" s="10">
        <f t="shared" si="71"/>
        <v>6481.16</v>
      </c>
      <c r="AB252" s="10">
        <f t="shared" si="72"/>
        <v>5705.2086000000018</v>
      </c>
      <c r="AC252" s="10">
        <f t="shared" si="60"/>
        <v>606.37750000000005</v>
      </c>
      <c r="AD252" s="10">
        <f t="shared" si="61"/>
        <v>1193.865</v>
      </c>
      <c r="AE252" s="10">
        <f t="shared" si="62"/>
        <v>1912.0450000000001</v>
      </c>
      <c r="AF252" s="10" t="str">
        <f t="shared" si="63"/>
        <v>Medium</v>
      </c>
      <c r="AG252" s="6">
        <f t="shared" si="73"/>
        <v>0.46816314090483041</v>
      </c>
      <c r="AH252" s="4">
        <f t="shared" si="74"/>
        <v>44946</v>
      </c>
      <c r="AI252" t="str">
        <f t="shared" si="75"/>
        <v>Jan-2023</v>
      </c>
    </row>
    <row r="253" spans="1:35" x14ac:dyDescent="0.25">
      <c r="A253" t="s">
        <v>265</v>
      </c>
      <c r="B253" s="4">
        <v>44989</v>
      </c>
      <c r="C253" s="4" t="str">
        <f t="shared" si="64"/>
        <v>Q1-2023</v>
      </c>
      <c r="D253" s="4" t="str">
        <f t="shared" si="65"/>
        <v>Mar-2023</v>
      </c>
      <c r="E253" s="4">
        <v>45009</v>
      </c>
      <c r="F253" s="12">
        <f t="shared" si="66"/>
        <v>20</v>
      </c>
      <c r="G253" s="12">
        <f t="shared" si="57"/>
        <v>0</v>
      </c>
      <c r="H253" s="4">
        <f t="shared" si="67"/>
        <v>45009</v>
      </c>
      <c r="I253" t="s">
        <v>648</v>
      </c>
      <c r="J253" t="s">
        <v>653</v>
      </c>
      <c r="K253" t="s">
        <v>681</v>
      </c>
      <c r="L253" t="s">
        <v>704</v>
      </c>
      <c r="M253" t="s">
        <v>710</v>
      </c>
      <c r="N253" t="s">
        <v>714</v>
      </c>
      <c r="O253" t="s">
        <v>731</v>
      </c>
      <c r="P253" t="str" cm="1">
        <f t="array" ref="P253">_xlfn.IFS(S253&lt;=PERCENTILE($S$2:$S$1000, 0.33), "Low", S253&lt;=PERCENTILE($S$2:$S$1000, 0.66), "Medium", TRUE, "High")</f>
        <v>Medium</v>
      </c>
      <c r="Q253" t="s">
        <v>985</v>
      </c>
      <c r="R253" s="10">
        <v>481.71</v>
      </c>
      <c r="S253" s="10">
        <v>912.45</v>
      </c>
      <c r="T253" s="8">
        <v>0.20300000000000001</v>
      </c>
      <c r="U253" s="12">
        <f t="shared" si="68"/>
        <v>1</v>
      </c>
      <c r="V253" s="6">
        <v>24</v>
      </c>
      <c r="W253" t="str">
        <f t="shared" si="58"/>
        <v>ok</v>
      </c>
      <c r="X253">
        <f t="shared" si="59"/>
        <v>20</v>
      </c>
      <c r="Y253">
        <f t="shared" si="69"/>
        <v>20</v>
      </c>
      <c r="Z253" s="10">
        <f t="shared" si="70"/>
        <v>17453.3436</v>
      </c>
      <c r="AA253" s="10">
        <f t="shared" si="71"/>
        <v>11561.039999999999</v>
      </c>
      <c r="AB253" s="10">
        <f t="shared" si="72"/>
        <v>5892.3036000000011</v>
      </c>
      <c r="AC253" s="10">
        <f t="shared" si="60"/>
        <v>606.37750000000005</v>
      </c>
      <c r="AD253" s="10">
        <f t="shared" si="61"/>
        <v>1193.865</v>
      </c>
      <c r="AE253" s="10">
        <f t="shared" si="62"/>
        <v>1912.0450000000001</v>
      </c>
      <c r="AF253" s="10" t="str">
        <f t="shared" si="63"/>
        <v>Medium</v>
      </c>
      <c r="AG253" s="6">
        <f t="shared" si="73"/>
        <v>0.33760313983619739</v>
      </c>
      <c r="AH253" s="4">
        <f t="shared" si="74"/>
        <v>44955</v>
      </c>
      <c r="AI253" t="str">
        <f t="shared" si="75"/>
        <v>Jan-2023</v>
      </c>
    </row>
    <row r="254" spans="1:35" x14ac:dyDescent="0.25">
      <c r="A254" t="s">
        <v>266</v>
      </c>
      <c r="B254" s="4">
        <v>45366</v>
      </c>
      <c r="C254" s="4" t="str">
        <f t="shared" si="64"/>
        <v>Q1-2024</v>
      </c>
      <c r="D254" s="4" t="str">
        <f t="shared" si="65"/>
        <v>Mar-2024</v>
      </c>
      <c r="E254" s="4">
        <v>45391</v>
      </c>
      <c r="F254" s="12">
        <f t="shared" si="66"/>
        <v>25</v>
      </c>
      <c r="G254" s="12">
        <f t="shared" si="57"/>
        <v>0</v>
      </c>
      <c r="H254" s="4">
        <f t="shared" si="67"/>
        <v>45391</v>
      </c>
      <c r="I254" t="s">
        <v>648</v>
      </c>
      <c r="J254" t="s">
        <v>653</v>
      </c>
      <c r="K254" t="s">
        <v>688</v>
      </c>
      <c r="L254" t="s">
        <v>704</v>
      </c>
      <c r="M254" t="s">
        <v>708</v>
      </c>
      <c r="N254" t="s">
        <v>721</v>
      </c>
      <c r="O254" t="s">
        <v>732</v>
      </c>
      <c r="P254" t="str" cm="1">
        <f t="array" ref="P254">_xlfn.IFS(S254&lt;=PERCENTILE($S$2:$S$1000, 0.33), "Low", S254&lt;=PERCENTILE($S$2:$S$1000, 0.66), "Medium", TRUE, "High")</f>
        <v>Low</v>
      </c>
      <c r="Q254" t="s">
        <v>986</v>
      </c>
      <c r="R254" s="10">
        <v>648.64</v>
      </c>
      <c r="S254" s="10">
        <v>815.19</v>
      </c>
      <c r="T254" s="8">
        <v>0.22500000000000001</v>
      </c>
      <c r="U254" s="12">
        <f t="shared" si="68"/>
        <v>1</v>
      </c>
      <c r="V254" s="6">
        <v>28</v>
      </c>
      <c r="W254" t="str">
        <f t="shared" si="58"/>
        <v>ok</v>
      </c>
      <c r="X254">
        <f t="shared" si="59"/>
        <v>25</v>
      </c>
      <c r="Y254">
        <f t="shared" si="69"/>
        <v>25</v>
      </c>
      <c r="Z254" s="10">
        <f t="shared" si="70"/>
        <v>17689.623</v>
      </c>
      <c r="AA254" s="10">
        <f t="shared" si="71"/>
        <v>18161.919999999998</v>
      </c>
      <c r="AB254" s="10">
        <f t="shared" si="72"/>
        <v>-472.29699999999866</v>
      </c>
      <c r="AC254" s="10">
        <f t="shared" si="60"/>
        <v>606.37750000000005</v>
      </c>
      <c r="AD254" s="10">
        <f t="shared" si="61"/>
        <v>1193.865</v>
      </c>
      <c r="AE254" s="10">
        <f t="shared" si="62"/>
        <v>1912.0450000000001</v>
      </c>
      <c r="AF254" s="10" t="str">
        <f t="shared" si="63"/>
        <v>Medium</v>
      </c>
      <c r="AG254" s="6">
        <f t="shared" si="73"/>
        <v>-2.6699099240272032E-2</v>
      </c>
      <c r="AH254" s="4">
        <f t="shared" si="74"/>
        <v>44928</v>
      </c>
      <c r="AI254" t="str">
        <f t="shared" si="75"/>
        <v>Jan-2023</v>
      </c>
    </row>
    <row r="255" spans="1:35" x14ac:dyDescent="0.25">
      <c r="A255" t="s">
        <v>267</v>
      </c>
      <c r="B255" s="4">
        <v>45502</v>
      </c>
      <c r="C255" s="4" t="str">
        <f t="shared" si="64"/>
        <v>Q3-2024</v>
      </c>
      <c r="D255" s="4" t="str">
        <f t="shared" si="65"/>
        <v>Jul-2024</v>
      </c>
      <c r="E255" s="4">
        <v>45504</v>
      </c>
      <c r="F255" s="12">
        <f t="shared" si="66"/>
        <v>2</v>
      </c>
      <c r="G255" s="12">
        <f t="shared" si="57"/>
        <v>1</v>
      </c>
      <c r="H255" s="4">
        <f t="shared" si="67"/>
        <v>45504</v>
      </c>
      <c r="I255" t="s">
        <v>648</v>
      </c>
      <c r="J255" t="s">
        <v>660</v>
      </c>
      <c r="K255" t="s">
        <v>700</v>
      </c>
      <c r="L255" t="s">
        <v>702</v>
      </c>
      <c r="M255" t="s">
        <v>709</v>
      </c>
      <c r="N255" t="s">
        <v>714</v>
      </c>
      <c r="O255" t="s">
        <v>728</v>
      </c>
      <c r="P255" t="str" cm="1">
        <f t="array" ref="P255">_xlfn.IFS(S255&lt;=PERCENTILE($S$2:$S$1000, 0.33), "Low", S255&lt;=PERCENTILE($S$2:$S$1000, 0.66), "Medium", TRUE, "High")</f>
        <v>High</v>
      </c>
      <c r="Q255" t="s">
        <v>987</v>
      </c>
      <c r="R255" s="10">
        <v>798.97</v>
      </c>
      <c r="S255" s="10">
        <v>1814.06</v>
      </c>
      <c r="T255" s="8">
        <v>0.122</v>
      </c>
      <c r="U255" s="12">
        <f t="shared" si="68"/>
        <v>0</v>
      </c>
      <c r="V255" s="6">
        <v>16</v>
      </c>
      <c r="W255" t="str">
        <f t="shared" si="58"/>
        <v>ok</v>
      </c>
      <c r="X255">
        <f t="shared" si="59"/>
        <v>2</v>
      </c>
      <c r="Y255">
        <f t="shared" si="69"/>
        <v>2</v>
      </c>
      <c r="Z255" s="10">
        <f t="shared" si="70"/>
        <v>25483.91488</v>
      </c>
      <c r="AA255" s="10">
        <f t="shared" si="71"/>
        <v>12783.52</v>
      </c>
      <c r="AB255" s="10">
        <f t="shared" si="72"/>
        <v>12700.39488</v>
      </c>
      <c r="AC255" s="10">
        <f t="shared" si="60"/>
        <v>606.37750000000005</v>
      </c>
      <c r="AD255" s="10">
        <f t="shared" si="61"/>
        <v>1193.865</v>
      </c>
      <c r="AE255" s="10">
        <f t="shared" si="62"/>
        <v>1912.0450000000001</v>
      </c>
      <c r="AF255" s="10" t="str">
        <f t="shared" si="63"/>
        <v>Medium</v>
      </c>
      <c r="AG255" s="6">
        <f t="shared" si="73"/>
        <v>0.49836906691159061</v>
      </c>
      <c r="AH255" s="4">
        <f t="shared" si="74"/>
        <v>44938</v>
      </c>
      <c r="AI255" t="str">
        <f t="shared" si="75"/>
        <v>Jan-2023</v>
      </c>
    </row>
    <row r="256" spans="1:35" x14ac:dyDescent="0.25">
      <c r="A256" t="s">
        <v>268</v>
      </c>
      <c r="B256" s="4">
        <v>45592</v>
      </c>
      <c r="C256" s="4" t="str">
        <f t="shared" si="64"/>
        <v>Q4-2024</v>
      </c>
      <c r="D256" s="4" t="str">
        <f t="shared" si="65"/>
        <v>Oct-2024</v>
      </c>
      <c r="E256" s="4">
        <v>45616</v>
      </c>
      <c r="F256" s="12">
        <f t="shared" si="66"/>
        <v>24</v>
      </c>
      <c r="G256" s="12">
        <f t="shared" si="57"/>
        <v>0</v>
      </c>
      <c r="H256" s="4">
        <f t="shared" si="67"/>
        <v>45616</v>
      </c>
      <c r="I256" t="s">
        <v>647</v>
      </c>
      <c r="J256" t="s">
        <v>652</v>
      </c>
      <c r="K256" t="s">
        <v>694</v>
      </c>
      <c r="L256" t="s">
        <v>703</v>
      </c>
      <c r="M256" t="s">
        <v>708</v>
      </c>
      <c r="N256" t="s">
        <v>722</v>
      </c>
      <c r="O256" t="s">
        <v>732</v>
      </c>
      <c r="P256" t="str" cm="1">
        <f t="array" ref="P256">_xlfn.IFS(S256&lt;=PERCENTILE($S$2:$S$1000, 0.33), "Low", S256&lt;=PERCENTILE($S$2:$S$1000, 0.66), "Medium", TRUE, "High")</f>
        <v>Low</v>
      </c>
      <c r="Q256" t="s">
        <v>988</v>
      </c>
      <c r="R256" s="10">
        <v>317.25</v>
      </c>
      <c r="S256" s="10">
        <v>758.92</v>
      </c>
      <c r="T256" s="8">
        <v>5.2999999999999999E-2</v>
      </c>
      <c r="U256" s="12">
        <f t="shared" si="68"/>
        <v>0</v>
      </c>
      <c r="V256" s="6">
        <v>9</v>
      </c>
      <c r="W256" t="str">
        <f t="shared" si="58"/>
        <v>ok</v>
      </c>
      <c r="X256">
        <f t="shared" si="59"/>
        <v>24</v>
      </c>
      <c r="Y256">
        <f t="shared" si="69"/>
        <v>24</v>
      </c>
      <c r="Z256" s="10">
        <f t="shared" si="70"/>
        <v>6468.2751599999992</v>
      </c>
      <c r="AA256" s="10">
        <f t="shared" si="71"/>
        <v>2855.25</v>
      </c>
      <c r="AB256" s="10">
        <f t="shared" si="72"/>
        <v>3613.0251599999992</v>
      </c>
      <c r="AC256" s="10">
        <f t="shared" si="60"/>
        <v>606.37750000000005</v>
      </c>
      <c r="AD256" s="10">
        <f t="shared" si="61"/>
        <v>1193.865</v>
      </c>
      <c r="AE256" s="10">
        <f t="shared" si="62"/>
        <v>1912.0450000000001</v>
      </c>
      <c r="AF256" s="10" t="str">
        <f t="shared" si="63"/>
        <v>Medium</v>
      </c>
      <c r="AG256" s="6">
        <f t="shared" si="73"/>
        <v>0.5585762928489888</v>
      </c>
      <c r="AH256" s="4">
        <f t="shared" si="74"/>
        <v>44948</v>
      </c>
      <c r="AI256" t="str">
        <f t="shared" si="75"/>
        <v>Jan-2023</v>
      </c>
    </row>
    <row r="257" spans="1:35" x14ac:dyDescent="0.25">
      <c r="A257" t="s">
        <v>269</v>
      </c>
      <c r="B257" s="4">
        <v>45411</v>
      </c>
      <c r="C257" s="4" t="str">
        <f t="shared" si="64"/>
        <v>Q2-2024</v>
      </c>
      <c r="D257" s="4" t="str">
        <f t="shared" si="65"/>
        <v>Apr-2024</v>
      </c>
      <c r="E257" s="4">
        <v>45431</v>
      </c>
      <c r="F257" s="12">
        <f t="shared" si="66"/>
        <v>20</v>
      </c>
      <c r="G257" s="12">
        <f t="shared" si="57"/>
        <v>0</v>
      </c>
      <c r="H257" s="4">
        <f t="shared" si="67"/>
        <v>45431</v>
      </c>
      <c r="I257" t="s">
        <v>649</v>
      </c>
      <c r="J257" t="s">
        <v>656</v>
      </c>
      <c r="K257" t="s">
        <v>698</v>
      </c>
      <c r="L257" t="s">
        <v>706</v>
      </c>
      <c r="M257" t="s">
        <v>709</v>
      </c>
      <c r="N257" t="s">
        <v>712</v>
      </c>
      <c r="O257" t="s">
        <v>731</v>
      </c>
      <c r="P257" t="str" cm="1">
        <f t="array" ref="P257">_xlfn.IFS(S257&lt;=PERCENTILE($S$2:$S$1000, 0.33), "Low", S257&lt;=PERCENTILE($S$2:$S$1000, 0.66), "Medium", TRUE, "High")</f>
        <v>High</v>
      </c>
      <c r="Q257" t="s">
        <v>989</v>
      </c>
      <c r="R257" s="10">
        <v>668.97</v>
      </c>
      <c r="S257" s="10">
        <v>1667.44</v>
      </c>
      <c r="T257" s="8">
        <v>3.4000000000000002E-2</v>
      </c>
      <c r="U257" s="12">
        <f t="shared" si="68"/>
        <v>0</v>
      </c>
      <c r="V257" s="6">
        <v>15</v>
      </c>
      <c r="W257" t="str">
        <f t="shared" si="58"/>
        <v>ok</v>
      </c>
      <c r="X257">
        <f t="shared" si="59"/>
        <v>20</v>
      </c>
      <c r="Y257">
        <f t="shared" si="69"/>
        <v>20</v>
      </c>
      <c r="Z257" s="10">
        <f t="shared" si="70"/>
        <v>24161.205600000001</v>
      </c>
      <c r="AA257" s="10">
        <f t="shared" si="71"/>
        <v>10034.550000000001</v>
      </c>
      <c r="AB257" s="10">
        <f t="shared" si="72"/>
        <v>14126.6556</v>
      </c>
      <c r="AC257" s="10">
        <f t="shared" si="60"/>
        <v>606.37750000000005</v>
      </c>
      <c r="AD257" s="10">
        <f t="shared" si="61"/>
        <v>1193.865</v>
      </c>
      <c r="AE257" s="10">
        <f t="shared" si="62"/>
        <v>1912.0450000000001</v>
      </c>
      <c r="AF257" s="10" t="str">
        <f t="shared" si="63"/>
        <v>Medium</v>
      </c>
      <c r="AG257" s="6">
        <f t="shared" si="73"/>
        <v>0.58468339013679016</v>
      </c>
      <c r="AH257" s="4">
        <f t="shared" si="74"/>
        <v>44945</v>
      </c>
      <c r="AI257" t="str">
        <f t="shared" si="75"/>
        <v>Jan-2023</v>
      </c>
    </row>
    <row r="258" spans="1:35" x14ac:dyDescent="0.25">
      <c r="A258" t="s">
        <v>270</v>
      </c>
      <c r="B258" s="4">
        <v>45204</v>
      </c>
      <c r="C258" s="4" t="str">
        <f t="shared" si="64"/>
        <v>Q4-2023</v>
      </c>
      <c r="D258" s="4" t="str">
        <f t="shared" si="65"/>
        <v>Oct-2023</v>
      </c>
      <c r="E258" s="4">
        <v>45205</v>
      </c>
      <c r="F258" s="12">
        <f t="shared" si="66"/>
        <v>1</v>
      </c>
      <c r="G258" s="12">
        <f t="shared" ref="G258:G321" si="76">IF(F258&lt;=7, 1, 0)</f>
        <v>1</v>
      </c>
      <c r="H258" s="4">
        <f t="shared" si="67"/>
        <v>45205</v>
      </c>
      <c r="I258" t="s">
        <v>647</v>
      </c>
      <c r="J258" t="s">
        <v>654</v>
      </c>
      <c r="K258" t="s">
        <v>668</v>
      </c>
      <c r="L258" t="s">
        <v>703</v>
      </c>
      <c r="M258" t="s">
        <v>708</v>
      </c>
      <c r="N258" t="s">
        <v>714</v>
      </c>
      <c r="O258" t="s">
        <v>727</v>
      </c>
      <c r="P258" t="str" cm="1">
        <f t="array" ref="P258">_xlfn.IFS(S258&lt;=PERCENTILE($S$2:$S$1000, 0.33), "Low", S258&lt;=PERCENTILE($S$2:$S$1000, 0.66), "Medium", TRUE, "High")</f>
        <v>High</v>
      </c>
      <c r="Q258" t="s">
        <v>990</v>
      </c>
      <c r="R258" s="10">
        <v>1470.26</v>
      </c>
      <c r="S258" s="10">
        <v>2562.5500000000002</v>
      </c>
      <c r="T258" s="8">
        <v>0.17299999999999999</v>
      </c>
      <c r="U258" s="12">
        <f t="shared" si="68"/>
        <v>0</v>
      </c>
      <c r="V258" s="6">
        <v>9</v>
      </c>
      <c r="W258" t="str">
        <f t="shared" ref="W258:W321" si="77">IF(E258&gt;B258, "ok", "sus")</f>
        <v>ok</v>
      </c>
      <c r="X258">
        <f t="shared" ref="X258:X321" si="78">E258-B258</f>
        <v>1</v>
      </c>
      <c r="Y258">
        <f t="shared" si="69"/>
        <v>1</v>
      </c>
      <c r="Z258" s="10">
        <f t="shared" si="70"/>
        <v>19073.059649999999</v>
      </c>
      <c r="AA258" s="10">
        <f t="shared" si="71"/>
        <v>13232.34</v>
      </c>
      <c r="AB258" s="10">
        <f t="shared" si="72"/>
        <v>5840.7196499999991</v>
      </c>
      <c r="AC258" s="10">
        <f t="shared" ref="AC258:AC321" si="79">_xlfn.QUARTILE.INC(S:S,1)</f>
        <v>606.37750000000005</v>
      </c>
      <c r="AD258" s="10">
        <f t="shared" ref="AD258:AD321" si="80">_xlfn.QUARTILE.INC(S:S,2)</f>
        <v>1193.865</v>
      </c>
      <c r="AE258" s="10">
        <f t="shared" ref="AE258:AE321" si="81">_xlfn.QUARTILE.INC(S:S,3)</f>
        <v>1912.0450000000001</v>
      </c>
      <c r="AF258" s="10" t="str">
        <f t="shared" ref="AF258:AF321" si="82">IF(S257&lt;=$AC$2,"Low",
 IF(S257&lt;=$AE$3,"Medium",
 "High"))</f>
        <v>Medium</v>
      </c>
      <c r="AG258" s="6">
        <f t="shared" si="73"/>
        <v>0.30622877279157462</v>
      </c>
      <c r="AH258" s="4">
        <f t="shared" si="74"/>
        <v>44939</v>
      </c>
      <c r="AI258" t="str">
        <f t="shared" si="75"/>
        <v>Jan-2023</v>
      </c>
    </row>
    <row r="259" spans="1:35" x14ac:dyDescent="0.25">
      <c r="A259" t="s">
        <v>271</v>
      </c>
      <c r="B259" s="4">
        <v>45035</v>
      </c>
      <c r="C259" s="4" t="str">
        <f t="shared" ref="C259:C322" si="83">"Q" &amp; ROUNDUP(MONTH(B259)/3,0) &amp; "-" &amp; YEAR(B259)</f>
        <v>Q2-2023</v>
      </c>
      <c r="D259" s="4" t="str">
        <f t="shared" ref="D259:D322" si="84">TEXT(B259,"MMM-YYYY")</f>
        <v>Apr-2023</v>
      </c>
      <c r="E259" s="4">
        <v>45053</v>
      </c>
      <c r="F259" s="12">
        <f t="shared" ref="F259:F322" si="85">H259-B259</f>
        <v>18</v>
      </c>
      <c r="G259" s="12">
        <f t="shared" si="76"/>
        <v>0</v>
      </c>
      <c r="H259" s="4">
        <f t="shared" ref="H259:H322" si="86">IF(E259&lt;B259,B259+14,E259)</f>
        <v>45053</v>
      </c>
      <c r="I259" t="s">
        <v>649</v>
      </c>
      <c r="J259" t="s">
        <v>658</v>
      </c>
      <c r="K259" t="s">
        <v>683</v>
      </c>
      <c r="L259" t="s">
        <v>703</v>
      </c>
      <c r="M259" t="s">
        <v>711</v>
      </c>
      <c r="N259" t="s">
        <v>722</v>
      </c>
      <c r="O259" t="s">
        <v>729</v>
      </c>
      <c r="P259" t="str" cm="1">
        <f t="array" ref="P259">_xlfn.IFS(S259&lt;=PERCENTILE($S$2:$S$1000, 0.33), "Low", S259&lt;=PERCENTILE($S$2:$S$1000, 0.66), "Medium", TRUE, "High")</f>
        <v>Low</v>
      </c>
      <c r="Q259" t="s">
        <v>991</v>
      </c>
      <c r="R259" s="10">
        <v>516.96</v>
      </c>
      <c r="S259" s="10">
        <v>745.38</v>
      </c>
      <c r="T259" s="8">
        <v>0.19700000000000001</v>
      </c>
      <c r="U259" s="12">
        <f t="shared" ref="U259:U322" si="87">IF(T259&gt;0.2,1,0)</f>
        <v>0</v>
      </c>
      <c r="V259" s="6">
        <v>4</v>
      </c>
      <c r="W259" t="str">
        <f t="shared" si="77"/>
        <v>ok</v>
      </c>
      <c r="X259">
        <f t="shared" si="78"/>
        <v>18</v>
      </c>
      <c r="Y259">
        <f t="shared" ref="Y259:Y322" si="88">ABS(X259)</f>
        <v>18</v>
      </c>
      <c r="Z259" s="10">
        <f t="shared" ref="Z259:Z322" si="89">S259*V259*(1-T259)</f>
        <v>2394.1605599999998</v>
      </c>
      <c r="AA259" s="10">
        <f t="shared" ref="AA259:AA322" si="90">R259*V259</f>
        <v>2067.84</v>
      </c>
      <c r="AB259" s="10">
        <f t="shared" ref="AB259:AB322" si="91">Z259-AA259</f>
        <v>326.32055999999966</v>
      </c>
      <c r="AC259" s="10">
        <f t="shared" si="79"/>
        <v>606.37750000000005</v>
      </c>
      <c r="AD259" s="10">
        <f t="shared" si="80"/>
        <v>1193.865</v>
      </c>
      <c r="AE259" s="10">
        <f t="shared" si="81"/>
        <v>1912.0450000000001</v>
      </c>
      <c r="AF259" s="10" t="str">
        <f t="shared" si="82"/>
        <v>High</v>
      </c>
      <c r="AG259" s="6">
        <f t="shared" ref="AG259:AG322" si="92">IF(Z259=0,0,AB259/Z259)</f>
        <v>0.13629852794835101</v>
      </c>
      <c r="AH259" s="4">
        <f t="shared" ref="AH259:AH322" si="93">_xlfn.MINIFS($B:$B,$J:$J,J131)</f>
        <v>44939</v>
      </c>
      <c r="AI259" t="str">
        <f t="shared" ref="AI259:AI322" si="94">TEXT(AH259,"MMM-YYYY")</f>
        <v>Jan-2023</v>
      </c>
    </row>
    <row r="260" spans="1:35" x14ac:dyDescent="0.25">
      <c r="A260" t="s">
        <v>272</v>
      </c>
      <c r="B260" s="4">
        <v>45835</v>
      </c>
      <c r="C260" s="4" t="str">
        <f t="shared" si="83"/>
        <v>Q2-2025</v>
      </c>
      <c r="D260" s="4" t="str">
        <f t="shared" si="84"/>
        <v>Jun-2025</v>
      </c>
      <c r="E260" s="4">
        <v>45843</v>
      </c>
      <c r="F260" s="12">
        <f t="shared" si="85"/>
        <v>8</v>
      </c>
      <c r="G260" s="12">
        <f t="shared" si="76"/>
        <v>0</v>
      </c>
      <c r="H260" s="4">
        <f t="shared" si="86"/>
        <v>45843</v>
      </c>
      <c r="I260" t="s">
        <v>649</v>
      </c>
      <c r="J260" t="s">
        <v>656</v>
      </c>
      <c r="K260" t="s">
        <v>684</v>
      </c>
      <c r="L260" t="s">
        <v>705</v>
      </c>
      <c r="M260" t="s">
        <v>711</v>
      </c>
      <c r="N260" t="s">
        <v>715</v>
      </c>
      <c r="O260" t="s">
        <v>732</v>
      </c>
      <c r="P260" t="str" cm="1">
        <f t="array" ref="P260">_xlfn.IFS(S260&lt;=PERCENTILE($S$2:$S$1000, 0.33), "Low", S260&lt;=PERCENTILE($S$2:$S$1000, 0.66), "Medium", TRUE, "High")</f>
        <v>Low</v>
      </c>
      <c r="Q260" t="s">
        <v>992</v>
      </c>
      <c r="R260" s="10">
        <v>314.93</v>
      </c>
      <c r="S260" s="10">
        <v>687.95</v>
      </c>
      <c r="T260" s="8">
        <v>0.20499999999999999</v>
      </c>
      <c r="U260" s="12">
        <f t="shared" si="87"/>
        <v>1</v>
      </c>
      <c r="V260" s="6">
        <v>8</v>
      </c>
      <c r="W260" t="str">
        <f t="shared" si="77"/>
        <v>ok</v>
      </c>
      <c r="X260">
        <f t="shared" si="78"/>
        <v>8</v>
      </c>
      <c r="Y260">
        <f t="shared" si="88"/>
        <v>8</v>
      </c>
      <c r="Z260" s="10">
        <f t="shared" si="89"/>
        <v>4375.3620000000001</v>
      </c>
      <c r="AA260" s="10">
        <f t="shared" si="90"/>
        <v>2519.44</v>
      </c>
      <c r="AB260" s="10">
        <f t="shared" si="91"/>
        <v>1855.922</v>
      </c>
      <c r="AC260" s="10">
        <f t="shared" si="79"/>
        <v>606.37750000000005</v>
      </c>
      <c r="AD260" s="10">
        <f t="shared" si="80"/>
        <v>1193.865</v>
      </c>
      <c r="AE260" s="10">
        <f t="shared" si="81"/>
        <v>1912.0450000000001</v>
      </c>
      <c r="AF260" s="10" t="str">
        <f t="shared" si="82"/>
        <v>Medium</v>
      </c>
      <c r="AG260" s="6">
        <f t="shared" si="92"/>
        <v>0.424175645352316</v>
      </c>
      <c r="AH260" s="4">
        <f t="shared" si="93"/>
        <v>44955</v>
      </c>
      <c r="AI260" t="str">
        <f t="shared" si="94"/>
        <v>Jan-2023</v>
      </c>
    </row>
    <row r="261" spans="1:35" x14ac:dyDescent="0.25">
      <c r="A261" t="s">
        <v>273</v>
      </c>
      <c r="B261" s="4">
        <v>45210</v>
      </c>
      <c r="C261" s="4" t="str">
        <f t="shared" si="83"/>
        <v>Q4-2023</v>
      </c>
      <c r="D261" s="4" t="str">
        <f t="shared" si="84"/>
        <v>Oct-2023</v>
      </c>
      <c r="E261" s="4">
        <v>45212</v>
      </c>
      <c r="F261" s="12">
        <f t="shared" si="85"/>
        <v>2</v>
      </c>
      <c r="G261" s="12">
        <f t="shared" si="76"/>
        <v>1</v>
      </c>
      <c r="H261" s="4">
        <f t="shared" si="86"/>
        <v>45212</v>
      </c>
      <c r="I261" t="s">
        <v>648</v>
      </c>
      <c r="J261" t="s">
        <v>655</v>
      </c>
      <c r="K261" t="s">
        <v>672</v>
      </c>
      <c r="L261" t="s">
        <v>704</v>
      </c>
      <c r="M261" t="s">
        <v>710</v>
      </c>
      <c r="N261" t="s">
        <v>1418</v>
      </c>
      <c r="O261" t="s">
        <v>733</v>
      </c>
      <c r="P261" t="str" cm="1">
        <f t="array" ref="P261">_xlfn.IFS(S261&lt;=PERCENTILE($S$2:$S$1000, 0.33), "Low", S261&lt;=PERCENTILE($S$2:$S$1000, 0.66), "Medium", TRUE, "High")</f>
        <v>Low</v>
      </c>
      <c r="Q261" t="s">
        <v>993</v>
      </c>
      <c r="R261" s="10">
        <v>715.94</v>
      </c>
      <c r="S261" s="10">
        <v>550.07000000000005</v>
      </c>
      <c r="T261" s="8">
        <v>0.14000000000000001</v>
      </c>
      <c r="U261" s="12">
        <f t="shared" si="87"/>
        <v>0</v>
      </c>
      <c r="V261" s="6">
        <v>16</v>
      </c>
      <c r="W261" t="str">
        <f t="shared" si="77"/>
        <v>ok</v>
      </c>
      <c r="X261">
        <f t="shared" si="78"/>
        <v>2</v>
      </c>
      <c r="Y261">
        <f t="shared" si="88"/>
        <v>2</v>
      </c>
      <c r="Z261" s="10">
        <f t="shared" si="89"/>
        <v>7568.9632000000001</v>
      </c>
      <c r="AA261" s="10">
        <f t="shared" si="90"/>
        <v>11455.04</v>
      </c>
      <c r="AB261" s="10">
        <f t="shared" si="91"/>
        <v>-3886.0768000000007</v>
      </c>
      <c r="AC261" s="10">
        <f t="shared" si="79"/>
        <v>606.37750000000005</v>
      </c>
      <c r="AD261" s="10">
        <f t="shared" si="80"/>
        <v>1193.865</v>
      </c>
      <c r="AE261" s="10">
        <f t="shared" si="81"/>
        <v>1912.0450000000001</v>
      </c>
      <c r="AF261" s="10" t="str">
        <f t="shared" si="82"/>
        <v>Medium</v>
      </c>
      <c r="AG261" s="6">
        <f t="shared" si="92"/>
        <v>-0.51342260456491595</v>
      </c>
      <c r="AH261" s="4">
        <f t="shared" si="93"/>
        <v>44941</v>
      </c>
      <c r="AI261" t="str">
        <f t="shared" si="94"/>
        <v>Jan-2023</v>
      </c>
    </row>
    <row r="262" spans="1:35" x14ac:dyDescent="0.25">
      <c r="A262" t="s">
        <v>274</v>
      </c>
      <c r="B262" s="4">
        <v>45066</v>
      </c>
      <c r="C262" s="4" t="str">
        <f t="shared" si="83"/>
        <v>Q2-2023</v>
      </c>
      <c r="D262" s="4" t="str">
        <f t="shared" si="84"/>
        <v>May-2023</v>
      </c>
      <c r="E262" s="4">
        <v>45084</v>
      </c>
      <c r="F262" s="12">
        <f t="shared" si="85"/>
        <v>18</v>
      </c>
      <c r="G262" s="12">
        <f t="shared" si="76"/>
        <v>0</v>
      </c>
      <c r="H262" s="4">
        <f t="shared" si="86"/>
        <v>45084</v>
      </c>
      <c r="I262" t="s">
        <v>646</v>
      </c>
      <c r="J262" t="s">
        <v>651</v>
      </c>
      <c r="K262" t="s">
        <v>663</v>
      </c>
      <c r="L262" t="s">
        <v>706</v>
      </c>
      <c r="M262" t="s">
        <v>710</v>
      </c>
      <c r="N262" t="s">
        <v>718</v>
      </c>
      <c r="O262" t="s">
        <v>727</v>
      </c>
      <c r="P262" t="str" cm="1">
        <f t="array" ref="P262">_xlfn.IFS(S262&lt;=PERCENTILE($S$2:$S$1000, 0.33), "Low", S262&lt;=PERCENTILE($S$2:$S$1000, 0.66), "Medium", TRUE, "High")</f>
        <v>High</v>
      </c>
      <c r="Q262" t="s">
        <v>994</v>
      </c>
      <c r="R262" s="10">
        <v>1120.06</v>
      </c>
      <c r="S262" s="10">
        <v>2068.21</v>
      </c>
      <c r="T262" s="8">
        <v>7.8E-2</v>
      </c>
      <c r="U262" s="12">
        <f t="shared" si="87"/>
        <v>0</v>
      </c>
      <c r="V262" s="6">
        <v>12</v>
      </c>
      <c r="W262" t="str">
        <f t="shared" si="77"/>
        <v>ok</v>
      </c>
      <c r="X262">
        <f t="shared" si="78"/>
        <v>18</v>
      </c>
      <c r="Y262">
        <f t="shared" si="88"/>
        <v>18</v>
      </c>
      <c r="Z262" s="10">
        <f t="shared" si="89"/>
        <v>22882.675440000003</v>
      </c>
      <c r="AA262" s="10">
        <f t="shared" si="90"/>
        <v>13440.72</v>
      </c>
      <c r="AB262" s="10">
        <f t="shared" si="91"/>
        <v>9441.9554400000034</v>
      </c>
      <c r="AC262" s="10">
        <f t="shared" si="79"/>
        <v>606.37750000000005</v>
      </c>
      <c r="AD262" s="10">
        <f t="shared" si="80"/>
        <v>1193.865</v>
      </c>
      <c r="AE262" s="10">
        <f t="shared" si="81"/>
        <v>1912.0450000000001</v>
      </c>
      <c r="AF262" s="10" t="str">
        <f t="shared" si="82"/>
        <v>Low</v>
      </c>
      <c r="AG262" s="6">
        <f t="shared" si="92"/>
        <v>0.41262462795303284</v>
      </c>
      <c r="AH262" s="4">
        <f t="shared" si="93"/>
        <v>44945</v>
      </c>
      <c r="AI262" t="str">
        <f t="shared" si="94"/>
        <v>Jan-2023</v>
      </c>
    </row>
    <row r="263" spans="1:35" x14ac:dyDescent="0.25">
      <c r="A263" t="s">
        <v>275</v>
      </c>
      <c r="B263" s="4">
        <v>45073</v>
      </c>
      <c r="C263" s="4" t="str">
        <f t="shared" si="83"/>
        <v>Q2-2023</v>
      </c>
      <c r="D263" s="4" t="str">
        <f t="shared" si="84"/>
        <v>May-2023</v>
      </c>
      <c r="E263" s="4">
        <v>45096</v>
      </c>
      <c r="F263" s="12">
        <f t="shared" si="85"/>
        <v>23</v>
      </c>
      <c r="G263" s="12">
        <f t="shared" si="76"/>
        <v>0</v>
      </c>
      <c r="H263" s="4">
        <f t="shared" si="86"/>
        <v>45096</v>
      </c>
      <c r="I263" t="s">
        <v>649</v>
      </c>
      <c r="J263" t="s">
        <v>656</v>
      </c>
      <c r="K263" t="s">
        <v>671</v>
      </c>
      <c r="L263" t="s">
        <v>702</v>
      </c>
      <c r="M263" t="s">
        <v>707</v>
      </c>
      <c r="N263" t="s">
        <v>719</v>
      </c>
      <c r="O263" t="s">
        <v>733</v>
      </c>
      <c r="P263" t="str" cm="1">
        <f t="array" ref="P263">_xlfn.IFS(S263&lt;=PERCENTILE($S$2:$S$1000, 0.33), "Low", S263&lt;=PERCENTILE($S$2:$S$1000, 0.66), "Medium", TRUE, "High")</f>
        <v>High</v>
      </c>
      <c r="Q263" t="s">
        <v>995</v>
      </c>
      <c r="R263" s="10">
        <v>1471.58</v>
      </c>
      <c r="S263" s="10">
        <v>2576.65</v>
      </c>
      <c r="T263" s="8">
        <v>4.0000000000000001E-3</v>
      </c>
      <c r="U263" s="12">
        <f t="shared" si="87"/>
        <v>0</v>
      </c>
      <c r="V263" s="6">
        <v>7</v>
      </c>
      <c r="W263" t="str">
        <f t="shared" si="77"/>
        <v>ok</v>
      </c>
      <c r="X263">
        <f t="shared" si="78"/>
        <v>23</v>
      </c>
      <c r="Y263">
        <f t="shared" si="88"/>
        <v>23</v>
      </c>
      <c r="Z263" s="10">
        <f t="shared" si="89"/>
        <v>17964.4038</v>
      </c>
      <c r="AA263" s="10">
        <f t="shared" si="90"/>
        <v>10301.06</v>
      </c>
      <c r="AB263" s="10">
        <f t="shared" si="91"/>
        <v>7663.3438000000006</v>
      </c>
      <c r="AC263" s="10">
        <f t="shared" si="79"/>
        <v>606.37750000000005</v>
      </c>
      <c r="AD263" s="10">
        <f t="shared" si="80"/>
        <v>1193.865</v>
      </c>
      <c r="AE263" s="10">
        <f t="shared" si="81"/>
        <v>1912.0450000000001</v>
      </c>
      <c r="AF263" s="10" t="str">
        <f t="shared" si="82"/>
        <v>High</v>
      </c>
      <c r="AG263" s="6">
        <f t="shared" si="92"/>
        <v>0.4265849223451546</v>
      </c>
      <c r="AH263" s="4">
        <f t="shared" si="93"/>
        <v>44938</v>
      </c>
      <c r="AI263" t="str">
        <f t="shared" si="94"/>
        <v>Jan-2023</v>
      </c>
    </row>
    <row r="264" spans="1:35" x14ac:dyDescent="0.25">
      <c r="A264" t="s">
        <v>276</v>
      </c>
      <c r="B264" s="4">
        <v>45142</v>
      </c>
      <c r="C264" s="4" t="str">
        <f t="shared" si="83"/>
        <v>Q3-2023</v>
      </c>
      <c r="D264" s="4" t="str">
        <f t="shared" si="84"/>
        <v>Aug-2023</v>
      </c>
      <c r="E264" s="4">
        <v>45162</v>
      </c>
      <c r="F264" s="12">
        <f t="shared" si="85"/>
        <v>20</v>
      </c>
      <c r="G264" s="12">
        <f t="shared" si="76"/>
        <v>0</v>
      </c>
      <c r="H264" s="4">
        <f t="shared" si="86"/>
        <v>45162</v>
      </c>
      <c r="I264" t="s">
        <v>648</v>
      </c>
      <c r="J264" t="s">
        <v>655</v>
      </c>
      <c r="K264" t="s">
        <v>672</v>
      </c>
      <c r="L264" t="s">
        <v>703</v>
      </c>
      <c r="M264" t="s">
        <v>711</v>
      </c>
      <c r="N264" t="s">
        <v>1418</v>
      </c>
      <c r="O264" t="s">
        <v>729</v>
      </c>
      <c r="P264" t="str" cm="1">
        <f t="array" ref="P264">_xlfn.IFS(S264&lt;=PERCENTILE($S$2:$S$1000, 0.33), "Low", S264&lt;=PERCENTILE($S$2:$S$1000, 0.66), "Medium", TRUE, "High")</f>
        <v>Medium</v>
      </c>
      <c r="Q264" t="s">
        <v>996</v>
      </c>
      <c r="R264" s="10">
        <v>582.88</v>
      </c>
      <c r="S264" s="10">
        <v>1044.1400000000001</v>
      </c>
      <c r="T264" s="8">
        <v>0.216</v>
      </c>
      <c r="U264" s="12">
        <f t="shared" si="87"/>
        <v>1</v>
      </c>
      <c r="V264" s="6">
        <v>10</v>
      </c>
      <c r="W264" t="str">
        <f t="shared" si="77"/>
        <v>ok</v>
      </c>
      <c r="X264">
        <f t="shared" si="78"/>
        <v>20</v>
      </c>
      <c r="Y264">
        <f t="shared" si="88"/>
        <v>20</v>
      </c>
      <c r="Z264" s="10">
        <f t="shared" si="89"/>
        <v>8186.057600000001</v>
      </c>
      <c r="AA264" s="10">
        <f t="shared" si="90"/>
        <v>5828.8</v>
      </c>
      <c r="AB264" s="10">
        <f t="shared" si="91"/>
        <v>2357.2576000000008</v>
      </c>
      <c r="AC264" s="10">
        <f t="shared" si="79"/>
        <v>606.37750000000005</v>
      </c>
      <c r="AD264" s="10">
        <f t="shared" si="80"/>
        <v>1193.865</v>
      </c>
      <c r="AE264" s="10">
        <f t="shared" si="81"/>
        <v>1912.0450000000001</v>
      </c>
      <c r="AF264" s="10" t="str">
        <f t="shared" si="82"/>
        <v>High</v>
      </c>
      <c r="AG264" s="6">
        <f t="shared" si="92"/>
        <v>0.28796005539956138</v>
      </c>
      <c r="AH264" s="4">
        <f t="shared" si="93"/>
        <v>44939</v>
      </c>
      <c r="AI264" t="str">
        <f t="shared" si="94"/>
        <v>Jan-2023</v>
      </c>
    </row>
    <row r="265" spans="1:35" x14ac:dyDescent="0.25">
      <c r="A265" t="s">
        <v>277</v>
      </c>
      <c r="B265" s="4">
        <v>45829</v>
      </c>
      <c r="C265" s="4" t="str">
        <f t="shared" si="83"/>
        <v>Q2-2025</v>
      </c>
      <c r="D265" s="4" t="str">
        <f t="shared" si="84"/>
        <v>Jun-2025</v>
      </c>
      <c r="E265" s="4">
        <v>45835</v>
      </c>
      <c r="F265" s="12">
        <f t="shared" si="85"/>
        <v>6</v>
      </c>
      <c r="G265" s="12">
        <f t="shared" si="76"/>
        <v>1</v>
      </c>
      <c r="H265" s="4">
        <f t="shared" si="86"/>
        <v>45835</v>
      </c>
      <c r="I265" t="s">
        <v>646</v>
      </c>
      <c r="J265" t="s">
        <v>661</v>
      </c>
      <c r="K265" t="s">
        <v>687</v>
      </c>
      <c r="L265" t="s">
        <v>706</v>
      </c>
      <c r="M265" t="s">
        <v>710</v>
      </c>
      <c r="N265" t="s">
        <v>725</v>
      </c>
      <c r="O265" t="s">
        <v>730</v>
      </c>
      <c r="P265" t="str" cm="1">
        <f t="array" ref="P265">_xlfn.IFS(S265&lt;=PERCENTILE($S$2:$S$1000, 0.33), "Low", S265&lt;=PERCENTILE($S$2:$S$1000, 0.66), "Medium", TRUE, "High")</f>
        <v>Low</v>
      </c>
      <c r="Q265" t="s">
        <v>997</v>
      </c>
      <c r="R265" s="10">
        <v>93.91</v>
      </c>
      <c r="S265" s="10">
        <v>99.04</v>
      </c>
      <c r="T265" s="8">
        <v>5.7000000000000002E-2</v>
      </c>
      <c r="U265" s="12">
        <f t="shared" si="87"/>
        <v>0</v>
      </c>
      <c r="V265" s="6">
        <v>6</v>
      </c>
      <c r="W265" t="str">
        <f t="shared" si="77"/>
        <v>ok</v>
      </c>
      <c r="X265">
        <f t="shared" si="78"/>
        <v>6</v>
      </c>
      <c r="Y265">
        <f t="shared" si="88"/>
        <v>6</v>
      </c>
      <c r="Z265" s="10">
        <f t="shared" si="89"/>
        <v>560.36831999999993</v>
      </c>
      <c r="AA265" s="10">
        <f t="shared" si="90"/>
        <v>563.46</v>
      </c>
      <c r="AB265" s="10">
        <f t="shared" si="91"/>
        <v>-3.0916800000001103</v>
      </c>
      <c r="AC265" s="10">
        <f t="shared" si="79"/>
        <v>606.37750000000005</v>
      </c>
      <c r="AD265" s="10">
        <f t="shared" si="80"/>
        <v>1193.865</v>
      </c>
      <c r="AE265" s="10">
        <f t="shared" si="81"/>
        <v>1912.0450000000001</v>
      </c>
      <c r="AF265" s="10" t="str">
        <f t="shared" si="82"/>
        <v>Medium</v>
      </c>
      <c r="AG265" s="6">
        <f t="shared" si="92"/>
        <v>-5.5172283829323376E-3</v>
      </c>
      <c r="AH265" s="4">
        <f t="shared" si="93"/>
        <v>44936</v>
      </c>
      <c r="AI265" t="str">
        <f t="shared" si="94"/>
        <v>Jan-2023</v>
      </c>
    </row>
    <row r="266" spans="1:35" x14ac:dyDescent="0.25">
      <c r="A266" t="s">
        <v>278</v>
      </c>
      <c r="B266" s="4">
        <v>45763</v>
      </c>
      <c r="C266" s="4" t="str">
        <f t="shared" si="83"/>
        <v>Q2-2025</v>
      </c>
      <c r="D266" s="4" t="str">
        <f t="shared" si="84"/>
        <v>Apr-2025</v>
      </c>
      <c r="E266" s="4">
        <v>45773</v>
      </c>
      <c r="F266" s="12">
        <f t="shared" si="85"/>
        <v>10</v>
      </c>
      <c r="G266" s="12">
        <f t="shared" si="76"/>
        <v>0</v>
      </c>
      <c r="H266" s="4">
        <f t="shared" si="86"/>
        <v>45773</v>
      </c>
      <c r="I266" t="s">
        <v>646</v>
      </c>
      <c r="J266" t="s">
        <v>651</v>
      </c>
      <c r="K266" t="s">
        <v>663</v>
      </c>
      <c r="L266" t="s">
        <v>706</v>
      </c>
      <c r="M266" t="s">
        <v>709</v>
      </c>
      <c r="N266" t="s">
        <v>721</v>
      </c>
      <c r="O266" t="s">
        <v>731</v>
      </c>
      <c r="P266" t="str" cm="1">
        <f t="array" ref="P266">_xlfn.IFS(S266&lt;=PERCENTILE($S$2:$S$1000, 0.33), "Low", S266&lt;=PERCENTILE($S$2:$S$1000, 0.66), "Medium", TRUE, "High")</f>
        <v>High</v>
      </c>
      <c r="Q266" t="s">
        <v>998</v>
      </c>
      <c r="R266" s="10">
        <v>1457.44</v>
      </c>
      <c r="S266" s="10">
        <v>1996.81</v>
      </c>
      <c r="T266" s="8">
        <v>0.126</v>
      </c>
      <c r="U266" s="12">
        <f t="shared" si="87"/>
        <v>0</v>
      </c>
      <c r="V266" s="6">
        <v>23</v>
      </c>
      <c r="W266" t="str">
        <f t="shared" si="77"/>
        <v>ok</v>
      </c>
      <c r="X266">
        <f t="shared" si="78"/>
        <v>10</v>
      </c>
      <c r="Y266">
        <f t="shared" si="88"/>
        <v>10</v>
      </c>
      <c r="Z266" s="10">
        <f t="shared" si="89"/>
        <v>40139.874619999995</v>
      </c>
      <c r="AA266" s="10">
        <f t="shared" si="90"/>
        <v>33521.120000000003</v>
      </c>
      <c r="AB266" s="10">
        <f t="shared" si="91"/>
        <v>6618.7546199999924</v>
      </c>
      <c r="AC266" s="10">
        <f t="shared" si="79"/>
        <v>606.37750000000005</v>
      </c>
      <c r="AD266" s="10">
        <f t="shared" si="80"/>
        <v>1193.865</v>
      </c>
      <c r="AE266" s="10">
        <f t="shared" si="81"/>
        <v>1912.0450000000001</v>
      </c>
      <c r="AF266" s="10" t="str">
        <f t="shared" si="82"/>
        <v>Low</v>
      </c>
      <c r="AG266" s="6">
        <f t="shared" si="92"/>
        <v>0.16489225944672353</v>
      </c>
      <c r="AH266" s="4">
        <f t="shared" si="93"/>
        <v>44938</v>
      </c>
      <c r="AI266" t="str">
        <f t="shared" si="94"/>
        <v>Jan-2023</v>
      </c>
    </row>
    <row r="267" spans="1:35" x14ac:dyDescent="0.25">
      <c r="A267" t="s">
        <v>279</v>
      </c>
      <c r="B267" s="4">
        <v>45902</v>
      </c>
      <c r="C267" s="4" t="str">
        <f t="shared" si="83"/>
        <v>Q3-2025</v>
      </c>
      <c r="D267" s="4" t="str">
        <f t="shared" si="84"/>
        <v>Sept-2025</v>
      </c>
      <c r="E267" s="4">
        <v>45911</v>
      </c>
      <c r="F267" s="12">
        <f t="shared" si="85"/>
        <v>9</v>
      </c>
      <c r="G267" s="12">
        <f t="shared" si="76"/>
        <v>0</v>
      </c>
      <c r="H267" s="4">
        <f t="shared" si="86"/>
        <v>45911</v>
      </c>
      <c r="I267" t="s">
        <v>648</v>
      </c>
      <c r="J267" t="s">
        <v>653</v>
      </c>
      <c r="K267" t="s">
        <v>667</v>
      </c>
      <c r="L267" t="s">
        <v>701</v>
      </c>
      <c r="M267" t="s">
        <v>710</v>
      </c>
      <c r="N267" t="s">
        <v>724</v>
      </c>
      <c r="O267" t="s">
        <v>728</v>
      </c>
      <c r="P267" t="str" cm="1">
        <f t="array" ref="P267">_xlfn.IFS(S267&lt;=PERCENTILE($S$2:$S$1000, 0.33), "Low", S267&lt;=PERCENTILE($S$2:$S$1000, 0.66), "Medium", TRUE, "High")</f>
        <v>Medium</v>
      </c>
      <c r="Q267" t="s">
        <v>999</v>
      </c>
      <c r="R267" s="10">
        <v>1207.6300000000001</v>
      </c>
      <c r="S267" s="10">
        <v>921.68</v>
      </c>
      <c r="T267" s="8">
        <v>0.19600000000000001</v>
      </c>
      <c r="U267" s="12">
        <f t="shared" si="87"/>
        <v>0</v>
      </c>
      <c r="V267" s="6">
        <v>17</v>
      </c>
      <c r="W267" t="str">
        <f t="shared" si="77"/>
        <v>ok</v>
      </c>
      <c r="X267">
        <f t="shared" si="78"/>
        <v>9</v>
      </c>
      <c r="Y267">
        <f t="shared" si="88"/>
        <v>9</v>
      </c>
      <c r="Z267" s="10">
        <f t="shared" si="89"/>
        <v>12597.52224</v>
      </c>
      <c r="AA267" s="10">
        <f t="shared" si="90"/>
        <v>20529.710000000003</v>
      </c>
      <c r="AB267" s="10">
        <f t="shared" si="91"/>
        <v>-7932.1877600000025</v>
      </c>
      <c r="AC267" s="10">
        <f t="shared" si="79"/>
        <v>606.37750000000005</v>
      </c>
      <c r="AD267" s="10">
        <f t="shared" si="80"/>
        <v>1193.865</v>
      </c>
      <c r="AE267" s="10">
        <f t="shared" si="81"/>
        <v>1912.0450000000001</v>
      </c>
      <c r="AF267" s="10" t="str">
        <f t="shared" si="82"/>
        <v>High</v>
      </c>
      <c r="AG267" s="6">
        <f t="shared" si="92"/>
        <v>-0.62966253274897988</v>
      </c>
      <c r="AH267" s="4">
        <f t="shared" si="93"/>
        <v>44946</v>
      </c>
      <c r="AI267" t="str">
        <f t="shared" si="94"/>
        <v>Jan-2023</v>
      </c>
    </row>
    <row r="268" spans="1:35" x14ac:dyDescent="0.25">
      <c r="A268" t="s">
        <v>280</v>
      </c>
      <c r="B268" s="4">
        <v>45573</v>
      </c>
      <c r="C268" s="4" t="str">
        <f t="shared" si="83"/>
        <v>Q4-2024</v>
      </c>
      <c r="D268" s="4" t="str">
        <f t="shared" si="84"/>
        <v>Oct-2024</v>
      </c>
      <c r="E268" s="4">
        <v>45573</v>
      </c>
      <c r="F268" s="12">
        <f t="shared" si="85"/>
        <v>0</v>
      </c>
      <c r="G268" s="12">
        <f t="shared" si="76"/>
        <v>1</v>
      </c>
      <c r="H268" s="4">
        <f t="shared" si="86"/>
        <v>45573</v>
      </c>
      <c r="I268" t="s">
        <v>649</v>
      </c>
      <c r="J268" t="s">
        <v>658</v>
      </c>
      <c r="K268" t="s">
        <v>683</v>
      </c>
      <c r="L268" t="s">
        <v>701</v>
      </c>
      <c r="M268" t="s">
        <v>708</v>
      </c>
      <c r="N268" t="s">
        <v>718</v>
      </c>
      <c r="O268" t="s">
        <v>732</v>
      </c>
      <c r="P268" t="str" cm="1">
        <f t="array" ref="P268">_xlfn.IFS(S268&lt;=PERCENTILE($S$2:$S$1000, 0.33), "Low", S268&lt;=PERCENTILE($S$2:$S$1000, 0.66), "Medium", TRUE, "High")</f>
        <v>High</v>
      </c>
      <c r="Q268" t="s">
        <v>1000</v>
      </c>
      <c r="R268" s="10">
        <v>1108.1099999999999</v>
      </c>
      <c r="S268" s="10">
        <v>2503.79</v>
      </c>
      <c r="T268" s="8">
        <v>0.184</v>
      </c>
      <c r="U268" s="12">
        <f t="shared" si="87"/>
        <v>0</v>
      </c>
      <c r="V268" s="6">
        <v>19</v>
      </c>
      <c r="W268" t="str">
        <f t="shared" si="77"/>
        <v>sus</v>
      </c>
      <c r="X268">
        <f t="shared" si="78"/>
        <v>0</v>
      </c>
      <c r="Y268">
        <f t="shared" si="88"/>
        <v>0</v>
      </c>
      <c r="Z268" s="10">
        <f t="shared" si="89"/>
        <v>38818.760160000005</v>
      </c>
      <c r="AA268" s="10">
        <f t="shared" si="90"/>
        <v>21054.089999999997</v>
      </c>
      <c r="AB268" s="10">
        <f t="shared" si="91"/>
        <v>17764.670160000009</v>
      </c>
      <c r="AC268" s="10">
        <f t="shared" si="79"/>
        <v>606.37750000000005</v>
      </c>
      <c r="AD268" s="10">
        <f t="shared" si="80"/>
        <v>1193.865</v>
      </c>
      <c r="AE268" s="10">
        <f t="shared" si="81"/>
        <v>1912.0450000000001</v>
      </c>
      <c r="AF268" s="10" t="str">
        <f t="shared" si="82"/>
        <v>Medium</v>
      </c>
      <c r="AG268" s="6">
        <f t="shared" si="92"/>
        <v>0.45763105485025896</v>
      </c>
      <c r="AH268" s="4">
        <f t="shared" si="93"/>
        <v>44936</v>
      </c>
      <c r="AI268" t="str">
        <f t="shared" si="94"/>
        <v>Jan-2023</v>
      </c>
    </row>
    <row r="269" spans="1:35" x14ac:dyDescent="0.25">
      <c r="A269" t="s">
        <v>281</v>
      </c>
      <c r="B269" s="4">
        <v>45053</v>
      </c>
      <c r="C269" s="4" t="str">
        <f t="shared" si="83"/>
        <v>Q2-2023</v>
      </c>
      <c r="D269" s="4" t="str">
        <f t="shared" si="84"/>
        <v>May-2023</v>
      </c>
      <c r="E269" s="4">
        <v>45051</v>
      </c>
      <c r="F269" s="12">
        <f t="shared" si="85"/>
        <v>14</v>
      </c>
      <c r="G269" s="12">
        <f t="shared" si="76"/>
        <v>0</v>
      </c>
      <c r="H269" s="4">
        <f t="shared" si="86"/>
        <v>45067</v>
      </c>
      <c r="I269" t="s">
        <v>646</v>
      </c>
      <c r="J269" t="s">
        <v>651</v>
      </c>
      <c r="K269" t="s">
        <v>663</v>
      </c>
      <c r="L269" t="s">
        <v>703</v>
      </c>
      <c r="M269" t="s">
        <v>709</v>
      </c>
      <c r="N269" t="s">
        <v>720</v>
      </c>
      <c r="O269" t="s">
        <v>727</v>
      </c>
      <c r="P269" t="str" cm="1">
        <f t="array" ref="P269">_xlfn.IFS(S269&lt;=PERCENTILE($S$2:$S$1000, 0.33), "Low", S269&lt;=PERCENTILE($S$2:$S$1000, 0.66), "Medium", TRUE, "High")</f>
        <v>High</v>
      </c>
      <c r="Q269" t="s">
        <v>1001</v>
      </c>
      <c r="R269" s="10">
        <v>1269.6500000000001</v>
      </c>
      <c r="S269" s="10">
        <v>2462.77</v>
      </c>
      <c r="T269" s="8">
        <v>0.107</v>
      </c>
      <c r="U269" s="12">
        <f t="shared" si="87"/>
        <v>0</v>
      </c>
      <c r="V269" s="6">
        <v>8</v>
      </c>
      <c r="W269" t="str">
        <f t="shared" si="77"/>
        <v>sus</v>
      </c>
      <c r="X269">
        <f t="shared" si="78"/>
        <v>-2</v>
      </c>
      <c r="Y269">
        <f t="shared" si="88"/>
        <v>2</v>
      </c>
      <c r="Z269" s="10">
        <f t="shared" si="89"/>
        <v>17594.028880000002</v>
      </c>
      <c r="AA269" s="10">
        <f t="shared" si="90"/>
        <v>10157.200000000001</v>
      </c>
      <c r="AB269" s="10">
        <f t="shared" si="91"/>
        <v>7436.8288800000009</v>
      </c>
      <c r="AC269" s="10">
        <f t="shared" si="79"/>
        <v>606.37750000000005</v>
      </c>
      <c r="AD269" s="10">
        <f t="shared" si="80"/>
        <v>1193.865</v>
      </c>
      <c r="AE269" s="10">
        <f t="shared" si="81"/>
        <v>1912.0450000000001</v>
      </c>
      <c r="AF269" s="10" t="str">
        <f t="shared" si="82"/>
        <v>High</v>
      </c>
      <c r="AG269" s="6">
        <f t="shared" si="92"/>
        <v>0.42269050089225502</v>
      </c>
      <c r="AH269" s="4">
        <f t="shared" si="93"/>
        <v>44938</v>
      </c>
      <c r="AI269" t="str">
        <f t="shared" si="94"/>
        <v>Jan-2023</v>
      </c>
    </row>
    <row r="270" spans="1:35" x14ac:dyDescent="0.25">
      <c r="A270" t="s">
        <v>282</v>
      </c>
      <c r="B270" s="4">
        <v>45284</v>
      </c>
      <c r="C270" s="4" t="str">
        <f t="shared" si="83"/>
        <v>Q4-2023</v>
      </c>
      <c r="D270" s="4" t="str">
        <f t="shared" si="84"/>
        <v>Dec-2023</v>
      </c>
      <c r="E270" s="4">
        <v>45292</v>
      </c>
      <c r="F270" s="12">
        <f t="shared" si="85"/>
        <v>8</v>
      </c>
      <c r="G270" s="12">
        <f t="shared" si="76"/>
        <v>0</v>
      </c>
      <c r="H270" s="4">
        <f t="shared" si="86"/>
        <v>45292</v>
      </c>
      <c r="I270" t="s">
        <v>648</v>
      </c>
      <c r="J270" t="s">
        <v>655</v>
      </c>
      <c r="K270" t="s">
        <v>670</v>
      </c>
      <c r="L270" t="s">
        <v>702</v>
      </c>
      <c r="M270" t="s">
        <v>711</v>
      </c>
      <c r="N270" t="s">
        <v>712</v>
      </c>
      <c r="O270" t="s">
        <v>730</v>
      </c>
      <c r="P270" t="str" cm="1">
        <f t="array" ref="P270">_xlfn.IFS(S270&lt;=PERCENTILE($S$2:$S$1000, 0.33), "Low", S270&lt;=PERCENTILE($S$2:$S$1000, 0.66), "Medium", TRUE, "High")</f>
        <v>Low</v>
      </c>
      <c r="Q270" t="s">
        <v>1002</v>
      </c>
      <c r="R270" s="10">
        <v>526.49</v>
      </c>
      <c r="S270" s="10">
        <v>496.2</v>
      </c>
      <c r="T270" s="8">
        <v>0</v>
      </c>
      <c r="U270" s="12">
        <f t="shared" si="87"/>
        <v>0</v>
      </c>
      <c r="V270" s="6">
        <v>14</v>
      </c>
      <c r="W270" t="str">
        <f t="shared" si="77"/>
        <v>ok</v>
      </c>
      <c r="X270">
        <f t="shared" si="78"/>
        <v>8</v>
      </c>
      <c r="Y270">
        <f t="shared" si="88"/>
        <v>8</v>
      </c>
      <c r="Z270" s="10">
        <f t="shared" si="89"/>
        <v>6946.8</v>
      </c>
      <c r="AA270" s="10">
        <f t="shared" si="90"/>
        <v>7370.8600000000006</v>
      </c>
      <c r="AB270" s="10">
        <f t="shared" si="91"/>
        <v>-424.0600000000004</v>
      </c>
      <c r="AC270" s="10">
        <f t="shared" si="79"/>
        <v>606.37750000000005</v>
      </c>
      <c r="AD270" s="10">
        <f t="shared" si="80"/>
        <v>1193.865</v>
      </c>
      <c r="AE270" s="10">
        <f t="shared" si="81"/>
        <v>1912.0450000000001</v>
      </c>
      <c r="AF270" s="10" t="str">
        <f t="shared" si="82"/>
        <v>High</v>
      </c>
      <c r="AG270" s="6">
        <f t="shared" si="92"/>
        <v>-6.1043933897621985E-2</v>
      </c>
      <c r="AH270" s="4">
        <f t="shared" si="93"/>
        <v>44955</v>
      </c>
      <c r="AI270" t="str">
        <f t="shared" si="94"/>
        <v>Jan-2023</v>
      </c>
    </row>
    <row r="271" spans="1:35" x14ac:dyDescent="0.25">
      <c r="A271" t="s">
        <v>283</v>
      </c>
      <c r="B271" s="4">
        <v>45301</v>
      </c>
      <c r="C271" s="4" t="str">
        <f t="shared" si="83"/>
        <v>Q1-2024</v>
      </c>
      <c r="D271" s="4" t="str">
        <f t="shared" si="84"/>
        <v>Jan-2024</v>
      </c>
      <c r="E271" s="4">
        <v>45314</v>
      </c>
      <c r="F271" s="12">
        <f t="shared" si="85"/>
        <v>13</v>
      </c>
      <c r="G271" s="12">
        <f t="shared" si="76"/>
        <v>0</v>
      </c>
      <c r="H271" s="4">
        <f t="shared" si="86"/>
        <v>45314</v>
      </c>
      <c r="I271" t="s">
        <v>649</v>
      </c>
      <c r="J271" t="s">
        <v>657</v>
      </c>
      <c r="K271" t="s">
        <v>673</v>
      </c>
      <c r="L271" t="s">
        <v>701</v>
      </c>
      <c r="M271" t="s">
        <v>711</v>
      </c>
      <c r="N271" t="s">
        <v>720</v>
      </c>
      <c r="O271" t="s">
        <v>728</v>
      </c>
      <c r="P271" t="str" cm="1">
        <f t="array" ref="P271">_xlfn.IFS(S271&lt;=PERCENTILE($S$2:$S$1000, 0.33), "Low", S271&lt;=PERCENTILE($S$2:$S$1000, 0.66), "Medium", TRUE, "High")</f>
        <v>Medium</v>
      </c>
      <c r="Q271" t="s">
        <v>1003</v>
      </c>
      <c r="R271" s="10">
        <v>720</v>
      </c>
      <c r="S271" s="10">
        <v>907.59</v>
      </c>
      <c r="T271" s="8">
        <v>0.154</v>
      </c>
      <c r="U271" s="12">
        <f t="shared" si="87"/>
        <v>0</v>
      </c>
      <c r="V271" s="6">
        <v>10</v>
      </c>
      <c r="W271" t="str">
        <f t="shared" si="77"/>
        <v>ok</v>
      </c>
      <c r="X271">
        <f t="shared" si="78"/>
        <v>13</v>
      </c>
      <c r="Y271">
        <f t="shared" si="88"/>
        <v>13</v>
      </c>
      <c r="Z271" s="10">
        <f t="shared" si="89"/>
        <v>7678.2113999999992</v>
      </c>
      <c r="AA271" s="10">
        <f t="shared" si="90"/>
        <v>7200</v>
      </c>
      <c r="AB271" s="10">
        <f t="shared" si="91"/>
        <v>478.21139999999923</v>
      </c>
      <c r="AC271" s="10">
        <f t="shared" si="79"/>
        <v>606.37750000000005</v>
      </c>
      <c r="AD271" s="10">
        <f t="shared" si="80"/>
        <v>1193.865</v>
      </c>
      <c r="AE271" s="10">
        <f t="shared" si="81"/>
        <v>1912.0450000000001</v>
      </c>
      <c r="AF271" s="10" t="str">
        <f t="shared" si="82"/>
        <v>Low</v>
      </c>
      <c r="AG271" s="6">
        <f t="shared" si="92"/>
        <v>6.2281614179052078E-2</v>
      </c>
      <c r="AH271" s="4">
        <f t="shared" si="93"/>
        <v>44948</v>
      </c>
      <c r="AI271" t="str">
        <f t="shared" si="94"/>
        <v>Jan-2023</v>
      </c>
    </row>
    <row r="272" spans="1:35" x14ac:dyDescent="0.25">
      <c r="A272" t="s">
        <v>284</v>
      </c>
      <c r="B272" s="4">
        <v>45141</v>
      </c>
      <c r="C272" s="4" t="str">
        <f t="shared" si="83"/>
        <v>Q3-2023</v>
      </c>
      <c r="D272" s="4" t="str">
        <f t="shared" si="84"/>
        <v>Aug-2023</v>
      </c>
      <c r="E272" s="4">
        <v>45152</v>
      </c>
      <c r="F272" s="12">
        <f t="shared" si="85"/>
        <v>11</v>
      </c>
      <c r="G272" s="12">
        <f t="shared" si="76"/>
        <v>0</v>
      </c>
      <c r="H272" s="4">
        <f t="shared" si="86"/>
        <v>45152</v>
      </c>
      <c r="I272" t="s">
        <v>648</v>
      </c>
      <c r="J272" t="s">
        <v>655</v>
      </c>
      <c r="K272" t="s">
        <v>672</v>
      </c>
      <c r="L272" t="s">
        <v>701</v>
      </c>
      <c r="M272" t="s">
        <v>711</v>
      </c>
      <c r="N272" t="s">
        <v>713</v>
      </c>
      <c r="O272" t="s">
        <v>733</v>
      </c>
      <c r="P272" t="str" cm="1">
        <f t="array" ref="P272">_xlfn.IFS(S272&lt;=PERCENTILE($S$2:$S$1000, 0.33), "Low", S272&lt;=PERCENTILE($S$2:$S$1000, 0.66), "Medium", TRUE, "High")</f>
        <v>Low</v>
      </c>
      <c r="Q272" t="s">
        <v>1004</v>
      </c>
      <c r="R272" s="10">
        <v>232.73</v>
      </c>
      <c r="S272" s="10">
        <v>334.19</v>
      </c>
      <c r="T272" s="8">
        <v>0.13400000000000001</v>
      </c>
      <c r="U272" s="12">
        <f t="shared" si="87"/>
        <v>0</v>
      </c>
      <c r="V272" s="6">
        <v>25</v>
      </c>
      <c r="W272" t="str">
        <f t="shared" si="77"/>
        <v>ok</v>
      </c>
      <c r="X272">
        <f t="shared" si="78"/>
        <v>11</v>
      </c>
      <c r="Y272">
        <f t="shared" si="88"/>
        <v>11</v>
      </c>
      <c r="Z272" s="10">
        <f t="shared" si="89"/>
        <v>7235.2134999999998</v>
      </c>
      <c r="AA272" s="10">
        <f t="shared" si="90"/>
        <v>5818.25</v>
      </c>
      <c r="AB272" s="10">
        <f t="shared" si="91"/>
        <v>1416.9634999999998</v>
      </c>
      <c r="AC272" s="10">
        <f t="shared" si="79"/>
        <v>606.37750000000005</v>
      </c>
      <c r="AD272" s="10">
        <f t="shared" si="80"/>
        <v>1193.865</v>
      </c>
      <c r="AE272" s="10">
        <f t="shared" si="81"/>
        <v>1912.0450000000001</v>
      </c>
      <c r="AF272" s="10" t="str">
        <f t="shared" si="82"/>
        <v>Medium</v>
      </c>
      <c r="AG272" s="6">
        <f t="shared" si="92"/>
        <v>0.1958426658729559</v>
      </c>
      <c r="AH272" s="4">
        <f t="shared" si="93"/>
        <v>44939</v>
      </c>
      <c r="AI272" t="str">
        <f t="shared" si="94"/>
        <v>Jan-2023</v>
      </c>
    </row>
    <row r="273" spans="1:35" x14ac:dyDescent="0.25">
      <c r="A273" t="s">
        <v>285</v>
      </c>
      <c r="B273" s="4">
        <v>45707</v>
      </c>
      <c r="C273" s="4" t="str">
        <f t="shared" si="83"/>
        <v>Q1-2025</v>
      </c>
      <c r="D273" s="4" t="str">
        <f t="shared" si="84"/>
        <v>Feb-2025</v>
      </c>
      <c r="E273" s="4">
        <v>45725</v>
      </c>
      <c r="F273" s="12">
        <f t="shared" si="85"/>
        <v>18</v>
      </c>
      <c r="G273" s="12">
        <f t="shared" si="76"/>
        <v>0</v>
      </c>
      <c r="H273" s="4">
        <f t="shared" si="86"/>
        <v>45725</v>
      </c>
      <c r="I273" t="s">
        <v>647</v>
      </c>
      <c r="J273" t="s">
        <v>654</v>
      </c>
      <c r="K273" t="s">
        <v>680</v>
      </c>
      <c r="L273" t="s">
        <v>705</v>
      </c>
      <c r="M273" t="s">
        <v>711</v>
      </c>
      <c r="N273" t="s">
        <v>719</v>
      </c>
      <c r="O273" t="s">
        <v>732</v>
      </c>
      <c r="P273" t="str" cm="1">
        <f t="array" ref="P273">_xlfn.IFS(S273&lt;=PERCENTILE($S$2:$S$1000, 0.33), "Low", S273&lt;=PERCENTILE($S$2:$S$1000, 0.66), "Medium", TRUE, "High")</f>
        <v>Low</v>
      </c>
      <c r="Q273" t="s">
        <v>1005</v>
      </c>
      <c r="R273" s="10">
        <v>325.87</v>
      </c>
      <c r="S273" s="10">
        <v>538.79</v>
      </c>
      <c r="T273" s="8">
        <v>0.17399999999999999</v>
      </c>
      <c r="U273" s="12">
        <f t="shared" si="87"/>
        <v>0</v>
      </c>
      <c r="V273" s="6">
        <v>16</v>
      </c>
      <c r="W273" t="str">
        <f t="shared" si="77"/>
        <v>ok</v>
      </c>
      <c r="X273">
        <f t="shared" si="78"/>
        <v>18</v>
      </c>
      <c r="Y273">
        <f t="shared" si="88"/>
        <v>18</v>
      </c>
      <c r="Z273" s="10">
        <f t="shared" si="89"/>
        <v>7120.6486400000003</v>
      </c>
      <c r="AA273" s="10">
        <f t="shared" si="90"/>
        <v>5213.92</v>
      </c>
      <c r="AB273" s="10">
        <f t="shared" si="91"/>
        <v>1906.7286400000003</v>
      </c>
      <c r="AC273" s="10">
        <f t="shared" si="79"/>
        <v>606.37750000000005</v>
      </c>
      <c r="AD273" s="10">
        <f t="shared" si="80"/>
        <v>1193.865</v>
      </c>
      <c r="AE273" s="10">
        <f t="shared" si="81"/>
        <v>1912.0450000000001</v>
      </c>
      <c r="AF273" s="10" t="str">
        <f t="shared" si="82"/>
        <v>Low</v>
      </c>
      <c r="AG273" s="6">
        <f t="shared" si="92"/>
        <v>0.26777457172778013</v>
      </c>
      <c r="AH273" s="4">
        <f t="shared" si="93"/>
        <v>44928</v>
      </c>
      <c r="AI273" t="str">
        <f t="shared" si="94"/>
        <v>Jan-2023</v>
      </c>
    </row>
    <row r="274" spans="1:35" x14ac:dyDescent="0.25">
      <c r="A274" t="s">
        <v>286</v>
      </c>
      <c r="B274" s="4">
        <v>45382</v>
      </c>
      <c r="C274" s="4" t="str">
        <f t="shared" si="83"/>
        <v>Q1-2024</v>
      </c>
      <c r="D274" s="4" t="str">
        <f t="shared" si="84"/>
        <v>Mar-2024</v>
      </c>
      <c r="E274" s="4">
        <v>45399</v>
      </c>
      <c r="F274" s="12">
        <f t="shared" si="85"/>
        <v>17</v>
      </c>
      <c r="G274" s="12">
        <f t="shared" si="76"/>
        <v>0</v>
      </c>
      <c r="H274" s="4">
        <f t="shared" si="86"/>
        <v>45399</v>
      </c>
      <c r="I274" t="s">
        <v>649</v>
      </c>
      <c r="J274" t="s">
        <v>656</v>
      </c>
      <c r="K274" t="s">
        <v>698</v>
      </c>
      <c r="L274" t="s">
        <v>702</v>
      </c>
      <c r="M274" t="s">
        <v>711</v>
      </c>
      <c r="N274" t="s">
        <v>722</v>
      </c>
      <c r="O274" t="s">
        <v>732</v>
      </c>
      <c r="P274" t="str" cm="1">
        <f t="array" ref="P274">_xlfn.IFS(S274&lt;=PERCENTILE($S$2:$S$1000, 0.33), "Low", S274&lt;=PERCENTILE($S$2:$S$1000, 0.66), "Medium", TRUE, "High")</f>
        <v>Medium</v>
      </c>
      <c r="Q274" t="s">
        <v>1006</v>
      </c>
      <c r="R274" s="10">
        <v>1025.51</v>
      </c>
      <c r="S274" s="10">
        <v>1436.54</v>
      </c>
      <c r="T274" s="8">
        <v>0.13900000000000001</v>
      </c>
      <c r="U274" s="12">
        <f t="shared" si="87"/>
        <v>0</v>
      </c>
      <c r="V274" s="6">
        <v>28</v>
      </c>
      <c r="W274" t="str">
        <f t="shared" si="77"/>
        <v>ok</v>
      </c>
      <c r="X274">
        <f t="shared" si="78"/>
        <v>17</v>
      </c>
      <c r="Y274">
        <f t="shared" si="88"/>
        <v>17</v>
      </c>
      <c r="Z274" s="10">
        <f t="shared" si="89"/>
        <v>34632.106319999999</v>
      </c>
      <c r="AA274" s="10">
        <f t="shared" si="90"/>
        <v>28714.28</v>
      </c>
      <c r="AB274" s="10">
        <f t="shared" si="91"/>
        <v>5917.8263200000001</v>
      </c>
      <c r="AC274" s="10">
        <f t="shared" si="79"/>
        <v>606.37750000000005</v>
      </c>
      <c r="AD274" s="10">
        <f t="shared" si="80"/>
        <v>1193.865</v>
      </c>
      <c r="AE274" s="10">
        <f t="shared" si="81"/>
        <v>1912.0450000000001</v>
      </c>
      <c r="AF274" s="10" t="str">
        <f t="shared" si="82"/>
        <v>Low</v>
      </c>
      <c r="AG274" s="6">
        <f t="shared" si="92"/>
        <v>0.17087688127656453</v>
      </c>
      <c r="AH274" s="4">
        <f t="shared" si="93"/>
        <v>44955</v>
      </c>
      <c r="AI274" t="str">
        <f t="shared" si="94"/>
        <v>Jan-2023</v>
      </c>
    </row>
    <row r="275" spans="1:35" x14ac:dyDescent="0.25">
      <c r="A275" t="s">
        <v>287</v>
      </c>
      <c r="B275" s="4">
        <v>45131</v>
      </c>
      <c r="C275" s="4" t="str">
        <f t="shared" si="83"/>
        <v>Q3-2023</v>
      </c>
      <c r="D275" s="4" t="str">
        <f t="shared" si="84"/>
        <v>Jul-2023</v>
      </c>
      <c r="E275" s="4">
        <v>45151</v>
      </c>
      <c r="F275" s="12">
        <f t="shared" si="85"/>
        <v>20</v>
      </c>
      <c r="G275" s="12">
        <f t="shared" si="76"/>
        <v>0</v>
      </c>
      <c r="H275" s="4">
        <f t="shared" si="86"/>
        <v>45151</v>
      </c>
      <c r="I275" t="s">
        <v>648</v>
      </c>
      <c r="J275" t="s">
        <v>653</v>
      </c>
      <c r="K275" t="s">
        <v>681</v>
      </c>
      <c r="L275" t="s">
        <v>702</v>
      </c>
      <c r="M275" t="s">
        <v>711</v>
      </c>
      <c r="N275" t="s">
        <v>712</v>
      </c>
      <c r="O275" t="s">
        <v>732</v>
      </c>
      <c r="P275" t="str" cm="1">
        <f t="array" ref="P275">_xlfn.IFS(S275&lt;=PERCENTILE($S$2:$S$1000, 0.33), "Low", S275&lt;=PERCENTILE($S$2:$S$1000, 0.66), "Medium", TRUE, "High")</f>
        <v>High</v>
      </c>
      <c r="Q275" t="s">
        <v>1007</v>
      </c>
      <c r="R275" s="10">
        <v>1082.3800000000001</v>
      </c>
      <c r="S275" s="10">
        <v>1766.55</v>
      </c>
      <c r="T275" s="8">
        <v>0.16400000000000001</v>
      </c>
      <c r="U275" s="12">
        <f t="shared" si="87"/>
        <v>0</v>
      </c>
      <c r="V275" s="6">
        <v>20</v>
      </c>
      <c r="W275" t="str">
        <f t="shared" si="77"/>
        <v>ok</v>
      </c>
      <c r="X275">
        <f t="shared" si="78"/>
        <v>20</v>
      </c>
      <c r="Y275">
        <f t="shared" si="88"/>
        <v>20</v>
      </c>
      <c r="Z275" s="10">
        <f t="shared" si="89"/>
        <v>29536.716</v>
      </c>
      <c r="AA275" s="10">
        <f t="shared" si="90"/>
        <v>21647.600000000002</v>
      </c>
      <c r="AB275" s="10">
        <f t="shared" si="91"/>
        <v>7889.1159999999982</v>
      </c>
      <c r="AC275" s="10">
        <f t="shared" si="79"/>
        <v>606.37750000000005</v>
      </c>
      <c r="AD275" s="10">
        <f t="shared" si="80"/>
        <v>1193.865</v>
      </c>
      <c r="AE275" s="10">
        <f t="shared" si="81"/>
        <v>1912.0450000000001</v>
      </c>
      <c r="AF275" s="10" t="str">
        <f t="shared" si="82"/>
        <v>Medium</v>
      </c>
      <c r="AG275" s="6">
        <f t="shared" si="92"/>
        <v>0.26709523157550752</v>
      </c>
      <c r="AH275" s="4">
        <f t="shared" si="93"/>
        <v>44933</v>
      </c>
      <c r="AI275" t="str">
        <f t="shared" si="94"/>
        <v>Jan-2023</v>
      </c>
    </row>
    <row r="276" spans="1:35" x14ac:dyDescent="0.25">
      <c r="A276" t="s">
        <v>288</v>
      </c>
      <c r="B276" s="4">
        <v>45367</v>
      </c>
      <c r="C276" s="4" t="str">
        <f t="shared" si="83"/>
        <v>Q1-2024</v>
      </c>
      <c r="D276" s="4" t="str">
        <f t="shared" si="84"/>
        <v>Mar-2024</v>
      </c>
      <c r="E276" s="4">
        <v>45395</v>
      </c>
      <c r="F276" s="12">
        <f t="shared" si="85"/>
        <v>28</v>
      </c>
      <c r="G276" s="12">
        <f t="shared" si="76"/>
        <v>0</v>
      </c>
      <c r="H276" s="4">
        <f t="shared" si="86"/>
        <v>45395</v>
      </c>
      <c r="I276" t="s">
        <v>649</v>
      </c>
      <c r="J276" t="s">
        <v>657</v>
      </c>
      <c r="K276" t="s">
        <v>690</v>
      </c>
      <c r="L276" t="s">
        <v>705</v>
      </c>
      <c r="M276" t="s">
        <v>708</v>
      </c>
      <c r="N276" t="s">
        <v>723</v>
      </c>
      <c r="O276" t="s">
        <v>728</v>
      </c>
      <c r="P276" t="str" cm="1">
        <f t="array" ref="P276">_xlfn.IFS(S276&lt;=PERCENTILE($S$2:$S$1000, 0.33), "Low", S276&lt;=PERCENTILE($S$2:$S$1000, 0.66), "Medium", TRUE, "High")</f>
        <v>Low</v>
      </c>
      <c r="Q276" t="s">
        <v>1008</v>
      </c>
      <c r="R276" s="10">
        <v>287.61</v>
      </c>
      <c r="S276" s="10">
        <v>628.54</v>
      </c>
      <c r="T276" s="8">
        <v>0.13500000000000001</v>
      </c>
      <c r="U276" s="12">
        <f t="shared" si="87"/>
        <v>0</v>
      </c>
      <c r="V276" s="6">
        <v>21</v>
      </c>
      <c r="W276" t="str">
        <f t="shared" si="77"/>
        <v>ok</v>
      </c>
      <c r="X276">
        <f t="shared" si="78"/>
        <v>28</v>
      </c>
      <c r="Y276">
        <f t="shared" si="88"/>
        <v>28</v>
      </c>
      <c r="Z276" s="10">
        <f t="shared" si="89"/>
        <v>11417.429099999999</v>
      </c>
      <c r="AA276" s="10">
        <f t="shared" si="90"/>
        <v>6039.81</v>
      </c>
      <c r="AB276" s="10">
        <f t="shared" si="91"/>
        <v>5377.619099999999</v>
      </c>
      <c r="AC276" s="10">
        <f t="shared" si="79"/>
        <v>606.37750000000005</v>
      </c>
      <c r="AD276" s="10">
        <f t="shared" si="80"/>
        <v>1193.865</v>
      </c>
      <c r="AE276" s="10">
        <f t="shared" si="81"/>
        <v>1912.0450000000001</v>
      </c>
      <c r="AF276" s="10" t="str">
        <f t="shared" si="82"/>
        <v>Medium</v>
      </c>
      <c r="AG276" s="6">
        <f t="shared" si="92"/>
        <v>0.47100087531964613</v>
      </c>
      <c r="AH276" s="4">
        <f t="shared" si="93"/>
        <v>44946</v>
      </c>
      <c r="AI276" t="str">
        <f t="shared" si="94"/>
        <v>Jan-2023</v>
      </c>
    </row>
    <row r="277" spans="1:35" x14ac:dyDescent="0.25">
      <c r="A277" t="s">
        <v>289</v>
      </c>
      <c r="B277" s="4">
        <v>45316</v>
      </c>
      <c r="C277" s="4" t="str">
        <f t="shared" si="83"/>
        <v>Q1-2024</v>
      </c>
      <c r="D277" s="4" t="str">
        <f t="shared" si="84"/>
        <v>Jan-2024</v>
      </c>
      <c r="E277" s="4">
        <v>45318</v>
      </c>
      <c r="F277" s="12">
        <f t="shared" si="85"/>
        <v>2</v>
      </c>
      <c r="G277" s="12">
        <f t="shared" si="76"/>
        <v>1</v>
      </c>
      <c r="H277" s="4">
        <f t="shared" si="86"/>
        <v>45318</v>
      </c>
      <c r="I277" t="s">
        <v>648</v>
      </c>
      <c r="J277" t="s">
        <v>655</v>
      </c>
      <c r="K277" t="s">
        <v>670</v>
      </c>
      <c r="L277" t="s">
        <v>703</v>
      </c>
      <c r="M277" t="s">
        <v>709</v>
      </c>
      <c r="N277" t="s">
        <v>725</v>
      </c>
      <c r="O277" t="s">
        <v>731</v>
      </c>
      <c r="P277" t="str" cm="1">
        <f t="array" ref="P277">_xlfn.IFS(S277&lt;=PERCENTILE($S$2:$S$1000, 0.33), "Low", S277&lt;=PERCENTILE($S$2:$S$1000, 0.66), "Medium", TRUE, "High")</f>
        <v>High</v>
      </c>
      <c r="Q277" t="s">
        <v>1009</v>
      </c>
      <c r="R277" s="10">
        <v>1410.97</v>
      </c>
      <c r="S277" s="10">
        <v>1650.75</v>
      </c>
      <c r="T277" s="8">
        <v>0.13500000000000001</v>
      </c>
      <c r="U277" s="12">
        <f t="shared" si="87"/>
        <v>0</v>
      </c>
      <c r="V277" s="6">
        <v>6</v>
      </c>
      <c r="W277" t="str">
        <f t="shared" si="77"/>
        <v>ok</v>
      </c>
      <c r="X277">
        <f t="shared" si="78"/>
        <v>2</v>
      </c>
      <c r="Y277">
        <f t="shared" si="88"/>
        <v>2</v>
      </c>
      <c r="Z277" s="10">
        <f t="shared" si="89"/>
        <v>8567.3924999999999</v>
      </c>
      <c r="AA277" s="10">
        <f t="shared" si="90"/>
        <v>8465.82</v>
      </c>
      <c r="AB277" s="10">
        <f t="shared" si="91"/>
        <v>101.57250000000022</v>
      </c>
      <c r="AC277" s="10">
        <f t="shared" si="79"/>
        <v>606.37750000000005</v>
      </c>
      <c r="AD277" s="10">
        <f t="shared" si="80"/>
        <v>1193.865</v>
      </c>
      <c r="AE277" s="10">
        <f t="shared" si="81"/>
        <v>1912.0450000000001</v>
      </c>
      <c r="AF277" s="10" t="str">
        <f t="shared" si="82"/>
        <v>Medium</v>
      </c>
      <c r="AG277" s="6">
        <f t="shared" si="92"/>
        <v>1.1855707556295596E-2</v>
      </c>
      <c r="AH277" s="4">
        <f t="shared" si="93"/>
        <v>44948</v>
      </c>
      <c r="AI277" t="str">
        <f t="shared" si="94"/>
        <v>Jan-2023</v>
      </c>
    </row>
    <row r="278" spans="1:35" x14ac:dyDescent="0.25">
      <c r="A278" t="s">
        <v>290</v>
      </c>
      <c r="B278" s="4">
        <v>45378</v>
      </c>
      <c r="C278" s="4" t="str">
        <f t="shared" si="83"/>
        <v>Q1-2024</v>
      </c>
      <c r="D278" s="4" t="str">
        <f t="shared" si="84"/>
        <v>Mar-2024</v>
      </c>
      <c r="E278" s="4">
        <v>45393</v>
      </c>
      <c r="F278" s="12">
        <f t="shared" si="85"/>
        <v>15</v>
      </c>
      <c r="G278" s="12">
        <f t="shared" si="76"/>
        <v>0</v>
      </c>
      <c r="H278" s="4">
        <f t="shared" si="86"/>
        <v>45393</v>
      </c>
      <c r="I278" t="s">
        <v>648</v>
      </c>
      <c r="J278" t="s">
        <v>660</v>
      </c>
      <c r="K278" t="s">
        <v>686</v>
      </c>
      <c r="L278" t="s">
        <v>705</v>
      </c>
      <c r="M278" t="s">
        <v>711</v>
      </c>
      <c r="N278" t="s">
        <v>719</v>
      </c>
      <c r="O278" t="s">
        <v>729</v>
      </c>
      <c r="P278" t="str" cm="1">
        <f t="array" ref="P278">_xlfn.IFS(S278&lt;=PERCENTILE($S$2:$S$1000, 0.33), "Low", S278&lt;=PERCENTILE($S$2:$S$1000, 0.66), "Medium", TRUE, "High")</f>
        <v>High</v>
      </c>
      <c r="Q278" t="s">
        <v>1010</v>
      </c>
      <c r="R278" s="10">
        <v>1338.35</v>
      </c>
      <c r="S278" s="10">
        <v>2247.14</v>
      </c>
      <c r="T278" s="8">
        <v>0.115</v>
      </c>
      <c r="U278" s="12">
        <f t="shared" si="87"/>
        <v>0</v>
      </c>
      <c r="V278" s="6">
        <v>40</v>
      </c>
      <c r="W278" t="str">
        <f t="shared" si="77"/>
        <v>ok</v>
      </c>
      <c r="X278">
        <f t="shared" si="78"/>
        <v>15</v>
      </c>
      <c r="Y278">
        <f t="shared" si="88"/>
        <v>15</v>
      </c>
      <c r="Z278" s="10">
        <f t="shared" si="89"/>
        <v>79548.755999999994</v>
      </c>
      <c r="AA278" s="10">
        <f t="shared" si="90"/>
        <v>53534</v>
      </c>
      <c r="AB278" s="10">
        <f t="shared" si="91"/>
        <v>26014.755999999994</v>
      </c>
      <c r="AC278" s="10">
        <f t="shared" si="79"/>
        <v>606.37750000000005</v>
      </c>
      <c r="AD278" s="10">
        <f t="shared" si="80"/>
        <v>1193.865</v>
      </c>
      <c r="AE278" s="10">
        <f t="shared" si="81"/>
        <v>1912.0450000000001</v>
      </c>
      <c r="AF278" s="10" t="str">
        <f t="shared" si="82"/>
        <v>Medium</v>
      </c>
      <c r="AG278" s="6">
        <f t="shared" si="92"/>
        <v>0.32702907384246205</v>
      </c>
      <c r="AH278" s="4">
        <f t="shared" si="93"/>
        <v>44936</v>
      </c>
      <c r="AI278" t="str">
        <f t="shared" si="94"/>
        <v>Jan-2023</v>
      </c>
    </row>
    <row r="279" spans="1:35" x14ac:dyDescent="0.25">
      <c r="A279" t="s">
        <v>291</v>
      </c>
      <c r="B279" s="4">
        <v>45832</v>
      </c>
      <c r="C279" s="4" t="str">
        <f t="shared" si="83"/>
        <v>Q2-2025</v>
      </c>
      <c r="D279" s="4" t="str">
        <f t="shared" si="84"/>
        <v>Jun-2025</v>
      </c>
      <c r="E279" s="4">
        <v>45852</v>
      </c>
      <c r="F279" s="12">
        <f t="shared" si="85"/>
        <v>20</v>
      </c>
      <c r="G279" s="12">
        <f t="shared" si="76"/>
        <v>0</v>
      </c>
      <c r="H279" s="4">
        <f t="shared" si="86"/>
        <v>45852</v>
      </c>
      <c r="I279" t="s">
        <v>649</v>
      </c>
      <c r="J279" t="s">
        <v>656</v>
      </c>
      <c r="K279" t="s">
        <v>671</v>
      </c>
      <c r="L279" t="s">
        <v>701</v>
      </c>
      <c r="M279" t="s">
        <v>711</v>
      </c>
      <c r="N279" t="s">
        <v>719</v>
      </c>
      <c r="O279" t="s">
        <v>733</v>
      </c>
      <c r="P279" t="str" cm="1">
        <f t="array" ref="P279">_xlfn.IFS(S279&lt;=PERCENTILE($S$2:$S$1000, 0.33), "Low", S279&lt;=PERCENTILE($S$2:$S$1000, 0.66), "Medium", TRUE, "High")</f>
        <v>Medium</v>
      </c>
      <c r="Q279" t="s">
        <v>1011</v>
      </c>
      <c r="R279" s="10">
        <v>385.08</v>
      </c>
      <c r="S279" s="10">
        <v>893.19</v>
      </c>
      <c r="T279" s="8">
        <v>0.151</v>
      </c>
      <c r="U279" s="12">
        <f t="shared" si="87"/>
        <v>0</v>
      </c>
      <c r="V279" s="6">
        <v>8</v>
      </c>
      <c r="W279" t="str">
        <f t="shared" si="77"/>
        <v>ok</v>
      </c>
      <c r="X279">
        <f t="shared" si="78"/>
        <v>20</v>
      </c>
      <c r="Y279">
        <f t="shared" si="88"/>
        <v>20</v>
      </c>
      <c r="Z279" s="10">
        <f t="shared" si="89"/>
        <v>6066.54648</v>
      </c>
      <c r="AA279" s="10">
        <f t="shared" si="90"/>
        <v>3080.64</v>
      </c>
      <c r="AB279" s="10">
        <f t="shared" si="91"/>
        <v>2985.9064800000001</v>
      </c>
      <c r="AC279" s="10">
        <f t="shared" si="79"/>
        <v>606.37750000000005</v>
      </c>
      <c r="AD279" s="10">
        <f t="shared" si="80"/>
        <v>1193.865</v>
      </c>
      <c r="AE279" s="10">
        <f t="shared" si="81"/>
        <v>1912.0450000000001</v>
      </c>
      <c r="AF279" s="10" t="str">
        <f t="shared" si="82"/>
        <v>High</v>
      </c>
      <c r="AG279" s="6">
        <f t="shared" si="92"/>
        <v>0.49219213762621666</v>
      </c>
      <c r="AH279" s="4">
        <f t="shared" si="93"/>
        <v>44928</v>
      </c>
      <c r="AI279" t="str">
        <f t="shared" si="94"/>
        <v>Jan-2023</v>
      </c>
    </row>
    <row r="280" spans="1:35" x14ac:dyDescent="0.25">
      <c r="A280" t="s">
        <v>292</v>
      </c>
      <c r="B280" s="4">
        <v>45459</v>
      </c>
      <c r="C280" s="4" t="str">
        <f t="shared" si="83"/>
        <v>Q2-2024</v>
      </c>
      <c r="D280" s="4" t="str">
        <f t="shared" si="84"/>
        <v>Jun-2024</v>
      </c>
      <c r="E280" s="4">
        <v>45476</v>
      </c>
      <c r="F280" s="12">
        <f t="shared" si="85"/>
        <v>17</v>
      </c>
      <c r="G280" s="12">
        <f t="shared" si="76"/>
        <v>0</v>
      </c>
      <c r="H280" s="4">
        <f t="shared" si="86"/>
        <v>45476</v>
      </c>
      <c r="I280" t="s">
        <v>646</v>
      </c>
      <c r="J280" t="s">
        <v>661</v>
      </c>
      <c r="K280" t="s">
        <v>682</v>
      </c>
      <c r="L280" t="s">
        <v>706</v>
      </c>
      <c r="M280" t="s">
        <v>709</v>
      </c>
      <c r="N280" t="s">
        <v>721</v>
      </c>
      <c r="O280" t="s">
        <v>730</v>
      </c>
      <c r="P280" t="str" cm="1">
        <f t="array" ref="P280">_xlfn.IFS(S280&lt;=PERCENTILE($S$2:$S$1000, 0.33), "Low", S280&lt;=PERCENTILE($S$2:$S$1000, 0.66), "Medium", TRUE, "High")</f>
        <v>High</v>
      </c>
      <c r="Q280" t="s">
        <v>1012</v>
      </c>
      <c r="R280" s="10">
        <v>1173.83</v>
      </c>
      <c r="S280" s="10">
        <v>2328.9</v>
      </c>
      <c r="T280" s="8">
        <v>0.12</v>
      </c>
      <c r="U280" s="12">
        <f t="shared" si="87"/>
        <v>0</v>
      </c>
      <c r="V280" s="6">
        <v>17</v>
      </c>
      <c r="W280" t="str">
        <f t="shared" si="77"/>
        <v>ok</v>
      </c>
      <c r="X280">
        <f t="shared" si="78"/>
        <v>17</v>
      </c>
      <c r="Y280">
        <f t="shared" si="88"/>
        <v>17</v>
      </c>
      <c r="Z280" s="10">
        <f t="shared" si="89"/>
        <v>34840.344000000005</v>
      </c>
      <c r="AA280" s="10">
        <f t="shared" si="90"/>
        <v>19955.11</v>
      </c>
      <c r="AB280" s="10">
        <f t="shared" si="91"/>
        <v>14885.234000000004</v>
      </c>
      <c r="AC280" s="10">
        <f t="shared" si="79"/>
        <v>606.37750000000005</v>
      </c>
      <c r="AD280" s="10">
        <f t="shared" si="80"/>
        <v>1193.865</v>
      </c>
      <c r="AE280" s="10">
        <f t="shared" si="81"/>
        <v>1912.0450000000001</v>
      </c>
      <c r="AF280" s="10" t="str">
        <f t="shared" si="82"/>
        <v>Medium</v>
      </c>
      <c r="AG280" s="6">
        <f t="shared" si="92"/>
        <v>0.42724130393201637</v>
      </c>
      <c r="AH280" s="4">
        <f t="shared" si="93"/>
        <v>44928</v>
      </c>
      <c r="AI280" t="str">
        <f t="shared" si="94"/>
        <v>Jan-2023</v>
      </c>
    </row>
    <row r="281" spans="1:35" x14ac:dyDescent="0.25">
      <c r="A281" t="s">
        <v>293</v>
      </c>
      <c r="B281" s="4">
        <v>45229</v>
      </c>
      <c r="C281" s="4" t="str">
        <f t="shared" si="83"/>
        <v>Q4-2023</v>
      </c>
      <c r="D281" s="4" t="str">
        <f t="shared" si="84"/>
        <v>Oct-2023</v>
      </c>
      <c r="E281" s="4">
        <v>45244</v>
      </c>
      <c r="F281" s="12">
        <f t="shared" si="85"/>
        <v>15</v>
      </c>
      <c r="G281" s="12">
        <f t="shared" si="76"/>
        <v>0</v>
      </c>
      <c r="H281" s="4">
        <f t="shared" si="86"/>
        <v>45244</v>
      </c>
      <c r="I281" t="s">
        <v>647</v>
      </c>
      <c r="J281" t="s">
        <v>654</v>
      </c>
      <c r="K281" t="s">
        <v>668</v>
      </c>
      <c r="L281" t="s">
        <v>701</v>
      </c>
      <c r="M281" t="s">
        <v>708</v>
      </c>
      <c r="N281" t="s">
        <v>721</v>
      </c>
      <c r="O281" t="s">
        <v>731</v>
      </c>
      <c r="P281" t="str" cm="1">
        <f t="array" ref="P281">_xlfn.IFS(S281&lt;=PERCENTILE($S$2:$S$1000, 0.33), "Low", S281&lt;=PERCENTILE($S$2:$S$1000, 0.66), "Medium", TRUE, "High")</f>
        <v>High</v>
      </c>
      <c r="Q281" t="s">
        <v>1013</v>
      </c>
      <c r="R281" s="10">
        <v>953.46</v>
      </c>
      <c r="S281" s="10">
        <v>2066.75</v>
      </c>
      <c r="T281" s="8">
        <v>0.13800000000000001</v>
      </c>
      <c r="U281" s="12">
        <f t="shared" si="87"/>
        <v>0</v>
      </c>
      <c r="V281" s="6">
        <v>5</v>
      </c>
      <c r="W281" t="str">
        <f t="shared" si="77"/>
        <v>ok</v>
      </c>
      <c r="X281">
        <f t="shared" si="78"/>
        <v>15</v>
      </c>
      <c r="Y281">
        <f t="shared" si="88"/>
        <v>15</v>
      </c>
      <c r="Z281" s="10">
        <f t="shared" si="89"/>
        <v>8907.6924999999992</v>
      </c>
      <c r="AA281" s="10">
        <f t="shared" si="90"/>
        <v>4767.3</v>
      </c>
      <c r="AB281" s="10">
        <f t="shared" si="91"/>
        <v>4140.392499999999</v>
      </c>
      <c r="AC281" s="10">
        <f t="shared" si="79"/>
        <v>606.37750000000005</v>
      </c>
      <c r="AD281" s="10">
        <f t="shared" si="80"/>
        <v>1193.865</v>
      </c>
      <c r="AE281" s="10">
        <f t="shared" si="81"/>
        <v>1912.0450000000001</v>
      </c>
      <c r="AF281" s="10" t="str">
        <f t="shared" si="82"/>
        <v>High</v>
      </c>
      <c r="AG281" s="6">
        <f t="shared" si="92"/>
        <v>0.46481089238318446</v>
      </c>
      <c r="AH281" s="4">
        <f t="shared" si="93"/>
        <v>44933</v>
      </c>
      <c r="AI281" t="str">
        <f t="shared" si="94"/>
        <v>Jan-2023</v>
      </c>
    </row>
    <row r="282" spans="1:35" x14ac:dyDescent="0.25">
      <c r="A282" t="s">
        <v>294</v>
      </c>
      <c r="B282" s="4">
        <v>45092</v>
      </c>
      <c r="C282" s="4" t="str">
        <f t="shared" si="83"/>
        <v>Q2-2023</v>
      </c>
      <c r="D282" s="4" t="str">
        <f t="shared" si="84"/>
        <v>Jun-2023</v>
      </c>
      <c r="E282" s="4">
        <v>45100</v>
      </c>
      <c r="F282" s="12">
        <f t="shared" si="85"/>
        <v>8</v>
      </c>
      <c r="G282" s="12">
        <f t="shared" si="76"/>
        <v>0</v>
      </c>
      <c r="H282" s="4">
        <f t="shared" si="86"/>
        <v>45100</v>
      </c>
      <c r="I282" t="s">
        <v>648</v>
      </c>
      <c r="J282" t="s">
        <v>660</v>
      </c>
      <c r="K282" t="s">
        <v>686</v>
      </c>
      <c r="L282" t="s">
        <v>704</v>
      </c>
      <c r="M282" t="s">
        <v>710</v>
      </c>
      <c r="N282" t="s">
        <v>719</v>
      </c>
      <c r="O282" t="s">
        <v>732</v>
      </c>
      <c r="P282" t="str" cm="1">
        <f t="array" ref="P282">_xlfn.IFS(S282&lt;=PERCENTILE($S$2:$S$1000, 0.33), "Low", S282&lt;=PERCENTILE($S$2:$S$1000, 0.66), "Medium", TRUE, "High")</f>
        <v>High</v>
      </c>
      <c r="Q282" t="s">
        <v>1014</v>
      </c>
      <c r="R282" s="10">
        <v>1097.0899999999999</v>
      </c>
      <c r="S282" s="10">
        <v>2182.31</v>
      </c>
      <c r="T282" s="8">
        <v>0.112</v>
      </c>
      <c r="U282" s="12">
        <f t="shared" si="87"/>
        <v>0</v>
      </c>
      <c r="V282" s="6">
        <v>9</v>
      </c>
      <c r="W282" t="str">
        <f t="shared" si="77"/>
        <v>ok</v>
      </c>
      <c r="X282">
        <f t="shared" si="78"/>
        <v>8</v>
      </c>
      <c r="Y282">
        <f t="shared" si="88"/>
        <v>8</v>
      </c>
      <c r="Z282" s="10">
        <f t="shared" si="89"/>
        <v>17441.021520000002</v>
      </c>
      <c r="AA282" s="10">
        <f t="shared" si="90"/>
        <v>9873.81</v>
      </c>
      <c r="AB282" s="10">
        <f t="shared" si="91"/>
        <v>7567.2115200000026</v>
      </c>
      <c r="AC282" s="10">
        <f t="shared" si="79"/>
        <v>606.37750000000005</v>
      </c>
      <c r="AD282" s="10">
        <f t="shared" si="80"/>
        <v>1193.865</v>
      </c>
      <c r="AE282" s="10">
        <f t="shared" si="81"/>
        <v>1912.0450000000001</v>
      </c>
      <c r="AF282" s="10" t="str">
        <f t="shared" si="82"/>
        <v>High</v>
      </c>
      <c r="AG282" s="6">
        <f t="shared" si="92"/>
        <v>0.43387432962699546</v>
      </c>
      <c r="AH282" s="4">
        <f t="shared" si="93"/>
        <v>44988</v>
      </c>
      <c r="AI282" t="str">
        <f t="shared" si="94"/>
        <v>Mar-2023</v>
      </c>
    </row>
    <row r="283" spans="1:35" x14ac:dyDescent="0.25">
      <c r="A283" t="s">
        <v>295</v>
      </c>
      <c r="B283" s="4">
        <v>45730</v>
      </c>
      <c r="C283" s="4" t="str">
        <f t="shared" si="83"/>
        <v>Q1-2025</v>
      </c>
      <c r="D283" s="4" t="str">
        <f t="shared" si="84"/>
        <v>Mar-2025</v>
      </c>
      <c r="E283" s="4">
        <v>45745</v>
      </c>
      <c r="F283" s="12">
        <f t="shared" si="85"/>
        <v>15</v>
      </c>
      <c r="G283" s="12">
        <f t="shared" si="76"/>
        <v>0</v>
      </c>
      <c r="H283" s="4">
        <f t="shared" si="86"/>
        <v>45745</v>
      </c>
      <c r="I283" t="s">
        <v>647</v>
      </c>
      <c r="J283" t="s">
        <v>652</v>
      </c>
      <c r="K283" t="s">
        <v>689</v>
      </c>
      <c r="L283" t="s">
        <v>703</v>
      </c>
      <c r="M283" t="s">
        <v>711</v>
      </c>
      <c r="N283" t="s">
        <v>722</v>
      </c>
      <c r="O283" t="s">
        <v>729</v>
      </c>
      <c r="P283" t="str" cm="1">
        <f t="array" ref="P283">_xlfn.IFS(S283&lt;=PERCENTILE($S$2:$S$1000, 0.33), "Low", S283&lt;=PERCENTILE($S$2:$S$1000, 0.66), "Medium", TRUE, "High")</f>
        <v>High</v>
      </c>
      <c r="Q283" t="s">
        <v>1015</v>
      </c>
      <c r="R283" s="10">
        <v>1106.96</v>
      </c>
      <c r="S283" s="10">
        <v>2726.62</v>
      </c>
      <c r="T283" s="8">
        <v>0.317</v>
      </c>
      <c r="U283" s="12">
        <f t="shared" si="87"/>
        <v>1</v>
      </c>
      <c r="V283" s="6">
        <v>7</v>
      </c>
      <c r="W283" t="str">
        <f t="shared" si="77"/>
        <v>ok</v>
      </c>
      <c r="X283">
        <f t="shared" si="78"/>
        <v>15</v>
      </c>
      <c r="Y283">
        <f t="shared" si="88"/>
        <v>15</v>
      </c>
      <c r="Z283" s="10">
        <f t="shared" si="89"/>
        <v>13035.970220000001</v>
      </c>
      <c r="AA283" s="10">
        <f t="shared" si="90"/>
        <v>7748.72</v>
      </c>
      <c r="AB283" s="10">
        <f t="shared" si="91"/>
        <v>5287.2502200000008</v>
      </c>
      <c r="AC283" s="10">
        <f t="shared" si="79"/>
        <v>606.37750000000005</v>
      </c>
      <c r="AD283" s="10">
        <f t="shared" si="80"/>
        <v>1193.865</v>
      </c>
      <c r="AE283" s="10">
        <f t="shared" si="81"/>
        <v>1912.0450000000001</v>
      </c>
      <c r="AF283" s="10" t="str">
        <f t="shared" si="82"/>
        <v>High</v>
      </c>
      <c r="AG283" s="6">
        <f t="shared" si="92"/>
        <v>0.40558931408789306</v>
      </c>
      <c r="AH283" s="4">
        <f t="shared" si="93"/>
        <v>44946</v>
      </c>
      <c r="AI283" t="str">
        <f t="shared" si="94"/>
        <v>Jan-2023</v>
      </c>
    </row>
    <row r="284" spans="1:35" x14ac:dyDescent="0.25">
      <c r="A284" t="s">
        <v>296</v>
      </c>
      <c r="B284" s="4">
        <v>45153</v>
      </c>
      <c r="C284" s="4" t="str">
        <f t="shared" si="83"/>
        <v>Q3-2023</v>
      </c>
      <c r="D284" s="4" t="str">
        <f t="shared" si="84"/>
        <v>Aug-2023</v>
      </c>
      <c r="E284" s="4">
        <v>45163</v>
      </c>
      <c r="F284" s="12">
        <f t="shared" si="85"/>
        <v>10</v>
      </c>
      <c r="G284" s="12">
        <f t="shared" si="76"/>
        <v>0</v>
      </c>
      <c r="H284" s="4">
        <f t="shared" si="86"/>
        <v>45163</v>
      </c>
      <c r="I284" t="s">
        <v>646</v>
      </c>
      <c r="J284" t="s">
        <v>650</v>
      </c>
      <c r="K284" t="s">
        <v>664</v>
      </c>
      <c r="L284" t="s">
        <v>705</v>
      </c>
      <c r="M284" t="s">
        <v>707</v>
      </c>
      <c r="N284" t="s">
        <v>725</v>
      </c>
      <c r="O284" t="s">
        <v>730</v>
      </c>
      <c r="P284" t="str" cm="1">
        <f t="array" ref="P284">_xlfn.IFS(S284&lt;=PERCENTILE($S$2:$S$1000, 0.33), "Low", S284&lt;=PERCENTILE($S$2:$S$1000, 0.66), "Medium", TRUE, "High")</f>
        <v>Low</v>
      </c>
      <c r="Q284" t="s">
        <v>1016</v>
      </c>
      <c r="R284" s="10">
        <v>91.85</v>
      </c>
      <c r="S284" s="10">
        <v>111.29</v>
      </c>
      <c r="T284" s="8">
        <v>0</v>
      </c>
      <c r="U284" s="12">
        <f t="shared" si="87"/>
        <v>0</v>
      </c>
      <c r="V284" s="6">
        <v>6</v>
      </c>
      <c r="W284" t="str">
        <f t="shared" si="77"/>
        <v>ok</v>
      </c>
      <c r="X284">
        <f t="shared" si="78"/>
        <v>10</v>
      </c>
      <c r="Y284">
        <f t="shared" si="88"/>
        <v>10</v>
      </c>
      <c r="Z284" s="10">
        <f t="shared" si="89"/>
        <v>667.74</v>
      </c>
      <c r="AA284" s="10">
        <f t="shared" si="90"/>
        <v>551.09999999999991</v>
      </c>
      <c r="AB284" s="10">
        <f t="shared" si="91"/>
        <v>116.6400000000001</v>
      </c>
      <c r="AC284" s="10">
        <f t="shared" si="79"/>
        <v>606.37750000000005</v>
      </c>
      <c r="AD284" s="10">
        <f t="shared" si="80"/>
        <v>1193.865</v>
      </c>
      <c r="AE284" s="10">
        <f t="shared" si="81"/>
        <v>1912.0450000000001</v>
      </c>
      <c r="AF284" s="10" t="str">
        <f t="shared" si="82"/>
        <v>High</v>
      </c>
      <c r="AG284" s="6">
        <f t="shared" si="92"/>
        <v>0.17467876718483258</v>
      </c>
      <c r="AH284" s="4">
        <f t="shared" si="93"/>
        <v>44946</v>
      </c>
      <c r="AI284" t="str">
        <f t="shared" si="94"/>
        <v>Jan-2023</v>
      </c>
    </row>
    <row r="285" spans="1:35" x14ac:dyDescent="0.25">
      <c r="A285" t="s">
        <v>297</v>
      </c>
      <c r="B285" s="4">
        <v>45794</v>
      </c>
      <c r="C285" s="4" t="str">
        <f t="shared" si="83"/>
        <v>Q2-2025</v>
      </c>
      <c r="D285" s="4" t="str">
        <f t="shared" si="84"/>
        <v>May-2025</v>
      </c>
      <c r="E285" s="4">
        <v>45805</v>
      </c>
      <c r="F285" s="12">
        <f t="shared" si="85"/>
        <v>11</v>
      </c>
      <c r="G285" s="12">
        <f t="shared" si="76"/>
        <v>0</v>
      </c>
      <c r="H285" s="4">
        <f t="shared" si="86"/>
        <v>45805</v>
      </c>
      <c r="I285" t="s">
        <v>647</v>
      </c>
      <c r="J285" t="s">
        <v>654</v>
      </c>
      <c r="K285" t="s">
        <v>668</v>
      </c>
      <c r="L285" t="s">
        <v>701</v>
      </c>
      <c r="M285" t="s">
        <v>710</v>
      </c>
      <c r="N285" t="s">
        <v>717</v>
      </c>
      <c r="O285" t="s">
        <v>731</v>
      </c>
      <c r="P285" t="str" cm="1">
        <f t="array" ref="P285">_xlfn.IFS(S285&lt;=PERCENTILE($S$2:$S$1000, 0.33), "Low", S285&lt;=PERCENTILE($S$2:$S$1000, 0.66), "Medium", TRUE, "High")</f>
        <v>Medium</v>
      </c>
      <c r="Q285" t="s">
        <v>1017</v>
      </c>
      <c r="R285" s="10">
        <v>623.4</v>
      </c>
      <c r="S285" s="10">
        <v>1100.0899999999999</v>
      </c>
      <c r="T285" s="8">
        <v>0.114</v>
      </c>
      <c r="U285" s="12">
        <f t="shared" si="87"/>
        <v>0</v>
      </c>
      <c r="V285" s="6">
        <v>12</v>
      </c>
      <c r="W285" t="str">
        <f t="shared" si="77"/>
        <v>ok</v>
      </c>
      <c r="X285">
        <f t="shared" si="78"/>
        <v>11</v>
      </c>
      <c r="Y285">
        <f t="shared" si="88"/>
        <v>11</v>
      </c>
      <c r="Z285" s="10">
        <f t="shared" si="89"/>
        <v>11696.156879999999</v>
      </c>
      <c r="AA285" s="10">
        <f t="shared" si="90"/>
        <v>7480.7999999999993</v>
      </c>
      <c r="AB285" s="10">
        <f t="shared" si="91"/>
        <v>4215.3568799999994</v>
      </c>
      <c r="AC285" s="10">
        <f t="shared" si="79"/>
        <v>606.37750000000005</v>
      </c>
      <c r="AD285" s="10">
        <f t="shared" si="80"/>
        <v>1193.865</v>
      </c>
      <c r="AE285" s="10">
        <f t="shared" si="81"/>
        <v>1912.0450000000001</v>
      </c>
      <c r="AF285" s="10" t="str">
        <f t="shared" si="82"/>
        <v>Low</v>
      </c>
      <c r="AG285" s="6">
        <f t="shared" si="92"/>
        <v>0.36040529579490388</v>
      </c>
      <c r="AH285" s="4">
        <f t="shared" si="93"/>
        <v>44988</v>
      </c>
      <c r="AI285" t="str">
        <f t="shared" si="94"/>
        <v>Mar-2023</v>
      </c>
    </row>
    <row r="286" spans="1:35" x14ac:dyDescent="0.25">
      <c r="A286" t="s">
        <v>298</v>
      </c>
      <c r="B286" s="4">
        <v>45304</v>
      </c>
      <c r="C286" s="4" t="str">
        <f t="shared" si="83"/>
        <v>Q1-2024</v>
      </c>
      <c r="D286" s="4" t="str">
        <f t="shared" si="84"/>
        <v>Jan-2024</v>
      </c>
      <c r="E286" s="4">
        <v>45327</v>
      </c>
      <c r="F286" s="12">
        <f t="shared" si="85"/>
        <v>23</v>
      </c>
      <c r="G286" s="12">
        <f t="shared" si="76"/>
        <v>0</v>
      </c>
      <c r="H286" s="4">
        <f t="shared" si="86"/>
        <v>45327</v>
      </c>
      <c r="I286" t="s">
        <v>649</v>
      </c>
      <c r="J286" t="s">
        <v>656</v>
      </c>
      <c r="K286" t="s">
        <v>698</v>
      </c>
      <c r="L286" t="s">
        <v>702</v>
      </c>
      <c r="M286" t="s">
        <v>711</v>
      </c>
      <c r="N286" t="s">
        <v>717</v>
      </c>
      <c r="O286" t="s">
        <v>731</v>
      </c>
      <c r="P286" t="str" cm="1">
        <f t="array" ref="P286">_xlfn.IFS(S286&lt;=PERCENTILE($S$2:$S$1000, 0.33), "Low", S286&lt;=PERCENTILE($S$2:$S$1000, 0.66), "Medium", TRUE, "High")</f>
        <v>Medium</v>
      </c>
      <c r="Q286" t="s">
        <v>1018</v>
      </c>
      <c r="R286" s="10">
        <v>1017.93</v>
      </c>
      <c r="S286" s="10">
        <v>1529.14</v>
      </c>
      <c r="T286" s="8">
        <v>0.155</v>
      </c>
      <c r="U286" s="12">
        <f t="shared" si="87"/>
        <v>0</v>
      </c>
      <c r="V286" s="6">
        <v>12</v>
      </c>
      <c r="W286" t="str">
        <f t="shared" si="77"/>
        <v>ok</v>
      </c>
      <c r="X286">
        <f t="shared" si="78"/>
        <v>23</v>
      </c>
      <c r="Y286">
        <f t="shared" si="88"/>
        <v>23</v>
      </c>
      <c r="Z286" s="10">
        <f t="shared" si="89"/>
        <v>15505.479600000001</v>
      </c>
      <c r="AA286" s="10">
        <f t="shared" si="90"/>
        <v>12215.16</v>
      </c>
      <c r="AB286" s="10">
        <f t="shared" si="91"/>
        <v>3290.3196000000007</v>
      </c>
      <c r="AC286" s="10">
        <f t="shared" si="79"/>
        <v>606.37750000000005</v>
      </c>
      <c r="AD286" s="10">
        <f t="shared" si="80"/>
        <v>1193.865</v>
      </c>
      <c r="AE286" s="10">
        <f t="shared" si="81"/>
        <v>1912.0450000000001</v>
      </c>
      <c r="AF286" s="10" t="str">
        <f t="shared" si="82"/>
        <v>Medium</v>
      </c>
      <c r="AG286" s="6">
        <f t="shared" si="92"/>
        <v>0.21220366508366503</v>
      </c>
      <c r="AH286" s="4">
        <f t="shared" si="93"/>
        <v>44936</v>
      </c>
      <c r="AI286" t="str">
        <f t="shared" si="94"/>
        <v>Jan-2023</v>
      </c>
    </row>
    <row r="287" spans="1:35" x14ac:dyDescent="0.25">
      <c r="A287" t="s">
        <v>299</v>
      </c>
      <c r="B287" s="4">
        <v>45101</v>
      </c>
      <c r="C287" s="4" t="str">
        <f t="shared" si="83"/>
        <v>Q2-2023</v>
      </c>
      <c r="D287" s="4" t="str">
        <f t="shared" si="84"/>
        <v>Jun-2023</v>
      </c>
      <c r="E287" s="4">
        <v>45128</v>
      </c>
      <c r="F287" s="12">
        <f t="shared" si="85"/>
        <v>27</v>
      </c>
      <c r="G287" s="12">
        <f t="shared" si="76"/>
        <v>0</v>
      </c>
      <c r="H287" s="4">
        <f t="shared" si="86"/>
        <v>45128</v>
      </c>
      <c r="I287" t="s">
        <v>647</v>
      </c>
      <c r="J287" t="s">
        <v>652</v>
      </c>
      <c r="K287" t="s">
        <v>694</v>
      </c>
      <c r="L287" t="s">
        <v>704</v>
      </c>
      <c r="M287" t="s">
        <v>709</v>
      </c>
      <c r="N287" t="s">
        <v>713</v>
      </c>
      <c r="O287" t="s">
        <v>730</v>
      </c>
      <c r="P287" t="str" cm="1">
        <f t="array" ref="P287">_xlfn.IFS(S287&lt;=PERCENTILE($S$2:$S$1000, 0.33), "Low", S287&lt;=PERCENTILE($S$2:$S$1000, 0.66), "Medium", TRUE, "High")</f>
        <v>Low</v>
      </c>
      <c r="Q287" t="s">
        <v>1019</v>
      </c>
      <c r="R287" s="10">
        <v>554.76</v>
      </c>
      <c r="S287" s="10">
        <v>728.69</v>
      </c>
      <c r="T287" s="8">
        <v>0.22</v>
      </c>
      <c r="U287" s="12">
        <f t="shared" si="87"/>
        <v>1</v>
      </c>
      <c r="V287" s="6">
        <v>7</v>
      </c>
      <c r="W287" t="str">
        <f t="shared" si="77"/>
        <v>ok</v>
      </c>
      <c r="X287">
        <f t="shared" si="78"/>
        <v>27</v>
      </c>
      <c r="Y287">
        <f t="shared" si="88"/>
        <v>27</v>
      </c>
      <c r="Z287" s="10">
        <f t="shared" si="89"/>
        <v>3978.6474000000003</v>
      </c>
      <c r="AA287" s="10">
        <f t="shared" si="90"/>
        <v>3883.3199999999997</v>
      </c>
      <c r="AB287" s="10">
        <f t="shared" si="91"/>
        <v>95.32740000000058</v>
      </c>
      <c r="AC287" s="10">
        <f t="shared" si="79"/>
        <v>606.37750000000005</v>
      </c>
      <c r="AD287" s="10">
        <f t="shared" si="80"/>
        <v>1193.865</v>
      </c>
      <c r="AE287" s="10">
        <f t="shared" si="81"/>
        <v>1912.0450000000001</v>
      </c>
      <c r="AF287" s="10" t="str">
        <f t="shared" si="82"/>
        <v>Medium</v>
      </c>
      <c r="AG287" s="6">
        <f t="shared" si="92"/>
        <v>2.395975074343119E-2</v>
      </c>
      <c r="AH287" s="4">
        <f t="shared" si="93"/>
        <v>44955</v>
      </c>
      <c r="AI287" t="str">
        <f t="shared" si="94"/>
        <v>Jan-2023</v>
      </c>
    </row>
    <row r="288" spans="1:35" x14ac:dyDescent="0.25">
      <c r="A288" t="s">
        <v>300</v>
      </c>
      <c r="B288" s="4">
        <v>45751</v>
      </c>
      <c r="C288" s="4" t="str">
        <f t="shared" si="83"/>
        <v>Q2-2025</v>
      </c>
      <c r="D288" s="4" t="str">
        <f t="shared" si="84"/>
        <v>Apr-2025</v>
      </c>
      <c r="E288" s="4">
        <v>45760</v>
      </c>
      <c r="F288" s="12">
        <f t="shared" si="85"/>
        <v>9</v>
      </c>
      <c r="G288" s="12">
        <f t="shared" si="76"/>
        <v>0</v>
      </c>
      <c r="H288" s="4">
        <f t="shared" si="86"/>
        <v>45760</v>
      </c>
      <c r="I288" t="s">
        <v>649</v>
      </c>
      <c r="J288" t="s">
        <v>656</v>
      </c>
      <c r="K288" t="s">
        <v>684</v>
      </c>
      <c r="L288" t="s">
        <v>704</v>
      </c>
      <c r="M288" t="s">
        <v>709</v>
      </c>
      <c r="N288" t="s">
        <v>721</v>
      </c>
      <c r="O288" t="s">
        <v>730</v>
      </c>
      <c r="P288" t="str" cm="1">
        <f t="array" ref="P288">_xlfn.IFS(S288&lt;=PERCENTILE($S$2:$S$1000, 0.33), "Low", S288&lt;=PERCENTILE($S$2:$S$1000, 0.66), "Medium", TRUE, "High")</f>
        <v>Low</v>
      </c>
      <c r="Q288" t="s">
        <v>1020</v>
      </c>
      <c r="R288" s="10">
        <v>7.02</v>
      </c>
      <c r="S288" s="10">
        <v>6.28</v>
      </c>
      <c r="T288" s="8">
        <v>0.13400000000000001</v>
      </c>
      <c r="U288" s="12">
        <f t="shared" si="87"/>
        <v>0</v>
      </c>
      <c r="V288" s="6">
        <v>14</v>
      </c>
      <c r="W288" t="str">
        <f t="shared" si="77"/>
        <v>ok</v>
      </c>
      <c r="X288">
        <f t="shared" si="78"/>
        <v>9</v>
      </c>
      <c r="Y288">
        <f t="shared" si="88"/>
        <v>9</v>
      </c>
      <c r="Z288" s="10">
        <f t="shared" si="89"/>
        <v>76.138720000000006</v>
      </c>
      <c r="AA288" s="10">
        <f t="shared" si="90"/>
        <v>98.28</v>
      </c>
      <c r="AB288" s="10">
        <f t="shared" si="91"/>
        <v>-22.141279999999995</v>
      </c>
      <c r="AC288" s="10">
        <f t="shared" si="79"/>
        <v>606.37750000000005</v>
      </c>
      <c r="AD288" s="10">
        <f t="shared" si="80"/>
        <v>1193.865</v>
      </c>
      <c r="AE288" s="10">
        <f t="shared" si="81"/>
        <v>1912.0450000000001</v>
      </c>
      <c r="AF288" s="10" t="str">
        <f t="shared" si="82"/>
        <v>Medium</v>
      </c>
      <c r="AG288" s="6">
        <f t="shared" si="92"/>
        <v>-0.29080184169106066</v>
      </c>
      <c r="AH288" s="4">
        <f t="shared" si="93"/>
        <v>44948</v>
      </c>
      <c r="AI288" t="str">
        <f t="shared" si="94"/>
        <v>Jan-2023</v>
      </c>
    </row>
    <row r="289" spans="1:35" x14ac:dyDescent="0.25">
      <c r="A289" t="s">
        <v>301</v>
      </c>
      <c r="B289" s="4">
        <v>45542</v>
      </c>
      <c r="C289" s="4" t="str">
        <f t="shared" si="83"/>
        <v>Q3-2024</v>
      </c>
      <c r="D289" s="4" t="str">
        <f t="shared" si="84"/>
        <v>Sept-2024</v>
      </c>
      <c r="E289" s="4">
        <v>45542</v>
      </c>
      <c r="F289" s="12">
        <f t="shared" si="85"/>
        <v>0</v>
      </c>
      <c r="G289" s="12">
        <f t="shared" si="76"/>
        <v>1</v>
      </c>
      <c r="H289" s="4">
        <f t="shared" si="86"/>
        <v>45542</v>
      </c>
      <c r="I289" t="s">
        <v>647</v>
      </c>
      <c r="J289" t="s">
        <v>654</v>
      </c>
      <c r="K289" t="s">
        <v>691</v>
      </c>
      <c r="L289" t="s">
        <v>702</v>
      </c>
      <c r="M289" t="s">
        <v>710</v>
      </c>
      <c r="N289" t="s">
        <v>717</v>
      </c>
      <c r="O289" t="s">
        <v>729</v>
      </c>
      <c r="P289" t="str" cm="1">
        <f t="array" ref="P289">_xlfn.IFS(S289&lt;=PERCENTILE($S$2:$S$1000, 0.33), "Low", S289&lt;=PERCENTILE($S$2:$S$1000, 0.66), "Medium", TRUE, "High")</f>
        <v>High</v>
      </c>
      <c r="Q289" t="s">
        <v>1021</v>
      </c>
      <c r="R289" s="10">
        <v>1066.6500000000001</v>
      </c>
      <c r="S289" s="10">
        <v>2569.77</v>
      </c>
      <c r="T289" s="8">
        <v>0.13400000000000001</v>
      </c>
      <c r="U289" s="12">
        <f t="shared" si="87"/>
        <v>0</v>
      </c>
      <c r="V289" s="6">
        <v>9</v>
      </c>
      <c r="W289" t="str">
        <f t="shared" si="77"/>
        <v>sus</v>
      </c>
      <c r="X289">
        <f t="shared" si="78"/>
        <v>0</v>
      </c>
      <c r="Y289">
        <f t="shared" si="88"/>
        <v>0</v>
      </c>
      <c r="Z289" s="10">
        <f t="shared" si="89"/>
        <v>20028.787380000002</v>
      </c>
      <c r="AA289" s="10">
        <f t="shared" si="90"/>
        <v>9599.85</v>
      </c>
      <c r="AB289" s="10">
        <f t="shared" si="91"/>
        <v>10428.937380000001</v>
      </c>
      <c r="AC289" s="10">
        <f t="shared" si="79"/>
        <v>606.37750000000005</v>
      </c>
      <c r="AD289" s="10">
        <f t="shared" si="80"/>
        <v>1193.865</v>
      </c>
      <c r="AE289" s="10">
        <f t="shared" si="81"/>
        <v>1912.0450000000001</v>
      </c>
      <c r="AF289" s="10" t="str">
        <f t="shared" si="82"/>
        <v>Low</v>
      </c>
      <c r="AG289" s="6">
        <f t="shared" si="92"/>
        <v>0.52069739331368348</v>
      </c>
      <c r="AH289" s="4">
        <f t="shared" si="93"/>
        <v>44938</v>
      </c>
      <c r="AI289" t="str">
        <f t="shared" si="94"/>
        <v>Jan-2023</v>
      </c>
    </row>
    <row r="290" spans="1:35" x14ac:dyDescent="0.25">
      <c r="A290" t="s">
        <v>302</v>
      </c>
      <c r="B290" s="4">
        <v>45319</v>
      </c>
      <c r="C290" s="4" t="str">
        <f t="shared" si="83"/>
        <v>Q1-2024</v>
      </c>
      <c r="D290" s="4" t="str">
        <f t="shared" si="84"/>
        <v>Jan-2024</v>
      </c>
      <c r="E290" s="4">
        <v>45321</v>
      </c>
      <c r="F290" s="12">
        <f t="shared" si="85"/>
        <v>2</v>
      </c>
      <c r="G290" s="12">
        <f t="shared" si="76"/>
        <v>1</v>
      </c>
      <c r="H290" s="4">
        <f t="shared" si="86"/>
        <v>45321</v>
      </c>
      <c r="I290" t="s">
        <v>646</v>
      </c>
      <c r="J290" t="s">
        <v>661</v>
      </c>
      <c r="K290" t="s">
        <v>695</v>
      </c>
      <c r="L290" t="s">
        <v>704</v>
      </c>
      <c r="M290" t="s">
        <v>711</v>
      </c>
      <c r="N290" t="s">
        <v>721</v>
      </c>
      <c r="O290" t="s">
        <v>733</v>
      </c>
      <c r="P290" t="str" cm="1">
        <f t="array" ref="P290">_xlfn.IFS(S290&lt;=PERCENTILE($S$2:$S$1000, 0.33), "Low", S290&lt;=PERCENTILE($S$2:$S$1000, 0.66), "Medium", TRUE, "High")</f>
        <v>Medium</v>
      </c>
      <c r="Q290" t="s">
        <v>1022</v>
      </c>
      <c r="R290" s="10">
        <v>798.45</v>
      </c>
      <c r="S290" s="10">
        <v>1592.02</v>
      </c>
      <c r="T290" s="8">
        <v>6.6000000000000003E-2</v>
      </c>
      <c r="U290" s="12">
        <f t="shared" si="87"/>
        <v>0</v>
      </c>
      <c r="V290" s="6">
        <v>18</v>
      </c>
      <c r="W290" t="str">
        <f t="shared" si="77"/>
        <v>ok</v>
      </c>
      <c r="X290">
        <f t="shared" si="78"/>
        <v>2</v>
      </c>
      <c r="Y290">
        <f t="shared" si="88"/>
        <v>2</v>
      </c>
      <c r="Z290" s="10">
        <f t="shared" si="89"/>
        <v>26765.040239999998</v>
      </c>
      <c r="AA290" s="10">
        <f t="shared" si="90"/>
        <v>14372.1</v>
      </c>
      <c r="AB290" s="10">
        <f t="shared" si="91"/>
        <v>12392.940239999998</v>
      </c>
      <c r="AC290" s="10">
        <f t="shared" si="79"/>
        <v>606.37750000000005</v>
      </c>
      <c r="AD290" s="10">
        <f t="shared" si="80"/>
        <v>1193.865</v>
      </c>
      <c r="AE290" s="10">
        <f t="shared" si="81"/>
        <v>1912.0450000000001</v>
      </c>
      <c r="AF290" s="10" t="str">
        <f t="shared" si="82"/>
        <v>High</v>
      </c>
      <c r="AG290" s="6">
        <f t="shared" si="92"/>
        <v>0.46302714768494585</v>
      </c>
      <c r="AH290" s="4">
        <f t="shared" si="93"/>
        <v>44955</v>
      </c>
      <c r="AI290" t="str">
        <f t="shared" si="94"/>
        <v>Jan-2023</v>
      </c>
    </row>
    <row r="291" spans="1:35" x14ac:dyDescent="0.25">
      <c r="A291" t="s">
        <v>303</v>
      </c>
      <c r="B291" s="4">
        <v>45125</v>
      </c>
      <c r="C291" s="4" t="str">
        <f t="shared" si="83"/>
        <v>Q3-2023</v>
      </c>
      <c r="D291" s="4" t="str">
        <f t="shared" si="84"/>
        <v>Jul-2023</v>
      </c>
      <c r="E291" s="4">
        <v>45148</v>
      </c>
      <c r="F291" s="12">
        <f t="shared" si="85"/>
        <v>23</v>
      </c>
      <c r="G291" s="12">
        <f t="shared" si="76"/>
        <v>0</v>
      </c>
      <c r="H291" s="4">
        <f t="shared" si="86"/>
        <v>45148</v>
      </c>
      <c r="I291" t="s">
        <v>646</v>
      </c>
      <c r="J291" t="s">
        <v>661</v>
      </c>
      <c r="K291" t="s">
        <v>682</v>
      </c>
      <c r="L291" t="s">
        <v>705</v>
      </c>
      <c r="M291" t="s">
        <v>707</v>
      </c>
      <c r="N291" t="s">
        <v>716</v>
      </c>
      <c r="O291" t="s">
        <v>727</v>
      </c>
      <c r="P291" t="str" cm="1">
        <f t="array" ref="P291">_xlfn.IFS(S291&lt;=PERCENTILE($S$2:$S$1000, 0.33), "Low", S291&lt;=PERCENTILE($S$2:$S$1000, 0.66), "Medium", TRUE, "High")</f>
        <v>Medium</v>
      </c>
      <c r="Q291" t="s">
        <v>1023</v>
      </c>
      <c r="R291" s="10">
        <v>1271.56</v>
      </c>
      <c r="S291" s="10">
        <v>995.47</v>
      </c>
      <c r="T291" s="8">
        <v>0.192</v>
      </c>
      <c r="U291" s="12">
        <f t="shared" si="87"/>
        <v>0</v>
      </c>
      <c r="V291" s="6">
        <v>13</v>
      </c>
      <c r="W291" t="str">
        <f t="shared" si="77"/>
        <v>ok</v>
      </c>
      <c r="X291">
        <f t="shared" si="78"/>
        <v>23</v>
      </c>
      <c r="Y291">
        <f t="shared" si="88"/>
        <v>23</v>
      </c>
      <c r="Z291" s="10">
        <f t="shared" si="89"/>
        <v>10456.416880000001</v>
      </c>
      <c r="AA291" s="10">
        <f t="shared" si="90"/>
        <v>16530.28</v>
      </c>
      <c r="AB291" s="10">
        <f t="shared" si="91"/>
        <v>-6073.8631199999982</v>
      </c>
      <c r="AC291" s="10">
        <f t="shared" si="79"/>
        <v>606.37750000000005</v>
      </c>
      <c r="AD291" s="10">
        <f t="shared" si="80"/>
        <v>1193.865</v>
      </c>
      <c r="AE291" s="10">
        <f t="shared" si="81"/>
        <v>1912.0450000000001</v>
      </c>
      <c r="AF291" s="10" t="str">
        <f t="shared" si="82"/>
        <v>Medium</v>
      </c>
      <c r="AG291" s="6">
        <f t="shared" si="92"/>
        <v>-0.58087423155607754</v>
      </c>
      <c r="AH291" s="4">
        <f t="shared" si="93"/>
        <v>44938</v>
      </c>
      <c r="AI291" t="str">
        <f t="shared" si="94"/>
        <v>Jan-2023</v>
      </c>
    </row>
    <row r="292" spans="1:35" x14ac:dyDescent="0.25">
      <c r="A292" t="s">
        <v>304</v>
      </c>
      <c r="B292" s="4">
        <v>45897</v>
      </c>
      <c r="C292" s="4" t="str">
        <f t="shared" si="83"/>
        <v>Q3-2025</v>
      </c>
      <c r="D292" s="4" t="str">
        <f t="shared" si="84"/>
        <v>Aug-2025</v>
      </c>
      <c r="E292" s="4">
        <v>45895</v>
      </c>
      <c r="F292" s="12">
        <f t="shared" si="85"/>
        <v>14</v>
      </c>
      <c r="G292" s="12">
        <f t="shared" si="76"/>
        <v>0</v>
      </c>
      <c r="H292" s="4">
        <f t="shared" si="86"/>
        <v>45911</v>
      </c>
      <c r="I292" t="s">
        <v>646</v>
      </c>
      <c r="J292" t="s">
        <v>651</v>
      </c>
      <c r="K292" t="s">
        <v>663</v>
      </c>
      <c r="L292" t="s">
        <v>705</v>
      </c>
      <c r="M292" t="s">
        <v>707</v>
      </c>
      <c r="N292" t="s">
        <v>720</v>
      </c>
      <c r="O292" t="s">
        <v>733</v>
      </c>
      <c r="P292" t="str" cm="1">
        <f t="array" ref="P292">_xlfn.IFS(S292&lt;=PERCENTILE($S$2:$S$1000, 0.33), "Low", S292&lt;=PERCENTILE($S$2:$S$1000, 0.66), "Medium", TRUE, "High")</f>
        <v>Medium</v>
      </c>
      <c r="Q292" t="s">
        <v>1024</v>
      </c>
      <c r="R292" s="10">
        <v>521.05999999999995</v>
      </c>
      <c r="S292" s="10">
        <v>1240.31</v>
      </c>
      <c r="T292" s="8">
        <v>0.14599999999999999</v>
      </c>
      <c r="U292" s="12">
        <f t="shared" si="87"/>
        <v>0</v>
      </c>
      <c r="V292" s="6">
        <v>18</v>
      </c>
      <c r="W292" t="str">
        <f t="shared" si="77"/>
        <v>sus</v>
      </c>
      <c r="X292">
        <f t="shared" si="78"/>
        <v>-2</v>
      </c>
      <c r="Y292">
        <f t="shared" si="88"/>
        <v>2</v>
      </c>
      <c r="Z292" s="10">
        <f t="shared" si="89"/>
        <v>19066.045319999997</v>
      </c>
      <c r="AA292" s="10">
        <f t="shared" si="90"/>
        <v>9379.0799999999981</v>
      </c>
      <c r="AB292" s="10">
        <f t="shared" si="91"/>
        <v>9686.9653199999993</v>
      </c>
      <c r="AC292" s="10">
        <f t="shared" si="79"/>
        <v>606.37750000000005</v>
      </c>
      <c r="AD292" s="10">
        <f t="shared" si="80"/>
        <v>1193.865</v>
      </c>
      <c r="AE292" s="10">
        <f t="shared" si="81"/>
        <v>1912.0450000000001</v>
      </c>
      <c r="AF292" s="10" t="str">
        <f t="shared" si="82"/>
        <v>Medium</v>
      </c>
      <c r="AG292" s="6">
        <f t="shared" si="92"/>
        <v>0.50807417885650974</v>
      </c>
      <c r="AH292" s="4">
        <f t="shared" si="93"/>
        <v>44955</v>
      </c>
      <c r="AI292" t="str">
        <f t="shared" si="94"/>
        <v>Jan-2023</v>
      </c>
    </row>
    <row r="293" spans="1:35" x14ac:dyDescent="0.25">
      <c r="A293" t="s">
        <v>305</v>
      </c>
      <c r="B293" s="4">
        <v>45746</v>
      </c>
      <c r="C293" s="4" t="str">
        <f t="shared" si="83"/>
        <v>Q1-2025</v>
      </c>
      <c r="D293" s="4" t="str">
        <f t="shared" si="84"/>
        <v>Mar-2025</v>
      </c>
      <c r="E293" s="4">
        <v>45754</v>
      </c>
      <c r="F293" s="12">
        <f t="shared" si="85"/>
        <v>8</v>
      </c>
      <c r="G293" s="12">
        <f t="shared" si="76"/>
        <v>0</v>
      </c>
      <c r="H293" s="4">
        <f t="shared" si="86"/>
        <v>45754</v>
      </c>
      <c r="I293" t="s">
        <v>648</v>
      </c>
      <c r="J293" t="s">
        <v>655</v>
      </c>
      <c r="K293" t="s">
        <v>670</v>
      </c>
      <c r="L293" t="s">
        <v>703</v>
      </c>
      <c r="M293" t="s">
        <v>711</v>
      </c>
      <c r="N293" t="s">
        <v>716</v>
      </c>
      <c r="O293" t="s">
        <v>728</v>
      </c>
      <c r="P293" t="str" cm="1">
        <f t="array" ref="P293">_xlfn.IFS(S293&lt;=PERCENTILE($S$2:$S$1000, 0.33), "Low", S293&lt;=PERCENTILE($S$2:$S$1000, 0.66), "Medium", TRUE, "High")</f>
        <v>Low</v>
      </c>
      <c r="Q293" t="s">
        <v>1025</v>
      </c>
      <c r="R293" s="10">
        <v>71.62</v>
      </c>
      <c r="S293" s="10">
        <v>118.37</v>
      </c>
      <c r="T293" s="8">
        <v>0.156</v>
      </c>
      <c r="U293" s="12">
        <f t="shared" si="87"/>
        <v>0</v>
      </c>
      <c r="V293" s="6">
        <v>11</v>
      </c>
      <c r="W293" t="str">
        <f t="shared" si="77"/>
        <v>ok</v>
      </c>
      <c r="X293">
        <f t="shared" si="78"/>
        <v>8</v>
      </c>
      <c r="Y293">
        <f t="shared" si="88"/>
        <v>8</v>
      </c>
      <c r="Z293" s="10">
        <f t="shared" si="89"/>
        <v>1098.9470800000001</v>
      </c>
      <c r="AA293" s="10">
        <f t="shared" si="90"/>
        <v>787.82</v>
      </c>
      <c r="AB293" s="10">
        <f t="shared" si="91"/>
        <v>311.12708000000009</v>
      </c>
      <c r="AC293" s="10">
        <f t="shared" si="79"/>
        <v>606.37750000000005</v>
      </c>
      <c r="AD293" s="10">
        <f t="shared" si="80"/>
        <v>1193.865</v>
      </c>
      <c r="AE293" s="10">
        <f t="shared" si="81"/>
        <v>1912.0450000000001</v>
      </c>
      <c r="AF293" s="10" t="str">
        <f t="shared" si="82"/>
        <v>Medium</v>
      </c>
      <c r="AG293" s="6">
        <f t="shared" si="92"/>
        <v>0.28311379652603474</v>
      </c>
      <c r="AH293" s="4">
        <f t="shared" si="93"/>
        <v>44988</v>
      </c>
      <c r="AI293" t="str">
        <f t="shared" si="94"/>
        <v>Mar-2023</v>
      </c>
    </row>
    <row r="294" spans="1:35" x14ac:dyDescent="0.25">
      <c r="A294" t="s">
        <v>306</v>
      </c>
      <c r="B294" s="4">
        <v>45220</v>
      </c>
      <c r="C294" s="4" t="str">
        <f t="shared" si="83"/>
        <v>Q4-2023</v>
      </c>
      <c r="D294" s="4" t="str">
        <f t="shared" si="84"/>
        <v>Oct-2023</v>
      </c>
      <c r="E294" s="4">
        <v>45239</v>
      </c>
      <c r="F294" s="12">
        <f t="shared" si="85"/>
        <v>19</v>
      </c>
      <c r="G294" s="12">
        <f t="shared" si="76"/>
        <v>0</v>
      </c>
      <c r="H294" s="4">
        <f t="shared" si="86"/>
        <v>45239</v>
      </c>
      <c r="I294" t="s">
        <v>649</v>
      </c>
      <c r="J294" t="s">
        <v>658</v>
      </c>
      <c r="K294" t="s">
        <v>683</v>
      </c>
      <c r="L294" t="s">
        <v>703</v>
      </c>
      <c r="M294" t="s">
        <v>711</v>
      </c>
      <c r="N294" t="s">
        <v>720</v>
      </c>
      <c r="O294" t="s">
        <v>733</v>
      </c>
      <c r="P294" t="str" cm="1">
        <f t="array" ref="P294">_xlfn.IFS(S294&lt;=PERCENTILE($S$2:$S$1000, 0.33), "Low", S294&lt;=PERCENTILE($S$2:$S$1000, 0.66), "Medium", TRUE, "High")</f>
        <v>High</v>
      </c>
      <c r="Q294" t="s">
        <v>1026</v>
      </c>
      <c r="R294" s="10">
        <v>1142.48</v>
      </c>
      <c r="S294" s="10">
        <v>2105.5300000000002</v>
      </c>
      <c r="T294" s="8">
        <v>0.20699999999999999</v>
      </c>
      <c r="U294" s="12">
        <f t="shared" si="87"/>
        <v>1</v>
      </c>
      <c r="V294" s="6">
        <v>14</v>
      </c>
      <c r="W294" t="str">
        <f t="shared" si="77"/>
        <v>ok</v>
      </c>
      <c r="X294">
        <f t="shared" si="78"/>
        <v>19</v>
      </c>
      <c r="Y294">
        <f t="shared" si="88"/>
        <v>19</v>
      </c>
      <c r="Z294" s="10">
        <f t="shared" si="89"/>
        <v>23375.594060000003</v>
      </c>
      <c r="AA294" s="10">
        <f t="shared" si="90"/>
        <v>15994.720000000001</v>
      </c>
      <c r="AB294" s="10">
        <f t="shared" si="91"/>
        <v>7380.8740600000019</v>
      </c>
      <c r="AC294" s="10">
        <f t="shared" si="79"/>
        <v>606.37750000000005</v>
      </c>
      <c r="AD294" s="10">
        <f t="shared" si="80"/>
        <v>1193.865</v>
      </c>
      <c r="AE294" s="10">
        <f t="shared" si="81"/>
        <v>1912.0450000000001</v>
      </c>
      <c r="AF294" s="10" t="str">
        <f t="shared" si="82"/>
        <v>Low</v>
      </c>
      <c r="AG294" s="6">
        <f t="shared" si="92"/>
        <v>0.31575129346680658</v>
      </c>
      <c r="AH294" s="4">
        <f t="shared" si="93"/>
        <v>44938</v>
      </c>
      <c r="AI294" t="str">
        <f t="shared" si="94"/>
        <v>Jan-2023</v>
      </c>
    </row>
    <row r="295" spans="1:35" x14ac:dyDescent="0.25">
      <c r="A295" t="s">
        <v>307</v>
      </c>
      <c r="B295" s="4">
        <v>45161</v>
      </c>
      <c r="C295" s="4" t="str">
        <f t="shared" si="83"/>
        <v>Q3-2023</v>
      </c>
      <c r="D295" s="4" t="str">
        <f t="shared" si="84"/>
        <v>Aug-2023</v>
      </c>
      <c r="E295" s="4">
        <v>45191</v>
      </c>
      <c r="F295" s="12">
        <f t="shared" si="85"/>
        <v>30</v>
      </c>
      <c r="G295" s="12">
        <f t="shared" si="76"/>
        <v>0</v>
      </c>
      <c r="H295" s="4">
        <f t="shared" si="86"/>
        <v>45191</v>
      </c>
      <c r="I295" t="s">
        <v>649</v>
      </c>
      <c r="J295" t="s">
        <v>658</v>
      </c>
      <c r="K295" t="s">
        <v>683</v>
      </c>
      <c r="L295" t="s">
        <v>704</v>
      </c>
      <c r="M295" t="s">
        <v>710</v>
      </c>
      <c r="N295" t="s">
        <v>719</v>
      </c>
      <c r="O295" t="s">
        <v>733</v>
      </c>
      <c r="P295" t="str" cm="1">
        <f t="array" ref="P295">_xlfn.IFS(S295&lt;=PERCENTILE($S$2:$S$1000, 0.33), "Low", S295&lt;=PERCENTILE($S$2:$S$1000, 0.66), "Medium", TRUE, "High")</f>
        <v>Low</v>
      </c>
      <c r="Q295" t="s">
        <v>1027</v>
      </c>
      <c r="R295" s="10">
        <v>209.81</v>
      </c>
      <c r="S295" s="10">
        <v>523</v>
      </c>
      <c r="T295" s="8">
        <v>5.8999999999999997E-2</v>
      </c>
      <c r="U295" s="12">
        <f t="shared" si="87"/>
        <v>0</v>
      </c>
      <c r="V295" s="6">
        <v>15</v>
      </c>
      <c r="W295" t="str">
        <f t="shared" si="77"/>
        <v>ok</v>
      </c>
      <c r="X295">
        <f t="shared" si="78"/>
        <v>30</v>
      </c>
      <c r="Y295">
        <f t="shared" si="88"/>
        <v>30</v>
      </c>
      <c r="Z295" s="10">
        <f t="shared" si="89"/>
        <v>7382.1450000000004</v>
      </c>
      <c r="AA295" s="10">
        <f t="shared" si="90"/>
        <v>3147.15</v>
      </c>
      <c r="AB295" s="10">
        <f t="shared" si="91"/>
        <v>4234.9950000000008</v>
      </c>
      <c r="AC295" s="10">
        <f t="shared" si="79"/>
        <v>606.37750000000005</v>
      </c>
      <c r="AD295" s="10">
        <f t="shared" si="80"/>
        <v>1193.865</v>
      </c>
      <c r="AE295" s="10">
        <f t="shared" si="81"/>
        <v>1912.0450000000001</v>
      </c>
      <c r="AF295" s="10" t="str">
        <f t="shared" si="82"/>
        <v>High</v>
      </c>
      <c r="AG295" s="6">
        <f t="shared" si="92"/>
        <v>0.57368082041195356</v>
      </c>
      <c r="AH295" s="4">
        <f t="shared" si="93"/>
        <v>44948</v>
      </c>
      <c r="AI295" t="str">
        <f t="shared" si="94"/>
        <v>Jan-2023</v>
      </c>
    </row>
    <row r="296" spans="1:35" x14ac:dyDescent="0.25">
      <c r="A296" t="s">
        <v>308</v>
      </c>
      <c r="B296" s="4">
        <v>45758</v>
      </c>
      <c r="C296" s="4" t="str">
        <f t="shared" si="83"/>
        <v>Q2-2025</v>
      </c>
      <c r="D296" s="4" t="str">
        <f t="shared" si="84"/>
        <v>Apr-2025</v>
      </c>
      <c r="E296" s="4">
        <v>45781</v>
      </c>
      <c r="F296" s="12">
        <f t="shared" si="85"/>
        <v>23</v>
      </c>
      <c r="G296" s="12">
        <f t="shared" si="76"/>
        <v>0</v>
      </c>
      <c r="H296" s="4">
        <f t="shared" si="86"/>
        <v>45781</v>
      </c>
      <c r="I296" t="s">
        <v>647</v>
      </c>
      <c r="J296" t="s">
        <v>652</v>
      </c>
      <c r="K296" t="s">
        <v>666</v>
      </c>
      <c r="L296" t="s">
        <v>705</v>
      </c>
      <c r="M296" t="s">
        <v>708</v>
      </c>
      <c r="N296" t="s">
        <v>724</v>
      </c>
      <c r="O296" t="s">
        <v>727</v>
      </c>
      <c r="P296" t="str" cm="1">
        <f t="array" ref="P296">_xlfn.IFS(S296&lt;=PERCENTILE($S$2:$S$1000, 0.33), "Low", S296&lt;=PERCENTILE($S$2:$S$1000, 0.66), "Medium", TRUE, "High")</f>
        <v>Medium</v>
      </c>
      <c r="Q296" t="s">
        <v>1028</v>
      </c>
      <c r="R296" s="10">
        <v>786.2</v>
      </c>
      <c r="S296" s="10">
        <v>1075.3</v>
      </c>
      <c r="T296" s="8">
        <v>0.08</v>
      </c>
      <c r="U296" s="12">
        <f t="shared" si="87"/>
        <v>0</v>
      </c>
      <c r="V296" s="6">
        <v>9</v>
      </c>
      <c r="W296" t="str">
        <f t="shared" si="77"/>
        <v>ok</v>
      </c>
      <c r="X296">
        <f t="shared" si="78"/>
        <v>23</v>
      </c>
      <c r="Y296">
        <f t="shared" si="88"/>
        <v>23</v>
      </c>
      <c r="Z296" s="10">
        <f t="shared" si="89"/>
        <v>8903.4839999999986</v>
      </c>
      <c r="AA296" s="10">
        <f t="shared" si="90"/>
        <v>7075.8</v>
      </c>
      <c r="AB296" s="10">
        <f t="shared" si="91"/>
        <v>1827.6839999999984</v>
      </c>
      <c r="AC296" s="10">
        <f t="shared" si="79"/>
        <v>606.37750000000005</v>
      </c>
      <c r="AD296" s="10">
        <f t="shared" si="80"/>
        <v>1193.865</v>
      </c>
      <c r="AE296" s="10">
        <f t="shared" si="81"/>
        <v>1912.0450000000001</v>
      </c>
      <c r="AF296" s="10" t="str">
        <f t="shared" si="82"/>
        <v>Low</v>
      </c>
      <c r="AG296" s="6">
        <f t="shared" si="92"/>
        <v>0.20527739478163815</v>
      </c>
      <c r="AH296" s="4">
        <f t="shared" si="93"/>
        <v>44938</v>
      </c>
      <c r="AI296" t="str">
        <f t="shared" si="94"/>
        <v>Jan-2023</v>
      </c>
    </row>
    <row r="297" spans="1:35" x14ac:dyDescent="0.25">
      <c r="A297" t="s">
        <v>309</v>
      </c>
      <c r="B297" s="4">
        <v>45809</v>
      </c>
      <c r="C297" s="4" t="str">
        <f t="shared" si="83"/>
        <v>Q2-2025</v>
      </c>
      <c r="D297" s="4" t="str">
        <f t="shared" si="84"/>
        <v>Jun-2025</v>
      </c>
      <c r="E297" s="4">
        <v>45835</v>
      </c>
      <c r="F297" s="12">
        <f t="shared" si="85"/>
        <v>26</v>
      </c>
      <c r="G297" s="12">
        <f t="shared" si="76"/>
        <v>0</v>
      </c>
      <c r="H297" s="4">
        <f t="shared" si="86"/>
        <v>45835</v>
      </c>
      <c r="I297" t="s">
        <v>649</v>
      </c>
      <c r="J297" t="s">
        <v>656</v>
      </c>
      <c r="K297" t="s">
        <v>684</v>
      </c>
      <c r="L297" t="s">
        <v>704</v>
      </c>
      <c r="M297" t="s">
        <v>710</v>
      </c>
      <c r="N297" t="s">
        <v>718</v>
      </c>
      <c r="O297" t="s">
        <v>731</v>
      </c>
      <c r="P297" t="str" cm="1">
        <f t="array" ref="P297">_xlfn.IFS(S297&lt;=PERCENTILE($S$2:$S$1000, 0.33), "Low", S297&lt;=PERCENTILE($S$2:$S$1000, 0.66), "Medium", TRUE, "High")</f>
        <v>High</v>
      </c>
      <c r="Q297" t="s">
        <v>1029</v>
      </c>
      <c r="R297" s="10">
        <v>1362.31</v>
      </c>
      <c r="S297" s="10">
        <v>3294.57</v>
      </c>
      <c r="T297" s="8">
        <v>0.113</v>
      </c>
      <c r="U297" s="12">
        <f t="shared" si="87"/>
        <v>0</v>
      </c>
      <c r="V297" s="6">
        <v>7</v>
      </c>
      <c r="W297" t="str">
        <f t="shared" si="77"/>
        <v>ok</v>
      </c>
      <c r="X297">
        <f t="shared" si="78"/>
        <v>26</v>
      </c>
      <c r="Y297">
        <f t="shared" si="88"/>
        <v>26</v>
      </c>
      <c r="Z297" s="10">
        <f t="shared" si="89"/>
        <v>20455.985130000001</v>
      </c>
      <c r="AA297" s="10">
        <f t="shared" si="90"/>
        <v>9536.17</v>
      </c>
      <c r="AB297" s="10">
        <f t="shared" si="91"/>
        <v>10919.815130000001</v>
      </c>
      <c r="AC297" s="10">
        <f t="shared" si="79"/>
        <v>606.37750000000005</v>
      </c>
      <c r="AD297" s="10">
        <f t="shared" si="80"/>
        <v>1193.865</v>
      </c>
      <c r="AE297" s="10">
        <f t="shared" si="81"/>
        <v>1912.0450000000001</v>
      </c>
      <c r="AF297" s="10" t="str">
        <f t="shared" si="82"/>
        <v>Medium</v>
      </c>
      <c r="AG297" s="6">
        <f t="shared" si="92"/>
        <v>0.5338200561157721</v>
      </c>
      <c r="AH297" s="4">
        <f t="shared" si="93"/>
        <v>44936</v>
      </c>
      <c r="AI297" t="str">
        <f t="shared" si="94"/>
        <v>Jan-2023</v>
      </c>
    </row>
    <row r="298" spans="1:35" x14ac:dyDescent="0.25">
      <c r="A298" t="s">
        <v>310</v>
      </c>
      <c r="B298" s="4">
        <v>45353</v>
      </c>
      <c r="C298" s="4" t="str">
        <f t="shared" si="83"/>
        <v>Q1-2024</v>
      </c>
      <c r="D298" s="4" t="str">
        <f t="shared" si="84"/>
        <v>Mar-2024</v>
      </c>
      <c r="E298" s="4">
        <v>45367</v>
      </c>
      <c r="F298" s="12">
        <f t="shared" si="85"/>
        <v>14</v>
      </c>
      <c r="G298" s="12">
        <f t="shared" si="76"/>
        <v>0</v>
      </c>
      <c r="H298" s="4">
        <f t="shared" si="86"/>
        <v>45367</v>
      </c>
      <c r="I298" t="s">
        <v>648</v>
      </c>
      <c r="J298" t="s">
        <v>653</v>
      </c>
      <c r="K298" t="s">
        <v>688</v>
      </c>
      <c r="L298" t="s">
        <v>703</v>
      </c>
      <c r="M298" t="s">
        <v>711</v>
      </c>
      <c r="N298" t="s">
        <v>719</v>
      </c>
      <c r="O298" t="s">
        <v>728</v>
      </c>
      <c r="P298" t="str" cm="1">
        <f t="array" ref="P298">_xlfn.IFS(S298&lt;=PERCENTILE($S$2:$S$1000, 0.33), "Low", S298&lt;=PERCENTILE($S$2:$S$1000, 0.66), "Medium", TRUE, "High")</f>
        <v>Low</v>
      </c>
      <c r="Q298" t="s">
        <v>1030</v>
      </c>
      <c r="R298" s="10">
        <v>248.24</v>
      </c>
      <c r="S298" s="10">
        <v>464.05</v>
      </c>
      <c r="T298" s="8">
        <v>0.16900000000000001</v>
      </c>
      <c r="U298" s="12">
        <f t="shared" si="87"/>
        <v>0</v>
      </c>
      <c r="V298" s="6">
        <v>11</v>
      </c>
      <c r="W298" t="str">
        <f t="shared" si="77"/>
        <v>ok</v>
      </c>
      <c r="X298">
        <f t="shared" si="78"/>
        <v>14</v>
      </c>
      <c r="Y298">
        <f t="shared" si="88"/>
        <v>14</v>
      </c>
      <c r="Z298" s="10">
        <f t="shared" si="89"/>
        <v>4241.88105</v>
      </c>
      <c r="AA298" s="10">
        <f t="shared" si="90"/>
        <v>2730.6400000000003</v>
      </c>
      <c r="AB298" s="10">
        <f t="shared" si="91"/>
        <v>1511.2410499999996</v>
      </c>
      <c r="AC298" s="10">
        <f t="shared" si="79"/>
        <v>606.37750000000005</v>
      </c>
      <c r="AD298" s="10">
        <f t="shared" si="80"/>
        <v>1193.865</v>
      </c>
      <c r="AE298" s="10">
        <f t="shared" si="81"/>
        <v>1912.0450000000001</v>
      </c>
      <c r="AF298" s="10" t="str">
        <f t="shared" si="82"/>
        <v>High</v>
      </c>
      <c r="AG298" s="6">
        <f t="shared" si="92"/>
        <v>0.3562667203975462</v>
      </c>
      <c r="AH298" s="4">
        <f t="shared" si="93"/>
        <v>44955</v>
      </c>
      <c r="AI298" t="str">
        <f t="shared" si="94"/>
        <v>Jan-2023</v>
      </c>
    </row>
    <row r="299" spans="1:35" x14ac:dyDescent="0.25">
      <c r="A299" t="s">
        <v>311</v>
      </c>
      <c r="B299" s="4">
        <v>45097</v>
      </c>
      <c r="C299" s="4" t="str">
        <f t="shared" si="83"/>
        <v>Q2-2023</v>
      </c>
      <c r="D299" s="4" t="str">
        <f t="shared" si="84"/>
        <v>Jun-2023</v>
      </c>
      <c r="E299" s="4">
        <v>45115</v>
      </c>
      <c r="F299" s="12">
        <f t="shared" si="85"/>
        <v>18</v>
      </c>
      <c r="G299" s="12">
        <f t="shared" si="76"/>
        <v>0</v>
      </c>
      <c r="H299" s="4">
        <f t="shared" si="86"/>
        <v>45115</v>
      </c>
      <c r="I299" t="s">
        <v>648</v>
      </c>
      <c r="J299" t="s">
        <v>660</v>
      </c>
      <c r="K299" t="s">
        <v>697</v>
      </c>
      <c r="L299" t="s">
        <v>703</v>
      </c>
      <c r="M299" t="s">
        <v>711</v>
      </c>
      <c r="N299" t="s">
        <v>721</v>
      </c>
      <c r="O299" t="s">
        <v>732</v>
      </c>
      <c r="P299" t="str" cm="1">
        <f t="array" ref="P299">_xlfn.IFS(S299&lt;=PERCENTILE($S$2:$S$1000, 0.33), "Low", S299&lt;=PERCENTILE($S$2:$S$1000, 0.66), "Medium", TRUE, "High")</f>
        <v>Low</v>
      </c>
      <c r="Q299" t="s">
        <v>1031</v>
      </c>
      <c r="R299" s="10">
        <v>337</v>
      </c>
      <c r="S299" s="10">
        <v>511.03</v>
      </c>
      <c r="T299" s="8">
        <v>0.108</v>
      </c>
      <c r="U299" s="12">
        <f t="shared" si="87"/>
        <v>0</v>
      </c>
      <c r="V299" s="6">
        <v>7</v>
      </c>
      <c r="W299" t="str">
        <f t="shared" si="77"/>
        <v>ok</v>
      </c>
      <c r="X299">
        <f t="shared" si="78"/>
        <v>18</v>
      </c>
      <c r="Y299">
        <f t="shared" si="88"/>
        <v>18</v>
      </c>
      <c r="Z299" s="10">
        <f t="shared" si="89"/>
        <v>3190.8713200000002</v>
      </c>
      <c r="AA299" s="10">
        <f t="shared" si="90"/>
        <v>2359</v>
      </c>
      <c r="AB299" s="10">
        <f t="shared" si="91"/>
        <v>831.8713200000002</v>
      </c>
      <c r="AC299" s="10">
        <f t="shared" si="79"/>
        <v>606.37750000000005</v>
      </c>
      <c r="AD299" s="10">
        <f t="shared" si="80"/>
        <v>1193.865</v>
      </c>
      <c r="AE299" s="10">
        <f t="shared" si="81"/>
        <v>1912.0450000000001</v>
      </c>
      <c r="AF299" s="10" t="str">
        <f t="shared" si="82"/>
        <v>Low</v>
      </c>
      <c r="AG299" s="6">
        <f t="shared" si="92"/>
        <v>0.26070349963219458</v>
      </c>
      <c r="AH299" s="4">
        <f t="shared" si="93"/>
        <v>44945</v>
      </c>
      <c r="AI299" t="str">
        <f t="shared" si="94"/>
        <v>Jan-2023</v>
      </c>
    </row>
    <row r="300" spans="1:35" x14ac:dyDescent="0.25">
      <c r="A300" t="s">
        <v>312</v>
      </c>
      <c r="B300" s="4">
        <v>45377</v>
      </c>
      <c r="C300" s="4" t="str">
        <f t="shared" si="83"/>
        <v>Q1-2024</v>
      </c>
      <c r="D300" s="4" t="str">
        <f t="shared" si="84"/>
        <v>Mar-2024</v>
      </c>
      <c r="E300" s="4">
        <v>45387</v>
      </c>
      <c r="F300" s="12">
        <f t="shared" si="85"/>
        <v>10</v>
      </c>
      <c r="G300" s="12">
        <f t="shared" si="76"/>
        <v>0</v>
      </c>
      <c r="H300" s="4">
        <f t="shared" si="86"/>
        <v>45387</v>
      </c>
      <c r="I300" t="s">
        <v>648</v>
      </c>
      <c r="J300" t="s">
        <v>660</v>
      </c>
      <c r="K300" t="s">
        <v>697</v>
      </c>
      <c r="L300" t="s">
        <v>704</v>
      </c>
      <c r="M300" t="s">
        <v>711</v>
      </c>
      <c r="N300" t="s">
        <v>713</v>
      </c>
      <c r="O300" t="s">
        <v>732</v>
      </c>
      <c r="P300" t="str" cm="1">
        <f t="array" ref="P300">_xlfn.IFS(S300&lt;=PERCENTILE($S$2:$S$1000, 0.33), "Low", S300&lt;=PERCENTILE($S$2:$S$1000, 0.66), "Medium", TRUE, "High")</f>
        <v>Low</v>
      </c>
      <c r="Q300" t="s">
        <v>1032</v>
      </c>
      <c r="R300" s="10">
        <v>5.66</v>
      </c>
      <c r="S300" s="10">
        <v>4.22</v>
      </c>
      <c r="T300" s="8">
        <v>0.11899999999999999</v>
      </c>
      <c r="U300" s="12">
        <f t="shared" si="87"/>
        <v>0</v>
      </c>
      <c r="V300" s="6">
        <v>18</v>
      </c>
      <c r="W300" t="str">
        <f t="shared" si="77"/>
        <v>ok</v>
      </c>
      <c r="X300">
        <f t="shared" si="78"/>
        <v>10</v>
      </c>
      <c r="Y300">
        <f t="shared" si="88"/>
        <v>10</v>
      </c>
      <c r="Z300" s="10">
        <f t="shared" si="89"/>
        <v>66.920760000000001</v>
      </c>
      <c r="AA300" s="10">
        <f t="shared" si="90"/>
        <v>101.88</v>
      </c>
      <c r="AB300" s="10">
        <f t="shared" si="91"/>
        <v>-34.959239999999994</v>
      </c>
      <c r="AC300" s="10">
        <f t="shared" si="79"/>
        <v>606.37750000000005</v>
      </c>
      <c r="AD300" s="10">
        <f t="shared" si="80"/>
        <v>1193.865</v>
      </c>
      <c r="AE300" s="10">
        <f t="shared" si="81"/>
        <v>1912.0450000000001</v>
      </c>
      <c r="AF300" s="10" t="str">
        <f t="shared" si="82"/>
        <v>Low</v>
      </c>
      <c r="AG300" s="6">
        <f t="shared" si="92"/>
        <v>-0.52239753403876454</v>
      </c>
      <c r="AH300" s="4">
        <f t="shared" si="93"/>
        <v>44988</v>
      </c>
      <c r="AI300" t="str">
        <f t="shared" si="94"/>
        <v>Mar-2023</v>
      </c>
    </row>
    <row r="301" spans="1:35" x14ac:dyDescent="0.25">
      <c r="A301" t="s">
        <v>313</v>
      </c>
      <c r="B301" s="4">
        <v>45679</v>
      </c>
      <c r="C301" s="4" t="str">
        <f t="shared" si="83"/>
        <v>Q1-2025</v>
      </c>
      <c r="D301" s="4" t="str">
        <f t="shared" si="84"/>
        <v>Jan-2025</v>
      </c>
      <c r="E301" s="4">
        <v>45679</v>
      </c>
      <c r="F301" s="12">
        <f t="shared" si="85"/>
        <v>0</v>
      </c>
      <c r="G301" s="12">
        <f t="shared" si="76"/>
        <v>1</v>
      </c>
      <c r="H301" s="4">
        <f t="shared" si="86"/>
        <v>45679</v>
      </c>
      <c r="I301" t="s">
        <v>649</v>
      </c>
      <c r="J301" t="s">
        <v>657</v>
      </c>
      <c r="K301" t="s">
        <v>679</v>
      </c>
      <c r="L301" t="s">
        <v>705</v>
      </c>
      <c r="M301" t="s">
        <v>708</v>
      </c>
      <c r="N301" t="s">
        <v>717</v>
      </c>
      <c r="O301" t="s">
        <v>733</v>
      </c>
      <c r="P301" t="str" cm="1">
        <f t="array" ref="P301">_xlfn.IFS(S301&lt;=PERCENTILE($S$2:$S$1000, 0.33), "Low", S301&lt;=PERCENTILE($S$2:$S$1000, 0.66), "Medium", TRUE, "High")</f>
        <v>Low</v>
      </c>
      <c r="Q301" t="s">
        <v>1033</v>
      </c>
      <c r="R301" s="10">
        <v>591.72</v>
      </c>
      <c r="S301" s="10">
        <v>577.24</v>
      </c>
      <c r="T301" s="8">
        <v>0</v>
      </c>
      <c r="U301" s="12">
        <f t="shared" si="87"/>
        <v>0</v>
      </c>
      <c r="V301" s="6">
        <v>22</v>
      </c>
      <c r="W301" t="str">
        <f t="shared" si="77"/>
        <v>sus</v>
      </c>
      <c r="X301">
        <f t="shared" si="78"/>
        <v>0</v>
      </c>
      <c r="Y301">
        <f t="shared" si="88"/>
        <v>0</v>
      </c>
      <c r="Z301" s="10">
        <f t="shared" si="89"/>
        <v>12699.28</v>
      </c>
      <c r="AA301" s="10">
        <f t="shared" si="90"/>
        <v>13017.84</v>
      </c>
      <c r="AB301" s="10">
        <f t="shared" si="91"/>
        <v>-318.55999999999949</v>
      </c>
      <c r="AC301" s="10">
        <f t="shared" si="79"/>
        <v>606.37750000000005</v>
      </c>
      <c r="AD301" s="10">
        <f t="shared" si="80"/>
        <v>1193.865</v>
      </c>
      <c r="AE301" s="10">
        <f t="shared" si="81"/>
        <v>1912.0450000000001</v>
      </c>
      <c r="AF301" s="10" t="str">
        <f t="shared" si="82"/>
        <v>Low</v>
      </c>
      <c r="AG301" s="6">
        <f t="shared" si="92"/>
        <v>-2.5084886702238195E-2</v>
      </c>
      <c r="AH301" s="4">
        <f t="shared" si="93"/>
        <v>44988</v>
      </c>
      <c r="AI301" t="str">
        <f t="shared" si="94"/>
        <v>Mar-2023</v>
      </c>
    </row>
    <row r="302" spans="1:35" x14ac:dyDescent="0.25">
      <c r="A302" t="s">
        <v>314</v>
      </c>
      <c r="B302" s="4">
        <v>45787</v>
      </c>
      <c r="C302" s="4" t="str">
        <f t="shared" si="83"/>
        <v>Q2-2025</v>
      </c>
      <c r="D302" s="4" t="str">
        <f t="shared" si="84"/>
        <v>May-2025</v>
      </c>
      <c r="E302" s="4">
        <v>45804</v>
      </c>
      <c r="F302" s="12">
        <f t="shared" si="85"/>
        <v>17</v>
      </c>
      <c r="G302" s="12">
        <f t="shared" si="76"/>
        <v>0</v>
      </c>
      <c r="H302" s="4">
        <f t="shared" si="86"/>
        <v>45804</v>
      </c>
      <c r="I302" t="s">
        <v>648</v>
      </c>
      <c r="J302" t="s">
        <v>653</v>
      </c>
      <c r="K302" t="s">
        <v>688</v>
      </c>
      <c r="L302" t="s">
        <v>702</v>
      </c>
      <c r="M302" t="s">
        <v>711</v>
      </c>
      <c r="N302" t="s">
        <v>712</v>
      </c>
      <c r="O302" t="s">
        <v>727</v>
      </c>
      <c r="P302" t="str" cm="1">
        <f t="array" ref="P302">_xlfn.IFS(S302&lt;=PERCENTILE($S$2:$S$1000, 0.33), "Low", S302&lt;=PERCENTILE($S$2:$S$1000, 0.66), "Medium", TRUE, "High")</f>
        <v>Medium</v>
      </c>
      <c r="Q302" t="s">
        <v>1034</v>
      </c>
      <c r="R302" s="10">
        <v>862.89</v>
      </c>
      <c r="S302" s="10">
        <v>1426.03</v>
      </c>
      <c r="T302" s="8">
        <v>5.6000000000000001E-2</v>
      </c>
      <c r="U302" s="12">
        <f t="shared" si="87"/>
        <v>0</v>
      </c>
      <c r="V302" s="6">
        <v>19</v>
      </c>
      <c r="W302" t="str">
        <f t="shared" si="77"/>
        <v>ok</v>
      </c>
      <c r="X302">
        <f t="shared" si="78"/>
        <v>17</v>
      </c>
      <c r="Y302">
        <f t="shared" si="88"/>
        <v>17</v>
      </c>
      <c r="Z302" s="10">
        <f t="shared" si="89"/>
        <v>25577.274079999999</v>
      </c>
      <c r="AA302" s="10">
        <f t="shared" si="90"/>
        <v>16394.91</v>
      </c>
      <c r="AB302" s="10">
        <f t="shared" si="91"/>
        <v>9182.3640799999994</v>
      </c>
      <c r="AC302" s="10">
        <f t="shared" si="79"/>
        <v>606.37750000000005</v>
      </c>
      <c r="AD302" s="10">
        <f t="shared" si="80"/>
        <v>1193.865</v>
      </c>
      <c r="AE302" s="10">
        <f t="shared" si="81"/>
        <v>1912.0450000000001</v>
      </c>
      <c r="AF302" s="10" t="str">
        <f t="shared" si="82"/>
        <v>Low</v>
      </c>
      <c r="AG302" s="6">
        <f t="shared" si="92"/>
        <v>0.35900479665188778</v>
      </c>
      <c r="AH302" s="4">
        <f t="shared" si="93"/>
        <v>44939</v>
      </c>
      <c r="AI302" t="str">
        <f t="shared" si="94"/>
        <v>Jan-2023</v>
      </c>
    </row>
    <row r="303" spans="1:35" x14ac:dyDescent="0.25">
      <c r="A303" t="s">
        <v>315</v>
      </c>
      <c r="B303" s="4">
        <v>45204</v>
      </c>
      <c r="C303" s="4" t="str">
        <f t="shared" si="83"/>
        <v>Q4-2023</v>
      </c>
      <c r="D303" s="4" t="str">
        <f t="shared" si="84"/>
        <v>Oct-2023</v>
      </c>
      <c r="E303" s="4">
        <v>45230</v>
      </c>
      <c r="F303" s="12">
        <f t="shared" si="85"/>
        <v>26</v>
      </c>
      <c r="G303" s="12">
        <f t="shared" si="76"/>
        <v>0</v>
      </c>
      <c r="H303" s="4">
        <f t="shared" si="86"/>
        <v>45230</v>
      </c>
      <c r="I303" t="s">
        <v>647</v>
      </c>
      <c r="J303" t="s">
        <v>659</v>
      </c>
      <c r="K303" t="s">
        <v>685</v>
      </c>
      <c r="L303" t="s">
        <v>704</v>
      </c>
      <c r="M303" t="s">
        <v>1418</v>
      </c>
      <c r="N303" t="s">
        <v>713</v>
      </c>
      <c r="O303" t="s">
        <v>728</v>
      </c>
      <c r="P303" t="str" cm="1">
        <f t="array" ref="P303">_xlfn.IFS(S303&lt;=PERCENTILE($S$2:$S$1000, 0.33), "Low", S303&lt;=PERCENTILE($S$2:$S$1000, 0.66), "Medium", TRUE, "High")</f>
        <v>Medium</v>
      </c>
      <c r="Q303" t="s">
        <v>1035</v>
      </c>
      <c r="R303" s="10">
        <v>649.91</v>
      </c>
      <c r="S303" s="10">
        <v>1360.12</v>
      </c>
      <c r="T303" s="8">
        <v>0.19400000000000001</v>
      </c>
      <c r="U303" s="12">
        <f t="shared" si="87"/>
        <v>0</v>
      </c>
      <c r="V303" s="6">
        <v>9</v>
      </c>
      <c r="W303" t="str">
        <f t="shared" si="77"/>
        <v>ok</v>
      </c>
      <c r="X303">
        <f t="shared" si="78"/>
        <v>26</v>
      </c>
      <c r="Y303">
        <f t="shared" si="88"/>
        <v>26</v>
      </c>
      <c r="Z303" s="10">
        <f t="shared" si="89"/>
        <v>9866.3104799999983</v>
      </c>
      <c r="AA303" s="10">
        <f t="shared" si="90"/>
        <v>5849.19</v>
      </c>
      <c r="AB303" s="10">
        <f t="shared" si="91"/>
        <v>4017.1204799999987</v>
      </c>
      <c r="AC303" s="10">
        <f t="shared" si="79"/>
        <v>606.37750000000005</v>
      </c>
      <c r="AD303" s="10">
        <f t="shared" si="80"/>
        <v>1193.865</v>
      </c>
      <c r="AE303" s="10">
        <f t="shared" si="81"/>
        <v>1912.0450000000001</v>
      </c>
      <c r="AF303" s="10" t="str">
        <f t="shared" si="82"/>
        <v>Medium</v>
      </c>
      <c r="AG303" s="6">
        <f t="shared" si="92"/>
        <v>0.40715528749506769</v>
      </c>
      <c r="AH303" s="4">
        <f t="shared" si="93"/>
        <v>44933</v>
      </c>
      <c r="AI303" t="str">
        <f t="shared" si="94"/>
        <v>Jan-2023</v>
      </c>
    </row>
    <row r="304" spans="1:35" x14ac:dyDescent="0.25">
      <c r="A304" t="s">
        <v>316</v>
      </c>
      <c r="B304" s="4">
        <v>45125</v>
      </c>
      <c r="C304" s="4" t="str">
        <f t="shared" si="83"/>
        <v>Q3-2023</v>
      </c>
      <c r="D304" s="4" t="str">
        <f t="shared" si="84"/>
        <v>Jul-2023</v>
      </c>
      <c r="E304" s="4">
        <v>45129</v>
      </c>
      <c r="F304" s="12">
        <f t="shared" si="85"/>
        <v>4</v>
      </c>
      <c r="G304" s="12">
        <f t="shared" si="76"/>
        <v>1</v>
      </c>
      <c r="H304" s="4">
        <f t="shared" si="86"/>
        <v>45129</v>
      </c>
      <c r="I304" t="s">
        <v>648</v>
      </c>
      <c r="J304" t="s">
        <v>655</v>
      </c>
      <c r="K304" t="s">
        <v>670</v>
      </c>
      <c r="L304" t="s">
        <v>704</v>
      </c>
      <c r="M304" t="s">
        <v>711</v>
      </c>
      <c r="N304" t="s">
        <v>721</v>
      </c>
      <c r="O304" t="s">
        <v>729</v>
      </c>
      <c r="P304" t="str" cm="1">
        <f t="array" ref="P304">_xlfn.IFS(S304&lt;=PERCENTILE($S$2:$S$1000, 0.33), "Low", S304&lt;=PERCENTILE($S$2:$S$1000, 0.66), "Medium", TRUE, "High")</f>
        <v>High</v>
      </c>
      <c r="Q304" t="s">
        <v>1036</v>
      </c>
      <c r="R304" s="10">
        <v>1269.55</v>
      </c>
      <c r="S304" s="10">
        <v>2071.1</v>
      </c>
      <c r="T304" s="8">
        <v>0.129</v>
      </c>
      <c r="U304" s="12">
        <f t="shared" si="87"/>
        <v>0</v>
      </c>
      <c r="V304" s="6">
        <v>22</v>
      </c>
      <c r="W304" t="str">
        <f t="shared" si="77"/>
        <v>ok</v>
      </c>
      <c r="X304">
        <f t="shared" si="78"/>
        <v>4</v>
      </c>
      <c r="Y304">
        <f t="shared" si="88"/>
        <v>4</v>
      </c>
      <c r="Z304" s="10">
        <f t="shared" si="89"/>
        <v>39686.4182</v>
      </c>
      <c r="AA304" s="10">
        <f t="shared" si="90"/>
        <v>27930.1</v>
      </c>
      <c r="AB304" s="10">
        <f t="shared" si="91"/>
        <v>11756.318200000002</v>
      </c>
      <c r="AC304" s="10">
        <f t="shared" si="79"/>
        <v>606.37750000000005</v>
      </c>
      <c r="AD304" s="10">
        <f t="shared" si="80"/>
        <v>1193.865</v>
      </c>
      <c r="AE304" s="10">
        <f t="shared" si="81"/>
        <v>1912.0450000000001</v>
      </c>
      <c r="AF304" s="10" t="str">
        <f t="shared" si="82"/>
        <v>Medium</v>
      </c>
      <c r="AG304" s="6">
        <f t="shared" si="92"/>
        <v>0.29623026549672354</v>
      </c>
      <c r="AH304" s="4">
        <f t="shared" si="93"/>
        <v>44933</v>
      </c>
      <c r="AI304" t="str">
        <f t="shared" si="94"/>
        <v>Jan-2023</v>
      </c>
    </row>
    <row r="305" spans="1:35" x14ac:dyDescent="0.25">
      <c r="A305" t="s">
        <v>317</v>
      </c>
      <c r="B305" s="4">
        <v>45830</v>
      </c>
      <c r="C305" s="4" t="str">
        <f t="shared" si="83"/>
        <v>Q2-2025</v>
      </c>
      <c r="D305" s="4" t="str">
        <f t="shared" si="84"/>
        <v>Jun-2025</v>
      </c>
      <c r="E305" s="4">
        <v>45846</v>
      </c>
      <c r="F305" s="12">
        <f t="shared" si="85"/>
        <v>16</v>
      </c>
      <c r="G305" s="12">
        <f t="shared" si="76"/>
        <v>0</v>
      </c>
      <c r="H305" s="4">
        <f t="shared" si="86"/>
        <v>45846</v>
      </c>
      <c r="I305" t="s">
        <v>649</v>
      </c>
      <c r="J305" t="s">
        <v>658</v>
      </c>
      <c r="K305" t="s">
        <v>683</v>
      </c>
      <c r="L305" t="s">
        <v>702</v>
      </c>
      <c r="M305" t="s">
        <v>711</v>
      </c>
      <c r="N305" t="s">
        <v>720</v>
      </c>
      <c r="O305" t="s">
        <v>730</v>
      </c>
      <c r="P305" t="str" cm="1">
        <f t="array" ref="P305">_xlfn.IFS(S305&lt;=PERCENTILE($S$2:$S$1000, 0.33), "Low", S305&lt;=PERCENTILE($S$2:$S$1000, 0.66), "Medium", TRUE, "High")</f>
        <v>Medium</v>
      </c>
      <c r="Q305" t="s">
        <v>1037</v>
      </c>
      <c r="R305" s="10">
        <v>892.73</v>
      </c>
      <c r="S305" s="10">
        <v>979.84</v>
      </c>
      <c r="T305" s="8">
        <v>0.17399999999999999</v>
      </c>
      <c r="U305" s="12">
        <f t="shared" si="87"/>
        <v>0</v>
      </c>
      <c r="V305" s="6">
        <v>10</v>
      </c>
      <c r="W305" t="str">
        <f t="shared" si="77"/>
        <v>ok</v>
      </c>
      <c r="X305">
        <f t="shared" si="78"/>
        <v>16</v>
      </c>
      <c r="Y305">
        <f t="shared" si="88"/>
        <v>16</v>
      </c>
      <c r="Z305" s="10">
        <f t="shared" si="89"/>
        <v>8093.4784</v>
      </c>
      <c r="AA305" s="10">
        <f t="shared" si="90"/>
        <v>8927.2999999999993</v>
      </c>
      <c r="AB305" s="10">
        <f t="shared" si="91"/>
        <v>-833.82159999999931</v>
      </c>
      <c r="AC305" s="10">
        <f t="shared" si="79"/>
        <v>606.37750000000005</v>
      </c>
      <c r="AD305" s="10">
        <f t="shared" si="80"/>
        <v>1193.865</v>
      </c>
      <c r="AE305" s="10">
        <f t="shared" si="81"/>
        <v>1912.0450000000001</v>
      </c>
      <c r="AF305" s="10" t="str">
        <f t="shared" si="82"/>
        <v>High</v>
      </c>
      <c r="AG305" s="6">
        <f t="shared" si="92"/>
        <v>-0.10302388649112838</v>
      </c>
      <c r="AH305" s="4">
        <f t="shared" si="93"/>
        <v>44945</v>
      </c>
      <c r="AI305" t="str">
        <f t="shared" si="94"/>
        <v>Jan-2023</v>
      </c>
    </row>
    <row r="306" spans="1:35" x14ac:dyDescent="0.25">
      <c r="A306" t="s">
        <v>318</v>
      </c>
      <c r="B306" s="4">
        <v>45462</v>
      </c>
      <c r="C306" s="4" t="str">
        <f t="shared" si="83"/>
        <v>Q2-2024</v>
      </c>
      <c r="D306" s="4" t="str">
        <f t="shared" si="84"/>
        <v>Jun-2024</v>
      </c>
      <c r="E306" s="4">
        <v>45463</v>
      </c>
      <c r="F306" s="12">
        <f t="shared" si="85"/>
        <v>1</v>
      </c>
      <c r="G306" s="12">
        <f t="shared" si="76"/>
        <v>1</v>
      </c>
      <c r="H306" s="4">
        <f t="shared" si="86"/>
        <v>45463</v>
      </c>
      <c r="I306" t="s">
        <v>646</v>
      </c>
      <c r="J306" t="s">
        <v>650</v>
      </c>
      <c r="K306" t="s">
        <v>662</v>
      </c>
      <c r="L306" t="s">
        <v>705</v>
      </c>
      <c r="M306" t="s">
        <v>711</v>
      </c>
      <c r="N306" t="s">
        <v>713</v>
      </c>
      <c r="O306" t="s">
        <v>731</v>
      </c>
      <c r="P306" t="str" cm="1">
        <f t="array" ref="P306">_xlfn.IFS(S306&lt;=PERCENTILE($S$2:$S$1000, 0.33), "Low", S306&lt;=PERCENTILE($S$2:$S$1000, 0.66), "Medium", TRUE, "High")</f>
        <v>Low</v>
      </c>
      <c r="Q306" t="s">
        <v>1038</v>
      </c>
      <c r="R306" s="10">
        <v>231.63</v>
      </c>
      <c r="S306" s="10">
        <v>537.39</v>
      </c>
      <c r="T306" s="8">
        <v>0.08</v>
      </c>
      <c r="U306" s="12">
        <f t="shared" si="87"/>
        <v>0</v>
      </c>
      <c r="V306" s="6">
        <v>12</v>
      </c>
      <c r="W306" t="str">
        <f t="shared" si="77"/>
        <v>ok</v>
      </c>
      <c r="X306">
        <f t="shared" si="78"/>
        <v>1</v>
      </c>
      <c r="Y306">
        <f t="shared" si="88"/>
        <v>1</v>
      </c>
      <c r="Z306" s="10">
        <f t="shared" si="89"/>
        <v>5932.7856000000002</v>
      </c>
      <c r="AA306" s="10">
        <f t="shared" si="90"/>
        <v>2779.56</v>
      </c>
      <c r="AB306" s="10">
        <f t="shared" si="91"/>
        <v>3153.2256000000002</v>
      </c>
      <c r="AC306" s="10">
        <f t="shared" si="79"/>
        <v>606.37750000000005</v>
      </c>
      <c r="AD306" s="10">
        <f t="shared" si="80"/>
        <v>1193.865</v>
      </c>
      <c r="AE306" s="10">
        <f t="shared" si="81"/>
        <v>1912.0450000000001</v>
      </c>
      <c r="AF306" s="10" t="str">
        <f t="shared" si="82"/>
        <v>Medium</v>
      </c>
      <c r="AG306" s="6">
        <f t="shared" si="92"/>
        <v>0.53149158129024587</v>
      </c>
      <c r="AH306" s="4">
        <f t="shared" si="93"/>
        <v>44945</v>
      </c>
      <c r="AI306" t="str">
        <f t="shared" si="94"/>
        <v>Jan-2023</v>
      </c>
    </row>
    <row r="307" spans="1:35" x14ac:dyDescent="0.25">
      <c r="A307" t="s">
        <v>319</v>
      </c>
      <c r="B307" s="4">
        <v>45756</v>
      </c>
      <c r="C307" s="4" t="str">
        <f t="shared" si="83"/>
        <v>Q2-2025</v>
      </c>
      <c r="D307" s="4" t="str">
        <f t="shared" si="84"/>
        <v>Apr-2025</v>
      </c>
      <c r="E307" s="4">
        <v>45759</v>
      </c>
      <c r="F307" s="12">
        <f t="shared" si="85"/>
        <v>3</v>
      </c>
      <c r="G307" s="12">
        <f t="shared" si="76"/>
        <v>1</v>
      </c>
      <c r="H307" s="4">
        <f t="shared" si="86"/>
        <v>45759</v>
      </c>
      <c r="I307" t="s">
        <v>649</v>
      </c>
      <c r="J307" t="s">
        <v>657</v>
      </c>
      <c r="K307" t="s">
        <v>679</v>
      </c>
      <c r="L307" t="s">
        <v>705</v>
      </c>
      <c r="M307" t="s">
        <v>710</v>
      </c>
      <c r="N307" t="s">
        <v>722</v>
      </c>
      <c r="O307" t="s">
        <v>732</v>
      </c>
      <c r="P307" t="str" cm="1">
        <f t="array" ref="P307">_xlfn.IFS(S307&lt;=PERCENTILE($S$2:$S$1000, 0.33), "Low", S307&lt;=PERCENTILE($S$2:$S$1000, 0.66), "Medium", TRUE, "High")</f>
        <v>Low</v>
      </c>
      <c r="Q307" t="s">
        <v>1039</v>
      </c>
      <c r="R307" s="10">
        <v>86.68</v>
      </c>
      <c r="S307" s="10">
        <v>213.32</v>
      </c>
      <c r="T307" s="8">
        <v>3.7999999999999999E-2</v>
      </c>
      <c r="U307" s="12">
        <f t="shared" si="87"/>
        <v>0</v>
      </c>
      <c r="V307" s="6">
        <v>8</v>
      </c>
      <c r="W307" t="str">
        <f t="shared" si="77"/>
        <v>ok</v>
      </c>
      <c r="X307">
        <f t="shared" si="78"/>
        <v>3</v>
      </c>
      <c r="Y307">
        <f t="shared" si="88"/>
        <v>3</v>
      </c>
      <c r="Z307" s="10">
        <f t="shared" si="89"/>
        <v>1641.7107199999998</v>
      </c>
      <c r="AA307" s="10">
        <f t="shared" si="90"/>
        <v>693.44</v>
      </c>
      <c r="AB307" s="10">
        <f t="shared" si="91"/>
        <v>948.27071999999976</v>
      </c>
      <c r="AC307" s="10">
        <f t="shared" si="79"/>
        <v>606.37750000000005</v>
      </c>
      <c r="AD307" s="10">
        <f t="shared" si="80"/>
        <v>1193.865</v>
      </c>
      <c r="AE307" s="10">
        <f t="shared" si="81"/>
        <v>1912.0450000000001</v>
      </c>
      <c r="AF307" s="10" t="str">
        <f t="shared" si="82"/>
        <v>Low</v>
      </c>
      <c r="AG307" s="6">
        <f t="shared" si="92"/>
        <v>0.57761133459614611</v>
      </c>
      <c r="AH307" s="4">
        <f t="shared" si="93"/>
        <v>44948</v>
      </c>
      <c r="AI307" t="str">
        <f t="shared" si="94"/>
        <v>Jan-2023</v>
      </c>
    </row>
    <row r="308" spans="1:35" x14ac:dyDescent="0.25">
      <c r="A308" t="s">
        <v>320</v>
      </c>
      <c r="B308" s="4">
        <v>45741</v>
      </c>
      <c r="C308" s="4" t="str">
        <f t="shared" si="83"/>
        <v>Q1-2025</v>
      </c>
      <c r="D308" s="4" t="str">
        <f t="shared" si="84"/>
        <v>Mar-2025</v>
      </c>
      <c r="E308" s="4">
        <v>45742</v>
      </c>
      <c r="F308" s="12">
        <f t="shared" si="85"/>
        <v>1</v>
      </c>
      <c r="G308" s="12">
        <f t="shared" si="76"/>
        <v>1</v>
      </c>
      <c r="H308" s="4">
        <f t="shared" si="86"/>
        <v>45742</v>
      </c>
      <c r="I308" t="s">
        <v>646</v>
      </c>
      <c r="J308" t="s">
        <v>651</v>
      </c>
      <c r="K308" t="s">
        <v>665</v>
      </c>
      <c r="L308" t="s">
        <v>702</v>
      </c>
      <c r="M308" t="s">
        <v>710</v>
      </c>
      <c r="N308" t="s">
        <v>715</v>
      </c>
      <c r="O308" t="s">
        <v>733</v>
      </c>
      <c r="P308" t="str" cm="1">
        <f t="array" ref="P308">_xlfn.IFS(S308&lt;=PERCENTILE($S$2:$S$1000, 0.33), "Low", S308&lt;=PERCENTILE($S$2:$S$1000, 0.66), "Medium", TRUE, "High")</f>
        <v>High</v>
      </c>
      <c r="Q308" t="s">
        <v>1040</v>
      </c>
      <c r="R308" s="10">
        <v>1450.43</v>
      </c>
      <c r="S308" s="10">
        <v>1994.67</v>
      </c>
      <c r="T308" s="8">
        <v>0.1</v>
      </c>
      <c r="U308" s="12">
        <f t="shared" si="87"/>
        <v>0</v>
      </c>
      <c r="V308" s="6">
        <v>24</v>
      </c>
      <c r="W308" t="str">
        <f t="shared" si="77"/>
        <v>ok</v>
      </c>
      <c r="X308">
        <f t="shared" si="78"/>
        <v>1</v>
      </c>
      <c r="Y308">
        <f t="shared" si="88"/>
        <v>1</v>
      </c>
      <c r="Z308" s="10">
        <f t="shared" si="89"/>
        <v>43084.872000000003</v>
      </c>
      <c r="AA308" s="10">
        <f t="shared" si="90"/>
        <v>34810.32</v>
      </c>
      <c r="AB308" s="10">
        <f t="shared" si="91"/>
        <v>8274.5520000000033</v>
      </c>
      <c r="AC308" s="10">
        <f t="shared" si="79"/>
        <v>606.37750000000005</v>
      </c>
      <c r="AD308" s="10">
        <f t="shared" si="80"/>
        <v>1193.865</v>
      </c>
      <c r="AE308" s="10">
        <f t="shared" si="81"/>
        <v>1912.0450000000001</v>
      </c>
      <c r="AF308" s="10" t="str">
        <f t="shared" si="82"/>
        <v>Low</v>
      </c>
      <c r="AG308" s="6">
        <f t="shared" si="92"/>
        <v>0.19205237513529116</v>
      </c>
      <c r="AH308" s="4">
        <f t="shared" si="93"/>
        <v>44928</v>
      </c>
      <c r="AI308" t="str">
        <f t="shared" si="94"/>
        <v>Jan-2023</v>
      </c>
    </row>
    <row r="309" spans="1:35" x14ac:dyDescent="0.25">
      <c r="A309" t="s">
        <v>321</v>
      </c>
      <c r="B309" s="4">
        <v>45795</v>
      </c>
      <c r="C309" s="4" t="str">
        <f t="shared" si="83"/>
        <v>Q2-2025</v>
      </c>
      <c r="D309" s="4" t="str">
        <f t="shared" si="84"/>
        <v>May-2025</v>
      </c>
      <c r="E309" s="4">
        <v>45817</v>
      </c>
      <c r="F309" s="12">
        <f t="shared" si="85"/>
        <v>22</v>
      </c>
      <c r="G309" s="12">
        <f t="shared" si="76"/>
        <v>0</v>
      </c>
      <c r="H309" s="4">
        <f t="shared" si="86"/>
        <v>45817</v>
      </c>
      <c r="I309" t="s">
        <v>648</v>
      </c>
      <c r="J309" t="s">
        <v>660</v>
      </c>
      <c r="K309" t="s">
        <v>700</v>
      </c>
      <c r="L309" t="s">
        <v>704</v>
      </c>
      <c r="M309" t="s">
        <v>707</v>
      </c>
      <c r="N309" t="s">
        <v>722</v>
      </c>
      <c r="O309" t="s">
        <v>729</v>
      </c>
      <c r="P309" t="str" cm="1">
        <f t="array" ref="P309">_xlfn.IFS(S309&lt;=PERCENTILE($S$2:$S$1000, 0.33), "Low", S309&lt;=PERCENTILE($S$2:$S$1000, 0.66), "Medium", TRUE, "High")</f>
        <v>Low</v>
      </c>
      <c r="Q309" t="s">
        <v>1041</v>
      </c>
      <c r="R309" s="10">
        <v>382.96</v>
      </c>
      <c r="S309" s="10">
        <v>552.84</v>
      </c>
      <c r="T309" s="8">
        <v>0.17599999999999999</v>
      </c>
      <c r="U309" s="12">
        <f t="shared" si="87"/>
        <v>0</v>
      </c>
      <c r="V309" s="6">
        <v>8</v>
      </c>
      <c r="W309" t="str">
        <f t="shared" si="77"/>
        <v>ok</v>
      </c>
      <c r="X309">
        <f t="shared" si="78"/>
        <v>22</v>
      </c>
      <c r="Y309">
        <f t="shared" si="88"/>
        <v>22</v>
      </c>
      <c r="Z309" s="10">
        <f t="shared" si="89"/>
        <v>3644.3212800000006</v>
      </c>
      <c r="AA309" s="10">
        <f t="shared" si="90"/>
        <v>3063.68</v>
      </c>
      <c r="AB309" s="10">
        <f t="shared" si="91"/>
        <v>580.64128000000073</v>
      </c>
      <c r="AC309" s="10">
        <f t="shared" si="79"/>
        <v>606.37750000000005</v>
      </c>
      <c r="AD309" s="10">
        <f t="shared" si="80"/>
        <v>1193.865</v>
      </c>
      <c r="AE309" s="10">
        <f t="shared" si="81"/>
        <v>1912.0450000000001</v>
      </c>
      <c r="AF309" s="10" t="str">
        <f t="shared" si="82"/>
        <v>High</v>
      </c>
      <c r="AG309" s="6">
        <f t="shared" si="92"/>
        <v>0.15932768693763483</v>
      </c>
      <c r="AH309" s="4">
        <f t="shared" si="93"/>
        <v>44938</v>
      </c>
      <c r="AI309" t="str">
        <f t="shared" si="94"/>
        <v>Jan-2023</v>
      </c>
    </row>
    <row r="310" spans="1:35" x14ac:dyDescent="0.25">
      <c r="A310" t="s">
        <v>322</v>
      </c>
      <c r="B310" s="4">
        <v>45679</v>
      </c>
      <c r="C310" s="4" t="str">
        <f t="shared" si="83"/>
        <v>Q1-2025</v>
      </c>
      <c r="D310" s="4" t="str">
        <f t="shared" si="84"/>
        <v>Jan-2025</v>
      </c>
      <c r="E310" s="4">
        <v>45692</v>
      </c>
      <c r="F310" s="12">
        <f t="shared" si="85"/>
        <v>13</v>
      </c>
      <c r="G310" s="12">
        <f t="shared" si="76"/>
        <v>0</v>
      </c>
      <c r="H310" s="4">
        <f t="shared" si="86"/>
        <v>45692</v>
      </c>
      <c r="I310" t="s">
        <v>647</v>
      </c>
      <c r="J310" t="s">
        <v>652</v>
      </c>
      <c r="K310" t="s">
        <v>689</v>
      </c>
      <c r="L310" t="s">
        <v>705</v>
      </c>
      <c r="M310" t="s">
        <v>710</v>
      </c>
      <c r="N310" t="s">
        <v>716</v>
      </c>
      <c r="O310" t="s">
        <v>728</v>
      </c>
      <c r="P310" t="str" cm="1">
        <f t="array" ref="P310">_xlfn.IFS(S310&lt;=PERCENTILE($S$2:$S$1000, 0.33), "Low", S310&lt;=PERCENTILE($S$2:$S$1000, 0.66), "Medium", TRUE, "High")</f>
        <v>Low</v>
      </c>
      <c r="Q310" t="s">
        <v>1042</v>
      </c>
      <c r="R310" s="10">
        <v>122.29</v>
      </c>
      <c r="S310" s="10">
        <v>224.95</v>
      </c>
      <c r="T310" s="8">
        <v>0.153</v>
      </c>
      <c r="U310" s="12">
        <f t="shared" si="87"/>
        <v>0</v>
      </c>
      <c r="V310" s="6">
        <v>28</v>
      </c>
      <c r="W310" t="str">
        <f t="shared" si="77"/>
        <v>ok</v>
      </c>
      <c r="X310">
        <f t="shared" si="78"/>
        <v>13</v>
      </c>
      <c r="Y310">
        <f t="shared" si="88"/>
        <v>13</v>
      </c>
      <c r="Z310" s="10">
        <f t="shared" si="89"/>
        <v>5334.9141999999993</v>
      </c>
      <c r="AA310" s="10">
        <f t="shared" si="90"/>
        <v>3424.1200000000003</v>
      </c>
      <c r="AB310" s="10">
        <f t="shared" si="91"/>
        <v>1910.7941999999989</v>
      </c>
      <c r="AC310" s="10">
        <f t="shared" si="79"/>
        <v>606.37750000000005</v>
      </c>
      <c r="AD310" s="10">
        <f t="shared" si="80"/>
        <v>1193.865</v>
      </c>
      <c r="AE310" s="10">
        <f t="shared" si="81"/>
        <v>1912.0450000000001</v>
      </c>
      <c r="AF310" s="10" t="str">
        <f t="shared" si="82"/>
        <v>Low</v>
      </c>
      <c r="AG310" s="6">
        <f t="shared" si="92"/>
        <v>0.3581677471026618</v>
      </c>
      <c r="AH310" s="4">
        <f t="shared" si="93"/>
        <v>44955</v>
      </c>
      <c r="AI310" t="str">
        <f t="shared" si="94"/>
        <v>Jan-2023</v>
      </c>
    </row>
    <row r="311" spans="1:35" x14ac:dyDescent="0.25">
      <c r="A311" t="s">
        <v>323</v>
      </c>
      <c r="B311" s="4">
        <v>44936</v>
      </c>
      <c r="C311" s="4" t="str">
        <f t="shared" si="83"/>
        <v>Q1-2023</v>
      </c>
      <c r="D311" s="4" t="str">
        <f t="shared" si="84"/>
        <v>Jan-2023</v>
      </c>
      <c r="E311" s="4">
        <v>44955</v>
      </c>
      <c r="F311" s="12">
        <f t="shared" si="85"/>
        <v>19</v>
      </c>
      <c r="G311" s="12">
        <f t="shared" si="76"/>
        <v>0</v>
      </c>
      <c r="H311" s="4">
        <f t="shared" si="86"/>
        <v>44955</v>
      </c>
      <c r="I311" t="s">
        <v>649</v>
      </c>
      <c r="J311" t="s">
        <v>657</v>
      </c>
      <c r="K311" t="s">
        <v>679</v>
      </c>
      <c r="L311" t="s">
        <v>703</v>
      </c>
      <c r="M311" t="s">
        <v>711</v>
      </c>
      <c r="N311" t="s">
        <v>726</v>
      </c>
      <c r="O311" t="s">
        <v>731</v>
      </c>
      <c r="P311" t="str" cm="1">
        <f t="array" ref="P311">_xlfn.IFS(S311&lt;=PERCENTILE($S$2:$S$1000, 0.33), "Low", S311&lt;=PERCENTILE($S$2:$S$1000, 0.66), "Medium", TRUE, "High")</f>
        <v>Low</v>
      </c>
      <c r="Q311" t="s">
        <v>1043</v>
      </c>
      <c r="R311" s="10">
        <v>401.66</v>
      </c>
      <c r="S311" s="10">
        <v>772.09</v>
      </c>
      <c r="T311" s="8">
        <v>8.8999999999999996E-2</v>
      </c>
      <c r="U311" s="12">
        <f t="shared" si="87"/>
        <v>0</v>
      </c>
      <c r="V311" s="6">
        <v>14</v>
      </c>
      <c r="W311" t="str">
        <f t="shared" si="77"/>
        <v>ok</v>
      </c>
      <c r="X311">
        <f t="shared" si="78"/>
        <v>19</v>
      </c>
      <c r="Y311">
        <f t="shared" si="88"/>
        <v>19</v>
      </c>
      <c r="Z311" s="10">
        <f t="shared" si="89"/>
        <v>9847.2358600000007</v>
      </c>
      <c r="AA311" s="10">
        <f t="shared" si="90"/>
        <v>5623.2400000000007</v>
      </c>
      <c r="AB311" s="10">
        <f t="shared" si="91"/>
        <v>4223.99586</v>
      </c>
      <c r="AC311" s="10">
        <f t="shared" si="79"/>
        <v>606.37750000000005</v>
      </c>
      <c r="AD311" s="10">
        <f t="shared" si="80"/>
        <v>1193.865</v>
      </c>
      <c r="AE311" s="10">
        <f t="shared" si="81"/>
        <v>1912.0450000000001</v>
      </c>
      <c r="AF311" s="10" t="str">
        <f t="shared" si="82"/>
        <v>Low</v>
      </c>
      <c r="AG311" s="6">
        <f t="shared" si="92"/>
        <v>0.42895244107619046</v>
      </c>
      <c r="AH311" s="4">
        <f t="shared" si="93"/>
        <v>44938</v>
      </c>
      <c r="AI311" t="str">
        <f t="shared" si="94"/>
        <v>Jan-2023</v>
      </c>
    </row>
    <row r="312" spans="1:35" x14ac:dyDescent="0.25">
      <c r="A312" t="s">
        <v>324</v>
      </c>
      <c r="B312" s="4">
        <v>45655</v>
      </c>
      <c r="C312" s="4" t="str">
        <f t="shared" si="83"/>
        <v>Q4-2024</v>
      </c>
      <c r="D312" s="4" t="str">
        <f t="shared" si="84"/>
        <v>Dec-2024</v>
      </c>
      <c r="E312" s="4">
        <v>45669</v>
      </c>
      <c r="F312" s="12">
        <f t="shared" si="85"/>
        <v>14</v>
      </c>
      <c r="G312" s="12">
        <f t="shared" si="76"/>
        <v>0</v>
      </c>
      <c r="H312" s="4">
        <f t="shared" si="86"/>
        <v>45669</v>
      </c>
      <c r="I312" t="s">
        <v>649</v>
      </c>
      <c r="J312" t="s">
        <v>658</v>
      </c>
      <c r="K312" t="s">
        <v>693</v>
      </c>
      <c r="L312" t="s">
        <v>701</v>
      </c>
      <c r="M312" t="s">
        <v>711</v>
      </c>
      <c r="N312" t="s">
        <v>717</v>
      </c>
      <c r="O312" t="s">
        <v>732</v>
      </c>
      <c r="P312" t="str" cm="1">
        <f t="array" ref="P312">_xlfn.IFS(S312&lt;=PERCENTILE($S$2:$S$1000, 0.33), "Low", S312&lt;=PERCENTILE($S$2:$S$1000, 0.66), "Medium", TRUE, "High")</f>
        <v>High</v>
      </c>
      <c r="Q312" t="s">
        <v>1044</v>
      </c>
      <c r="R312" s="10">
        <v>1399.72</v>
      </c>
      <c r="S312" s="10">
        <v>3149.21</v>
      </c>
      <c r="T312" s="8">
        <v>0.185</v>
      </c>
      <c r="U312" s="12">
        <f t="shared" si="87"/>
        <v>0</v>
      </c>
      <c r="V312" s="6">
        <v>12</v>
      </c>
      <c r="W312" t="str">
        <f t="shared" si="77"/>
        <v>ok</v>
      </c>
      <c r="X312">
        <f t="shared" si="78"/>
        <v>14</v>
      </c>
      <c r="Y312">
        <f t="shared" si="88"/>
        <v>14</v>
      </c>
      <c r="Z312" s="10">
        <f t="shared" si="89"/>
        <v>30799.273800000003</v>
      </c>
      <c r="AA312" s="10">
        <f t="shared" si="90"/>
        <v>16796.64</v>
      </c>
      <c r="AB312" s="10">
        <f t="shared" si="91"/>
        <v>14002.633800000003</v>
      </c>
      <c r="AC312" s="10">
        <f t="shared" si="79"/>
        <v>606.37750000000005</v>
      </c>
      <c r="AD312" s="10">
        <f t="shared" si="80"/>
        <v>1193.865</v>
      </c>
      <c r="AE312" s="10">
        <f t="shared" si="81"/>
        <v>1912.0450000000001</v>
      </c>
      <c r="AF312" s="10" t="str">
        <f t="shared" si="82"/>
        <v>Medium</v>
      </c>
      <c r="AG312" s="6">
        <f t="shared" si="92"/>
        <v>0.45464168703873797</v>
      </c>
      <c r="AH312" s="4">
        <f t="shared" si="93"/>
        <v>44988</v>
      </c>
      <c r="AI312" t="str">
        <f t="shared" si="94"/>
        <v>Mar-2023</v>
      </c>
    </row>
    <row r="313" spans="1:35" x14ac:dyDescent="0.25">
      <c r="A313" t="s">
        <v>325</v>
      </c>
      <c r="B313" s="4">
        <v>45435</v>
      </c>
      <c r="C313" s="4" t="str">
        <f t="shared" si="83"/>
        <v>Q2-2024</v>
      </c>
      <c r="D313" s="4" t="str">
        <f t="shared" si="84"/>
        <v>May-2024</v>
      </c>
      <c r="E313" s="4">
        <v>45449</v>
      </c>
      <c r="F313" s="12">
        <f t="shared" si="85"/>
        <v>14</v>
      </c>
      <c r="G313" s="12">
        <f t="shared" si="76"/>
        <v>0</v>
      </c>
      <c r="H313" s="4">
        <f t="shared" si="86"/>
        <v>45449</v>
      </c>
      <c r="I313" t="s">
        <v>648</v>
      </c>
      <c r="J313" t="s">
        <v>655</v>
      </c>
      <c r="K313" t="s">
        <v>692</v>
      </c>
      <c r="L313" t="s">
        <v>703</v>
      </c>
      <c r="M313" t="s">
        <v>708</v>
      </c>
      <c r="N313" t="s">
        <v>714</v>
      </c>
      <c r="O313" t="s">
        <v>729</v>
      </c>
      <c r="P313" t="str" cm="1">
        <f t="array" ref="P313">_xlfn.IFS(S313&lt;=PERCENTILE($S$2:$S$1000, 0.33), "Low", S313&lt;=PERCENTILE($S$2:$S$1000, 0.66), "Medium", TRUE, "High")</f>
        <v>Low</v>
      </c>
      <c r="Q313" t="s">
        <v>1045</v>
      </c>
      <c r="R313" s="10">
        <v>51.13</v>
      </c>
      <c r="S313" s="10">
        <v>57.53</v>
      </c>
      <c r="T313" s="8">
        <v>4.4999999999999998E-2</v>
      </c>
      <c r="U313" s="12">
        <f t="shared" si="87"/>
        <v>0</v>
      </c>
      <c r="V313" s="6">
        <v>16</v>
      </c>
      <c r="W313" t="str">
        <f t="shared" si="77"/>
        <v>ok</v>
      </c>
      <c r="X313">
        <f t="shared" si="78"/>
        <v>14</v>
      </c>
      <c r="Y313">
        <f t="shared" si="88"/>
        <v>14</v>
      </c>
      <c r="Z313" s="10">
        <f t="shared" si="89"/>
        <v>879.05840000000001</v>
      </c>
      <c r="AA313" s="10">
        <f t="shared" si="90"/>
        <v>818.08</v>
      </c>
      <c r="AB313" s="10">
        <f t="shared" si="91"/>
        <v>60.978399999999965</v>
      </c>
      <c r="AC313" s="10">
        <f t="shared" si="79"/>
        <v>606.37750000000005</v>
      </c>
      <c r="AD313" s="10">
        <f t="shared" si="80"/>
        <v>1193.865</v>
      </c>
      <c r="AE313" s="10">
        <f t="shared" si="81"/>
        <v>1912.0450000000001</v>
      </c>
      <c r="AF313" s="10" t="str">
        <f t="shared" si="82"/>
        <v>High</v>
      </c>
      <c r="AG313" s="6">
        <f t="shared" si="92"/>
        <v>6.9367859973808302E-2</v>
      </c>
      <c r="AH313" s="4">
        <f t="shared" si="93"/>
        <v>44941</v>
      </c>
      <c r="AI313" t="str">
        <f t="shared" si="94"/>
        <v>Jan-2023</v>
      </c>
    </row>
    <row r="314" spans="1:35" x14ac:dyDescent="0.25">
      <c r="A314" t="s">
        <v>326</v>
      </c>
      <c r="B314" s="4">
        <v>45101</v>
      </c>
      <c r="C314" s="4" t="str">
        <f t="shared" si="83"/>
        <v>Q2-2023</v>
      </c>
      <c r="D314" s="4" t="str">
        <f t="shared" si="84"/>
        <v>Jun-2023</v>
      </c>
      <c r="E314" s="4">
        <v>45099</v>
      </c>
      <c r="F314" s="12">
        <f t="shared" si="85"/>
        <v>14</v>
      </c>
      <c r="G314" s="12">
        <f t="shared" si="76"/>
        <v>0</v>
      </c>
      <c r="H314" s="4">
        <f t="shared" si="86"/>
        <v>45115</v>
      </c>
      <c r="I314" t="s">
        <v>648</v>
      </c>
      <c r="J314" t="s">
        <v>653</v>
      </c>
      <c r="K314" t="s">
        <v>667</v>
      </c>
      <c r="L314" t="s">
        <v>703</v>
      </c>
      <c r="M314" t="s">
        <v>707</v>
      </c>
      <c r="N314" t="s">
        <v>724</v>
      </c>
      <c r="O314" t="s">
        <v>733</v>
      </c>
      <c r="P314" t="str" cm="1">
        <f t="array" ref="P314">_xlfn.IFS(S314&lt;=PERCENTILE($S$2:$S$1000, 0.33), "Low", S314&lt;=PERCENTILE($S$2:$S$1000, 0.66), "Medium", TRUE, "High")</f>
        <v>Medium</v>
      </c>
      <c r="Q314" t="s">
        <v>1046</v>
      </c>
      <c r="R314" s="10">
        <v>471.42</v>
      </c>
      <c r="S314" s="10">
        <v>824.81</v>
      </c>
      <c r="T314" s="8">
        <v>8.7999999999999995E-2</v>
      </c>
      <c r="U314" s="12">
        <f t="shared" si="87"/>
        <v>0</v>
      </c>
      <c r="V314" s="6">
        <v>15</v>
      </c>
      <c r="W314" t="str">
        <f t="shared" si="77"/>
        <v>sus</v>
      </c>
      <c r="X314">
        <f t="shared" si="78"/>
        <v>-2</v>
      </c>
      <c r="Y314">
        <f t="shared" si="88"/>
        <v>2</v>
      </c>
      <c r="Z314" s="10">
        <f t="shared" si="89"/>
        <v>11283.400799999999</v>
      </c>
      <c r="AA314" s="10">
        <f t="shared" si="90"/>
        <v>7071.3</v>
      </c>
      <c r="AB314" s="10">
        <f t="shared" si="91"/>
        <v>4212.1007999999993</v>
      </c>
      <c r="AC314" s="10">
        <f t="shared" si="79"/>
        <v>606.37750000000005</v>
      </c>
      <c r="AD314" s="10">
        <f t="shared" si="80"/>
        <v>1193.865</v>
      </c>
      <c r="AE314" s="10">
        <f t="shared" si="81"/>
        <v>1912.0450000000001</v>
      </c>
      <c r="AF314" s="10" t="str">
        <f t="shared" si="82"/>
        <v>Low</v>
      </c>
      <c r="AG314" s="6">
        <f t="shared" si="92"/>
        <v>0.37330064531608231</v>
      </c>
      <c r="AH314" s="4">
        <f t="shared" si="93"/>
        <v>44941</v>
      </c>
      <c r="AI314" t="str">
        <f t="shared" si="94"/>
        <v>Jan-2023</v>
      </c>
    </row>
    <row r="315" spans="1:35" x14ac:dyDescent="0.25">
      <c r="A315" t="s">
        <v>327</v>
      </c>
      <c r="B315" s="4">
        <v>45600</v>
      </c>
      <c r="C315" s="4" t="str">
        <f t="shared" si="83"/>
        <v>Q4-2024</v>
      </c>
      <c r="D315" s="4" t="str">
        <f t="shared" si="84"/>
        <v>Nov-2024</v>
      </c>
      <c r="E315" s="4">
        <v>45601</v>
      </c>
      <c r="F315" s="12">
        <f t="shared" si="85"/>
        <v>1</v>
      </c>
      <c r="G315" s="12">
        <f t="shared" si="76"/>
        <v>1</v>
      </c>
      <c r="H315" s="4">
        <f t="shared" si="86"/>
        <v>45601</v>
      </c>
      <c r="I315" t="s">
        <v>649</v>
      </c>
      <c r="J315" t="s">
        <v>658</v>
      </c>
      <c r="K315" t="s">
        <v>683</v>
      </c>
      <c r="L315" t="s">
        <v>701</v>
      </c>
      <c r="M315" t="s">
        <v>707</v>
      </c>
      <c r="N315" t="s">
        <v>724</v>
      </c>
      <c r="O315" t="s">
        <v>728</v>
      </c>
      <c r="P315" t="str" cm="1">
        <f t="array" ref="P315">_xlfn.IFS(S315&lt;=PERCENTILE($S$2:$S$1000, 0.33), "Low", S315&lt;=PERCENTILE($S$2:$S$1000, 0.66), "Medium", TRUE, "High")</f>
        <v>Medium</v>
      </c>
      <c r="Q315" t="s">
        <v>1047</v>
      </c>
      <c r="R315" s="10">
        <v>840.68</v>
      </c>
      <c r="S315" s="10">
        <v>1493.53</v>
      </c>
      <c r="T315" s="8">
        <v>0</v>
      </c>
      <c r="U315" s="12">
        <f t="shared" si="87"/>
        <v>0</v>
      </c>
      <c r="V315" s="6">
        <v>27</v>
      </c>
      <c r="W315" t="str">
        <f t="shared" si="77"/>
        <v>ok</v>
      </c>
      <c r="X315">
        <f t="shared" si="78"/>
        <v>1</v>
      </c>
      <c r="Y315">
        <f t="shared" si="88"/>
        <v>1</v>
      </c>
      <c r="Z315" s="10">
        <f t="shared" si="89"/>
        <v>40325.31</v>
      </c>
      <c r="AA315" s="10">
        <f t="shared" si="90"/>
        <v>22698.359999999997</v>
      </c>
      <c r="AB315" s="10">
        <f t="shared" si="91"/>
        <v>17626.95</v>
      </c>
      <c r="AC315" s="10">
        <f t="shared" si="79"/>
        <v>606.37750000000005</v>
      </c>
      <c r="AD315" s="10">
        <f t="shared" si="80"/>
        <v>1193.865</v>
      </c>
      <c r="AE315" s="10">
        <f t="shared" si="81"/>
        <v>1912.0450000000001</v>
      </c>
      <c r="AF315" s="10" t="str">
        <f t="shared" si="82"/>
        <v>Medium</v>
      </c>
      <c r="AG315" s="6">
        <f t="shared" si="92"/>
        <v>0.43711877230454027</v>
      </c>
      <c r="AH315" s="4">
        <f t="shared" si="93"/>
        <v>44936</v>
      </c>
      <c r="AI315" t="str">
        <f t="shared" si="94"/>
        <v>Jan-2023</v>
      </c>
    </row>
    <row r="316" spans="1:35" x14ac:dyDescent="0.25">
      <c r="A316" t="s">
        <v>328</v>
      </c>
      <c r="B316" s="4">
        <v>45451</v>
      </c>
      <c r="C316" s="4" t="str">
        <f t="shared" si="83"/>
        <v>Q2-2024</v>
      </c>
      <c r="D316" s="4" t="str">
        <f t="shared" si="84"/>
        <v>Jun-2024</v>
      </c>
      <c r="E316" s="4">
        <v>45467</v>
      </c>
      <c r="F316" s="12">
        <f t="shared" si="85"/>
        <v>16</v>
      </c>
      <c r="G316" s="12">
        <f t="shared" si="76"/>
        <v>0</v>
      </c>
      <c r="H316" s="4">
        <f t="shared" si="86"/>
        <v>45467</v>
      </c>
      <c r="I316" t="s">
        <v>646</v>
      </c>
      <c r="J316" t="s">
        <v>661</v>
      </c>
      <c r="K316" t="s">
        <v>687</v>
      </c>
      <c r="L316" t="s">
        <v>702</v>
      </c>
      <c r="M316" t="s">
        <v>710</v>
      </c>
      <c r="N316" t="s">
        <v>722</v>
      </c>
      <c r="O316" t="s">
        <v>732</v>
      </c>
      <c r="P316" t="str" cm="1">
        <f t="array" ref="P316">_xlfn.IFS(S316&lt;=PERCENTILE($S$2:$S$1000, 0.33), "Low", S316&lt;=PERCENTILE($S$2:$S$1000, 0.66), "Medium", TRUE, "High")</f>
        <v>Low</v>
      </c>
      <c r="Q316" t="s">
        <v>1048</v>
      </c>
      <c r="R316" s="10">
        <v>597.85</v>
      </c>
      <c r="S316" s="10">
        <v>741.92</v>
      </c>
      <c r="T316" s="8">
        <v>3.1E-2</v>
      </c>
      <c r="U316" s="12">
        <f t="shared" si="87"/>
        <v>0</v>
      </c>
      <c r="V316" s="6">
        <v>7</v>
      </c>
      <c r="W316" t="str">
        <f t="shared" si="77"/>
        <v>ok</v>
      </c>
      <c r="X316">
        <f t="shared" si="78"/>
        <v>16</v>
      </c>
      <c r="Y316">
        <f t="shared" si="88"/>
        <v>16</v>
      </c>
      <c r="Z316" s="10">
        <f t="shared" si="89"/>
        <v>5032.4433599999993</v>
      </c>
      <c r="AA316" s="10">
        <f t="shared" si="90"/>
        <v>4184.95</v>
      </c>
      <c r="AB316" s="10">
        <f t="shared" si="91"/>
        <v>847.49335999999948</v>
      </c>
      <c r="AC316" s="10">
        <f t="shared" si="79"/>
        <v>606.37750000000005</v>
      </c>
      <c r="AD316" s="10">
        <f t="shared" si="80"/>
        <v>1193.865</v>
      </c>
      <c r="AE316" s="10">
        <f t="shared" si="81"/>
        <v>1912.0450000000001</v>
      </c>
      <c r="AF316" s="10" t="str">
        <f t="shared" si="82"/>
        <v>Medium</v>
      </c>
      <c r="AG316" s="6">
        <f t="shared" si="92"/>
        <v>0.16840594108544515</v>
      </c>
      <c r="AH316" s="4">
        <f t="shared" si="93"/>
        <v>44936</v>
      </c>
      <c r="AI316" t="str">
        <f t="shared" si="94"/>
        <v>Jan-2023</v>
      </c>
    </row>
    <row r="317" spans="1:35" x14ac:dyDescent="0.25">
      <c r="A317" t="s">
        <v>329</v>
      </c>
      <c r="B317" s="4">
        <v>45809</v>
      </c>
      <c r="C317" s="4" t="str">
        <f t="shared" si="83"/>
        <v>Q2-2025</v>
      </c>
      <c r="D317" s="4" t="str">
        <f t="shared" si="84"/>
        <v>Jun-2025</v>
      </c>
      <c r="E317" s="4">
        <v>45814</v>
      </c>
      <c r="F317" s="12">
        <f t="shared" si="85"/>
        <v>5</v>
      </c>
      <c r="G317" s="12">
        <f t="shared" si="76"/>
        <v>1</v>
      </c>
      <c r="H317" s="4">
        <f t="shared" si="86"/>
        <v>45814</v>
      </c>
      <c r="I317" t="s">
        <v>649</v>
      </c>
      <c r="J317" t="s">
        <v>657</v>
      </c>
      <c r="K317" t="s">
        <v>690</v>
      </c>
      <c r="L317" t="s">
        <v>704</v>
      </c>
      <c r="M317" t="s">
        <v>710</v>
      </c>
      <c r="N317" t="s">
        <v>715</v>
      </c>
      <c r="O317" t="s">
        <v>727</v>
      </c>
      <c r="P317" t="str" cm="1">
        <f t="array" ref="P317">_xlfn.IFS(S317&lt;=PERCENTILE($S$2:$S$1000, 0.33), "Low", S317&lt;=PERCENTILE($S$2:$S$1000, 0.66), "Medium", TRUE, "High")</f>
        <v>Low</v>
      </c>
      <c r="Q317" t="s">
        <v>1049</v>
      </c>
      <c r="R317" s="10">
        <v>379.45</v>
      </c>
      <c r="S317" s="10">
        <v>742.23</v>
      </c>
      <c r="T317" s="8">
        <v>0.09</v>
      </c>
      <c r="U317" s="12">
        <f t="shared" si="87"/>
        <v>0</v>
      </c>
      <c r="V317" s="6">
        <v>13</v>
      </c>
      <c r="W317" t="str">
        <f t="shared" si="77"/>
        <v>ok</v>
      </c>
      <c r="X317">
        <f t="shared" si="78"/>
        <v>5</v>
      </c>
      <c r="Y317">
        <f t="shared" si="88"/>
        <v>5</v>
      </c>
      <c r="Z317" s="10">
        <f t="shared" si="89"/>
        <v>8780.5809000000008</v>
      </c>
      <c r="AA317" s="10">
        <f t="shared" si="90"/>
        <v>4932.8499999999995</v>
      </c>
      <c r="AB317" s="10">
        <f t="shared" si="91"/>
        <v>3847.7309000000014</v>
      </c>
      <c r="AC317" s="10">
        <f t="shared" si="79"/>
        <v>606.37750000000005</v>
      </c>
      <c r="AD317" s="10">
        <f t="shared" si="80"/>
        <v>1193.865</v>
      </c>
      <c r="AE317" s="10">
        <f t="shared" si="81"/>
        <v>1912.0450000000001</v>
      </c>
      <c r="AF317" s="10" t="str">
        <f t="shared" si="82"/>
        <v>Medium</v>
      </c>
      <c r="AG317" s="6">
        <f t="shared" si="92"/>
        <v>0.43820915083192286</v>
      </c>
      <c r="AH317" s="4">
        <f t="shared" si="93"/>
        <v>44955</v>
      </c>
      <c r="AI317" t="str">
        <f t="shared" si="94"/>
        <v>Jan-2023</v>
      </c>
    </row>
    <row r="318" spans="1:35" x14ac:dyDescent="0.25">
      <c r="A318" t="s">
        <v>330</v>
      </c>
      <c r="B318" s="4">
        <v>45052</v>
      </c>
      <c r="C318" s="4" t="str">
        <f t="shared" si="83"/>
        <v>Q2-2023</v>
      </c>
      <c r="D318" s="4" t="str">
        <f t="shared" si="84"/>
        <v>May-2023</v>
      </c>
      <c r="E318" s="4">
        <v>45060</v>
      </c>
      <c r="F318" s="12">
        <f t="shared" si="85"/>
        <v>8</v>
      </c>
      <c r="G318" s="12">
        <f t="shared" si="76"/>
        <v>0</v>
      </c>
      <c r="H318" s="4">
        <f t="shared" si="86"/>
        <v>45060</v>
      </c>
      <c r="I318" t="s">
        <v>647</v>
      </c>
      <c r="J318" t="s">
        <v>652</v>
      </c>
      <c r="K318" t="s">
        <v>666</v>
      </c>
      <c r="L318" t="s">
        <v>706</v>
      </c>
      <c r="M318" t="s">
        <v>709</v>
      </c>
      <c r="N318" t="s">
        <v>717</v>
      </c>
      <c r="O318" t="s">
        <v>730</v>
      </c>
      <c r="P318" t="str" cm="1">
        <f t="array" ref="P318">_xlfn.IFS(S318&lt;=PERCENTILE($S$2:$S$1000, 0.33), "Low", S318&lt;=PERCENTILE($S$2:$S$1000, 0.66), "Medium", TRUE, "High")</f>
        <v>Low</v>
      </c>
      <c r="Q318" t="s">
        <v>1050</v>
      </c>
      <c r="R318" s="10">
        <v>291.18</v>
      </c>
      <c r="S318" s="10">
        <v>479.54</v>
      </c>
      <c r="T318" s="8">
        <v>0.14099999999999999</v>
      </c>
      <c r="U318" s="12">
        <f t="shared" si="87"/>
        <v>0</v>
      </c>
      <c r="V318" s="6">
        <v>22</v>
      </c>
      <c r="W318" t="str">
        <f t="shared" si="77"/>
        <v>ok</v>
      </c>
      <c r="X318">
        <f t="shared" si="78"/>
        <v>8</v>
      </c>
      <c r="Y318">
        <f t="shared" si="88"/>
        <v>8</v>
      </c>
      <c r="Z318" s="10">
        <f t="shared" si="89"/>
        <v>9062.34692</v>
      </c>
      <c r="AA318" s="10">
        <f t="shared" si="90"/>
        <v>6405.96</v>
      </c>
      <c r="AB318" s="10">
        <f t="shared" si="91"/>
        <v>2656.3869199999999</v>
      </c>
      <c r="AC318" s="10">
        <f t="shared" si="79"/>
        <v>606.37750000000005</v>
      </c>
      <c r="AD318" s="10">
        <f t="shared" si="80"/>
        <v>1193.865</v>
      </c>
      <c r="AE318" s="10">
        <f t="shared" si="81"/>
        <v>1912.0450000000001</v>
      </c>
      <c r="AF318" s="10" t="str">
        <f t="shared" si="82"/>
        <v>Medium</v>
      </c>
      <c r="AG318" s="6">
        <f t="shared" si="92"/>
        <v>0.29312350801066001</v>
      </c>
      <c r="AH318" s="4">
        <f t="shared" si="93"/>
        <v>44955</v>
      </c>
      <c r="AI318" t="str">
        <f t="shared" si="94"/>
        <v>Jan-2023</v>
      </c>
    </row>
    <row r="319" spans="1:35" x14ac:dyDescent="0.25">
      <c r="A319" t="s">
        <v>331</v>
      </c>
      <c r="B319" s="4">
        <v>45244</v>
      </c>
      <c r="C319" s="4" t="str">
        <f t="shared" si="83"/>
        <v>Q4-2023</v>
      </c>
      <c r="D319" s="4" t="str">
        <f t="shared" si="84"/>
        <v>Nov-2023</v>
      </c>
      <c r="E319" s="4">
        <v>45260</v>
      </c>
      <c r="F319" s="12">
        <f t="shared" si="85"/>
        <v>16</v>
      </c>
      <c r="G319" s="12">
        <f t="shared" si="76"/>
        <v>0</v>
      </c>
      <c r="H319" s="4">
        <f t="shared" si="86"/>
        <v>45260</v>
      </c>
      <c r="I319" t="s">
        <v>648</v>
      </c>
      <c r="J319" t="s">
        <v>655</v>
      </c>
      <c r="K319" t="s">
        <v>670</v>
      </c>
      <c r="L319" t="s">
        <v>706</v>
      </c>
      <c r="M319" t="s">
        <v>711</v>
      </c>
      <c r="N319" t="s">
        <v>723</v>
      </c>
      <c r="O319" t="s">
        <v>729</v>
      </c>
      <c r="P319" t="str" cm="1">
        <f t="array" ref="P319">_xlfn.IFS(S319&lt;=PERCENTILE($S$2:$S$1000, 0.33), "Low", S319&lt;=PERCENTILE($S$2:$S$1000, 0.66), "Medium", TRUE, "High")</f>
        <v>Medium</v>
      </c>
      <c r="Q319" t="s">
        <v>1051</v>
      </c>
      <c r="R319" s="10">
        <v>1017.92</v>
      </c>
      <c r="S319" s="10">
        <v>1175.25</v>
      </c>
      <c r="T319" s="8">
        <v>7.4999999999999997E-2</v>
      </c>
      <c r="U319" s="12">
        <f t="shared" si="87"/>
        <v>0</v>
      </c>
      <c r="V319" s="6">
        <v>15</v>
      </c>
      <c r="W319" t="str">
        <f t="shared" si="77"/>
        <v>ok</v>
      </c>
      <c r="X319">
        <f t="shared" si="78"/>
        <v>16</v>
      </c>
      <c r="Y319">
        <f t="shared" si="88"/>
        <v>16</v>
      </c>
      <c r="Z319" s="10">
        <f t="shared" si="89"/>
        <v>16306.59375</v>
      </c>
      <c r="AA319" s="10">
        <f t="shared" si="90"/>
        <v>15268.8</v>
      </c>
      <c r="AB319" s="10">
        <f t="shared" si="91"/>
        <v>1037.7937500000007</v>
      </c>
      <c r="AC319" s="10">
        <f t="shared" si="79"/>
        <v>606.37750000000005</v>
      </c>
      <c r="AD319" s="10">
        <f t="shared" si="80"/>
        <v>1193.865</v>
      </c>
      <c r="AE319" s="10">
        <f t="shared" si="81"/>
        <v>1912.0450000000001</v>
      </c>
      <c r="AF319" s="10" t="str">
        <f t="shared" si="82"/>
        <v>Low</v>
      </c>
      <c r="AG319" s="6">
        <f t="shared" si="92"/>
        <v>6.3642583234159542E-2</v>
      </c>
      <c r="AH319" s="4">
        <f t="shared" si="93"/>
        <v>44955</v>
      </c>
      <c r="AI319" t="str">
        <f t="shared" si="94"/>
        <v>Jan-2023</v>
      </c>
    </row>
    <row r="320" spans="1:35" x14ac:dyDescent="0.25">
      <c r="A320" t="s">
        <v>332</v>
      </c>
      <c r="B320" s="4">
        <v>45748</v>
      </c>
      <c r="C320" s="4" t="str">
        <f t="shared" si="83"/>
        <v>Q2-2025</v>
      </c>
      <c r="D320" s="4" t="str">
        <f t="shared" si="84"/>
        <v>Apr-2025</v>
      </c>
      <c r="E320" s="4">
        <v>45774</v>
      </c>
      <c r="F320" s="12">
        <f t="shared" si="85"/>
        <v>26</v>
      </c>
      <c r="G320" s="12">
        <f t="shared" si="76"/>
        <v>0</v>
      </c>
      <c r="H320" s="4">
        <f t="shared" si="86"/>
        <v>45774</v>
      </c>
      <c r="I320" t="s">
        <v>648</v>
      </c>
      <c r="J320" t="s">
        <v>660</v>
      </c>
      <c r="K320" t="s">
        <v>686</v>
      </c>
      <c r="L320" t="s">
        <v>701</v>
      </c>
      <c r="M320" t="s">
        <v>711</v>
      </c>
      <c r="N320" t="s">
        <v>714</v>
      </c>
      <c r="O320" t="s">
        <v>732</v>
      </c>
      <c r="P320" t="str" cm="1">
        <f t="array" ref="P320">_xlfn.IFS(S320&lt;=PERCENTILE($S$2:$S$1000, 0.33), "Low", S320&lt;=PERCENTILE($S$2:$S$1000, 0.66), "Medium", TRUE, "High")</f>
        <v>Low</v>
      </c>
      <c r="Q320" t="s">
        <v>1052</v>
      </c>
      <c r="R320" s="10">
        <v>156.55000000000001</v>
      </c>
      <c r="S320" s="10">
        <v>227.45</v>
      </c>
      <c r="T320" s="8">
        <v>1.4E-2</v>
      </c>
      <c r="U320" s="12">
        <f t="shared" si="87"/>
        <v>0</v>
      </c>
      <c r="V320" s="6">
        <v>13</v>
      </c>
      <c r="W320" t="str">
        <f t="shared" si="77"/>
        <v>ok</v>
      </c>
      <c r="X320">
        <f t="shared" si="78"/>
        <v>26</v>
      </c>
      <c r="Y320">
        <f t="shared" si="88"/>
        <v>26</v>
      </c>
      <c r="Z320" s="10">
        <f t="shared" si="89"/>
        <v>2915.4540999999999</v>
      </c>
      <c r="AA320" s="10">
        <f t="shared" si="90"/>
        <v>2035.15</v>
      </c>
      <c r="AB320" s="10">
        <f t="shared" si="91"/>
        <v>880.30409999999983</v>
      </c>
      <c r="AC320" s="10">
        <f t="shared" si="79"/>
        <v>606.37750000000005</v>
      </c>
      <c r="AD320" s="10">
        <f t="shared" si="80"/>
        <v>1193.865</v>
      </c>
      <c r="AE320" s="10">
        <f t="shared" si="81"/>
        <v>1912.0450000000001</v>
      </c>
      <c r="AF320" s="10" t="str">
        <f t="shared" si="82"/>
        <v>Medium</v>
      </c>
      <c r="AG320" s="6">
        <f t="shared" si="92"/>
        <v>0.3019440779396938</v>
      </c>
      <c r="AH320" s="4">
        <f t="shared" si="93"/>
        <v>44938</v>
      </c>
      <c r="AI320" t="str">
        <f t="shared" si="94"/>
        <v>Jan-2023</v>
      </c>
    </row>
    <row r="321" spans="1:35" x14ac:dyDescent="0.25">
      <c r="A321" t="s">
        <v>333</v>
      </c>
      <c r="B321" s="4">
        <v>45008</v>
      </c>
      <c r="C321" s="4" t="str">
        <f t="shared" si="83"/>
        <v>Q1-2023</v>
      </c>
      <c r="D321" s="4" t="str">
        <f t="shared" si="84"/>
        <v>Mar-2023</v>
      </c>
      <c r="E321" s="4">
        <v>45031</v>
      </c>
      <c r="F321" s="12">
        <f t="shared" si="85"/>
        <v>23</v>
      </c>
      <c r="G321" s="12">
        <f t="shared" si="76"/>
        <v>0</v>
      </c>
      <c r="H321" s="4">
        <f t="shared" si="86"/>
        <v>45031</v>
      </c>
      <c r="I321" t="s">
        <v>646</v>
      </c>
      <c r="J321" t="s">
        <v>650</v>
      </c>
      <c r="K321" t="s">
        <v>675</v>
      </c>
      <c r="L321" t="s">
        <v>705</v>
      </c>
      <c r="M321" t="s">
        <v>707</v>
      </c>
      <c r="N321" t="s">
        <v>712</v>
      </c>
      <c r="O321" t="s">
        <v>733</v>
      </c>
      <c r="P321" t="str" cm="1">
        <f t="array" ref="P321">_xlfn.IFS(S321&lt;=PERCENTILE($S$2:$S$1000, 0.33), "Low", S321&lt;=PERCENTILE($S$2:$S$1000, 0.66), "Medium", TRUE, "High")</f>
        <v>Medium</v>
      </c>
      <c r="Q321" t="s">
        <v>1053</v>
      </c>
      <c r="R321" s="10">
        <v>875.36</v>
      </c>
      <c r="S321" s="10">
        <v>1178.6199999999999</v>
      </c>
      <c r="T321" s="8">
        <v>0.151</v>
      </c>
      <c r="U321" s="12">
        <f t="shared" si="87"/>
        <v>0</v>
      </c>
      <c r="V321" s="6">
        <v>53</v>
      </c>
      <c r="W321" t="str">
        <f t="shared" si="77"/>
        <v>ok</v>
      </c>
      <c r="X321">
        <f t="shared" si="78"/>
        <v>23</v>
      </c>
      <c r="Y321">
        <f t="shared" si="88"/>
        <v>23</v>
      </c>
      <c r="Z321" s="10">
        <f t="shared" si="89"/>
        <v>53034.364139999991</v>
      </c>
      <c r="AA321" s="10">
        <f t="shared" si="90"/>
        <v>46394.080000000002</v>
      </c>
      <c r="AB321" s="10">
        <f t="shared" si="91"/>
        <v>6640.2841399999888</v>
      </c>
      <c r="AC321" s="10">
        <f t="shared" si="79"/>
        <v>606.37750000000005</v>
      </c>
      <c r="AD321" s="10">
        <f t="shared" si="80"/>
        <v>1193.865</v>
      </c>
      <c r="AE321" s="10">
        <f t="shared" si="81"/>
        <v>1912.0450000000001</v>
      </c>
      <c r="AF321" s="10" t="str">
        <f t="shared" si="82"/>
        <v>Low</v>
      </c>
      <c r="AG321" s="6">
        <f t="shared" si="92"/>
        <v>0.12520719815685888</v>
      </c>
      <c r="AH321" s="4">
        <f t="shared" si="93"/>
        <v>44945</v>
      </c>
      <c r="AI321" t="str">
        <f t="shared" si="94"/>
        <v>Jan-2023</v>
      </c>
    </row>
    <row r="322" spans="1:35" x14ac:dyDescent="0.25">
      <c r="A322" t="s">
        <v>334</v>
      </c>
      <c r="B322" s="4">
        <v>45440</v>
      </c>
      <c r="C322" s="4" t="str">
        <f t="shared" si="83"/>
        <v>Q2-2024</v>
      </c>
      <c r="D322" s="4" t="str">
        <f t="shared" si="84"/>
        <v>May-2024</v>
      </c>
      <c r="E322" s="4">
        <v>45461</v>
      </c>
      <c r="F322" s="12">
        <f t="shared" si="85"/>
        <v>21</v>
      </c>
      <c r="G322" s="12">
        <f t="shared" ref="G322:G385" si="95">IF(F322&lt;=7, 1, 0)</f>
        <v>0</v>
      </c>
      <c r="H322" s="4">
        <f t="shared" si="86"/>
        <v>45461</v>
      </c>
      <c r="I322" t="s">
        <v>649</v>
      </c>
      <c r="J322" t="s">
        <v>656</v>
      </c>
      <c r="K322" t="s">
        <v>698</v>
      </c>
      <c r="L322" t="s">
        <v>705</v>
      </c>
      <c r="M322" t="s">
        <v>708</v>
      </c>
      <c r="N322" t="s">
        <v>718</v>
      </c>
      <c r="O322" t="s">
        <v>730</v>
      </c>
      <c r="P322" t="str" cm="1">
        <f t="array" ref="P322">_xlfn.IFS(S322&lt;=PERCENTILE($S$2:$S$1000, 0.33), "Low", S322&lt;=PERCENTILE($S$2:$S$1000, 0.66), "Medium", TRUE, "High")</f>
        <v>High</v>
      </c>
      <c r="Q322" t="s">
        <v>1054</v>
      </c>
      <c r="R322" s="10">
        <v>986.85</v>
      </c>
      <c r="S322" s="10">
        <v>2422.1</v>
      </c>
      <c r="T322" s="8">
        <v>7.5999999999999998E-2</v>
      </c>
      <c r="U322" s="12">
        <f t="shared" si="87"/>
        <v>0</v>
      </c>
      <c r="V322" s="6">
        <v>10</v>
      </c>
      <c r="W322" t="str">
        <f t="shared" ref="W322:W385" si="96">IF(E322&gt;B322, "ok", "sus")</f>
        <v>ok</v>
      </c>
      <c r="X322">
        <f t="shared" ref="X322:X385" si="97">E322-B322</f>
        <v>21</v>
      </c>
      <c r="Y322">
        <f t="shared" si="88"/>
        <v>21</v>
      </c>
      <c r="Z322" s="10">
        <f t="shared" si="89"/>
        <v>22380.204000000002</v>
      </c>
      <c r="AA322" s="10">
        <f t="shared" si="90"/>
        <v>9868.5</v>
      </c>
      <c r="AB322" s="10">
        <f t="shared" si="91"/>
        <v>12511.704000000002</v>
      </c>
      <c r="AC322" s="10">
        <f t="shared" ref="AC322:AC385" si="98">_xlfn.QUARTILE.INC(S:S,1)</f>
        <v>606.37750000000005</v>
      </c>
      <c r="AD322" s="10">
        <f t="shared" ref="AD322:AD385" si="99">_xlfn.QUARTILE.INC(S:S,2)</f>
        <v>1193.865</v>
      </c>
      <c r="AE322" s="10">
        <f t="shared" ref="AE322:AE385" si="100">_xlfn.QUARTILE.INC(S:S,3)</f>
        <v>1912.0450000000001</v>
      </c>
      <c r="AF322" s="10" t="str">
        <f t="shared" ref="AF322:AF385" si="101">IF(S321&lt;=$AC$2,"Low",
 IF(S321&lt;=$AE$3,"Medium",
 "High"))</f>
        <v>Medium</v>
      </c>
      <c r="AG322" s="6">
        <f t="shared" si="92"/>
        <v>0.55905227673527913</v>
      </c>
      <c r="AH322" s="4">
        <f t="shared" si="93"/>
        <v>44939</v>
      </c>
      <c r="AI322" t="str">
        <f t="shared" si="94"/>
        <v>Jan-2023</v>
      </c>
    </row>
    <row r="323" spans="1:35" x14ac:dyDescent="0.25">
      <c r="A323" t="s">
        <v>335</v>
      </c>
      <c r="B323" s="4">
        <v>45293</v>
      </c>
      <c r="C323" s="4" t="str">
        <f t="shared" ref="C323:C386" si="102">"Q" &amp; ROUNDUP(MONTH(B323)/3,0) &amp; "-" &amp; YEAR(B323)</f>
        <v>Q1-2024</v>
      </c>
      <c r="D323" s="4" t="str">
        <f t="shared" ref="D323:D386" si="103">TEXT(B323,"MMM-YYYY")</f>
        <v>Jan-2024</v>
      </c>
      <c r="E323" s="4">
        <v>45292</v>
      </c>
      <c r="F323" s="12">
        <f t="shared" ref="F323:F386" si="104">H323-B323</f>
        <v>14</v>
      </c>
      <c r="G323" s="12">
        <f t="shared" si="95"/>
        <v>0</v>
      </c>
      <c r="H323" s="4">
        <f t="shared" ref="H323:H386" si="105">IF(E323&lt;B323,B323+14,E323)</f>
        <v>45307</v>
      </c>
      <c r="I323" t="s">
        <v>648</v>
      </c>
      <c r="J323" t="s">
        <v>660</v>
      </c>
      <c r="K323" t="s">
        <v>677</v>
      </c>
      <c r="L323" t="s">
        <v>702</v>
      </c>
      <c r="M323" t="s">
        <v>709</v>
      </c>
      <c r="N323" t="s">
        <v>717</v>
      </c>
      <c r="O323" t="s">
        <v>729</v>
      </c>
      <c r="P323" t="str" cm="1">
        <f t="array" ref="P323">_xlfn.IFS(S323&lt;=PERCENTILE($S$2:$S$1000, 0.33), "Low", S323&lt;=PERCENTILE($S$2:$S$1000, 0.66), "Medium", TRUE, "High")</f>
        <v>Low</v>
      </c>
      <c r="Q323" t="s">
        <v>1055</v>
      </c>
      <c r="R323" s="10">
        <v>404.77</v>
      </c>
      <c r="S323" s="10">
        <v>433.88</v>
      </c>
      <c r="T323" s="8">
        <v>0.215</v>
      </c>
      <c r="U323" s="12">
        <f t="shared" ref="U323:U386" si="106">IF(T323&gt;0.2,1,0)</f>
        <v>1</v>
      </c>
      <c r="V323" s="6">
        <v>22</v>
      </c>
      <c r="W323" t="str">
        <f t="shared" si="96"/>
        <v>sus</v>
      </c>
      <c r="X323">
        <f t="shared" si="97"/>
        <v>-1</v>
      </c>
      <c r="Y323">
        <f t="shared" ref="Y323:Y386" si="107">ABS(X323)</f>
        <v>1</v>
      </c>
      <c r="Z323" s="10">
        <f t="shared" ref="Z323:Z386" si="108">S323*V323*(1-T323)</f>
        <v>7493.1076000000012</v>
      </c>
      <c r="AA323" s="10">
        <f t="shared" ref="AA323:AA386" si="109">R323*V323</f>
        <v>8904.9399999999987</v>
      </c>
      <c r="AB323" s="10">
        <f t="shared" ref="AB323:AB386" si="110">Z323-AA323</f>
        <v>-1411.8323999999975</v>
      </c>
      <c r="AC323" s="10">
        <f t="shared" si="98"/>
        <v>606.37750000000005</v>
      </c>
      <c r="AD323" s="10">
        <f t="shared" si="99"/>
        <v>1193.865</v>
      </c>
      <c r="AE323" s="10">
        <f t="shared" si="100"/>
        <v>1912.0450000000001</v>
      </c>
      <c r="AF323" s="10" t="str">
        <f t="shared" si="101"/>
        <v>High</v>
      </c>
      <c r="AG323" s="6">
        <f t="shared" ref="AG323:AG386" si="111">IF(Z323=0,0,AB323/Z323)</f>
        <v>-0.18841747314558746</v>
      </c>
      <c r="AH323" s="4">
        <f t="shared" ref="AH323:AH386" si="112">_xlfn.MINIFS($B:$B,$J:$J,J195)</f>
        <v>44938</v>
      </c>
      <c r="AI323" t="str">
        <f t="shared" ref="AI323:AI386" si="113">TEXT(AH323,"MMM-YYYY")</f>
        <v>Jan-2023</v>
      </c>
    </row>
    <row r="324" spans="1:35" x14ac:dyDescent="0.25">
      <c r="A324" t="s">
        <v>336</v>
      </c>
      <c r="B324" s="4">
        <v>44985</v>
      </c>
      <c r="C324" s="4" t="str">
        <f t="shared" si="102"/>
        <v>Q1-2023</v>
      </c>
      <c r="D324" s="4" t="str">
        <f t="shared" si="103"/>
        <v>Feb-2023</v>
      </c>
      <c r="E324" s="4">
        <v>44984</v>
      </c>
      <c r="F324" s="12">
        <f t="shared" si="104"/>
        <v>14</v>
      </c>
      <c r="G324" s="12">
        <f t="shared" si="95"/>
        <v>0</v>
      </c>
      <c r="H324" s="4">
        <f t="shared" si="105"/>
        <v>44999</v>
      </c>
      <c r="I324" t="s">
        <v>649</v>
      </c>
      <c r="J324" t="s">
        <v>657</v>
      </c>
      <c r="K324" t="s">
        <v>673</v>
      </c>
      <c r="L324" t="s">
        <v>701</v>
      </c>
      <c r="M324" t="s">
        <v>707</v>
      </c>
      <c r="N324" t="s">
        <v>723</v>
      </c>
      <c r="O324" t="s">
        <v>729</v>
      </c>
      <c r="P324" t="str" cm="1">
        <f t="array" ref="P324">_xlfn.IFS(S324&lt;=PERCENTILE($S$2:$S$1000, 0.33), "Low", S324&lt;=PERCENTILE($S$2:$S$1000, 0.66), "Medium", TRUE, "High")</f>
        <v>High</v>
      </c>
      <c r="Q324" t="s">
        <v>1056</v>
      </c>
      <c r="R324" s="10">
        <v>1299.81</v>
      </c>
      <c r="S324" s="10">
        <v>3149.13</v>
      </c>
      <c r="T324" s="8">
        <v>0.10299999999999999</v>
      </c>
      <c r="U324" s="12">
        <f t="shared" si="106"/>
        <v>0</v>
      </c>
      <c r="V324" s="6">
        <v>14</v>
      </c>
      <c r="W324" t="str">
        <f t="shared" si="96"/>
        <v>sus</v>
      </c>
      <c r="X324">
        <f t="shared" si="97"/>
        <v>-1</v>
      </c>
      <c r="Y324">
        <f t="shared" si="107"/>
        <v>1</v>
      </c>
      <c r="Z324" s="10">
        <f t="shared" si="108"/>
        <v>39546.774539999999</v>
      </c>
      <c r="AA324" s="10">
        <f t="shared" si="109"/>
        <v>18197.34</v>
      </c>
      <c r="AB324" s="10">
        <f t="shared" si="110"/>
        <v>21349.434539999998</v>
      </c>
      <c r="AC324" s="10">
        <f t="shared" si="98"/>
        <v>606.37750000000005</v>
      </c>
      <c r="AD324" s="10">
        <f t="shared" si="99"/>
        <v>1193.865</v>
      </c>
      <c r="AE324" s="10">
        <f t="shared" si="100"/>
        <v>1912.0450000000001</v>
      </c>
      <c r="AF324" s="10" t="str">
        <f t="shared" si="101"/>
        <v>Low</v>
      </c>
      <c r="AG324" s="6">
        <f t="shared" si="111"/>
        <v>0.53985273864511729</v>
      </c>
      <c r="AH324" s="4">
        <f t="shared" si="112"/>
        <v>44939</v>
      </c>
      <c r="AI324" t="str">
        <f t="shared" si="113"/>
        <v>Jan-2023</v>
      </c>
    </row>
    <row r="325" spans="1:35" x14ac:dyDescent="0.25">
      <c r="A325" t="s">
        <v>337</v>
      </c>
      <c r="B325" s="4">
        <v>45340</v>
      </c>
      <c r="C325" s="4" t="str">
        <f t="shared" si="102"/>
        <v>Q1-2024</v>
      </c>
      <c r="D325" s="4" t="str">
        <f t="shared" si="103"/>
        <v>Feb-2024</v>
      </c>
      <c r="E325" s="4">
        <v>45362</v>
      </c>
      <c r="F325" s="12">
        <f t="shared" si="104"/>
        <v>22</v>
      </c>
      <c r="G325" s="12">
        <f t="shared" si="95"/>
        <v>0</v>
      </c>
      <c r="H325" s="4">
        <f t="shared" si="105"/>
        <v>45362</v>
      </c>
      <c r="I325" t="s">
        <v>648</v>
      </c>
      <c r="J325" t="s">
        <v>655</v>
      </c>
      <c r="K325" t="s">
        <v>670</v>
      </c>
      <c r="L325" t="s">
        <v>704</v>
      </c>
      <c r="M325" t="s">
        <v>708</v>
      </c>
      <c r="N325" t="s">
        <v>720</v>
      </c>
      <c r="O325" t="s">
        <v>727</v>
      </c>
      <c r="P325" t="str" cm="1">
        <f t="array" ref="P325">_xlfn.IFS(S325&lt;=PERCENTILE($S$2:$S$1000, 0.33), "Low", S325&lt;=PERCENTILE($S$2:$S$1000, 0.66), "Medium", TRUE, "High")</f>
        <v>Low</v>
      </c>
      <c r="Q325" t="s">
        <v>1057</v>
      </c>
      <c r="R325" s="10">
        <v>80.48</v>
      </c>
      <c r="S325" s="10">
        <v>65.650000000000006</v>
      </c>
      <c r="T325" s="8">
        <v>0.17599999999999999</v>
      </c>
      <c r="U325" s="12">
        <f t="shared" si="106"/>
        <v>0</v>
      </c>
      <c r="V325" s="6">
        <v>13</v>
      </c>
      <c r="W325" t="str">
        <f t="shared" si="96"/>
        <v>ok</v>
      </c>
      <c r="X325">
        <f t="shared" si="97"/>
        <v>22</v>
      </c>
      <c r="Y325">
        <f t="shared" si="107"/>
        <v>22</v>
      </c>
      <c r="Z325" s="10">
        <f t="shared" si="108"/>
        <v>703.2428000000001</v>
      </c>
      <c r="AA325" s="10">
        <f t="shared" si="109"/>
        <v>1046.24</v>
      </c>
      <c r="AB325" s="10">
        <f t="shared" si="110"/>
        <v>-342.99719999999991</v>
      </c>
      <c r="AC325" s="10">
        <f t="shared" si="98"/>
        <v>606.37750000000005</v>
      </c>
      <c r="AD325" s="10">
        <f t="shared" si="99"/>
        <v>1193.865</v>
      </c>
      <c r="AE325" s="10">
        <f t="shared" si="100"/>
        <v>1912.0450000000001</v>
      </c>
      <c r="AF325" s="10" t="str">
        <f t="shared" si="101"/>
        <v>High</v>
      </c>
      <c r="AG325" s="6">
        <f t="shared" si="111"/>
        <v>-0.48773652570634191</v>
      </c>
      <c r="AH325" s="4">
        <f t="shared" si="112"/>
        <v>44955</v>
      </c>
      <c r="AI325" t="str">
        <f t="shared" si="113"/>
        <v>Jan-2023</v>
      </c>
    </row>
    <row r="326" spans="1:35" x14ac:dyDescent="0.25">
      <c r="A326" t="s">
        <v>338</v>
      </c>
      <c r="B326" s="4">
        <v>45544</v>
      </c>
      <c r="C326" s="4" t="str">
        <f t="shared" si="102"/>
        <v>Q3-2024</v>
      </c>
      <c r="D326" s="4" t="str">
        <f t="shared" si="103"/>
        <v>Sept-2024</v>
      </c>
      <c r="E326" s="4">
        <v>45573</v>
      </c>
      <c r="F326" s="12">
        <f t="shared" si="104"/>
        <v>29</v>
      </c>
      <c r="G326" s="12">
        <f t="shared" si="95"/>
        <v>0</v>
      </c>
      <c r="H326" s="4">
        <f t="shared" si="105"/>
        <v>45573</v>
      </c>
      <c r="I326" t="s">
        <v>648</v>
      </c>
      <c r="J326" t="s">
        <v>655</v>
      </c>
      <c r="K326" t="s">
        <v>670</v>
      </c>
      <c r="L326" t="s">
        <v>702</v>
      </c>
      <c r="M326" t="s">
        <v>711</v>
      </c>
      <c r="N326" t="s">
        <v>713</v>
      </c>
      <c r="O326" t="s">
        <v>727</v>
      </c>
      <c r="P326" t="str" cm="1">
        <f t="array" ref="P326">_xlfn.IFS(S326&lt;=PERCENTILE($S$2:$S$1000, 0.33), "Low", S326&lt;=PERCENTILE($S$2:$S$1000, 0.66), "Medium", TRUE, "High")</f>
        <v>High</v>
      </c>
      <c r="Q326" t="s">
        <v>1058</v>
      </c>
      <c r="R326" s="10">
        <v>1010.33</v>
      </c>
      <c r="S326" s="10">
        <v>2492.14</v>
      </c>
      <c r="T326" s="8">
        <v>5.0999999999999997E-2</v>
      </c>
      <c r="U326" s="12">
        <f t="shared" si="106"/>
        <v>0</v>
      </c>
      <c r="V326" s="6">
        <v>11</v>
      </c>
      <c r="W326" t="str">
        <f t="shared" si="96"/>
        <v>ok</v>
      </c>
      <c r="X326">
        <f t="shared" si="97"/>
        <v>29</v>
      </c>
      <c r="Y326">
        <f t="shared" si="107"/>
        <v>29</v>
      </c>
      <c r="Z326" s="10">
        <f t="shared" si="108"/>
        <v>26015.449459999996</v>
      </c>
      <c r="AA326" s="10">
        <f t="shared" si="109"/>
        <v>11113.630000000001</v>
      </c>
      <c r="AB326" s="10">
        <f t="shared" si="110"/>
        <v>14901.819459999995</v>
      </c>
      <c r="AC326" s="10">
        <f t="shared" si="98"/>
        <v>606.37750000000005</v>
      </c>
      <c r="AD326" s="10">
        <f t="shared" si="99"/>
        <v>1193.865</v>
      </c>
      <c r="AE326" s="10">
        <f t="shared" si="100"/>
        <v>1912.0450000000001</v>
      </c>
      <c r="AF326" s="10" t="str">
        <f t="shared" si="101"/>
        <v>Low</v>
      </c>
      <c r="AG326" s="6">
        <f t="shared" si="111"/>
        <v>0.57280653493656752</v>
      </c>
      <c r="AH326" s="4">
        <f t="shared" si="112"/>
        <v>44988</v>
      </c>
      <c r="AI326" t="str">
        <f t="shared" si="113"/>
        <v>Mar-2023</v>
      </c>
    </row>
    <row r="327" spans="1:35" x14ac:dyDescent="0.25">
      <c r="A327" t="s">
        <v>339</v>
      </c>
      <c r="B327" s="4">
        <v>45053</v>
      </c>
      <c r="C327" s="4" t="str">
        <f t="shared" si="102"/>
        <v>Q2-2023</v>
      </c>
      <c r="D327" s="4" t="str">
        <f t="shared" si="103"/>
        <v>May-2023</v>
      </c>
      <c r="E327" s="4">
        <v>45075</v>
      </c>
      <c r="F327" s="12">
        <f t="shared" si="104"/>
        <v>22</v>
      </c>
      <c r="G327" s="12">
        <f t="shared" si="95"/>
        <v>0</v>
      </c>
      <c r="H327" s="4">
        <f t="shared" si="105"/>
        <v>45075</v>
      </c>
      <c r="I327" t="s">
        <v>646</v>
      </c>
      <c r="J327" t="s">
        <v>661</v>
      </c>
      <c r="K327" t="s">
        <v>687</v>
      </c>
      <c r="L327" t="s">
        <v>702</v>
      </c>
      <c r="M327" t="s">
        <v>710</v>
      </c>
      <c r="N327" t="s">
        <v>723</v>
      </c>
      <c r="O327" t="s">
        <v>733</v>
      </c>
      <c r="P327" t="str" cm="1">
        <f t="array" ref="P327">_xlfn.IFS(S327&lt;=PERCENTILE($S$2:$S$1000, 0.33), "Low", S327&lt;=PERCENTILE($S$2:$S$1000, 0.66), "Medium", TRUE, "High")</f>
        <v>Medium</v>
      </c>
      <c r="Q327" t="s">
        <v>1059</v>
      </c>
      <c r="R327" s="10">
        <v>653.86</v>
      </c>
      <c r="S327" s="10">
        <v>931.84</v>
      </c>
      <c r="T327" s="8">
        <v>0.121</v>
      </c>
      <c r="U327" s="12">
        <f t="shared" si="106"/>
        <v>0</v>
      </c>
      <c r="V327" s="6">
        <v>12</v>
      </c>
      <c r="W327" t="str">
        <f t="shared" si="96"/>
        <v>ok</v>
      </c>
      <c r="X327">
        <f t="shared" si="97"/>
        <v>22</v>
      </c>
      <c r="Y327">
        <f t="shared" si="107"/>
        <v>22</v>
      </c>
      <c r="Z327" s="10">
        <f t="shared" si="108"/>
        <v>9829.0483199999999</v>
      </c>
      <c r="AA327" s="10">
        <f t="shared" si="109"/>
        <v>7846.32</v>
      </c>
      <c r="AB327" s="10">
        <f t="shared" si="110"/>
        <v>1982.7283200000002</v>
      </c>
      <c r="AC327" s="10">
        <f t="shared" si="98"/>
        <v>606.37750000000005</v>
      </c>
      <c r="AD327" s="10">
        <f t="shared" si="99"/>
        <v>1193.865</v>
      </c>
      <c r="AE327" s="10">
        <f t="shared" si="100"/>
        <v>1912.0450000000001</v>
      </c>
      <c r="AF327" s="10" t="str">
        <f t="shared" si="101"/>
        <v>High</v>
      </c>
      <c r="AG327" s="6">
        <f t="shared" si="111"/>
        <v>0.20172129136506273</v>
      </c>
      <c r="AH327" s="4">
        <f t="shared" si="112"/>
        <v>44946</v>
      </c>
      <c r="AI327" t="str">
        <f t="shared" si="113"/>
        <v>Jan-2023</v>
      </c>
    </row>
    <row r="328" spans="1:35" x14ac:dyDescent="0.25">
      <c r="A328" t="s">
        <v>340</v>
      </c>
      <c r="B328" s="4">
        <v>45303</v>
      </c>
      <c r="C328" s="4" t="str">
        <f t="shared" si="102"/>
        <v>Q1-2024</v>
      </c>
      <c r="D328" s="4" t="str">
        <f t="shared" si="103"/>
        <v>Jan-2024</v>
      </c>
      <c r="E328" s="4">
        <v>45320</v>
      </c>
      <c r="F328" s="12">
        <f t="shared" si="104"/>
        <v>17</v>
      </c>
      <c r="G328" s="12">
        <f t="shared" si="95"/>
        <v>0</v>
      </c>
      <c r="H328" s="4">
        <f t="shared" si="105"/>
        <v>45320</v>
      </c>
      <c r="I328" t="s">
        <v>647</v>
      </c>
      <c r="J328" t="s">
        <v>654</v>
      </c>
      <c r="K328" t="s">
        <v>696</v>
      </c>
      <c r="L328" t="s">
        <v>705</v>
      </c>
      <c r="M328" t="s">
        <v>711</v>
      </c>
      <c r="N328" t="s">
        <v>717</v>
      </c>
      <c r="O328" t="s">
        <v>727</v>
      </c>
      <c r="P328" t="str" cm="1">
        <f t="array" ref="P328">_xlfn.IFS(S328&lt;=PERCENTILE($S$2:$S$1000, 0.33), "Low", S328&lt;=PERCENTILE($S$2:$S$1000, 0.66), "Medium", TRUE, "High")</f>
        <v>Low</v>
      </c>
      <c r="Q328" t="s">
        <v>1060</v>
      </c>
      <c r="R328" s="10">
        <v>310.02</v>
      </c>
      <c r="S328" s="10">
        <v>619.51</v>
      </c>
      <c r="T328" s="8">
        <v>4.2000000000000003E-2</v>
      </c>
      <c r="U328" s="12">
        <f t="shared" si="106"/>
        <v>0</v>
      </c>
      <c r="V328" s="6">
        <v>4</v>
      </c>
      <c r="W328" t="str">
        <f t="shared" si="96"/>
        <v>ok</v>
      </c>
      <c r="X328">
        <f t="shared" si="97"/>
        <v>17</v>
      </c>
      <c r="Y328">
        <f t="shared" si="107"/>
        <v>17</v>
      </c>
      <c r="Z328" s="10">
        <f t="shared" si="108"/>
        <v>2373.9623200000001</v>
      </c>
      <c r="AA328" s="10">
        <f t="shared" si="109"/>
        <v>1240.08</v>
      </c>
      <c r="AB328" s="10">
        <f t="shared" si="110"/>
        <v>1133.8823200000002</v>
      </c>
      <c r="AC328" s="10">
        <f t="shared" si="98"/>
        <v>606.37750000000005</v>
      </c>
      <c r="AD328" s="10">
        <f t="shared" si="99"/>
        <v>1193.865</v>
      </c>
      <c r="AE328" s="10">
        <f t="shared" si="100"/>
        <v>1912.0450000000001</v>
      </c>
      <c r="AF328" s="10" t="str">
        <f t="shared" si="101"/>
        <v>Medium</v>
      </c>
      <c r="AG328" s="6">
        <f t="shared" si="111"/>
        <v>0.47763282106347843</v>
      </c>
      <c r="AH328" s="4">
        <f t="shared" si="112"/>
        <v>44948</v>
      </c>
      <c r="AI328" t="str">
        <f t="shared" si="113"/>
        <v>Jan-2023</v>
      </c>
    </row>
    <row r="329" spans="1:35" x14ac:dyDescent="0.25">
      <c r="A329" t="s">
        <v>341</v>
      </c>
      <c r="B329" s="4">
        <v>45087</v>
      </c>
      <c r="C329" s="4" t="str">
        <f t="shared" si="102"/>
        <v>Q2-2023</v>
      </c>
      <c r="D329" s="4" t="str">
        <f t="shared" si="103"/>
        <v>Jun-2023</v>
      </c>
      <c r="E329" s="4">
        <v>45095</v>
      </c>
      <c r="F329" s="12">
        <f t="shared" si="104"/>
        <v>8</v>
      </c>
      <c r="G329" s="12">
        <f t="shared" si="95"/>
        <v>0</v>
      </c>
      <c r="H329" s="4">
        <f t="shared" si="105"/>
        <v>45095</v>
      </c>
      <c r="I329" t="s">
        <v>646</v>
      </c>
      <c r="J329" t="s">
        <v>650</v>
      </c>
      <c r="K329" t="s">
        <v>678</v>
      </c>
      <c r="L329" t="s">
        <v>706</v>
      </c>
      <c r="M329" t="s">
        <v>711</v>
      </c>
      <c r="N329" t="s">
        <v>722</v>
      </c>
      <c r="O329" t="s">
        <v>730</v>
      </c>
      <c r="P329" t="str" cm="1">
        <f t="array" ref="P329">_xlfn.IFS(S329&lt;=PERCENTILE($S$2:$S$1000, 0.33), "Low", S329&lt;=PERCENTILE($S$2:$S$1000, 0.66), "Medium", TRUE, "High")</f>
        <v>Medium</v>
      </c>
      <c r="Q329" t="s">
        <v>1061</v>
      </c>
      <c r="R329" s="10">
        <v>894.23</v>
      </c>
      <c r="S329" s="10">
        <v>1421.55</v>
      </c>
      <c r="T329" s="8">
        <v>0.109</v>
      </c>
      <c r="U329" s="12">
        <f t="shared" si="106"/>
        <v>0</v>
      </c>
      <c r="V329" s="6">
        <v>3</v>
      </c>
      <c r="W329" t="str">
        <f t="shared" si="96"/>
        <v>ok</v>
      </c>
      <c r="X329">
        <f t="shared" si="97"/>
        <v>8</v>
      </c>
      <c r="Y329">
        <f t="shared" si="107"/>
        <v>8</v>
      </c>
      <c r="Z329" s="10">
        <f t="shared" si="108"/>
        <v>3799.8031499999997</v>
      </c>
      <c r="AA329" s="10">
        <f t="shared" si="109"/>
        <v>2682.69</v>
      </c>
      <c r="AB329" s="10">
        <f t="shared" si="110"/>
        <v>1117.1131499999997</v>
      </c>
      <c r="AC329" s="10">
        <f t="shared" si="98"/>
        <v>606.37750000000005</v>
      </c>
      <c r="AD329" s="10">
        <f t="shared" si="99"/>
        <v>1193.865</v>
      </c>
      <c r="AE329" s="10">
        <f t="shared" si="100"/>
        <v>1912.0450000000001</v>
      </c>
      <c r="AF329" s="10" t="str">
        <f t="shared" si="101"/>
        <v>Medium</v>
      </c>
      <c r="AG329" s="6">
        <f t="shared" si="111"/>
        <v>0.29399237431549574</v>
      </c>
      <c r="AH329" s="4">
        <f t="shared" si="112"/>
        <v>44948</v>
      </c>
      <c r="AI329" t="str">
        <f t="shared" si="113"/>
        <v>Jan-2023</v>
      </c>
    </row>
    <row r="330" spans="1:35" x14ac:dyDescent="0.25">
      <c r="A330" t="s">
        <v>342</v>
      </c>
      <c r="B330" s="4">
        <v>45796</v>
      </c>
      <c r="C330" s="4" t="str">
        <f t="shared" si="102"/>
        <v>Q2-2025</v>
      </c>
      <c r="D330" s="4" t="str">
        <f t="shared" si="103"/>
        <v>May-2025</v>
      </c>
      <c r="E330" s="4">
        <v>45794</v>
      </c>
      <c r="F330" s="12">
        <f t="shared" si="104"/>
        <v>14</v>
      </c>
      <c r="G330" s="12">
        <f t="shared" si="95"/>
        <v>0</v>
      </c>
      <c r="H330" s="4">
        <f t="shared" si="105"/>
        <v>45810</v>
      </c>
      <c r="I330" t="s">
        <v>648</v>
      </c>
      <c r="J330" t="s">
        <v>655</v>
      </c>
      <c r="K330" t="s">
        <v>670</v>
      </c>
      <c r="L330" t="s">
        <v>705</v>
      </c>
      <c r="M330" t="s">
        <v>710</v>
      </c>
      <c r="N330" t="s">
        <v>716</v>
      </c>
      <c r="O330" t="s">
        <v>732</v>
      </c>
      <c r="P330" t="str" cm="1">
        <f t="array" ref="P330">_xlfn.IFS(S330&lt;=PERCENTILE($S$2:$S$1000, 0.33), "Low", S330&lt;=PERCENTILE($S$2:$S$1000, 0.66), "Medium", TRUE, "High")</f>
        <v>Medium</v>
      </c>
      <c r="Q330" t="s">
        <v>1062</v>
      </c>
      <c r="R330" s="10">
        <v>383.77</v>
      </c>
      <c r="S330" s="10">
        <v>952.56</v>
      </c>
      <c r="T330" s="8">
        <v>0.34599999999999997</v>
      </c>
      <c r="U330" s="12">
        <f t="shared" si="106"/>
        <v>1</v>
      </c>
      <c r="V330" s="6">
        <v>10</v>
      </c>
      <c r="W330" t="str">
        <f t="shared" si="96"/>
        <v>sus</v>
      </c>
      <c r="X330">
        <f t="shared" si="97"/>
        <v>-2</v>
      </c>
      <c r="Y330">
        <f t="shared" si="107"/>
        <v>2</v>
      </c>
      <c r="Z330" s="10">
        <f t="shared" si="108"/>
        <v>6229.7423999999992</v>
      </c>
      <c r="AA330" s="10">
        <f t="shared" si="109"/>
        <v>3837.7</v>
      </c>
      <c r="AB330" s="10">
        <f t="shared" si="110"/>
        <v>2392.0423999999994</v>
      </c>
      <c r="AC330" s="10">
        <f t="shared" si="98"/>
        <v>606.37750000000005</v>
      </c>
      <c r="AD330" s="10">
        <f t="shared" si="99"/>
        <v>1193.865</v>
      </c>
      <c r="AE330" s="10">
        <f t="shared" si="100"/>
        <v>1912.0450000000001</v>
      </c>
      <c r="AF330" s="10" t="str">
        <f t="shared" si="101"/>
        <v>Medium</v>
      </c>
      <c r="AG330" s="6">
        <f t="shared" si="111"/>
        <v>0.38397131797937578</v>
      </c>
      <c r="AH330" s="4">
        <f t="shared" si="112"/>
        <v>44939</v>
      </c>
      <c r="AI330" t="str">
        <f t="shared" si="113"/>
        <v>Jan-2023</v>
      </c>
    </row>
    <row r="331" spans="1:35" x14ac:dyDescent="0.25">
      <c r="A331" t="s">
        <v>343</v>
      </c>
      <c r="B331" s="4">
        <v>45221</v>
      </c>
      <c r="C331" s="4" t="str">
        <f t="shared" si="102"/>
        <v>Q4-2023</v>
      </c>
      <c r="D331" s="4" t="str">
        <f t="shared" si="103"/>
        <v>Oct-2023</v>
      </c>
      <c r="E331" s="4">
        <v>45246</v>
      </c>
      <c r="F331" s="12">
        <f t="shared" si="104"/>
        <v>25</v>
      </c>
      <c r="G331" s="12">
        <f t="shared" si="95"/>
        <v>0</v>
      </c>
      <c r="H331" s="4">
        <f t="shared" si="105"/>
        <v>45246</v>
      </c>
      <c r="I331" t="s">
        <v>648</v>
      </c>
      <c r="J331" t="s">
        <v>653</v>
      </c>
      <c r="K331" t="s">
        <v>667</v>
      </c>
      <c r="L331" t="s">
        <v>705</v>
      </c>
      <c r="M331" t="s">
        <v>709</v>
      </c>
      <c r="N331" t="s">
        <v>714</v>
      </c>
      <c r="O331" t="s">
        <v>731</v>
      </c>
      <c r="P331" t="str" cm="1">
        <f t="array" ref="P331">_xlfn.IFS(S331&lt;=PERCENTILE($S$2:$S$1000, 0.33), "Low", S331&lt;=PERCENTILE($S$2:$S$1000, 0.66), "Medium", TRUE, "High")</f>
        <v>High</v>
      </c>
      <c r="Q331" t="s">
        <v>1063</v>
      </c>
      <c r="R331" s="10">
        <v>1373.31</v>
      </c>
      <c r="S331" s="10">
        <v>3154.14</v>
      </c>
      <c r="T331" s="8">
        <v>0.2</v>
      </c>
      <c r="U331" s="12">
        <f t="shared" si="106"/>
        <v>0</v>
      </c>
      <c r="V331" s="6">
        <v>11</v>
      </c>
      <c r="W331" t="str">
        <f t="shared" si="96"/>
        <v>ok</v>
      </c>
      <c r="X331">
        <f t="shared" si="97"/>
        <v>25</v>
      </c>
      <c r="Y331">
        <f t="shared" si="107"/>
        <v>25</v>
      </c>
      <c r="Z331" s="10">
        <f t="shared" si="108"/>
        <v>27756.432000000001</v>
      </c>
      <c r="AA331" s="10">
        <f t="shared" si="109"/>
        <v>15106.41</v>
      </c>
      <c r="AB331" s="10">
        <f t="shared" si="110"/>
        <v>12650.022000000001</v>
      </c>
      <c r="AC331" s="10">
        <f t="shared" si="98"/>
        <v>606.37750000000005</v>
      </c>
      <c r="AD331" s="10">
        <f t="shared" si="99"/>
        <v>1193.865</v>
      </c>
      <c r="AE331" s="10">
        <f t="shared" si="100"/>
        <v>1912.0450000000001</v>
      </c>
      <c r="AF331" s="10" t="str">
        <f t="shared" si="101"/>
        <v>Medium</v>
      </c>
      <c r="AG331" s="6">
        <f t="shared" si="111"/>
        <v>0.45575101295440279</v>
      </c>
      <c r="AH331" s="4">
        <f t="shared" si="112"/>
        <v>44939</v>
      </c>
      <c r="AI331" t="str">
        <f t="shared" si="113"/>
        <v>Jan-2023</v>
      </c>
    </row>
    <row r="332" spans="1:35" x14ac:dyDescent="0.25">
      <c r="A332" t="s">
        <v>344</v>
      </c>
      <c r="B332" s="4">
        <v>45668</v>
      </c>
      <c r="C332" s="4" t="str">
        <f t="shared" si="102"/>
        <v>Q1-2025</v>
      </c>
      <c r="D332" s="4" t="str">
        <f t="shared" si="103"/>
        <v>Jan-2025</v>
      </c>
      <c r="E332" s="4">
        <v>45680</v>
      </c>
      <c r="F332" s="12">
        <f t="shared" si="104"/>
        <v>12</v>
      </c>
      <c r="G332" s="12">
        <f t="shared" si="95"/>
        <v>0</v>
      </c>
      <c r="H332" s="4">
        <f t="shared" si="105"/>
        <v>45680</v>
      </c>
      <c r="I332" t="s">
        <v>648</v>
      </c>
      <c r="J332" t="s">
        <v>660</v>
      </c>
      <c r="K332" t="s">
        <v>697</v>
      </c>
      <c r="L332" t="s">
        <v>704</v>
      </c>
      <c r="M332" t="s">
        <v>710</v>
      </c>
      <c r="N332" t="s">
        <v>722</v>
      </c>
      <c r="O332" t="s">
        <v>730</v>
      </c>
      <c r="P332" t="str" cm="1">
        <f t="array" ref="P332">_xlfn.IFS(S332&lt;=PERCENTILE($S$2:$S$1000, 0.33), "Low", S332&lt;=PERCENTILE($S$2:$S$1000, 0.66), "Medium", TRUE, "High")</f>
        <v>Low</v>
      </c>
      <c r="Q332" t="s">
        <v>1064</v>
      </c>
      <c r="R332" s="10">
        <v>100.69</v>
      </c>
      <c r="S332" s="10">
        <v>226.14</v>
      </c>
      <c r="T332" s="8">
        <v>6.5000000000000002E-2</v>
      </c>
      <c r="U332" s="12">
        <f t="shared" si="106"/>
        <v>0</v>
      </c>
      <c r="V332" s="6">
        <v>12</v>
      </c>
      <c r="W332" t="str">
        <f t="shared" si="96"/>
        <v>ok</v>
      </c>
      <c r="X332">
        <f t="shared" si="97"/>
        <v>12</v>
      </c>
      <c r="Y332">
        <f t="shared" si="107"/>
        <v>12</v>
      </c>
      <c r="Z332" s="10">
        <f t="shared" si="108"/>
        <v>2537.2908000000002</v>
      </c>
      <c r="AA332" s="10">
        <f t="shared" si="109"/>
        <v>1208.28</v>
      </c>
      <c r="AB332" s="10">
        <f t="shared" si="110"/>
        <v>1329.0108000000002</v>
      </c>
      <c r="AC332" s="10">
        <f t="shared" si="98"/>
        <v>606.37750000000005</v>
      </c>
      <c r="AD332" s="10">
        <f t="shared" si="99"/>
        <v>1193.865</v>
      </c>
      <c r="AE332" s="10">
        <f t="shared" si="100"/>
        <v>1912.0450000000001</v>
      </c>
      <c r="AF332" s="10" t="str">
        <f t="shared" si="101"/>
        <v>High</v>
      </c>
      <c r="AG332" s="6">
        <f t="shared" si="111"/>
        <v>0.52379128162999689</v>
      </c>
      <c r="AH332" s="4">
        <f t="shared" si="112"/>
        <v>44939</v>
      </c>
      <c r="AI332" t="str">
        <f t="shared" si="113"/>
        <v>Jan-2023</v>
      </c>
    </row>
    <row r="333" spans="1:35" x14ac:dyDescent="0.25">
      <c r="A333" t="s">
        <v>345</v>
      </c>
      <c r="B333" s="4">
        <v>45914</v>
      </c>
      <c r="C333" s="4" t="str">
        <f t="shared" si="102"/>
        <v>Q3-2025</v>
      </c>
      <c r="D333" s="4" t="str">
        <f t="shared" si="103"/>
        <v>Sept-2025</v>
      </c>
      <c r="E333" s="4">
        <v>45926</v>
      </c>
      <c r="F333" s="12">
        <f t="shared" si="104"/>
        <v>12</v>
      </c>
      <c r="G333" s="12">
        <f t="shared" si="95"/>
        <v>0</v>
      </c>
      <c r="H333" s="4">
        <f t="shared" si="105"/>
        <v>45926</v>
      </c>
      <c r="I333" t="s">
        <v>649</v>
      </c>
      <c r="J333" t="s">
        <v>658</v>
      </c>
      <c r="K333" t="s">
        <v>683</v>
      </c>
      <c r="L333" t="s">
        <v>705</v>
      </c>
      <c r="M333" t="s">
        <v>711</v>
      </c>
      <c r="N333" t="s">
        <v>725</v>
      </c>
      <c r="O333" t="s">
        <v>729</v>
      </c>
      <c r="P333" t="str" cm="1">
        <f t="array" ref="P333">_xlfn.IFS(S333&lt;=PERCENTILE($S$2:$S$1000, 0.33), "Low", S333&lt;=PERCENTILE($S$2:$S$1000, 0.66), "Medium", TRUE, "High")</f>
        <v>Medium</v>
      </c>
      <c r="Q333" t="s">
        <v>1065</v>
      </c>
      <c r="R333" s="10">
        <v>425.15</v>
      </c>
      <c r="S333" s="10">
        <v>885.92</v>
      </c>
      <c r="T333" s="8">
        <v>0.23899999999999999</v>
      </c>
      <c r="U333" s="12">
        <f t="shared" si="106"/>
        <v>1</v>
      </c>
      <c r="V333" s="6">
        <v>13</v>
      </c>
      <c r="W333" t="str">
        <f t="shared" si="96"/>
        <v>ok</v>
      </c>
      <c r="X333">
        <f t="shared" si="97"/>
        <v>12</v>
      </c>
      <c r="Y333">
        <f t="shared" si="107"/>
        <v>12</v>
      </c>
      <c r="Z333" s="10">
        <f t="shared" si="108"/>
        <v>8764.4065599999994</v>
      </c>
      <c r="AA333" s="10">
        <f t="shared" si="109"/>
        <v>5526.95</v>
      </c>
      <c r="AB333" s="10">
        <f t="shared" si="110"/>
        <v>3237.4565599999996</v>
      </c>
      <c r="AC333" s="10">
        <f t="shared" si="98"/>
        <v>606.37750000000005</v>
      </c>
      <c r="AD333" s="10">
        <f t="shared" si="99"/>
        <v>1193.865</v>
      </c>
      <c r="AE333" s="10">
        <f t="shared" si="100"/>
        <v>1912.0450000000001</v>
      </c>
      <c r="AF333" s="10" t="str">
        <f t="shared" si="101"/>
        <v>Low</v>
      </c>
      <c r="AG333" s="6">
        <f t="shared" si="111"/>
        <v>0.3693868532725848</v>
      </c>
      <c r="AH333" s="4">
        <f t="shared" si="112"/>
        <v>44946</v>
      </c>
      <c r="AI333" t="str">
        <f t="shared" si="113"/>
        <v>Jan-2023</v>
      </c>
    </row>
    <row r="334" spans="1:35" x14ac:dyDescent="0.25">
      <c r="A334" t="s">
        <v>346</v>
      </c>
      <c r="B334" s="4">
        <v>45168</v>
      </c>
      <c r="C334" s="4" t="str">
        <f t="shared" si="102"/>
        <v>Q3-2023</v>
      </c>
      <c r="D334" s="4" t="str">
        <f t="shared" si="103"/>
        <v>Aug-2023</v>
      </c>
      <c r="E334" s="4">
        <v>45172</v>
      </c>
      <c r="F334" s="12">
        <f t="shared" si="104"/>
        <v>4</v>
      </c>
      <c r="G334" s="12">
        <f t="shared" si="95"/>
        <v>1</v>
      </c>
      <c r="H334" s="4">
        <f t="shared" si="105"/>
        <v>45172</v>
      </c>
      <c r="I334" t="s">
        <v>647</v>
      </c>
      <c r="J334" t="s">
        <v>654</v>
      </c>
      <c r="K334" t="s">
        <v>680</v>
      </c>
      <c r="L334" t="s">
        <v>705</v>
      </c>
      <c r="M334" t="s">
        <v>709</v>
      </c>
      <c r="N334" t="s">
        <v>716</v>
      </c>
      <c r="O334" t="s">
        <v>733</v>
      </c>
      <c r="P334" t="str" cm="1">
        <f t="array" ref="P334">_xlfn.IFS(S334&lt;=PERCENTILE($S$2:$S$1000, 0.33), "Low", S334&lt;=PERCENTILE($S$2:$S$1000, 0.66), "Medium", TRUE, "High")</f>
        <v>High</v>
      </c>
      <c r="Q334" t="s">
        <v>1066</v>
      </c>
      <c r="R334" s="10">
        <v>1082.25</v>
      </c>
      <c r="S334" s="10">
        <v>2433.34</v>
      </c>
      <c r="T334" s="8">
        <v>0.27</v>
      </c>
      <c r="U334" s="12">
        <f t="shared" si="106"/>
        <v>1</v>
      </c>
      <c r="V334" s="6">
        <v>4</v>
      </c>
      <c r="W334" t="str">
        <f t="shared" si="96"/>
        <v>ok</v>
      </c>
      <c r="X334">
        <f t="shared" si="97"/>
        <v>4</v>
      </c>
      <c r="Y334">
        <f t="shared" si="107"/>
        <v>4</v>
      </c>
      <c r="Z334" s="10">
        <f t="shared" si="108"/>
        <v>7105.3528000000006</v>
      </c>
      <c r="AA334" s="10">
        <f t="shared" si="109"/>
        <v>4329</v>
      </c>
      <c r="AB334" s="10">
        <f t="shared" si="110"/>
        <v>2776.3528000000006</v>
      </c>
      <c r="AC334" s="10">
        <f t="shared" si="98"/>
        <v>606.37750000000005</v>
      </c>
      <c r="AD334" s="10">
        <f t="shared" si="99"/>
        <v>1193.865</v>
      </c>
      <c r="AE334" s="10">
        <f t="shared" si="100"/>
        <v>1912.0450000000001</v>
      </c>
      <c r="AF334" s="10" t="str">
        <f t="shared" si="101"/>
        <v>Medium</v>
      </c>
      <c r="AG334" s="6">
        <f t="shared" si="111"/>
        <v>0.3907410199251472</v>
      </c>
      <c r="AH334" s="4">
        <f t="shared" si="112"/>
        <v>44945</v>
      </c>
      <c r="AI334" t="str">
        <f t="shared" si="113"/>
        <v>Jan-2023</v>
      </c>
    </row>
    <row r="335" spans="1:35" x14ac:dyDescent="0.25">
      <c r="A335" t="s">
        <v>347</v>
      </c>
      <c r="B335" s="4">
        <v>45245</v>
      </c>
      <c r="C335" s="4" t="str">
        <f t="shared" si="102"/>
        <v>Q4-2023</v>
      </c>
      <c r="D335" s="4" t="str">
        <f t="shared" si="103"/>
        <v>Nov-2023</v>
      </c>
      <c r="E335" s="4">
        <v>45266</v>
      </c>
      <c r="F335" s="12">
        <f t="shared" si="104"/>
        <v>21</v>
      </c>
      <c r="G335" s="12">
        <f t="shared" si="95"/>
        <v>0</v>
      </c>
      <c r="H335" s="4">
        <f t="shared" si="105"/>
        <v>45266</v>
      </c>
      <c r="I335" t="s">
        <v>649</v>
      </c>
      <c r="J335" t="s">
        <v>658</v>
      </c>
      <c r="K335" t="s">
        <v>693</v>
      </c>
      <c r="L335" t="s">
        <v>702</v>
      </c>
      <c r="M335" t="s">
        <v>711</v>
      </c>
      <c r="N335" t="s">
        <v>722</v>
      </c>
      <c r="O335" t="s">
        <v>733</v>
      </c>
      <c r="P335" t="str" cm="1">
        <f t="array" ref="P335">_xlfn.IFS(S335&lt;=PERCENTILE($S$2:$S$1000, 0.33), "Low", S335&lt;=PERCENTILE($S$2:$S$1000, 0.66), "Medium", TRUE, "High")</f>
        <v>Medium</v>
      </c>
      <c r="Q335" t="s">
        <v>1067</v>
      </c>
      <c r="R335" s="10">
        <v>1184.99</v>
      </c>
      <c r="S335" s="10">
        <v>1154.3399999999999</v>
      </c>
      <c r="T335" s="8">
        <v>2.8000000000000001E-2</v>
      </c>
      <c r="U335" s="12">
        <f t="shared" si="106"/>
        <v>0</v>
      </c>
      <c r="V335" s="6">
        <v>5</v>
      </c>
      <c r="W335" t="str">
        <f t="shared" si="96"/>
        <v>ok</v>
      </c>
      <c r="X335">
        <f t="shared" si="97"/>
        <v>21</v>
      </c>
      <c r="Y335">
        <f t="shared" si="107"/>
        <v>21</v>
      </c>
      <c r="Z335" s="10">
        <f t="shared" si="108"/>
        <v>5610.0923999999995</v>
      </c>
      <c r="AA335" s="10">
        <f t="shared" si="109"/>
        <v>5924.95</v>
      </c>
      <c r="AB335" s="10">
        <f t="shared" si="110"/>
        <v>-314.85760000000028</v>
      </c>
      <c r="AC335" s="10">
        <f t="shared" si="98"/>
        <v>606.37750000000005</v>
      </c>
      <c r="AD335" s="10">
        <f t="shared" si="99"/>
        <v>1193.865</v>
      </c>
      <c r="AE335" s="10">
        <f t="shared" si="100"/>
        <v>1912.0450000000001</v>
      </c>
      <c r="AF335" s="10" t="str">
        <f t="shared" si="101"/>
        <v>High</v>
      </c>
      <c r="AG335" s="6">
        <f t="shared" si="111"/>
        <v>-5.6123424990290764E-2</v>
      </c>
      <c r="AH335" s="4">
        <f t="shared" si="112"/>
        <v>44948</v>
      </c>
      <c r="AI335" t="str">
        <f t="shared" si="113"/>
        <v>Jan-2023</v>
      </c>
    </row>
    <row r="336" spans="1:35" x14ac:dyDescent="0.25">
      <c r="A336" t="s">
        <v>348</v>
      </c>
      <c r="B336" s="4">
        <v>45774</v>
      </c>
      <c r="C336" s="4" t="str">
        <f t="shared" si="102"/>
        <v>Q2-2025</v>
      </c>
      <c r="D336" s="4" t="str">
        <f t="shared" si="103"/>
        <v>Apr-2025</v>
      </c>
      <c r="E336" s="4">
        <v>45804</v>
      </c>
      <c r="F336" s="12">
        <f t="shared" si="104"/>
        <v>30</v>
      </c>
      <c r="G336" s="12">
        <f t="shared" si="95"/>
        <v>0</v>
      </c>
      <c r="H336" s="4">
        <f t="shared" si="105"/>
        <v>45804</v>
      </c>
      <c r="I336" t="s">
        <v>647</v>
      </c>
      <c r="J336" t="s">
        <v>654</v>
      </c>
      <c r="K336" t="s">
        <v>1418</v>
      </c>
      <c r="L336" t="s">
        <v>706</v>
      </c>
      <c r="M336" t="s">
        <v>709</v>
      </c>
      <c r="N336" t="s">
        <v>722</v>
      </c>
      <c r="O336" t="s">
        <v>730</v>
      </c>
      <c r="P336" t="str" cm="1">
        <f t="array" ref="P336">_xlfn.IFS(S336&lt;=PERCENTILE($S$2:$S$1000, 0.33), "Low", S336&lt;=PERCENTILE($S$2:$S$1000, 0.66), "Medium", TRUE, "High")</f>
        <v>Medium</v>
      </c>
      <c r="Q336" t="s">
        <v>1068</v>
      </c>
      <c r="R336" s="10">
        <v>481.32</v>
      </c>
      <c r="S336" s="10">
        <v>1135.99</v>
      </c>
      <c r="T336" s="8">
        <v>0.14499999999999999</v>
      </c>
      <c r="U336" s="12">
        <f t="shared" si="106"/>
        <v>0</v>
      </c>
      <c r="V336" s="6">
        <v>5</v>
      </c>
      <c r="W336" t="str">
        <f t="shared" si="96"/>
        <v>ok</v>
      </c>
      <c r="X336">
        <f t="shared" si="97"/>
        <v>30</v>
      </c>
      <c r="Y336">
        <f t="shared" si="107"/>
        <v>30</v>
      </c>
      <c r="Z336" s="10">
        <f t="shared" si="108"/>
        <v>4856.35725</v>
      </c>
      <c r="AA336" s="10">
        <f t="shared" si="109"/>
        <v>2406.6</v>
      </c>
      <c r="AB336" s="10">
        <f t="shared" si="110"/>
        <v>2449.7572500000001</v>
      </c>
      <c r="AC336" s="10">
        <f t="shared" si="98"/>
        <v>606.37750000000005</v>
      </c>
      <c r="AD336" s="10">
        <f t="shared" si="99"/>
        <v>1193.865</v>
      </c>
      <c r="AE336" s="10">
        <f t="shared" si="100"/>
        <v>1912.0450000000001</v>
      </c>
      <c r="AF336" s="10" t="str">
        <f t="shared" si="101"/>
        <v>Medium</v>
      </c>
      <c r="AG336" s="6">
        <f t="shared" si="111"/>
        <v>0.50444337677175621</v>
      </c>
      <c r="AH336" s="4">
        <f t="shared" si="112"/>
        <v>44945</v>
      </c>
      <c r="AI336" t="str">
        <f t="shared" si="113"/>
        <v>Jan-2023</v>
      </c>
    </row>
    <row r="337" spans="1:35" x14ac:dyDescent="0.25">
      <c r="A337" t="s">
        <v>349</v>
      </c>
      <c r="B337" s="4">
        <v>45391</v>
      </c>
      <c r="C337" s="4" t="str">
        <f t="shared" si="102"/>
        <v>Q2-2024</v>
      </c>
      <c r="D337" s="4" t="str">
        <f t="shared" si="103"/>
        <v>Apr-2024</v>
      </c>
      <c r="E337" s="4">
        <v>45400</v>
      </c>
      <c r="F337" s="12">
        <f t="shared" si="104"/>
        <v>9</v>
      </c>
      <c r="G337" s="12">
        <f t="shared" si="95"/>
        <v>0</v>
      </c>
      <c r="H337" s="4">
        <f t="shared" si="105"/>
        <v>45400</v>
      </c>
      <c r="I337" t="s">
        <v>649</v>
      </c>
      <c r="J337" t="s">
        <v>657</v>
      </c>
      <c r="K337" t="s">
        <v>679</v>
      </c>
      <c r="L337" t="s">
        <v>704</v>
      </c>
      <c r="M337" t="s">
        <v>708</v>
      </c>
      <c r="N337" t="s">
        <v>718</v>
      </c>
      <c r="O337" t="s">
        <v>728</v>
      </c>
      <c r="P337" t="str" cm="1">
        <f t="array" ref="P337">_xlfn.IFS(S337&lt;=PERCENTILE($S$2:$S$1000, 0.33), "Low", S337&lt;=PERCENTILE($S$2:$S$1000, 0.66), "Medium", TRUE, "High")</f>
        <v>High</v>
      </c>
      <c r="Q337" t="s">
        <v>1069</v>
      </c>
      <c r="R337" s="10">
        <v>1288.8499999999999</v>
      </c>
      <c r="S337" s="10">
        <v>2751.84</v>
      </c>
      <c r="T337" s="8">
        <v>0.158</v>
      </c>
      <c r="U337" s="12">
        <f t="shared" si="106"/>
        <v>0</v>
      </c>
      <c r="V337" s="6">
        <v>7</v>
      </c>
      <c r="W337" t="str">
        <f t="shared" si="96"/>
        <v>ok</v>
      </c>
      <c r="X337">
        <f t="shared" si="97"/>
        <v>9</v>
      </c>
      <c r="Y337">
        <f t="shared" si="107"/>
        <v>9</v>
      </c>
      <c r="Z337" s="10">
        <f t="shared" si="108"/>
        <v>16219.34496</v>
      </c>
      <c r="AA337" s="10">
        <f t="shared" si="109"/>
        <v>9021.9499999999989</v>
      </c>
      <c r="AB337" s="10">
        <f t="shared" si="110"/>
        <v>7197.3949600000014</v>
      </c>
      <c r="AC337" s="10">
        <f t="shared" si="98"/>
        <v>606.37750000000005</v>
      </c>
      <c r="AD337" s="10">
        <f t="shared" si="99"/>
        <v>1193.865</v>
      </c>
      <c r="AE337" s="10">
        <f t="shared" si="100"/>
        <v>1912.0450000000001</v>
      </c>
      <c r="AF337" s="10" t="str">
        <f t="shared" si="101"/>
        <v>Medium</v>
      </c>
      <c r="AG337" s="6">
        <f t="shared" si="111"/>
        <v>0.44375373837538756</v>
      </c>
      <c r="AH337" s="4">
        <f t="shared" si="112"/>
        <v>44946</v>
      </c>
      <c r="AI337" t="str">
        <f t="shared" si="113"/>
        <v>Jan-2023</v>
      </c>
    </row>
    <row r="338" spans="1:35" x14ac:dyDescent="0.25">
      <c r="A338" t="s">
        <v>350</v>
      </c>
      <c r="B338" s="4">
        <v>45484</v>
      </c>
      <c r="C338" s="4" t="str">
        <f t="shared" si="102"/>
        <v>Q3-2024</v>
      </c>
      <c r="D338" s="4" t="str">
        <f t="shared" si="103"/>
        <v>Jul-2024</v>
      </c>
      <c r="E338" s="4">
        <v>45504</v>
      </c>
      <c r="F338" s="12">
        <f t="shared" si="104"/>
        <v>20</v>
      </c>
      <c r="G338" s="12">
        <f t="shared" si="95"/>
        <v>0</v>
      </c>
      <c r="H338" s="4">
        <f t="shared" si="105"/>
        <v>45504</v>
      </c>
      <c r="I338" t="s">
        <v>647</v>
      </c>
      <c r="J338" t="s">
        <v>659</v>
      </c>
      <c r="K338" t="s">
        <v>676</v>
      </c>
      <c r="L338" t="s">
        <v>704</v>
      </c>
      <c r="M338" t="s">
        <v>708</v>
      </c>
      <c r="N338" t="s">
        <v>715</v>
      </c>
      <c r="O338" t="s">
        <v>730</v>
      </c>
      <c r="P338" t="str" cm="1">
        <f t="array" ref="P338">_xlfn.IFS(S338&lt;=PERCENTILE($S$2:$S$1000, 0.33), "Low", S338&lt;=PERCENTILE($S$2:$S$1000, 0.66), "Medium", TRUE, "High")</f>
        <v>Medium</v>
      </c>
      <c r="Q338" t="s">
        <v>1070</v>
      </c>
      <c r="R338" s="10">
        <v>647.26</v>
      </c>
      <c r="S338" s="10">
        <v>1374.72</v>
      </c>
      <c r="T338" s="8">
        <v>6.6000000000000003E-2</v>
      </c>
      <c r="U338" s="12">
        <f t="shared" si="106"/>
        <v>0</v>
      </c>
      <c r="V338" s="6">
        <v>22</v>
      </c>
      <c r="W338" t="str">
        <f t="shared" si="96"/>
        <v>ok</v>
      </c>
      <c r="X338">
        <f t="shared" si="97"/>
        <v>20</v>
      </c>
      <c r="Y338">
        <f t="shared" si="107"/>
        <v>20</v>
      </c>
      <c r="Z338" s="10">
        <f t="shared" si="108"/>
        <v>28247.74656</v>
      </c>
      <c r="AA338" s="10">
        <f t="shared" si="109"/>
        <v>14239.72</v>
      </c>
      <c r="AB338" s="10">
        <f t="shared" si="110"/>
        <v>14008.02656</v>
      </c>
      <c r="AC338" s="10">
        <f t="shared" si="98"/>
        <v>606.37750000000005</v>
      </c>
      <c r="AD338" s="10">
        <f t="shared" si="99"/>
        <v>1193.865</v>
      </c>
      <c r="AE338" s="10">
        <f t="shared" si="100"/>
        <v>1912.0450000000001</v>
      </c>
      <c r="AF338" s="10" t="str">
        <f t="shared" si="101"/>
        <v>High</v>
      </c>
      <c r="AG338" s="6">
        <f t="shared" si="111"/>
        <v>0.49589890401508901</v>
      </c>
      <c r="AH338" s="4">
        <f t="shared" si="112"/>
        <v>44946</v>
      </c>
      <c r="AI338" t="str">
        <f t="shared" si="113"/>
        <v>Jan-2023</v>
      </c>
    </row>
    <row r="339" spans="1:35" x14ac:dyDescent="0.25">
      <c r="A339" t="s">
        <v>351</v>
      </c>
      <c r="B339" s="4">
        <v>45340</v>
      </c>
      <c r="C339" s="4" t="str">
        <f t="shared" si="102"/>
        <v>Q1-2024</v>
      </c>
      <c r="D339" s="4" t="str">
        <f t="shared" si="103"/>
        <v>Feb-2024</v>
      </c>
      <c r="E339" s="4">
        <v>45354</v>
      </c>
      <c r="F339" s="12">
        <f t="shared" si="104"/>
        <v>14</v>
      </c>
      <c r="G339" s="12">
        <f t="shared" si="95"/>
        <v>0</v>
      </c>
      <c r="H339" s="4">
        <f t="shared" si="105"/>
        <v>45354</v>
      </c>
      <c r="I339" t="s">
        <v>648</v>
      </c>
      <c r="J339" t="s">
        <v>655</v>
      </c>
      <c r="K339" t="s">
        <v>1418</v>
      </c>
      <c r="L339" t="s">
        <v>706</v>
      </c>
      <c r="M339" t="s">
        <v>710</v>
      </c>
      <c r="N339" t="s">
        <v>720</v>
      </c>
      <c r="O339" t="s">
        <v>728</v>
      </c>
      <c r="P339" t="str" cm="1">
        <f t="array" ref="P339">_xlfn.IFS(S339&lt;=PERCENTILE($S$2:$S$1000, 0.33), "Low", S339&lt;=PERCENTILE($S$2:$S$1000, 0.66), "Medium", TRUE, "High")</f>
        <v>Medium</v>
      </c>
      <c r="Q339" t="s">
        <v>1071</v>
      </c>
      <c r="R339" s="10">
        <v>624.23</v>
      </c>
      <c r="S339" s="10">
        <v>1318.37</v>
      </c>
      <c r="T339" s="8">
        <v>0.21</v>
      </c>
      <c r="U339" s="12">
        <f t="shared" si="106"/>
        <v>1</v>
      </c>
      <c r="V339" s="6">
        <v>37</v>
      </c>
      <c r="W339" t="str">
        <f t="shared" si="96"/>
        <v>ok</v>
      </c>
      <c r="X339">
        <f t="shared" si="97"/>
        <v>14</v>
      </c>
      <c r="Y339">
        <f t="shared" si="107"/>
        <v>14</v>
      </c>
      <c r="Z339" s="10">
        <f t="shared" si="108"/>
        <v>38535.955099999999</v>
      </c>
      <c r="AA339" s="10">
        <f t="shared" si="109"/>
        <v>23096.510000000002</v>
      </c>
      <c r="AB339" s="10">
        <f t="shared" si="110"/>
        <v>15439.445099999997</v>
      </c>
      <c r="AC339" s="10">
        <f t="shared" si="98"/>
        <v>606.37750000000005</v>
      </c>
      <c r="AD339" s="10">
        <f t="shared" si="99"/>
        <v>1193.865</v>
      </c>
      <c r="AE339" s="10">
        <f t="shared" si="100"/>
        <v>1912.0450000000001</v>
      </c>
      <c r="AF339" s="10" t="str">
        <f t="shared" si="101"/>
        <v>Medium</v>
      </c>
      <c r="AG339" s="6">
        <f t="shared" si="111"/>
        <v>0.40065038118128793</v>
      </c>
      <c r="AH339" s="4">
        <f t="shared" si="112"/>
        <v>44941</v>
      </c>
      <c r="AI339" t="str">
        <f t="shared" si="113"/>
        <v>Jan-2023</v>
      </c>
    </row>
    <row r="340" spans="1:35" x14ac:dyDescent="0.25">
      <c r="A340" t="s">
        <v>352</v>
      </c>
      <c r="B340" s="4">
        <v>45132</v>
      </c>
      <c r="C340" s="4" t="str">
        <f t="shared" si="102"/>
        <v>Q3-2023</v>
      </c>
      <c r="D340" s="4" t="str">
        <f t="shared" si="103"/>
        <v>Jul-2023</v>
      </c>
      <c r="E340" s="4">
        <v>45148</v>
      </c>
      <c r="F340" s="12">
        <f t="shared" si="104"/>
        <v>16</v>
      </c>
      <c r="G340" s="12">
        <f t="shared" si="95"/>
        <v>0</v>
      </c>
      <c r="H340" s="4">
        <f t="shared" si="105"/>
        <v>45148</v>
      </c>
      <c r="I340" t="s">
        <v>646</v>
      </c>
      <c r="J340" t="s">
        <v>651</v>
      </c>
      <c r="K340" t="s">
        <v>663</v>
      </c>
      <c r="L340" t="s">
        <v>701</v>
      </c>
      <c r="M340" t="s">
        <v>710</v>
      </c>
      <c r="N340" t="s">
        <v>714</v>
      </c>
      <c r="O340" t="s">
        <v>733</v>
      </c>
      <c r="P340" t="str" cm="1">
        <f t="array" ref="P340">_xlfn.IFS(S340&lt;=PERCENTILE($S$2:$S$1000, 0.33), "Low", S340&lt;=PERCENTILE($S$2:$S$1000, 0.66), "Medium", TRUE, "High")</f>
        <v>Low</v>
      </c>
      <c r="Q340" t="s">
        <v>1072</v>
      </c>
      <c r="R340" s="10">
        <v>506.83</v>
      </c>
      <c r="S340" s="10">
        <v>441.74</v>
      </c>
      <c r="T340" s="8">
        <v>0.24</v>
      </c>
      <c r="U340" s="12">
        <f t="shared" si="106"/>
        <v>1</v>
      </c>
      <c r="V340" s="6">
        <v>9</v>
      </c>
      <c r="W340" t="str">
        <f t="shared" si="96"/>
        <v>ok</v>
      </c>
      <c r="X340">
        <f t="shared" si="97"/>
        <v>16</v>
      </c>
      <c r="Y340">
        <f t="shared" si="107"/>
        <v>16</v>
      </c>
      <c r="Z340" s="10">
        <f t="shared" si="108"/>
        <v>3021.5016000000001</v>
      </c>
      <c r="AA340" s="10">
        <f t="shared" si="109"/>
        <v>4561.47</v>
      </c>
      <c r="AB340" s="10">
        <f t="shared" si="110"/>
        <v>-1539.9684000000002</v>
      </c>
      <c r="AC340" s="10">
        <f t="shared" si="98"/>
        <v>606.37750000000005</v>
      </c>
      <c r="AD340" s="10">
        <f t="shared" si="99"/>
        <v>1193.865</v>
      </c>
      <c r="AE340" s="10">
        <f t="shared" si="100"/>
        <v>1912.0450000000001</v>
      </c>
      <c r="AF340" s="10" t="str">
        <f t="shared" si="101"/>
        <v>Medium</v>
      </c>
      <c r="AG340" s="6">
        <f t="shared" si="111"/>
        <v>-0.50966989393618067</v>
      </c>
      <c r="AH340" s="4">
        <f t="shared" si="112"/>
        <v>44933</v>
      </c>
      <c r="AI340" t="str">
        <f t="shared" si="113"/>
        <v>Jan-2023</v>
      </c>
    </row>
    <row r="341" spans="1:35" x14ac:dyDescent="0.25">
      <c r="A341" t="s">
        <v>353</v>
      </c>
      <c r="B341" s="4">
        <v>45121</v>
      </c>
      <c r="C341" s="4" t="str">
        <f t="shared" si="102"/>
        <v>Q3-2023</v>
      </c>
      <c r="D341" s="4" t="str">
        <f t="shared" si="103"/>
        <v>Jul-2023</v>
      </c>
      <c r="E341" s="4">
        <v>45128</v>
      </c>
      <c r="F341" s="12">
        <f t="shared" si="104"/>
        <v>7</v>
      </c>
      <c r="G341" s="12">
        <f t="shared" si="95"/>
        <v>1</v>
      </c>
      <c r="H341" s="4">
        <f t="shared" si="105"/>
        <v>45128</v>
      </c>
      <c r="I341" t="s">
        <v>646</v>
      </c>
      <c r="J341" t="s">
        <v>661</v>
      </c>
      <c r="K341" t="s">
        <v>687</v>
      </c>
      <c r="L341" t="s">
        <v>706</v>
      </c>
      <c r="M341" t="s">
        <v>709</v>
      </c>
      <c r="N341" t="s">
        <v>1418</v>
      </c>
      <c r="O341" t="s">
        <v>732</v>
      </c>
      <c r="P341" t="str" cm="1">
        <f t="array" ref="P341">_xlfn.IFS(S341&lt;=PERCENTILE($S$2:$S$1000, 0.33), "Low", S341&lt;=PERCENTILE($S$2:$S$1000, 0.66), "Medium", TRUE, "High")</f>
        <v>Medium</v>
      </c>
      <c r="Q341" t="s">
        <v>1073</v>
      </c>
      <c r="R341" s="10">
        <v>620.74</v>
      </c>
      <c r="S341" s="10">
        <v>1330.07</v>
      </c>
      <c r="T341" s="8">
        <v>0.29899999999999999</v>
      </c>
      <c r="U341" s="12">
        <f t="shared" si="106"/>
        <v>1</v>
      </c>
      <c r="V341" s="6">
        <v>28</v>
      </c>
      <c r="W341" t="str">
        <f t="shared" si="96"/>
        <v>ok</v>
      </c>
      <c r="X341">
        <f t="shared" si="97"/>
        <v>7</v>
      </c>
      <c r="Y341">
        <f t="shared" si="107"/>
        <v>7</v>
      </c>
      <c r="Z341" s="10">
        <f t="shared" si="108"/>
        <v>26106.613960000002</v>
      </c>
      <c r="AA341" s="10">
        <f t="shared" si="109"/>
        <v>17380.72</v>
      </c>
      <c r="AB341" s="10">
        <f t="shared" si="110"/>
        <v>8725.8939600000012</v>
      </c>
      <c r="AC341" s="10">
        <f t="shared" si="98"/>
        <v>606.37750000000005</v>
      </c>
      <c r="AD341" s="10">
        <f t="shared" si="99"/>
        <v>1193.865</v>
      </c>
      <c r="AE341" s="10">
        <f t="shared" si="100"/>
        <v>1912.0450000000001</v>
      </c>
      <c r="AF341" s="10" t="str">
        <f t="shared" si="101"/>
        <v>Low</v>
      </c>
      <c r="AG341" s="6">
        <f t="shared" si="111"/>
        <v>0.33424073965967516</v>
      </c>
      <c r="AH341" s="4">
        <f t="shared" si="112"/>
        <v>44928</v>
      </c>
      <c r="AI341" t="str">
        <f t="shared" si="113"/>
        <v>Jan-2023</v>
      </c>
    </row>
    <row r="342" spans="1:35" x14ac:dyDescent="0.25">
      <c r="A342" t="s">
        <v>354</v>
      </c>
      <c r="B342" s="4">
        <v>45131</v>
      </c>
      <c r="C342" s="4" t="str">
        <f t="shared" si="102"/>
        <v>Q3-2023</v>
      </c>
      <c r="D342" s="4" t="str">
        <f t="shared" si="103"/>
        <v>Jul-2023</v>
      </c>
      <c r="E342" s="4">
        <v>45157</v>
      </c>
      <c r="F342" s="12">
        <f t="shared" si="104"/>
        <v>26</v>
      </c>
      <c r="G342" s="12">
        <f t="shared" si="95"/>
        <v>0</v>
      </c>
      <c r="H342" s="4">
        <f t="shared" si="105"/>
        <v>45157</v>
      </c>
      <c r="I342" t="s">
        <v>646</v>
      </c>
      <c r="J342" t="s">
        <v>650</v>
      </c>
      <c r="K342" t="s">
        <v>664</v>
      </c>
      <c r="L342" t="s">
        <v>706</v>
      </c>
      <c r="M342" t="s">
        <v>710</v>
      </c>
      <c r="N342" t="s">
        <v>724</v>
      </c>
      <c r="O342" t="s">
        <v>733</v>
      </c>
      <c r="P342" t="str" cm="1">
        <f t="array" ref="P342">_xlfn.IFS(S342&lt;=PERCENTILE($S$2:$S$1000, 0.33), "Low", S342&lt;=PERCENTILE($S$2:$S$1000, 0.66), "Medium", TRUE, "High")</f>
        <v>High</v>
      </c>
      <c r="Q342" t="s">
        <v>1074</v>
      </c>
      <c r="R342" s="10">
        <v>661.45</v>
      </c>
      <c r="S342" s="10">
        <v>1634.86</v>
      </c>
      <c r="T342" s="8">
        <v>0.56499999999999995</v>
      </c>
      <c r="U342" s="12">
        <f t="shared" si="106"/>
        <v>1</v>
      </c>
      <c r="V342" s="6">
        <v>24</v>
      </c>
      <c r="W342" t="str">
        <f t="shared" si="96"/>
        <v>ok</v>
      </c>
      <c r="X342">
        <f t="shared" si="97"/>
        <v>26</v>
      </c>
      <c r="Y342">
        <f t="shared" si="107"/>
        <v>26</v>
      </c>
      <c r="Z342" s="10">
        <f t="shared" si="108"/>
        <v>17067.938400000003</v>
      </c>
      <c r="AA342" s="10">
        <f t="shared" si="109"/>
        <v>15874.800000000001</v>
      </c>
      <c r="AB342" s="10">
        <f t="shared" si="110"/>
        <v>1193.1384000000016</v>
      </c>
      <c r="AC342" s="10">
        <f t="shared" si="98"/>
        <v>606.37750000000005</v>
      </c>
      <c r="AD342" s="10">
        <f t="shared" si="99"/>
        <v>1193.865</v>
      </c>
      <c r="AE342" s="10">
        <f t="shared" si="100"/>
        <v>1912.0450000000001</v>
      </c>
      <c r="AF342" s="10" t="str">
        <f t="shared" si="101"/>
        <v>Medium</v>
      </c>
      <c r="AG342" s="6">
        <f t="shared" si="111"/>
        <v>6.9905244092045793E-2</v>
      </c>
      <c r="AH342" s="4">
        <f t="shared" si="112"/>
        <v>44938</v>
      </c>
      <c r="AI342" t="str">
        <f t="shared" si="113"/>
        <v>Jan-2023</v>
      </c>
    </row>
    <row r="343" spans="1:35" x14ac:dyDescent="0.25">
      <c r="A343" t="s">
        <v>355</v>
      </c>
      <c r="B343" s="4">
        <v>45029</v>
      </c>
      <c r="C343" s="4" t="str">
        <f t="shared" si="102"/>
        <v>Q2-2023</v>
      </c>
      <c r="D343" s="4" t="str">
        <f t="shared" si="103"/>
        <v>Apr-2023</v>
      </c>
      <c r="E343" s="4">
        <v>45027</v>
      </c>
      <c r="F343" s="12">
        <f t="shared" si="104"/>
        <v>14</v>
      </c>
      <c r="G343" s="12">
        <f t="shared" si="95"/>
        <v>0</v>
      </c>
      <c r="H343" s="4">
        <f t="shared" si="105"/>
        <v>45043</v>
      </c>
      <c r="I343" t="s">
        <v>648</v>
      </c>
      <c r="J343" t="s">
        <v>660</v>
      </c>
      <c r="K343" t="s">
        <v>686</v>
      </c>
      <c r="L343" t="s">
        <v>702</v>
      </c>
      <c r="M343" t="s">
        <v>709</v>
      </c>
      <c r="N343" t="s">
        <v>715</v>
      </c>
      <c r="O343" t="s">
        <v>729</v>
      </c>
      <c r="P343" t="str" cm="1">
        <f t="array" ref="P343">_xlfn.IFS(S343&lt;=PERCENTILE($S$2:$S$1000, 0.33), "Low", S343&lt;=PERCENTILE($S$2:$S$1000, 0.66), "Medium", TRUE, "High")</f>
        <v>Low</v>
      </c>
      <c r="Q343" t="s">
        <v>1075</v>
      </c>
      <c r="R343" s="10">
        <v>32.1</v>
      </c>
      <c r="S343" s="10">
        <v>70.599999999999994</v>
      </c>
      <c r="T343" s="8">
        <v>0.28199999999999997</v>
      </c>
      <c r="U343" s="12">
        <f t="shared" si="106"/>
        <v>1</v>
      </c>
      <c r="V343" s="6">
        <v>22</v>
      </c>
      <c r="W343" t="str">
        <f t="shared" si="96"/>
        <v>sus</v>
      </c>
      <c r="X343">
        <f t="shared" si="97"/>
        <v>-2</v>
      </c>
      <c r="Y343">
        <f t="shared" si="107"/>
        <v>2</v>
      </c>
      <c r="Z343" s="10">
        <f t="shared" si="108"/>
        <v>1115.1975999999997</v>
      </c>
      <c r="AA343" s="10">
        <f t="shared" si="109"/>
        <v>706.2</v>
      </c>
      <c r="AB343" s="10">
        <f t="shared" si="110"/>
        <v>408.99759999999969</v>
      </c>
      <c r="AC343" s="10">
        <f t="shared" si="98"/>
        <v>606.37750000000005</v>
      </c>
      <c r="AD343" s="10">
        <f t="shared" si="99"/>
        <v>1193.865</v>
      </c>
      <c r="AE343" s="10">
        <f t="shared" si="100"/>
        <v>1912.0450000000001</v>
      </c>
      <c r="AF343" s="10" t="str">
        <f t="shared" si="101"/>
        <v>Medium</v>
      </c>
      <c r="AG343" s="6">
        <f t="shared" si="111"/>
        <v>0.36674899587301818</v>
      </c>
      <c r="AH343" s="4">
        <f t="shared" si="112"/>
        <v>44946</v>
      </c>
      <c r="AI343" t="str">
        <f t="shared" si="113"/>
        <v>Jan-2023</v>
      </c>
    </row>
    <row r="344" spans="1:35" x14ac:dyDescent="0.25">
      <c r="A344" t="s">
        <v>356</v>
      </c>
      <c r="B344" s="4">
        <v>45594</v>
      </c>
      <c r="C344" s="4" t="str">
        <f t="shared" si="102"/>
        <v>Q4-2024</v>
      </c>
      <c r="D344" s="4" t="str">
        <f t="shared" si="103"/>
        <v>Oct-2024</v>
      </c>
      <c r="E344" s="4">
        <v>45600</v>
      </c>
      <c r="F344" s="12">
        <f t="shared" si="104"/>
        <v>6</v>
      </c>
      <c r="G344" s="12">
        <f t="shared" si="95"/>
        <v>1</v>
      </c>
      <c r="H344" s="4">
        <f t="shared" si="105"/>
        <v>45600</v>
      </c>
      <c r="I344" t="s">
        <v>646</v>
      </c>
      <c r="J344" t="s">
        <v>650</v>
      </c>
      <c r="K344" t="s">
        <v>664</v>
      </c>
      <c r="L344" t="s">
        <v>701</v>
      </c>
      <c r="M344" t="s">
        <v>710</v>
      </c>
      <c r="N344" t="s">
        <v>724</v>
      </c>
      <c r="O344" t="s">
        <v>728</v>
      </c>
      <c r="P344" t="str" cm="1">
        <f t="array" ref="P344">_xlfn.IFS(S344&lt;=PERCENTILE($S$2:$S$1000, 0.33), "Low", S344&lt;=PERCENTILE($S$2:$S$1000, 0.66), "Medium", TRUE, "High")</f>
        <v>High</v>
      </c>
      <c r="Q344" t="s">
        <v>1076</v>
      </c>
      <c r="R344" s="10">
        <v>805.81</v>
      </c>
      <c r="S344" s="10">
        <v>1823.04</v>
      </c>
      <c r="T344" s="8">
        <v>0</v>
      </c>
      <c r="U344" s="12">
        <f t="shared" si="106"/>
        <v>0</v>
      </c>
      <c r="V344" s="6">
        <v>11</v>
      </c>
      <c r="W344" t="str">
        <f t="shared" si="96"/>
        <v>ok</v>
      </c>
      <c r="X344">
        <f t="shared" si="97"/>
        <v>6</v>
      </c>
      <c r="Y344">
        <f t="shared" si="107"/>
        <v>6</v>
      </c>
      <c r="Z344" s="10">
        <f t="shared" si="108"/>
        <v>20053.439999999999</v>
      </c>
      <c r="AA344" s="10">
        <f t="shared" si="109"/>
        <v>8863.91</v>
      </c>
      <c r="AB344" s="10">
        <f t="shared" si="110"/>
        <v>11189.529999999999</v>
      </c>
      <c r="AC344" s="10">
        <f t="shared" si="98"/>
        <v>606.37750000000005</v>
      </c>
      <c r="AD344" s="10">
        <f t="shared" si="99"/>
        <v>1193.865</v>
      </c>
      <c r="AE344" s="10">
        <f t="shared" si="100"/>
        <v>1912.0450000000001</v>
      </c>
      <c r="AF344" s="10" t="str">
        <f t="shared" si="101"/>
        <v>Low</v>
      </c>
      <c r="AG344" s="6">
        <f t="shared" si="111"/>
        <v>0.55798556257679477</v>
      </c>
      <c r="AH344" s="4">
        <f t="shared" si="112"/>
        <v>44955</v>
      </c>
      <c r="AI344" t="str">
        <f t="shared" si="113"/>
        <v>Jan-2023</v>
      </c>
    </row>
    <row r="345" spans="1:35" x14ac:dyDescent="0.25">
      <c r="A345" t="s">
        <v>357</v>
      </c>
      <c r="B345" s="4">
        <v>45339</v>
      </c>
      <c r="C345" s="4" t="str">
        <f t="shared" si="102"/>
        <v>Q1-2024</v>
      </c>
      <c r="D345" s="4" t="str">
        <f t="shared" si="103"/>
        <v>Feb-2024</v>
      </c>
      <c r="E345" s="4">
        <v>45355</v>
      </c>
      <c r="F345" s="12">
        <f t="shared" si="104"/>
        <v>16</v>
      </c>
      <c r="G345" s="12">
        <f t="shared" si="95"/>
        <v>0</v>
      </c>
      <c r="H345" s="4">
        <f t="shared" si="105"/>
        <v>45355</v>
      </c>
      <c r="I345" t="s">
        <v>647</v>
      </c>
      <c r="J345" t="s">
        <v>654</v>
      </c>
      <c r="K345" t="s">
        <v>680</v>
      </c>
      <c r="L345" t="s">
        <v>705</v>
      </c>
      <c r="M345" t="s">
        <v>709</v>
      </c>
      <c r="N345" t="s">
        <v>721</v>
      </c>
      <c r="O345" t="s">
        <v>730</v>
      </c>
      <c r="P345" t="str" cm="1">
        <f t="array" ref="P345">_xlfn.IFS(S345&lt;=PERCENTILE($S$2:$S$1000, 0.33), "Low", S345&lt;=PERCENTILE($S$2:$S$1000, 0.66), "Medium", TRUE, "High")</f>
        <v>High</v>
      </c>
      <c r="Q345" t="s">
        <v>1077</v>
      </c>
      <c r="R345" s="10">
        <v>1231.8</v>
      </c>
      <c r="S345" s="10">
        <v>2015.99</v>
      </c>
      <c r="T345" s="8">
        <v>0.26100000000000001</v>
      </c>
      <c r="U345" s="12">
        <f t="shared" si="106"/>
        <v>1</v>
      </c>
      <c r="V345" s="6">
        <v>6</v>
      </c>
      <c r="W345" t="str">
        <f t="shared" si="96"/>
        <v>ok</v>
      </c>
      <c r="X345">
        <f t="shared" si="97"/>
        <v>16</v>
      </c>
      <c r="Y345">
        <f t="shared" si="107"/>
        <v>16</v>
      </c>
      <c r="Z345" s="10">
        <f t="shared" si="108"/>
        <v>8938.8996600000009</v>
      </c>
      <c r="AA345" s="10">
        <f t="shared" si="109"/>
        <v>7390.7999999999993</v>
      </c>
      <c r="AB345" s="10">
        <f t="shared" si="110"/>
        <v>1548.0996600000017</v>
      </c>
      <c r="AC345" s="10">
        <f t="shared" si="98"/>
        <v>606.37750000000005</v>
      </c>
      <c r="AD345" s="10">
        <f t="shared" si="99"/>
        <v>1193.865</v>
      </c>
      <c r="AE345" s="10">
        <f t="shared" si="100"/>
        <v>1912.0450000000001</v>
      </c>
      <c r="AF345" s="10" t="str">
        <f t="shared" si="101"/>
        <v>Medium</v>
      </c>
      <c r="AG345" s="6">
        <f t="shared" si="111"/>
        <v>0.17318682599464391</v>
      </c>
      <c r="AH345" s="4">
        <f t="shared" si="112"/>
        <v>44988</v>
      </c>
      <c r="AI345" t="str">
        <f t="shared" si="113"/>
        <v>Mar-2023</v>
      </c>
    </row>
    <row r="346" spans="1:35" x14ac:dyDescent="0.25">
      <c r="A346" t="s">
        <v>358</v>
      </c>
      <c r="B346" s="4">
        <v>45486</v>
      </c>
      <c r="C346" s="4" t="str">
        <f t="shared" si="102"/>
        <v>Q3-2024</v>
      </c>
      <c r="D346" s="4" t="str">
        <f t="shared" si="103"/>
        <v>Jul-2024</v>
      </c>
      <c r="E346" s="4">
        <v>45485</v>
      </c>
      <c r="F346" s="12">
        <f t="shared" si="104"/>
        <v>14</v>
      </c>
      <c r="G346" s="12">
        <f t="shared" si="95"/>
        <v>0</v>
      </c>
      <c r="H346" s="4">
        <f t="shared" si="105"/>
        <v>45500</v>
      </c>
      <c r="I346" t="s">
        <v>647</v>
      </c>
      <c r="J346" t="s">
        <v>652</v>
      </c>
      <c r="K346" t="s">
        <v>694</v>
      </c>
      <c r="L346" t="s">
        <v>705</v>
      </c>
      <c r="M346" t="s">
        <v>709</v>
      </c>
      <c r="N346" t="s">
        <v>721</v>
      </c>
      <c r="O346" t="s">
        <v>729</v>
      </c>
      <c r="P346" t="str" cm="1">
        <f t="array" ref="P346">_xlfn.IFS(S346&lt;=PERCENTILE($S$2:$S$1000, 0.33), "Low", S346&lt;=PERCENTILE($S$2:$S$1000, 0.66), "Medium", TRUE, "High")</f>
        <v>Low</v>
      </c>
      <c r="Q346" t="s">
        <v>1078</v>
      </c>
      <c r="R346" s="10">
        <v>105.13</v>
      </c>
      <c r="S346" s="10">
        <v>244.13</v>
      </c>
      <c r="T346" s="8">
        <v>7.0999999999999994E-2</v>
      </c>
      <c r="U346" s="12">
        <f t="shared" si="106"/>
        <v>0</v>
      </c>
      <c r="V346" s="6">
        <v>14</v>
      </c>
      <c r="W346" t="str">
        <f t="shared" si="96"/>
        <v>sus</v>
      </c>
      <c r="X346">
        <f t="shared" si="97"/>
        <v>-1</v>
      </c>
      <c r="Y346">
        <f t="shared" si="107"/>
        <v>1</v>
      </c>
      <c r="Z346" s="10">
        <f t="shared" si="108"/>
        <v>3175.1547799999998</v>
      </c>
      <c r="AA346" s="10">
        <f t="shared" si="109"/>
        <v>1471.82</v>
      </c>
      <c r="AB346" s="10">
        <f t="shared" si="110"/>
        <v>1703.3347799999999</v>
      </c>
      <c r="AC346" s="10">
        <f t="shared" si="98"/>
        <v>606.37750000000005</v>
      </c>
      <c r="AD346" s="10">
        <f t="shared" si="99"/>
        <v>1193.865</v>
      </c>
      <c r="AE346" s="10">
        <f t="shared" si="100"/>
        <v>1912.0450000000001</v>
      </c>
      <c r="AF346" s="10" t="str">
        <f t="shared" si="101"/>
        <v>High</v>
      </c>
      <c r="AG346" s="6">
        <f t="shared" si="111"/>
        <v>0.53645724319618837</v>
      </c>
      <c r="AH346" s="4">
        <f t="shared" si="112"/>
        <v>44955</v>
      </c>
      <c r="AI346" t="str">
        <f t="shared" si="113"/>
        <v>Jan-2023</v>
      </c>
    </row>
    <row r="347" spans="1:35" x14ac:dyDescent="0.25">
      <c r="A347" t="s">
        <v>359</v>
      </c>
      <c r="B347" s="4">
        <v>45261</v>
      </c>
      <c r="C347" s="4" t="str">
        <f t="shared" si="102"/>
        <v>Q4-2023</v>
      </c>
      <c r="D347" s="4" t="str">
        <f t="shared" si="103"/>
        <v>Dec-2023</v>
      </c>
      <c r="E347" s="4">
        <v>45278</v>
      </c>
      <c r="F347" s="12">
        <f t="shared" si="104"/>
        <v>17</v>
      </c>
      <c r="G347" s="12">
        <f t="shared" si="95"/>
        <v>0</v>
      </c>
      <c r="H347" s="4">
        <f t="shared" si="105"/>
        <v>45278</v>
      </c>
      <c r="I347" t="s">
        <v>647</v>
      </c>
      <c r="J347" t="s">
        <v>652</v>
      </c>
      <c r="K347" t="s">
        <v>694</v>
      </c>
      <c r="L347" t="s">
        <v>705</v>
      </c>
      <c r="M347" t="s">
        <v>711</v>
      </c>
      <c r="N347" t="s">
        <v>725</v>
      </c>
      <c r="O347" t="s">
        <v>731</v>
      </c>
      <c r="P347" t="str" cm="1">
        <f t="array" ref="P347">_xlfn.IFS(S347&lt;=PERCENTILE($S$2:$S$1000, 0.33), "Low", S347&lt;=PERCENTILE($S$2:$S$1000, 0.66), "Medium", TRUE, "High")</f>
        <v>High</v>
      </c>
      <c r="Q347" t="s">
        <v>1079</v>
      </c>
      <c r="R347" s="10">
        <v>1495.79</v>
      </c>
      <c r="S347" s="10">
        <v>2783.12</v>
      </c>
      <c r="T347" s="8">
        <v>0.02</v>
      </c>
      <c r="U347" s="12">
        <f t="shared" si="106"/>
        <v>0</v>
      </c>
      <c r="V347" s="6">
        <v>5</v>
      </c>
      <c r="W347" t="str">
        <f t="shared" si="96"/>
        <v>ok</v>
      </c>
      <c r="X347">
        <f t="shared" si="97"/>
        <v>17</v>
      </c>
      <c r="Y347">
        <f t="shared" si="107"/>
        <v>17</v>
      </c>
      <c r="Z347" s="10">
        <f t="shared" si="108"/>
        <v>13637.287999999999</v>
      </c>
      <c r="AA347" s="10">
        <f t="shared" si="109"/>
        <v>7478.95</v>
      </c>
      <c r="AB347" s="10">
        <f t="shared" si="110"/>
        <v>6158.3379999999988</v>
      </c>
      <c r="AC347" s="10">
        <f t="shared" si="98"/>
        <v>606.37750000000005</v>
      </c>
      <c r="AD347" s="10">
        <f t="shared" si="99"/>
        <v>1193.865</v>
      </c>
      <c r="AE347" s="10">
        <f t="shared" si="100"/>
        <v>1912.0450000000001</v>
      </c>
      <c r="AF347" s="10" t="str">
        <f t="shared" si="101"/>
        <v>Low</v>
      </c>
      <c r="AG347" s="6">
        <f t="shared" si="111"/>
        <v>0.45158084217331185</v>
      </c>
      <c r="AH347" s="4">
        <f t="shared" si="112"/>
        <v>44948</v>
      </c>
      <c r="AI347" t="str">
        <f t="shared" si="113"/>
        <v>Jan-2023</v>
      </c>
    </row>
    <row r="348" spans="1:35" x14ac:dyDescent="0.25">
      <c r="A348" t="s">
        <v>360</v>
      </c>
      <c r="B348" s="4">
        <v>45498</v>
      </c>
      <c r="C348" s="4" t="str">
        <f t="shared" si="102"/>
        <v>Q3-2024</v>
      </c>
      <c r="D348" s="4" t="str">
        <f t="shared" si="103"/>
        <v>Jul-2024</v>
      </c>
      <c r="E348" s="4">
        <v>45506</v>
      </c>
      <c r="F348" s="12">
        <f t="shared" si="104"/>
        <v>8</v>
      </c>
      <c r="G348" s="12">
        <f t="shared" si="95"/>
        <v>0</v>
      </c>
      <c r="H348" s="4">
        <f t="shared" si="105"/>
        <v>45506</v>
      </c>
      <c r="I348" t="s">
        <v>648</v>
      </c>
      <c r="J348" t="s">
        <v>653</v>
      </c>
      <c r="K348" t="s">
        <v>681</v>
      </c>
      <c r="L348" t="s">
        <v>704</v>
      </c>
      <c r="M348" t="s">
        <v>711</v>
      </c>
      <c r="N348" t="s">
        <v>713</v>
      </c>
      <c r="O348" t="s">
        <v>733</v>
      </c>
      <c r="P348" t="str" cm="1">
        <f t="array" ref="P348">_xlfn.IFS(S348&lt;=PERCENTILE($S$2:$S$1000, 0.33), "Low", S348&lt;=PERCENTILE($S$2:$S$1000, 0.66), "Medium", TRUE, "High")</f>
        <v>High</v>
      </c>
      <c r="Q348" t="s">
        <v>1080</v>
      </c>
      <c r="R348" s="10">
        <v>986.81</v>
      </c>
      <c r="S348" s="10">
        <v>2050.31</v>
      </c>
      <c r="T348" s="8">
        <v>0.10299999999999999</v>
      </c>
      <c r="U348" s="12">
        <f t="shared" si="106"/>
        <v>0</v>
      </c>
      <c r="V348" s="6">
        <v>43</v>
      </c>
      <c r="W348" t="str">
        <f t="shared" si="96"/>
        <v>ok</v>
      </c>
      <c r="X348">
        <f t="shared" si="97"/>
        <v>8</v>
      </c>
      <c r="Y348">
        <f t="shared" si="107"/>
        <v>8</v>
      </c>
      <c r="Z348" s="10">
        <f t="shared" si="108"/>
        <v>79082.507010000001</v>
      </c>
      <c r="AA348" s="10">
        <f t="shared" si="109"/>
        <v>42432.829999999994</v>
      </c>
      <c r="AB348" s="10">
        <f t="shared" si="110"/>
        <v>36649.677010000007</v>
      </c>
      <c r="AC348" s="10">
        <f t="shared" si="98"/>
        <v>606.37750000000005</v>
      </c>
      <c r="AD348" s="10">
        <f t="shared" si="99"/>
        <v>1193.865</v>
      </c>
      <c r="AE348" s="10">
        <f t="shared" si="100"/>
        <v>1912.0450000000001</v>
      </c>
      <c r="AF348" s="10" t="str">
        <f t="shared" si="101"/>
        <v>High</v>
      </c>
      <c r="AG348" s="6">
        <f t="shared" si="111"/>
        <v>0.46343595310358138</v>
      </c>
      <c r="AH348" s="4">
        <f t="shared" si="112"/>
        <v>44938</v>
      </c>
      <c r="AI348" t="str">
        <f t="shared" si="113"/>
        <v>Jan-2023</v>
      </c>
    </row>
    <row r="349" spans="1:35" x14ac:dyDescent="0.25">
      <c r="A349" t="s">
        <v>361</v>
      </c>
      <c r="B349" s="4">
        <v>45050</v>
      </c>
      <c r="C349" s="4" t="str">
        <f t="shared" si="102"/>
        <v>Q2-2023</v>
      </c>
      <c r="D349" s="4" t="str">
        <f t="shared" si="103"/>
        <v>May-2023</v>
      </c>
      <c r="E349" s="4">
        <v>45062</v>
      </c>
      <c r="F349" s="12">
        <f t="shared" si="104"/>
        <v>12</v>
      </c>
      <c r="G349" s="12">
        <f t="shared" si="95"/>
        <v>0</v>
      </c>
      <c r="H349" s="4">
        <f t="shared" si="105"/>
        <v>45062</v>
      </c>
      <c r="I349" t="s">
        <v>646</v>
      </c>
      <c r="J349" t="s">
        <v>651</v>
      </c>
      <c r="K349" t="s">
        <v>669</v>
      </c>
      <c r="L349" t="s">
        <v>705</v>
      </c>
      <c r="M349" t="s">
        <v>709</v>
      </c>
      <c r="N349" t="s">
        <v>713</v>
      </c>
      <c r="O349" t="s">
        <v>730</v>
      </c>
      <c r="P349" t="str" cm="1">
        <f t="array" ref="P349">_xlfn.IFS(S349&lt;=PERCENTILE($S$2:$S$1000, 0.33), "Low", S349&lt;=PERCENTILE($S$2:$S$1000, 0.66), "Medium", TRUE, "High")</f>
        <v>Low</v>
      </c>
      <c r="Q349" t="s">
        <v>1081</v>
      </c>
      <c r="R349" s="10">
        <v>77.739999999999995</v>
      </c>
      <c r="S349" s="10">
        <v>147.12</v>
      </c>
      <c r="T349" s="8">
        <v>0</v>
      </c>
      <c r="U349" s="12">
        <f t="shared" si="106"/>
        <v>0</v>
      </c>
      <c r="V349" s="6">
        <v>15</v>
      </c>
      <c r="W349" t="str">
        <f t="shared" si="96"/>
        <v>ok</v>
      </c>
      <c r="X349">
        <f t="shared" si="97"/>
        <v>12</v>
      </c>
      <c r="Y349">
        <f t="shared" si="107"/>
        <v>12</v>
      </c>
      <c r="Z349" s="10">
        <f t="shared" si="108"/>
        <v>2206.8000000000002</v>
      </c>
      <c r="AA349" s="10">
        <f t="shared" si="109"/>
        <v>1166.0999999999999</v>
      </c>
      <c r="AB349" s="10">
        <f t="shared" si="110"/>
        <v>1040.7000000000003</v>
      </c>
      <c r="AC349" s="10">
        <f t="shared" si="98"/>
        <v>606.37750000000005</v>
      </c>
      <c r="AD349" s="10">
        <f t="shared" si="99"/>
        <v>1193.865</v>
      </c>
      <c r="AE349" s="10">
        <f t="shared" si="100"/>
        <v>1912.0450000000001</v>
      </c>
      <c r="AF349" s="10" t="str">
        <f t="shared" si="101"/>
        <v>High</v>
      </c>
      <c r="AG349" s="6">
        <f t="shared" si="111"/>
        <v>0.47158781946710177</v>
      </c>
      <c r="AH349" s="4">
        <f t="shared" si="112"/>
        <v>44955</v>
      </c>
      <c r="AI349" t="str">
        <f t="shared" si="113"/>
        <v>Jan-2023</v>
      </c>
    </row>
    <row r="350" spans="1:35" x14ac:dyDescent="0.25">
      <c r="A350" t="s">
        <v>362</v>
      </c>
      <c r="B350" s="4">
        <v>45281</v>
      </c>
      <c r="C350" s="4" t="str">
        <f t="shared" si="102"/>
        <v>Q4-2023</v>
      </c>
      <c r="D350" s="4" t="str">
        <f t="shared" si="103"/>
        <v>Dec-2023</v>
      </c>
      <c r="E350" s="4">
        <v>45297</v>
      </c>
      <c r="F350" s="12">
        <f t="shared" si="104"/>
        <v>16</v>
      </c>
      <c r="G350" s="12">
        <f t="shared" si="95"/>
        <v>0</v>
      </c>
      <c r="H350" s="4">
        <f t="shared" si="105"/>
        <v>45297</v>
      </c>
      <c r="I350" t="s">
        <v>646</v>
      </c>
      <c r="J350" t="s">
        <v>651</v>
      </c>
      <c r="K350" t="s">
        <v>1418</v>
      </c>
      <c r="L350" t="s">
        <v>701</v>
      </c>
      <c r="M350" t="s">
        <v>709</v>
      </c>
      <c r="N350" t="s">
        <v>723</v>
      </c>
      <c r="O350" t="s">
        <v>727</v>
      </c>
      <c r="P350" t="str" cm="1">
        <f t="array" ref="P350">_xlfn.IFS(S350&lt;=PERCENTILE($S$2:$S$1000, 0.33), "Low", S350&lt;=PERCENTILE($S$2:$S$1000, 0.66), "Medium", TRUE, "High")</f>
        <v>High</v>
      </c>
      <c r="Q350" t="s">
        <v>1082</v>
      </c>
      <c r="R350" s="10">
        <v>932.61</v>
      </c>
      <c r="S350" s="10">
        <v>1982.98</v>
      </c>
      <c r="T350" s="8">
        <v>0.14399999999999999</v>
      </c>
      <c r="U350" s="12">
        <f t="shared" si="106"/>
        <v>0</v>
      </c>
      <c r="V350" s="6">
        <v>16</v>
      </c>
      <c r="W350" t="str">
        <f t="shared" si="96"/>
        <v>ok</v>
      </c>
      <c r="X350">
        <f t="shared" si="97"/>
        <v>16</v>
      </c>
      <c r="Y350">
        <f t="shared" si="107"/>
        <v>16</v>
      </c>
      <c r="Z350" s="10">
        <f t="shared" si="108"/>
        <v>27158.894079999998</v>
      </c>
      <c r="AA350" s="10">
        <f t="shared" si="109"/>
        <v>14921.76</v>
      </c>
      <c r="AB350" s="10">
        <f t="shared" si="110"/>
        <v>12237.134079999998</v>
      </c>
      <c r="AC350" s="10">
        <f t="shared" si="98"/>
        <v>606.37750000000005</v>
      </c>
      <c r="AD350" s="10">
        <f t="shared" si="99"/>
        <v>1193.865</v>
      </c>
      <c r="AE350" s="10">
        <f t="shared" si="100"/>
        <v>1912.0450000000001</v>
      </c>
      <c r="AF350" s="10" t="str">
        <f t="shared" si="101"/>
        <v>Low</v>
      </c>
      <c r="AG350" s="6">
        <f t="shared" si="111"/>
        <v>0.45057556629345635</v>
      </c>
      <c r="AH350" s="4">
        <f t="shared" si="112"/>
        <v>44946</v>
      </c>
      <c r="AI350" t="str">
        <f t="shared" si="113"/>
        <v>Jan-2023</v>
      </c>
    </row>
    <row r="351" spans="1:35" x14ac:dyDescent="0.25">
      <c r="A351" t="s">
        <v>363</v>
      </c>
      <c r="B351" s="4">
        <v>45825</v>
      </c>
      <c r="C351" s="4" t="str">
        <f t="shared" si="102"/>
        <v>Q2-2025</v>
      </c>
      <c r="D351" s="4" t="str">
        <f t="shared" si="103"/>
        <v>Jun-2025</v>
      </c>
      <c r="E351" s="4">
        <v>45843</v>
      </c>
      <c r="F351" s="12">
        <f t="shared" si="104"/>
        <v>18</v>
      </c>
      <c r="G351" s="12">
        <f t="shared" si="95"/>
        <v>0</v>
      </c>
      <c r="H351" s="4">
        <f t="shared" si="105"/>
        <v>45843</v>
      </c>
      <c r="I351" t="s">
        <v>647</v>
      </c>
      <c r="J351" t="s">
        <v>654</v>
      </c>
      <c r="K351" t="s">
        <v>680</v>
      </c>
      <c r="L351" t="s">
        <v>704</v>
      </c>
      <c r="M351" t="s">
        <v>709</v>
      </c>
      <c r="N351" t="s">
        <v>716</v>
      </c>
      <c r="O351" t="s">
        <v>731</v>
      </c>
      <c r="P351" t="str" cm="1">
        <f t="array" ref="P351">_xlfn.IFS(S351&lt;=PERCENTILE($S$2:$S$1000, 0.33), "Low", S351&lt;=PERCENTILE($S$2:$S$1000, 0.66), "Medium", TRUE, "High")</f>
        <v>High</v>
      </c>
      <c r="Q351" t="s">
        <v>1083</v>
      </c>
      <c r="R351" s="10">
        <v>982.93</v>
      </c>
      <c r="S351" s="10">
        <v>2299.3000000000002</v>
      </c>
      <c r="T351" s="8">
        <v>0.113</v>
      </c>
      <c r="U351" s="12">
        <f t="shared" si="106"/>
        <v>0</v>
      </c>
      <c r="V351" s="6">
        <v>6</v>
      </c>
      <c r="W351" t="str">
        <f t="shared" si="96"/>
        <v>ok</v>
      </c>
      <c r="X351">
        <f t="shared" si="97"/>
        <v>18</v>
      </c>
      <c r="Y351">
        <f t="shared" si="107"/>
        <v>18</v>
      </c>
      <c r="Z351" s="10">
        <f t="shared" si="108"/>
        <v>12236.874600000001</v>
      </c>
      <c r="AA351" s="10">
        <f t="shared" si="109"/>
        <v>5897.58</v>
      </c>
      <c r="AB351" s="10">
        <f t="shared" si="110"/>
        <v>6339.2946000000011</v>
      </c>
      <c r="AC351" s="10">
        <f t="shared" si="98"/>
        <v>606.37750000000005</v>
      </c>
      <c r="AD351" s="10">
        <f t="shared" si="99"/>
        <v>1193.865</v>
      </c>
      <c r="AE351" s="10">
        <f t="shared" si="100"/>
        <v>1912.0450000000001</v>
      </c>
      <c r="AF351" s="10" t="str">
        <f t="shared" si="101"/>
        <v>High</v>
      </c>
      <c r="AG351" s="6">
        <f t="shared" si="111"/>
        <v>0.51804850562087157</v>
      </c>
      <c r="AH351" s="4">
        <f t="shared" si="112"/>
        <v>44939</v>
      </c>
      <c r="AI351" t="str">
        <f t="shared" si="113"/>
        <v>Jan-2023</v>
      </c>
    </row>
    <row r="352" spans="1:35" x14ac:dyDescent="0.25">
      <c r="A352" t="s">
        <v>364</v>
      </c>
      <c r="B352" s="4">
        <v>44980</v>
      </c>
      <c r="C352" s="4" t="str">
        <f t="shared" si="102"/>
        <v>Q1-2023</v>
      </c>
      <c r="D352" s="4" t="str">
        <f t="shared" si="103"/>
        <v>Feb-2023</v>
      </c>
      <c r="E352" s="4">
        <v>44993</v>
      </c>
      <c r="F352" s="12">
        <f t="shared" si="104"/>
        <v>13</v>
      </c>
      <c r="G352" s="12">
        <f t="shared" si="95"/>
        <v>0</v>
      </c>
      <c r="H352" s="4">
        <f t="shared" si="105"/>
        <v>44993</v>
      </c>
      <c r="I352" t="s">
        <v>649</v>
      </c>
      <c r="J352" t="s">
        <v>658</v>
      </c>
      <c r="K352" t="s">
        <v>693</v>
      </c>
      <c r="L352" t="s">
        <v>705</v>
      </c>
      <c r="M352" t="s">
        <v>711</v>
      </c>
      <c r="N352" t="s">
        <v>712</v>
      </c>
      <c r="O352" t="s">
        <v>728</v>
      </c>
      <c r="P352" t="str" cm="1">
        <f t="array" ref="P352">_xlfn.IFS(S352&lt;=PERCENTILE($S$2:$S$1000, 0.33), "Low", S352&lt;=PERCENTILE($S$2:$S$1000, 0.66), "Medium", TRUE, "High")</f>
        <v>Low</v>
      </c>
      <c r="Q352" t="s">
        <v>1084</v>
      </c>
      <c r="R352" s="10">
        <v>307.37</v>
      </c>
      <c r="S352" s="10">
        <v>462.61</v>
      </c>
      <c r="T352" s="8">
        <v>0.188</v>
      </c>
      <c r="U352" s="12">
        <f t="shared" si="106"/>
        <v>0</v>
      </c>
      <c r="V352" s="6">
        <v>11</v>
      </c>
      <c r="W352" t="str">
        <f t="shared" si="96"/>
        <v>ok</v>
      </c>
      <c r="X352">
        <f t="shared" si="97"/>
        <v>13</v>
      </c>
      <c r="Y352">
        <f t="shared" si="107"/>
        <v>13</v>
      </c>
      <c r="Z352" s="10">
        <f t="shared" si="108"/>
        <v>4132.0325200000007</v>
      </c>
      <c r="AA352" s="10">
        <f t="shared" si="109"/>
        <v>3381.07</v>
      </c>
      <c r="AB352" s="10">
        <f t="shared" si="110"/>
        <v>750.9625200000005</v>
      </c>
      <c r="AC352" s="10">
        <f t="shared" si="98"/>
        <v>606.37750000000005</v>
      </c>
      <c r="AD352" s="10">
        <f t="shared" si="99"/>
        <v>1193.865</v>
      </c>
      <c r="AE352" s="10">
        <f t="shared" si="100"/>
        <v>1912.0450000000001</v>
      </c>
      <c r="AF352" s="10" t="str">
        <f t="shared" si="101"/>
        <v>High</v>
      </c>
      <c r="AG352" s="6">
        <f t="shared" si="111"/>
        <v>0.18174167709599739</v>
      </c>
      <c r="AH352" s="4">
        <f t="shared" si="112"/>
        <v>44933</v>
      </c>
      <c r="AI352" t="str">
        <f t="shared" si="113"/>
        <v>Jan-2023</v>
      </c>
    </row>
    <row r="353" spans="1:35" x14ac:dyDescent="0.25">
      <c r="A353" t="s">
        <v>365</v>
      </c>
      <c r="B353" s="4">
        <v>45262</v>
      </c>
      <c r="C353" s="4" t="str">
        <f t="shared" si="102"/>
        <v>Q4-2023</v>
      </c>
      <c r="D353" s="4" t="str">
        <f t="shared" si="103"/>
        <v>Dec-2023</v>
      </c>
      <c r="E353" s="4">
        <v>45276</v>
      </c>
      <c r="F353" s="12">
        <f t="shared" si="104"/>
        <v>14</v>
      </c>
      <c r="G353" s="12">
        <f t="shared" si="95"/>
        <v>0</v>
      </c>
      <c r="H353" s="4">
        <f t="shared" si="105"/>
        <v>45276</v>
      </c>
      <c r="I353" t="s">
        <v>649</v>
      </c>
      <c r="J353" t="s">
        <v>656</v>
      </c>
      <c r="K353" t="s">
        <v>698</v>
      </c>
      <c r="L353" t="s">
        <v>702</v>
      </c>
      <c r="M353" t="s">
        <v>711</v>
      </c>
      <c r="N353" t="s">
        <v>725</v>
      </c>
      <c r="O353" t="s">
        <v>732</v>
      </c>
      <c r="P353" t="str" cm="1">
        <f t="array" ref="P353">_xlfn.IFS(S353&lt;=PERCENTILE($S$2:$S$1000, 0.33), "Low", S353&lt;=PERCENTILE($S$2:$S$1000, 0.66), "Medium", TRUE, "High")</f>
        <v>Medium</v>
      </c>
      <c r="Q353" t="s">
        <v>1085</v>
      </c>
      <c r="R353" s="10">
        <v>879.08</v>
      </c>
      <c r="S353" s="10">
        <v>1093.3900000000001</v>
      </c>
      <c r="T353" s="8">
        <v>0.113</v>
      </c>
      <c r="U353" s="12">
        <f t="shared" si="106"/>
        <v>0</v>
      </c>
      <c r="V353" s="6">
        <v>17</v>
      </c>
      <c r="W353" t="str">
        <f t="shared" si="96"/>
        <v>ok</v>
      </c>
      <c r="X353">
        <f t="shared" si="97"/>
        <v>14</v>
      </c>
      <c r="Y353">
        <f t="shared" si="107"/>
        <v>14</v>
      </c>
      <c r="Z353" s="10">
        <f t="shared" si="108"/>
        <v>16487.22781</v>
      </c>
      <c r="AA353" s="10">
        <f t="shared" si="109"/>
        <v>14944.36</v>
      </c>
      <c r="AB353" s="10">
        <f t="shared" si="110"/>
        <v>1542.8678099999997</v>
      </c>
      <c r="AC353" s="10">
        <f t="shared" si="98"/>
        <v>606.37750000000005</v>
      </c>
      <c r="AD353" s="10">
        <f t="shared" si="99"/>
        <v>1193.865</v>
      </c>
      <c r="AE353" s="10">
        <f t="shared" si="100"/>
        <v>1912.0450000000001</v>
      </c>
      <c r="AF353" s="10" t="str">
        <f t="shared" si="101"/>
        <v>Low</v>
      </c>
      <c r="AG353" s="6">
        <f t="shared" si="111"/>
        <v>9.3579577341935186E-2</v>
      </c>
      <c r="AH353" s="4">
        <f t="shared" si="112"/>
        <v>44933</v>
      </c>
      <c r="AI353" t="str">
        <f t="shared" si="113"/>
        <v>Jan-2023</v>
      </c>
    </row>
    <row r="354" spans="1:35" x14ac:dyDescent="0.25">
      <c r="A354" t="s">
        <v>366</v>
      </c>
      <c r="B354" s="4">
        <v>45121</v>
      </c>
      <c r="C354" s="4" t="str">
        <f t="shared" si="102"/>
        <v>Q3-2023</v>
      </c>
      <c r="D354" s="4" t="str">
        <f t="shared" si="103"/>
        <v>Jul-2023</v>
      </c>
      <c r="E354" s="4">
        <v>45121</v>
      </c>
      <c r="F354" s="12">
        <f t="shared" si="104"/>
        <v>0</v>
      </c>
      <c r="G354" s="12">
        <f t="shared" si="95"/>
        <v>1</v>
      </c>
      <c r="H354" s="4">
        <f t="shared" si="105"/>
        <v>45121</v>
      </c>
      <c r="I354" t="s">
        <v>646</v>
      </c>
      <c r="J354" t="s">
        <v>651</v>
      </c>
      <c r="K354" t="s">
        <v>665</v>
      </c>
      <c r="L354" t="s">
        <v>702</v>
      </c>
      <c r="M354" t="s">
        <v>707</v>
      </c>
      <c r="N354" t="s">
        <v>714</v>
      </c>
      <c r="O354" t="s">
        <v>733</v>
      </c>
      <c r="P354" t="str" cm="1">
        <f t="array" ref="P354">_xlfn.IFS(S354&lt;=PERCENTILE($S$2:$S$1000, 0.33), "Low", S354&lt;=PERCENTILE($S$2:$S$1000, 0.66), "Medium", TRUE, "High")</f>
        <v>Medium</v>
      </c>
      <c r="Q354" t="s">
        <v>1086</v>
      </c>
      <c r="R354" s="10">
        <v>956.38</v>
      </c>
      <c r="S354" s="10">
        <v>1454.22</v>
      </c>
      <c r="T354" s="8">
        <v>3.9E-2</v>
      </c>
      <c r="U354" s="12">
        <f t="shared" si="106"/>
        <v>0</v>
      </c>
      <c r="V354" s="6">
        <v>19</v>
      </c>
      <c r="W354" t="str">
        <f t="shared" si="96"/>
        <v>sus</v>
      </c>
      <c r="X354">
        <f t="shared" si="97"/>
        <v>0</v>
      </c>
      <c r="Y354">
        <f t="shared" si="107"/>
        <v>0</v>
      </c>
      <c r="Z354" s="10">
        <f t="shared" si="108"/>
        <v>26552.60298</v>
      </c>
      <c r="AA354" s="10">
        <f t="shared" si="109"/>
        <v>18171.22</v>
      </c>
      <c r="AB354" s="10">
        <f t="shared" si="110"/>
        <v>8381.3829799999985</v>
      </c>
      <c r="AC354" s="10">
        <f t="shared" si="98"/>
        <v>606.37750000000005</v>
      </c>
      <c r="AD354" s="10">
        <f t="shared" si="99"/>
        <v>1193.865</v>
      </c>
      <c r="AE354" s="10">
        <f t="shared" si="100"/>
        <v>1912.0450000000001</v>
      </c>
      <c r="AF354" s="10" t="str">
        <f t="shared" si="101"/>
        <v>Medium</v>
      </c>
      <c r="AG354" s="6">
        <f t="shared" si="111"/>
        <v>0.31565202802576603</v>
      </c>
      <c r="AH354" s="4">
        <f t="shared" si="112"/>
        <v>44945</v>
      </c>
      <c r="AI354" t="str">
        <f t="shared" si="113"/>
        <v>Jan-2023</v>
      </c>
    </row>
    <row r="355" spans="1:35" x14ac:dyDescent="0.25">
      <c r="A355" t="s">
        <v>367</v>
      </c>
      <c r="B355" s="4">
        <v>45512</v>
      </c>
      <c r="C355" s="4" t="str">
        <f t="shared" si="102"/>
        <v>Q3-2024</v>
      </c>
      <c r="D355" s="4" t="str">
        <f t="shared" si="103"/>
        <v>Aug-2024</v>
      </c>
      <c r="E355" s="4">
        <v>45524</v>
      </c>
      <c r="F355" s="12">
        <f t="shared" si="104"/>
        <v>12</v>
      </c>
      <c r="G355" s="12">
        <f t="shared" si="95"/>
        <v>0</v>
      </c>
      <c r="H355" s="4">
        <f t="shared" si="105"/>
        <v>45524</v>
      </c>
      <c r="I355" t="s">
        <v>647</v>
      </c>
      <c r="J355" t="s">
        <v>652</v>
      </c>
      <c r="K355" t="s">
        <v>666</v>
      </c>
      <c r="L355" t="s">
        <v>705</v>
      </c>
      <c r="M355" t="s">
        <v>707</v>
      </c>
      <c r="N355" t="s">
        <v>722</v>
      </c>
      <c r="O355" t="s">
        <v>729</v>
      </c>
      <c r="P355" t="str" cm="1">
        <f t="array" ref="P355">_xlfn.IFS(S355&lt;=PERCENTILE($S$2:$S$1000, 0.33), "Low", S355&lt;=PERCENTILE($S$2:$S$1000, 0.66), "Medium", TRUE, "High")</f>
        <v>High</v>
      </c>
      <c r="Q355" t="s">
        <v>1087</v>
      </c>
      <c r="R355" s="10">
        <v>1233.3599999999999</v>
      </c>
      <c r="S355" s="10">
        <v>2120.4</v>
      </c>
      <c r="T355" s="8">
        <v>0.17899999999999999</v>
      </c>
      <c r="U355" s="12">
        <f t="shared" si="106"/>
        <v>0</v>
      </c>
      <c r="V355" s="6">
        <v>20</v>
      </c>
      <c r="W355" t="str">
        <f t="shared" si="96"/>
        <v>ok</v>
      </c>
      <c r="X355">
        <f t="shared" si="97"/>
        <v>12</v>
      </c>
      <c r="Y355">
        <f t="shared" si="107"/>
        <v>12</v>
      </c>
      <c r="Z355" s="10">
        <f t="shared" si="108"/>
        <v>34816.968000000001</v>
      </c>
      <c r="AA355" s="10">
        <f t="shared" si="109"/>
        <v>24667.199999999997</v>
      </c>
      <c r="AB355" s="10">
        <f t="shared" si="110"/>
        <v>10149.768000000004</v>
      </c>
      <c r="AC355" s="10">
        <f t="shared" si="98"/>
        <v>606.37750000000005</v>
      </c>
      <c r="AD355" s="10">
        <f t="shared" si="99"/>
        <v>1193.865</v>
      </c>
      <c r="AE355" s="10">
        <f t="shared" si="100"/>
        <v>1912.0450000000001</v>
      </c>
      <c r="AF355" s="10" t="str">
        <f t="shared" si="101"/>
        <v>Medium</v>
      </c>
      <c r="AG355" s="6">
        <f t="shared" si="111"/>
        <v>0.29151785991244278</v>
      </c>
      <c r="AH355" s="4">
        <f t="shared" si="112"/>
        <v>44955</v>
      </c>
      <c r="AI355" t="str">
        <f t="shared" si="113"/>
        <v>Jan-2023</v>
      </c>
    </row>
    <row r="356" spans="1:35" x14ac:dyDescent="0.25">
      <c r="A356" t="s">
        <v>368</v>
      </c>
      <c r="B356" s="4">
        <v>45603</v>
      </c>
      <c r="C356" s="4" t="str">
        <f t="shared" si="102"/>
        <v>Q4-2024</v>
      </c>
      <c r="D356" s="4" t="str">
        <f t="shared" si="103"/>
        <v>Nov-2024</v>
      </c>
      <c r="E356" s="4">
        <v>45622</v>
      </c>
      <c r="F356" s="12">
        <f t="shared" si="104"/>
        <v>19</v>
      </c>
      <c r="G356" s="12">
        <f t="shared" si="95"/>
        <v>0</v>
      </c>
      <c r="H356" s="4">
        <f t="shared" si="105"/>
        <v>45622</v>
      </c>
      <c r="I356" t="s">
        <v>648</v>
      </c>
      <c r="J356" t="s">
        <v>655</v>
      </c>
      <c r="K356" t="s">
        <v>692</v>
      </c>
      <c r="L356" t="s">
        <v>703</v>
      </c>
      <c r="M356" t="s">
        <v>710</v>
      </c>
      <c r="N356" t="s">
        <v>713</v>
      </c>
      <c r="O356" t="s">
        <v>728</v>
      </c>
      <c r="P356" t="str" cm="1">
        <f t="array" ref="P356">_xlfn.IFS(S356&lt;=PERCENTILE($S$2:$S$1000, 0.33), "Low", S356&lt;=PERCENTILE($S$2:$S$1000, 0.66), "Medium", TRUE, "High")</f>
        <v>Low</v>
      </c>
      <c r="Q356" t="s">
        <v>1088</v>
      </c>
      <c r="R356" s="10">
        <v>55.35</v>
      </c>
      <c r="S356" s="10">
        <v>128.68</v>
      </c>
      <c r="T356" s="8">
        <v>0.128</v>
      </c>
      <c r="U356" s="12">
        <f t="shared" si="106"/>
        <v>0</v>
      </c>
      <c r="V356" s="6">
        <v>10</v>
      </c>
      <c r="W356" t="str">
        <f t="shared" si="96"/>
        <v>ok</v>
      </c>
      <c r="X356">
        <f t="shared" si="97"/>
        <v>19</v>
      </c>
      <c r="Y356">
        <f t="shared" si="107"/>
        <v>19</v>
      </c>
      <c r="Z356" s="10">
        <f t="shared" si="108"/>
        <v>1122.0896000000002</v>
      </c>
      <c r="AA356" s="10">
        <f t="shared" si="109"/>
        <v>553.5</v>
      </c>
      <c r="AB356" s="10">
        <f t="shared" si="110"/>
        <v>568.58960000000025</v>
      </c>
      <c r="AC356" s="10">
        <f t="shared" si="98"/>
        <v>606.37750000000005</v>
      </c>
      <c r="AD356" s="10">
        <f t="shared" si="99"/>
        <v>1193.865</v>
      </c>
      <c r="AE356" s="10">
        <f t="shared" si="100"/>
        <v>1912.0450000000001</v>
      </c>
      <c r="AF356" s="10" t="str">
        <f t="shared" si="101"/>
        <v>High</v>
      </c>
      <c r="AG356" s="6">
        <f t="shared" si="111"/>
        <v>0.50672388372550647</v>
      </c>
      <c r="AH356" s="4">
        <f t="shared" si="112"/>
        <v>44988</v>
      </c>
      <c r="AI356" t="str">
        <f t="shared" si="113"/>
        <v>Mar-2023</v>
      </c>
    </row>
    <row r="357" spans="1:35" x14ac:dyDescent="0.25">
      <c r="A357" t="s">
        <v>369</v>
      </c>
      <c r="B357" s="4">
        <v>45292</v>
      </c>
      <c r="C357" s="4" t="str">
        <f t="shared" si="102"/>
        <v>Q1-2024</v>
      </c>
      <c r="D357" s="4" t="str">
        <f t="shared" si="103"/>
        <v>Jan-2024</v>
      </c>
      <c r="E357" s="4">
        <v>45318</v>
      </c>
      <c r="F357" s="12">
        <f t="shared" si="104"/>
        <v>26</v>
      </c>
      <c r="G357" s="12">
        <f t="shared" si="95"/>
        <v>0</v>
      </c>
      <c r="H357" s="4">
        <f t="shared" si="105"/>
        <v>45318</v>
      </c>
      <c r="I357" t="s">
        <v>649</v>
      </c>
      <c r="J357" t="s">
        <v>658</v>
      </c>
      <c r="K357" t="s">
        <v>693</v>
      </c>
      <c r="L357" t="s">
        <v>702</v>
      </c>
      <c r="M357" t="s">
        <v>710</v>
      </c>
      <c r="N357" t="s">
        <v>726</v>
      </c>
      <c r="O357" t="s">
        <v>733</v>
      </c>
      <c r="P357" t="str" cm="1">
        <f t="array" ref="P357">_xlfn.IFS(S357&lt;=PERCENTILE($S$2:$S$1000, 0.33), "Low", S357&lt;=PERCENTILE($S$2:$S$1000, 0.66), "Medium", TRUE, "High")</f>
        <v>Medium</v>
      </c>
      <c r="Q357" t="s">
        <v>1089</v>
      </c>
      <c r="R357" s="10">
        <v>657.45</v>
      </c>
      <c r="S357" s="10">
        <v>1325.96</v>
      </c>
      <c r="T357" s="8">
        <v>0.16700000000000001</v>
      </c>
      <c r="U357" s="12">
        <f t="shared" si="106"/>
        <v>0</v>
      </c>
      <c r="V357" s="6">
        <v>21</v>
      </c>
      <c r="W357" t="str">
        <f t="shared" si="96"/>
        <v>ok</v>
      </c>
      <c r="X357">
        <f t="shared" si="97"/>
        <v>26</v>
      </c>
      <c r="Y357">
        <f t="shared" si="107"/>
        <v>26</v>
      </c>
      <c r="Z357" s="10">
        <f t="shared" si="108"/>
        <v>23195.01828</v>
      </c>
      <c r="AA357" s="10">
        <f t="shared" si="109"/>
        <v>13806.45</v>
      </c>
      <c r="AB357" s="10">
        <f t="shared" si="110"/>
        <v>9388.5682799999995</v>
      </c>
      <c r="AC357" s="10">
        <f t="shared" si="98"/>
        <v>606.37750000000005</v>
      </c>
      <c r="AD357" s="10">
        <f t="shared" si="99"/>
        <v>1193.865</v>
      </c>
      <c r="AE357" s="10">
        <f t="shared" si="100"/>
        <v>1912.0450000000001</v>
      </c>
      <c r="AF357" s="10" t="str">
        <f t="shared" si="101"/>
        <v>Low</v>
      </c>
      <c r="AG357" s="6">
        <f t="shared" si="111"/>
        <v>0.40476658249048808</v>
      </c>
      <c r="AH357" s="4">
        <f t="shared" si="112"/>
        <v>44939</v>
      </c>
      <c r="AI357" t="str">
        <f t="shared" si="113"/>
        <v>Jan-2023</v>
      </c>
    </row>
    <row r="358" spans="1:35" x14ac:dyDescent="0.25">
      <c r="A358" t="s">
        <v>370</v>
      </c>
      <c r="B358" s="4">
        <v>45883</v>
      </c>
      <c r="C358" s="4" t="str">
        <f t="shared" si="102"/>
        <v>Q3-2025</v>
      </c>
      <c r="D358" s="4" t="str">
        <f t="shared" si="103"/>
        <v>Aug-2025</v>
      </c>
      <c r="E358" s="4">
        <v>45911</v>
      </c>
      <c r="F358" s="12">
        <f t="shared" si="104"/>
        <v>28</v>
      </c>
      <c r="G358" s="12">
        <f t="shared" si="95"/>
        <v>0</v>
      </c>
      <c r="H358" s="4">
        <f t="shared" si="105"/>
        <v>45911</v>
      </c>
      <c r="I358" t="s">
        <v>648</v>
      </c>
      <c r="J358" t="s">
        <v>655</v>
      </c>
      <c r="K358" t="s">
        <v>670</v>
      </c>
      <c r="L358" t="s">
        <v>703</v>
      </c>
      <c r="M358" t="s">
        <v>711</v>
      </c>
      <c r="N358" t="s">
        <v>721</v>
      </c>
      <c r="O358" t="s">
        <v>728</v>
      </c>
      <c r="P358" t="str" cm="1">
        <f t="array" ref="P358">_xlfn.IFS(S358&lt;=PERCENTILE($S$2:$S$1000, 0.33), "Low", S358&lt;=PERCENTILE($S$2:$S$1000, 0.66), "Medium", TRUE, "High")</f>
        <v>High</v>
      </c>
      <c r="Q358" t="s">
        <v>1090</v>
      </c>
      <c r="R358" s="10">
        <v>1203.02</v>
      </c>
      <c r="S358" s="10">
        <v>2439.33</v>
      </c>
      <c r="T358" s="8">
        <v>0</v>
      </c>
      <c r="U358" s="12">
        <f t="shared" si="106"/>
        <v>0</v>
      </c>
      <c r="V358" s="6">
        <v>18</v>
      </c>
      <c r="W358" t="str">
        <f t="shared" si="96"/>
        <v>ok</v>
      </c>
      <c r="X358">
        <f t="shared" si="97"/>
        <v>28</v>
      </c>
      <c r="Y358">
        <f t="shared" si="107"/>
        <v>28</v>
      </c>
      <c r="Z358" s="10">
        <f t="shared" si="108"/>
        <v>43907.94</v>
      </c>
      <c r="AA358" s="10">
        <f t="shared" si="109"/>
        <v>21654.36</v>
      </c>
      <c r="AB358" s="10">
        <f t="shared" si="110"/>
        <v>22253.58</v>
      </c>
      <c r="AC358" s="10">
        <f t="shared" si="98"/>
        <v>606.37750000000005</v>
      </c>
      <c r="AD358" s="10">
        <f t="shared" si="99"/>
        <v>1193.865</v>
      </c>
      <c r="AE358" s="10">
        <f t="shared" si="100"/>
        <v>1912.0450000000001</v>
      </c>
      <c r="AF358" s="10" t="str">
        <f t="shared" si="101"/>
        <v>Medium</v>
      </c>
      <c r="AG358" s="6">
        <f t="shared" si="111"/>
        <v>0.50682359500354612</v>
      </c>
      <c r="AH358" s="4">
        <f t="shared" si="112"/>
        <v>44939</v>
      </c>
      <c r="AI358" t="str">
        <f t="shared" si="113"/>
        <v>Jan-2023</v>
      </c>
    </row>
    <row r="359" spans="1:35" x14ac:dyDescent="0.25">
      <c r="A359" t="s">
        <v>371</v>
      </c>
      <c r="B359" s="4">
        <v>45385</v>
      </c>
      <c r="C359" s="4" t="str">
        <f t="shared" si="102"/>
        <v>Q2-2024</v>
      </c>
      <c r="D359" s="4" t="str">
        <f t="shared" si="103"/>
        <v>Apr-2024</v>
      </c>
      <c r="E359" s="4">
        <v>45403</v>
      </c>
      <c r="F359" s="12">
        <f t="shared" si="104"/>
        <v>18</v>
      </c>
      <c r="G359" s="12">
        <f t="shared" si="95"/>
        <v>0</v>
      </c>
      <c r="H359" s="4">
        <f t="shared" si="105"/>
        <v>45403</v>
      </c>
      <c r="I359" t="s">
        <v>648</v>
      </c>
      <c r="J359" t="s">
        <v>655</v>
      </c>
      <c r="K359" t="s">
        <v>672</v>
      </c>
      <c r="L359" t="s">
        <v>705</v>
      </c>
      <c r="M359" t="s">
        <v>710</v>
      </c>
      <c r="N359" t="s">
        <v>717</v>
      </c>
      <c r="O359" t="s">
        <v>729</v>
      </c>
      <c r="P359" t="str" cm="1">
        <f t="array" ref="P359">_xlfn.IFS(S359&lt;=PERCENTILE($S$2:$S$1000, 0.33), "Low", S359&lt;=PERCENTILE($S$2:$S$1000, 0.66), "Medium", TRUE, "High")</f>
        <v>High</v>
      </c>
      <c r="Q359" t="s">
        <v>1091</v>
      </c>
      <c r="R359" s="10">
        <v>1176.69</v>
      </c>
      <c r="S359" s="10">
        <v>2201.54</v>
      </c>
      <c r="T359" s="8">
        <v>0.17</v>
      </c>
      <c r="U359" s="12">
        <f t="shared" si="106"/>
        <v>0</v>
      </c>
      <c r="V359" s="6">
        <v>27</v>
      </c>
      <c r="W359" t="str">
        <f t="shared" si="96"/>
        <v>ok</v>
      </c>
      <c r="X359">
        <f t="shared" si="97"/>
        <v>18</v>
      </c>
      <c r="Y359">
        <f t="shared" si="107"/>
        <v>18</v>
      </c>
      <c r="Z359" s="10">
        <f t="shared" si="108"/>
        <v>49336.511399999996</v>
      </c>
      <c r="AA359" s="10">
        <f t="shared" si="109"/>
        <v>31770.63</v>
      </c>
      <c r="AB359" s="10">
        <f t="shared" si="110"/>
        <v>17565.881399999995</v>
      </c>
      <c r="AC359" s="10">
        <f t="shared" si="98"/>
        <v>606.37750000000005</v>
      </c>
      <c r="AD359" s="10">
        <f t="shared" si="99"/>
        <v>1193.865</v>
      </c>
      <c r="AE359" s="10">
        <f t="shared" si="100"/>
        <v>1912.0450000000001</v>
      </c>
      <c r="AF359" s="10" t="str">
        <f t="shared" si="101"/>
        <v>High</v>
      </c>
      <c r="AG359" s="6">
        <f t="shared" si="111"/>
        <v>0.35604222717701106</v>
      </c>
      <c r="AH359" s="4">
        <f t="shared" si="112"/>
        <v>44946</v>
      </c>
      <c r="AI359" t="str">
        <f t="shared" si="113"/>
        <v>Jan-2023</v>
      </c>
    </row>
    <row r="360" spans="1:35" x14ac:dyDescent="0.25">
      <c r="A360" t="s">
        <v>372</v>
      </c>
      <c r="B360" s="4">
        <v>45621</v>
      </c>
      <c r="C360" s="4" t="str">
        <f t="shared" si="102"/>
        <v>Q4-2024</v>
      </c>
      <c r="D360" s="4" t="str">
        <f t="shared" si="103"/>
        <v>Nov-2024</v>
      </c>
      <c r="E360" s="4">
        <v>45633</v>
      </c>
      <c r="F360" s="12">
        <f t="shared" si="104"/>
        <v>12</v>
      </c>
      <c r="G360" s="12">
        <f t="shared" si="95"/>
        <v>0</v>
      </c>
      <c r="H360" s="4">
        <f t="shared" si="105"/>
        <v>45633</v>
      </c>
      <c r="I360" t="s">
        <v>647</v>
      </c>
      <c r="J360" t="s">
        <v>659</v>
      </c>
      <c r="K360" t="s">
        <v>685</v>
      </c>
      <c r="L360" t="s">
        <v>701</v>
      </c>
      <c r="M360" t="s">
        <v>710</v>
      </c>
      <c r="N360" t="s">
        <v>720</v>
      </c>
      <c r="O360" t="s">
        <v>733</v>
      </c>
      <c r="P360" t="str" cm="1">
        <f t="array" ref="P360">_xlfn.IFS(S360&lt;=PERCENTILE($S$2:$S$1000, 0.33), "Low", S360&lt;=PERCENTILE($S$2:$S$1000, 0.66), "Medium", TRUE, "High")</f>
        <v>Low</v>
      </c>
      <c r="Q360" t="s">
        <v>1092</v>
      </c>
      <c r="R360" s="10">
        <v>769.9</v>
      </c>
      <c r="S360" s="10">
        <v>814.36</v>
      </c>
      <c r="T360" s="8">
        <v>0</v>
      </c>
      <c r="U360" s="12">
        <f t="shared" si="106"/>
        <v>0</v>
      </c>
      <c r="V360" s="6">
        <v>5</v>
      </c>
      <c r="W360" t="str">
        <f t="shared" si="96"/>
        <v>ok</v>
      </c>
      <c r="X360">
        <f t="shared" si="97"/>
        <v>12</v>
      </c>
      <c r="Y360">
        <f t="shared" si="107"/>
        <v>12</v>
      </c>
      <c r="Z360" s="10">
        <f t="shared" si="108"/>
        <v>4071.8</v>
      </c>
      <c r="AA360" s="10">
        <f t="shared" si="109"/>
        <v>3849.5</v>
      </c>
      <c r="AB360" s="10">
        <f t="shared" si="110"/>
        <v>222.30000000000018</v>
      </c>
      <c r="AC360" s="10">
        <f t="shared" si="98"/>
        <v>606.37750000000005</v>
      </c>
      <c r="AD360" s="10">
        <f t="shared" si="99"/>
        <v>1193.865</v>
      </c>
      <c r="AE360" s="10">
        <f t="shared" si="100"/>
        <v>1912.0450000000001</v>
      </c>
      <c r="AF360" s="10" t="str">
        <f t="shared" si="101"/>
        <v>High</v>
      </c>
      <c r="AG360" s="6">
        <f t="shared" si="111"/>
        <v>5.4595019401738831E-2</v>
      </c>
      <c r="AH360" s="4">
        <f t="shared" si="112"/>
        <v>44938</v>
      </c>
      <c r="AI360" t="str">
        <f t="shared" si="113"/>
        <v>Jan-2023</v>
      </c>
    </row>
    <row r="361" spans="1:35" x14ac:dyDescent="0.25">
      <c r="A361" t="s">
        <v>373</v>
      </c>
      <c r="B361" s="4">
        <v>45309</v>
      </c>
      <c r="C361" s="4" t="str">
        <f t="shared" si="102"/>
        <v>Q1-2024</v>
      </c>
      <c r="D361" s="4" t="str">
        <f t="shared" si="103"/>
        <v>Jan-2024</v>
      </c>
      <c r="E361" s="4">
        <v>45325</v>
      </c>
      <c r="F361" s="12">
        <f t="shared" si="104"/>
        <v>16</v>
      </c>
      <c r="G361" s="12">
        <f t="shared" si="95"/>
        <v>0</v>
      </c>
      <c r="H361" s="4">
        <f t="shared" si="105"/>
        <v>45325</v>
      </c>
      <c r="I361" t="s">
        <v>646</v>
      </c>
      <c r="J361" t="s">
        <v>661</v>
      </c>
      <c r="K361" t="s">
        <v>695</v>
      </c>
      <c r="L361" t="s">
        <v>703</v>
      </c>
      <c r="M361" t="s">
        <v>710</v>
      </c>
      <c r="N361" t="s">
        <v>716</v>
      </c>
      <c r="O361" t="s">
        <v>728</v>
      </c>
      <c r="P361" t="str" cm="1">
        <f t="array" ref="P361">_xlfn.IFS(S361&lt;=PERCENTILE($S$2:$S$1000, 0.33), "Low", S361&lt;=PERCENTILE($S$2:$S$1000, 0.66), "Medium", TRUE, "High")</f>
        <v>Medium</v>
      </c>
      <c r="Q361" t="s">
        <v>1093</v>
      </c>
      <c r="R361" s="10">
        <v>666.23</v>
      </c>
      <c r="S361" s="10">
        <v>1382.91</v>
      </c>
      <c r="T361" s="8">
        <v>0.17599999999999999</v>
      </c>
      <c r="U361" s="12">
        <f t="shared" si="106"/>
        <v>0</v>
      </c>
      <c r="V361" s="6">
        <v>13</v>
      </c>
      <c r="W361" t="str">
        <f t="shared" si="96"/>
        <v>ok</v>
      </c>
      <c r="X361">
        <f t="shared" si="97"/>
        <v>16</v>
      </c>
      <c r="Y361">
        <f t="shared" si="107"/>
        <v>16</v>
      </c>
      <c r="Z361" s="10">
        <f t="shared" si="108"/>
        <v>14813.731920000002</v>
      </c>
      <c r="AA361" s="10">
        <f t="shared" si="109"/>
        <v>8660.99</v>
      </c>
      <c r="AB361" s="10">
        <f t="shared" si="110"/>
        <v>6152.7419200000022</v>
      </c>
      <c r="AC361" s="10">
        <f t="shared" si="98"/>
        <v>606.37750000000005</v>
      </c>
      <c r="AD361" s="10">
        <f t="shared" si="99"/>
        <v>1193.865</v>
      </c>
      <c r="AE361" s="10">
        <f t="shared" si="100"/>
        <v>1912.0450000000001</v>
      </c>
      <c r="AF361" s="10" t="str">
        <f t="shared" si="101"/>
        <v>Medium</v>
      </c>
      <c r="AG361" s="6">
        <f t="shared" si="111"/>
        <v>0.41534043907553048</v>
      </c>
      <c r="AH361" s="4">
        <f t="shared" si="112"/>
        <v>44955</v>
      </c>
      <c r="AI361" t="str">
        <f t="shared" si="113"/>
        <v>Jan-2023</v>
      </c>
    </row>
    <row r="362" spans="1:35" x14ac:dyDescent="0.25">
      <c r="A362" t="s">
        <v>374</v>
      </c>
      <c r="B362" s="4">
        <v>45466</v>
      </c>
      <c r="C362" s="4" t="str">
        <f t="shared" si="102"/>
        <v>Q2-2024</v>
      </c>
      <c r="D362" s="4" t="str">
        <f t="shared" si="103"/>
        <v>Jun-2024</v>
      </c>
      <c r="E362" s="4">
        <v>45468</v>
      </c>
      <c r="F362" s="12">
        <f t="shared" si="104"/>
        <v>2</v>
      </c>
      <c r="G362" s="12">
        <f t="shared" si="95"/>
        <v>1</v>
      </c>
      <c r="H362" s="4">
        <f t="shared" si="105"/>
        <v>45468</v>
      </c>
      <c r="I362" t="s">
        <v>649</v>
      </c>
      <c r="J362" t="s">
        <v>658</v>
      </c>
      <c r="K362" t="s">
        <v>674</v>
      </c>
      <c r="L362" t="s">
        <v>705</v>
      </c>
      <c r="M362" t="s">
        <v>709</v>
      </c>
      <c r="N362" t="s">
        <v>716</v>
      </c>
      <c r="O362" t="s">
        <v>733</v>
      </c>
      <c r="P362" t="str" cm="1">
        <f t="array" ref="P362">_xlfn.IFS(S362&lt;=PERCENTILE($S$2:$S$1000, 0.33), "Low", S362&lt;=PERCENTILE($S$2:$S$1000, 0.66), "Medium", TRUE, "High")</f>
        <v>High</v>
      </c>
      <c r="Q362" t="s">
        <v>1094</v>
      </c>
      <c r="R362" s="10">
        <v>951.44</v>
      </c>
      <c r="S362" s="10">
        <v>1646.43</v>
      </c>
      <c r="T362" s="8">
        <v>0.11</v>
      </c>
      <c r="U362" s="12">
        <f t="shared" si="106"/>
        <v>0</v>
      </c>
      <c r="V362" s="6">
        <v>24</v>
      </c>
      <c r="W362" t="str">
        <f t="shared" si="96"/>
        <v>ok</v>
      </c>
      <c r="X362">
        <f t="shared" si="97"/>
        <v>2</v>
      </c>
      <c r="Y362">
        <f t="shared" si="107"/>
        <v>2</v>
      </c>
      <c r="Z362" s="10">
        <f t="shared" si="108"/>
        <v>35167.7448</v>
      </c>
      <c r="AA362" s="10">
        <f t="shared" si="109"/>
        <v>22834.560000000001</v>
      </c>
      <c r="AB362" s="10">
        <f t="shared" si="110"/>
        <v>12333.184799999999</v>
      </c>
      <c r="AC362" s="10">
        <f t="shared" si="98"/>
        <v>606.37750000000005</v>
      </c>
      <c r="AD362" s="10">
        <f t="shared" si="99"/>
        <v>1193.865</v>
      </c>
      <c r="AE362" s="10">
        <f t="shared" si="100"/>
        <v>1912.0450000000001</v>
      </c>
      <c r="AF362" s="10" t="str">
        <f t="shared" si="101"/>
        <v>Medium</v>
      </c>
      <c r="AG362" s="6">
        <f t="shared" si="111"/>
        <v>0.35069592520473475</v>
      </c>
      <c r="AH362" s="4">
        <f t="shared" si="112"/>
        <v>44941</v>
      </c>
      <c r="AI362" t="str">
        <f t="shared" si="113"/>
        <v>Jan-2023</v>
      </c>
    </row>
    <row r="363" spans="1:35" x14ac:dyDescent="0.25">
      <c r="A363" t="s">
        <v>375</v>
      </c>
      <c r="B363" s="4">
        <v>45833</v>
      </c>
      <c r="C363" s="4" t="str">
        <f t="shared" si="102"/>
        <v>Q2-2025</v>
      </c>
      <c r="D363" s="4" t="str">
        <f t="shared" si="103"/>
        <v>Jun-2025</v>
      </c>
      <c r="E363" s="4">
        <v>45848</v>
      </c>
      <c r="F363" s="12">
        <f t="shared" si="104"/>
        <v>15</v>
      </c>
      <c r="G363" s="12">
        <f t="shared" si="95"/>
        <v>0</v>
      </c>
      <c r="H363" s="4">
        <f t="shared" si="105"/>
        <v>45848</v>
      </c>
      <c r="I363" t="s">
        <v>649</v>
      </c>
      <c r="J363" t="s">
        <v>658</v>
      </c>
      <c r="K363" t="s">
        <v>674</v>
      </c>
      <c r="L363" t="s">
        <v>703</v>
      </c>
      <c r="M363" t="s">
        <v>709</v>
      </c>
      <c r="N363" t="s">
        <v>726</v>
      </c>
      <c r="O363" t="s">
        <v>730</v>
      </c>
      <c r="P363" t="str" cm="1">
        <f t="array" ref="P363">_xlfn.IFS(S363&lt;=PERCENTILE($S$2:$S$1000, 0.33), "Low", S363&lt;=PERCENTILE($S$2:$S$1000, 0.66), "Medium", TRUE, "High")</f>
        <v>Low</v>
      </c>
      <c r="Q363" t="s">
        <v>1095</v>
      </c>
      <c r="R363" s="10">
        <v>546.83000000000004</v>
      </c>
      <c r="S363" s="10">
        <v>400.84</v>
      </c>
      <c r="T363" s="8">
        <v>7.8E-2</v>
      </c>
      <c r="U363" s="12">
        <f t="shared" si="106"/>
        <v>0</v>
      </c>
      <c r="V363" s="6">
        <v>13</v>
      </c>
      <c r="W363" t="str">
        <f t="shared" si="96"/>
        <v>ok</v>
      </c>
      <c r="X363">
        <f t="shared" si="97"/>
        <v>15</v>
      </c>
      <c r="Y363">
        <f t="shared" si="107"/>
        <v>15</v>
      </c>
      <c r="Z363" s="10">
        <f t="shared" si="108"/>
        <v>4804.4682400000002</v>
      </c>
      <c r="AA363" s="10">
        <f t="shared" si="109"/>
        <v>7108.7900000000009</v>
      </c>
      <c r="AB363" s="10">
        <f t="shared" si="110"/>
        <v>-2304.3217600000007</v>
      </c>
      <c r="AC363" s="10">
        <f t="shared" si="98"/>
        <v>606.37750000000005</v>
      </c>
      <c r="AD363" s="10">
        <f t="shared" si="99"/>
        <v>1193.865</v>
      </c>
      <c r="AE363" s="10">
        <f t="shared" si="100"/>
        <v>1912.0450000000001</v>
      </c>
      <c r="AF363" s="10" t="str">
        <f t="shared" si="101"/>
        <v>Medium</v>
      </c>
      <c r="AG363" s="6">
        <f t="shared" si="111"/>
        <v>-0.47962056254533608</v>
      </c>
      <c r="AH363" s="4">
        <f t="shared" si="112"/>
        <v>44988</v>
      </c>
      <c r="AI363" t="str">
        <f t="shared" si="113"/>
        <v>Mar-2023</v>
      </c>
    </row>
    <row r="364" spans="1:35" x14ac:dyDescent="0.25">
      <c r="A364" t="s">
        <v>376</v>
      </c>
      <c r="B364" s="4">
        <v>45108</v>
      </c>
      <c r="C364" s="4" t="str">
        <f t="shared" si="102"/>
        <v>Q3-2023</v>
      </c>
      <c r="D364" s="4" t="str">
        <f t="shared" si="103"/>
        <v>Jul-2023</v>
      </c>
      <c r="E364" s="4">
        <v>45115</v>
      </c>
      <c r="F364" s="12">
        <f t="shared" si="104"/>
        <v>7</v>
      </c>
      <c r="G364" s="12">
        <f t="shared" si="95"/>
        <v>1</v>
      </c>
      <c r="H364" s="4">
        <f t="shared" si="105"/>
        <v>45115</v>
      </c>
      <c r="I364" t="s">
        <v>646</v>
      </c>
      <c r="J364" t="s">
        <v>651</v>
      </c>
      <c r="K364" t="s">
        <v>663</v>
      </c>
      <c r="L364" t="s">
        <v>701</v>
      </c>
      <c r="M364" t="s">
        <v>707</v>
      </c>
      <c r="N364" t="s">
        <v>720</v>
      </c>
      <c r="O364" t="s">
        <v>731</v>
      </c>
      <c r="P364" t="str" cm="1">
        <f t="array" ref="P364">_xlfn.IFS(S364&lt;=PERCENTILE($S$2:$S$1000, 0.33), "Low", S364&lt;=PERCENTILE($S$2:$S$1000, 0.66), "Medium", TRUE, "High")</f>
        <v>High</v>
      </c>
      <c r="Q364" t="s">
        <v>1096</v>
      </c>
      <c r="R364" s="10">
        <v>834.26</v>
      </c>
      <c r="S364" s="10">
        <v>1780.56</v>
      </c>
      <c r="T364" s="8">
        <v>1.4E-2</v>
      </c>
      <c r="U364" s="12">
        <f t="shared" si="106"/>
        <v>0</v>
      </c>
      <c r="V364" s="6">
        <v>47</v>
      </c>
      <c r="W364" t="str">
        <f t="shared" si="96"/>
        <v>ok</v>
      </c>
      <c r="X364">
        <f t="shared" si="97"/>
        <v>7</v>
      </c>
      <c r="Y364">
        <f t="shared" si="107"/>
        <v>7</v>
      </c>
      <c r="Z364" s="10">
        <f t="shared" si="108"/>
        <v>82514.711519999997</v>
      </c>
      <c r="AA364" s="10">
        <f t="shared" si="109"/>
        <v>39210.22</v>
      </c>
      <c r="AB364" s="10">
        <f t="shared" si="110"/>
        <v>43304.491519999996</v>
      </c>
      <c r="AC364" s="10">
        <f t="shared" si="98"/>
        <v>606.37750000000005</v>
      </c>
      <c r="AD364" s="10">
        <f t="shared" si="99"/>
        <v>1193.865</v>
      </c>
      <c r="AE364" s="10">
        <f t="shared" si="100"/>
        <v>1912.0450000000001</v>
      </c>
      <c r="AF364" s="10" t="str">
        <f t="shared" si="101"/>
        <v>Low</v>
      </c>
      <c r="AG364" s="6">
        <f t="shared" si="111"/>
        <v>0.5248093427497933</v>
      </c>
      <c r="AH364" s="4">
        <f t="shared" si="112"/>
        <v>44933</v>
      </c>
      <c r="AI364" t="str">
        <f t="shared" si="113"/>
        <v>Jan-2023</v>
      </c>
    </row>
    <row r="365" spans="1:35" x14ac:dyDescent="0.25">
      <c r="A365" t="s">
        <v>377</v>
      </c>
      <c r="B365" s="4">
        <v>45360</v>
      </c>
      <c r="C365" s="4" t="str">
        <f t="shared" si="102"/>
        <v>Q1-2024</v>
      </c>
      <c r="D365" s="4" t="str">
        <f t="shared" si="103"/>
        <v>Mar-2024</v>
      </c>
      <c r="E365" s="4">
        <v>45377</v>
      </c>
      <c r="F365" s="12">
        <f t="shared" si="104"/>
        <v>17</v>
      </c>
      <c r="G365" s="12">
        <f t="shared" si="95"/>
        <v>0</v>
      </c>
      <c r="H365" s="4">
        <f t="shared" si="105"/>
        <v>45377</v>
      </c>
      <c r="I365" t="s">
        <v>647</v>
      </c>
      <c r="J365" t="s">
        <v>659</v>
      </c>
      <c r="K365" t="s">
        <v>676</v>
      </c>
      <c r="L365" t="s">
        <v>706</v>
      </c>
      <c r="M365" t="s">
        <v>708</v>
      </c>
      <c r="N365" t="s">
        <v>723</v>
      </c>
      <c r="O365" t="s">
        <v>732</v>
      </c>
      <c r="P365" t="str" cm="1">
        <f t="array" ref="P365">_xlfn.IFS(S365&lt;=PERCENTILE($S$2:$S$1000, 0.33), "Low", S365&lt;=PERCENTILE($S$2:$S$1000, 0.66), "Medium", TRUE, "High")</f>
        <v>Medium</v>
      </c>
      <c r="Q365" t="s">
        <v>1097</v>
      </c>
      <c r="R365" s="10">
        <v>1029.67</v>
      </c>
      <c r="S365" s="10">
        <v>1118.43</v>
      </c>
      <c r="T365" s="8">
        <v>0.27200000000000002</v>
      </c>
      <c r="U365" s="12">
        <f t="shared" si="106"/>
        <v>1</v>
      </c>
      <c r="V365" s="6">
        <v>9</v>
      </c>
      <c r="W365" t="str">
        <f t="shared" si="96"/>
        <v>ok</v>
      </c>
      <c r="X365">
        <f t="shared" si="97"/>
        <v>17</v>
      </c>
      <c r="Y365">
        <f t="shared" si="107"/>
        <v>17</v>
      </c>
      <c r="Z365" s="10">
        <f t="shared" si="108"/>
        <v>7327.9533600000004</v>
      </c>
      <c r="AA365" s="10">
        <f t="shared" si="109"/>
        <v>9267.0300000000007</v>
      </c>
      <c r="AB365" s="10">
        <f t="shared" si="110"/>
        <v>-1939.0766400000002</v>
      </c>
      <c r="AC365" s="10">
        <f t="shared" si="98"/>
        <v>606.37750000000005</v>
      </c>
      <c r="AD365" s="10">
        <f t="shared" si="99"/>
        <v>1193.865</v>
      </c>
      <c r="AE365" s="10">
        <f t="shared" si="100"/>
        <v>1912.0450000000001</v>
      </c>
      <c r="AF365" s="10" t="str">
        <f t="shared" si="101"/>
        <v>Medium</v>
      </c>
      <c r="AG365" s="6">
        <f t="shared" si="111"/>
        <v>-0.26461367106736061</v>
      </c>
      <c r="AH365" s="4">
        <f t="shared" si="112"/>
        <v>44988</v>
      </c>
      <c r="AI365" t="str">
        <f t="shared" si="113"/>
        <v>Mar-2023</v>
      </c>
    </row>
    <row r="366" spans="1:35" x14ac:dyDescent="0.25">
      <c r="A366" t="s">
        <v>378</v>
      </c>
      <c r="B366" s="4">
        <v>45082</v>
      </c>
      <c r="C366" s="4" t="str">
        <f t="shared" si="102"/>
        <v>Q2-2023</v>
      </c>
      <c r="D366" s="4" t="str">
        <f t="shared" si="103"/>
        <v>Jun-2023</v>
      </c>
      <c r="E366" s="4">
        <v>45105</v>
      </c>
      <c r="F366" s="12">
        <f t="shared" si="104"/>
        <v>23</v>
      </c>
      <c r="G366" s="12">
        <f t="shared" si="95"/>
        <v>0</v>
      </c>
      <c r="H366" s="4">
        <f t="shared" si="105"/>
        <v>45105</v>
      </c>
      <c r="I366" t="s">
        <v>649</v>
      </c>
      <c r="J366" t="s">
        <v>658</v>
      </c>
      <c r="K366" t="s">
        <v>674</v>
      </c>
      <c r="L366" t="s">
        <v>701</v>
      </c>
      <c r="M366" t="s">
        <v>711</v>
      </c>
      <c r="N366" t="s">
        <v>723</v>
      </c>
      <c r="O366" t="s">
        <v>728</v>
      </c>
      <c r="P366" t="str" cm="1">
        <f t="array" ref="P366">_xlfn.IFS(S366&lt;=PERCENTILE($S$2:$S$1000, 0.33), "Low", S366&lt;=PERCENTILE($S$2:$S$1000, 0.66), "Medium", TRUE, "High")</f>
        <v>Low</v>
      </c>
      <c r="Q366" t="s">
        <v>1098</v>
      </c>
      <c r="R366" s="10">
        <v>605.82000000000005</v>
      </c>
      <c r="S366" s="10">
        <v>771.12</v>
      </c>
      <c r="T366" s="8">
        <v>0.13200000000000001</v>
      </c>
      <c r="U366" s="12">
        <f t="shared" si="106"/>
        <v>0</v>
      </c>
      <c r="V366" s="6">
        <v>19</v>
      </c>
      <c r="W366" t="str">
        <f t="shared" si="96"/>
        <v>ok</v>
      </c>
      <c r="X366">
        <f t="shared" si="97"/>
        <v>23</v>
      </c>
      <c r="Y366">
        <f t="shared" si="107"/>
        <v>23</v>
      </c>
      <c r="Z366" s="10">
        <f t="shared" si="108"/>
        <v>12717.311040000001</v>
      </c>
      <c r="AA366" s="10">
        <f t="shared" si="109"/>
        <v>11510.580000000002</v>
      </c>
      <c r="AB366" s="10">
        <f t="shared" si="110"/>
        <v>1206.7310399999988</v>
      </c>
      <c r="AC366" s="10">
        <f t="shared" si="98"/>
        <v>606.37750000000005</v>
      </c>
      <c r="AD366" s="10">
        <f t="shared" si="99"/>
        <v>1193.865</v>
      </c>
      <c r="AE366" s="10">
        <f t="shared" si="100"/>
        <v>1912.0450000000001</v>
      </c>
      <c r="AF366" s="10" t="str">
        <f t="shared" si="101"/>
        <v>Medium</v>
      </c>
      <c r="AG366" s="6">
        <f t="shared" si="111"/>
        <v>9.4888851597986767E-2</v>
      </c>
      <c r="AH366" s="4">
        <f t="shared" si="112"/>
        <v>44946</v>
      </c>
      <c r="AI366" t="str">
        <f t="shared" si="113"/>
        <v>Jan-2023</v>
      </c>
    </row>
    <row r="367" spans="1:35" x14ac:dyDescent="0.25">
      <c r="A367" t="s">
        <v>379</v>
      </c>
      <c r="B367" s="4">
        <v>45737</v>
      </c>
      <c r="C367" s="4" t="str">
        <f t="shared" si="102"/>
        <v>Q1-2025</v>
      </c>
      <c r="D367" s="4" t="str">
        <f t="shared" si="103"/>
        <v>Mar-2025</v>
      </c>
      <c r="E367" s="4">
        <v>45756</v>
      </c>
      <c r="F367" s="12">
        <f t="shared" si="104"/>
        <v>19</v>
      </c>
      <c r="G367" s="12">
        <f t="shared" si="95"/>
        <v>0</v>
      </c>
      <c r="H367" s="4">
        <f t="shared" si="105"/>
        <v>45756</v>
      </c>
      <c r="I367" t="s">
        <v>647</v>
      </c>
      <c r="J367" t="s">
        <v>652</v>
      </c>
      <c r="K367" t="s">
        <v>689</v>
      </c>
      <c r="L367" t="s">
        <v>705</v>
      </c>
      <c r="M367" t="s">
        <v>710</v>
      </c>
      <c r="N367" t="s">
        <v>718</v>
      </c>
      <c r="O367" t="s">
        <v>727</v>
      </c>
      <c r="P367" t="str" cm="1">
        <f t="array" ref="P367">_xlfn.IFS(S367&lt;=PERCENTILE($S$2:$S$1000, 0.33), "Low", S367&lt;=PERCENTILE($S$2:$S$1000, 0.66), "Medium", TRUE, "High")</f>
        <v>Medium</v>
      </c>
      <c r="Q367" t="s">
        <v>1099</v>
      </c>
      <c r="R367" s="10">
        <v>1055.45</v>
      </c>
      <c r="S367" s="10">
        <v>1210.04</v>
      </c>
      <c r="T367" s="8">
        <v>8.9999999999999993E-3</v>
      </c>
      <c r="U367" s="12">
        <f t="shared" si="106"/>
        <v>0</v>
      </c>
      <c r="V367" s="6">
        <v>18</v>
      </c>
      <c r="W367" t="str">
        <f t="shared" si="96"/>
        <v>ok</v>
      </c>
      <c r="X367">
        <f t="shared" si="97"/>
        <v>19</v>
      </c>
      <c r="Y367">
        <f t="shared" si="107"/>
        <v>19</v>
      </c>
      <c r="Z367" s="10">
        <f t="shared" si="108"/>
        <v>21584.693520000001</v>
      </c>
      <c r="AA367" s="10">
        <f t="shared" si="109"/>
        <v>18998.100000000002</v>
      </c>
      <c r="AB367" s="10">
        <f t="shared" si="110"/>
        <v>2586.5935199999985</v>
      </c>
      <c r="AC367" s="10">
        <f t="shared" si="98"/>
        <v>606.37750000000005</v>
      </c>
      <c r="AD367" s="10">
        <f t="shared" si="99"/>
        <v>1193.865</v>
      </c>
      <c r="AE367" s="10">
        <f t="shared" si="100"/>
        <v>1912.0450000000001</v>
      </c>
      <c r="AF367" s="10" t="str">
        <f t="shared" si="101"/>
        <v>Medium</v>
      </c>
      <c r="AG367" s="6">
        <f t="shared" si="111"/>
        <v>0.1198346188053727</v>
      </c>
      <c r="AH367" s="4">
        <f t="shared" si="112"/>
        <v>44928</v>
      </c>
      <c r="AI367" t="str">
        <f t="shared" si="113"/>
        <v>Jan-2023</v>
      </c>
    </row>
    <row r="368" spans="1:35" x14ac:dyDescent="0.25">
      <c r="A368" t="s">
        <v>380</v>
      </c>
      <c r="B368" s="4">
        <v>45445</v>
      </c>
      <c r="C368" s="4" t="str">
        <f t="shared" si="102"/>
        <v>Q2-2024</v>
      </c>
      <c r="D368" s="4" t="str">
        <f t="shared" si="103"/>
        <v>Jun-2024</v>
      </c>
      <c r="E368" s="4">
        <v>45458</v>
      </c>
      <c r="F368" s="12">
        <f t="shared" si="104"/>
        <v>13</v>
      </c>
      <c r="G368" s="12">
        <f t="shared" si="95"/>
        <v>0</v>
      </c>
      <c r="H368" s="4">
        <f t="shared" si="105"/>
        <v>45458</v>
      </c>
      <c r="I368" t="s">
        <v>646</v>
      </c>
      <c r="J368" t="s">
        <v>650</v>
      </c>
      <c r="K368" t="s">
        <v>675</v>
      </c>
      <c r="L368" t="s">
        <v>702</v>
      </c>
      <c r="M368" t="s">
        <v>708</v>
      </c>
      <c r="N368" t="s">
        <v>719</v>
      </c>
      <c r="O368" t="s">
        <v>730</v>
      </c>
      <c r="P368" t="str" cm="1">
        <f t="array" ref="P368">_xlfn.IFS(S368&lt;=PERCENTILE($S$2:$S$1000, 0.33), "Low", S368&lt;=PERCENTILE($S$2:$S$1000, 0.66), "Medium", TRUE, "High")</f>
        <v>High</v>
      </c>
      <c r="Q368" t="s">
        <v>1100</v>
      </c>
      <c r="R368" s="10">
        <v>1295.18</v>
      </c>
      <c r="S368" s="10">
        <v>3024.03</v>
      </c>
      <c r="T368" s="8">
        <v>0.192</v>
      </c>
      <c r="U368" s="12">
        <f t="shared" si="106"/>
        <v>0</v>
      </c>
      <c r="V368" s="6">
        <v>8</v>
      </c>
      <c r="W368" t="str">
        <f t="shared" si="96"/>
        <v>ok</v>
      </c>
      <c r="X368">
        <f t="shared" si="97"/>
        <v>13</v>
      </c>
      <c r="Y368">
        <f t="shared" si="107"/>
        <v>13</v>
      </c>
      <c r="Z368" s="10">
        <f t="shared" si="108"/>
        <v>19547.329920000004</v>
      </c>
      <c r="AA368" s="10">
        <f t="shared" si="109"/>
        <v>10361.44</v>
      </c>
      <c r="AB368" s="10">
        <f t="shared" si="110"/>
        <v>9185.8899200000033</v>
      </c>
      <c r="AC368" s="10">
        <f t="shared" si="98"/>
        <v>606.37750000000005</v>
      </c>
      <c r="AD368" s="10">
        <f t="shared" si="99"/>
        <v>1193.865</v>
      </c>
      <c r="AE368" s="10">
        <f t="shared" si="100"/>
        <v>1912.0450000000001</v>
      </c>
      <c r="AF368" s="10" t="str">
        <f t="shared" si="101"/>
        <v>Medium</v>
      </c>
      <c r="AG368" s="6">
        <f t="shared" si="111"/>
        <v>0.46993067378483178</v>
      </c>
      <c r="AH368" s="4">
        <f t="shared" si="112"/>
        <v>44955</v>
      </c>
      <c r="AI368" t="str">
        <f t="shared" si="113"/>
        <v>Jan-2023</v>
      </c>
    </row>
    <row r="369" spans="1:35" x14ac:dyDescent="0.25">
      <c r="A369" t="s">
        <v>381</v>
      </c>
      <c r="B369" s="4">
        <v>45731</v>
      </c>
      <c r="C369" s="4" t="str">
        <f t="shared" si="102"/>
        <v>Q1-2025</v>
      </c>
      <c r="D369" s="4" t="str">
        <f t="shared" si="103"/>
        <v>Mar-2025</v>
      </c>
      <c r="E369" s="4">
        <v>45745</v>
      </c>
      <c r="F369" s="12">
        <f t="shared" si="104"/>
        <v>14</v>
      </c>
      <c r="G369" s="12">
        <f t="shared" si="95"/>
        <v>0</v>
      </c>
      <c r="H369" s="4">
        <f t="shared" si="105"/>
        <v>45745</v>
      </c>
      <c r="I369" t="s">
        <v>647</v>
      </c>
      <c r="J369" t="s">
        <v>654</v>
      </c>
      <c r="K369" t="s">
        <v>691</v>
      </c>
      <c r="L369" t="s">
        <v>706</v>
      </c>
      <c r="M369" t="s">
        <v>711</v>
      </c>
      <c r="N369" t="s">
        <v>712</v>
      </c>
      <c r="O369" t="s">
        <v>727</v>
      </c>
      <c r="P369" t="str" cm="1">
        <f t="array" ref="P369">_xlfn.IFS(S369&lt;=PERCENTILE($S$2:$S$1000, 0.33), "Low", S369&lt;=PERCENTILE($S$2:$S$1000, 0.66), "Medium", TRUE, "High")</f>
        <v>High</v>
      </c>
      <c r="Q369" t="s">
        <v>1101</v>
      </c>
      <c r="R369" s="10">
        <v>935.83</v>
      </c>
      <c r="S369" s="10">
        <v>2303.46</v>
      </c>
      <c r="T369" s="8">
        <v>0.105</v>
      </c>
      <c r="U369" s="12">
        <f t="shared" si="106"/>
        <v>0</v>
      </c>
      <c r="V369" s="6">
        <v>9</v>
      </c>
      <c r="W369" t="str">
        <f t="shared" si="96"/>
        <v>ok</v>
      </c>
      <c r="X369">
        <f t="shared" si="97"/>
        <v>14</v>
      </c>
      <c r="Y369">
        <f t="shared" si="107"/>
        <v>14</v>
      </c>
      <c r="Z369" s="10">
        <f t="shared" si="108"/>
        <v>18554.370299999999</v>
      </c>
      <c r="AA369" s="10">
        <f t="shared" si="109"/>
        <v>8422.4700000000012</v>
      </c>
      <c r="AB369" s="10">
        <f t="shared" si="110"/>
        <v>10131.900299999998</v>
      </c>
      <c r="AC369" s="10">
        <f t="shared" si="98"/>
        <v>606.37750000000005</v>
      </c>
      <c r="AD369" s="10">
        <f t="shared" si="99"/>
        <v>1193.865</v>
      </c>
      <c r="AE369" s="10">
        <f t="shared" si="100"/>
        <v>1912.0450000000001</v>
      </c>
      <c r="AF369" s="10" t="str">
        <f t="shared" si="101"/>
        <v>High</v>
      </c>
      <c r="AG369" s="6">
        <f t="shared" si="111"/>
        <v>0.54606543559174292</v>
      </c>
      <c r="AH369" s="4">
        <f t="shared" si="112"/>
        <v>44939</v>
      </c>
      <c r="AI369" t="str">
        <f t="shared" si="113"/>
        <v>Jan-2023</v>
      </c>
    </row>
    <row r="370" spans="1:35" x14ac:dyDescent="0.25">
      <c r="A370" t="s">
        <v>382</v>
      </c>
      <c r="B370" s="4">
        <v>45194</v>
      </c>
      <c r="C370" s="4" t="str">
        <f t="shared" si="102"/>
        <v>Q3-2023</v>
      </c>
      <c r="D370" s="4" t="str">
        <f t="shared" si="103"/>
        <v>Sept-2023</v>
      </c>
      <c r="E370" s="4">
        <v>45208</v>
      </c>
      <c r="F370" s="12">
        <f t="shared" si="104"/>
        <v>14</v>
      </c>
      <c r="G370" s="12">
        <f t="shared" si="95"/>
        <v>0</v>
      </c>
      <c r="H370" s="4">
        <f t="shared" si="105"/>
        <v>45208</v>
      </c>
      <c r="I370" t="s">
        <v>648</v>
      </c>
      <c r="J370" t="s">
        <v>660</v>
      </c>
      <c r="K370" t="s">
        <v>700</v>
      </c>
      <c r="L370" t="s">
        <v>705</v>
      </c>
      <c r="M370" t="s">
        <v>709</v>
      </c>
      <c r="N370" t="s">
        <v>713</v>
      </c>
      <c r="O370" t="s">
        <v>731</v>
      </c>
      <c r="P370" t="str" cm="1">
        <f t="array" ref="P370">_xlfn.IFS(S370&lt;=PERCENTILE($S$2:$S$1000, 0.33), "Low", S370&lt;=PERCENTILE($S$2:$S$1000, 0.66), "Medium", TRUE, "High")</f>
        <v>High</v>
      </c>
      <c r="Q370" t="s">
        <v>1102</v>
      </c>
      <c r="R370" s="10">
        <v>1279.56</v>
      </c>
      <c r="S370" s="10">
        <v>3083.8</v>
      </c>
      <c r="T370" s="8">
        <v>0.106</v>
      </c>
      <c r="U370" s="12">
        <f t="shared" si="106"/>
        <v>0</v>
      </c>
      <c r="V370" s="6">
        <v>5</v>
      </c>
      <c r="W370" t="str">
        <f t="shared" si="96"/>
        <v>ok</v>
      </c>
      <c r="X370">
        <f t="shared" si="97"/>
        <v>14</v>
      </c>
      <c r="Y370">
        <f t="shared" si="107"/>
        <v>14</v>
      </c>
      <c r="Z370" s="10">
        <f t="shared" si="108"/>
        <v>13784.586000000001</v>
      </c>
      <c r="AA370" s="10">
        <f t="shared" si="109"/>
        <v>6397.7999999999993</v>
      </c>
      <c r="AB370" s="10">
        <f t="shared" si="110"/>
        <v>7386.7860000000019</v>
      </c>
      <c r="AC370" s="10">
        <f t="shared" si="98"/>
        <v>606.37750000000005</v>
      </c>
      <c r="AD370" s="10">
        <f t="shared" si="99"/>
        <v>1193.865</v>
      </c>
      <c r="AE370" s="10">
        <f t="shared" si="100"/>
        <v>1912.0450000000001</v>
      </c>
      <c r="AF370" s="10" t="str">
        <f t="shared" si="101"/>
        <v>High</v>
      </c>
      <c r="AG370" s="6">
        <f t="shared" si="111"/>
        <v>0.53587289455047848</v>
      </c>
      <c r="AH370" s="4">
        <f t="shared" si="112"/>
        <v>44955</v>
      </c>
      <c r="AI370" t="str">
        <f t="shared" si="113"/>
        <v>Jan-2023</v>
      </c>
    </row>
    <row r="371" spans="1:35" x14ac:dyDescent="0.25">
      <c r="A371" t="s">
        <v>383</v>
      </c>
      <c r="B371" s="4">
        <v>45832</v>
      </c>
      <c r="C371" s="4" t="str">
        <f t="shared" si="102"/>
        <v>Q2-2025</v>
      </c>
      <c r="D371" s="4" t="str">
        <f t="shared" si="103"/>
        <v>Jun-2025</v>
      </c>
      <c r="E371" s="4">
        <v>45861</v>
      </c>
      <c r="F371" s="12">
        <f t="shared" si="104"/>
        <v>29</v>
      </c>
      <c r="G371" s="12">
        <f t="shared" si="95"/>
        <v>0</v>
      </c>
      <c r="H371" s="4">
        <f t="shared" si="105"/>
        <v>45861</v>
      </c>
      <c r="I371" t="s">
        <v>648</v>
      </c>
      <c r="J371" t="s">
        <v>653</v>
      </c>
      <c r="K371" t="s">
        <v>688</v>
      </c>
      <c r="L371" t="s">
        <v>703</v>
      </c>
      <c r="M371" t="s">
        <v>709</v>
      </c>
      <c r="N371" t="s">
        <v>714</v>
      </c>
      <c r="O371" t="s">
        <v>728</v>
      </c>
      <c r="P371" t="str" cm="1">
        <f t="array" ref="P371">_xlfn.IFS(S371&lt;=PERCENTILE($S$2:$S$1000, 0.33), "Low", S371&lt;=PERCENTILE($S$2:$S$1000, 0.66), "Medium", TRUE, "High")</f>
        <v>Low</v>
      </c>
      <c r="Q371" t="s">
        <v>1103</v>
      </c>
      <c r="R371" s="10">
        <v>255.4</v>
      </c>
      <c r="S371" s="10">
        <v>322.70999999999998</v>
      </c>
      <c r="T371" s="8">
        <v>0.115</v>
      </c>
      <c r="U371" s="12">
        <f t="shared" si="106"/>
        <v>0</v>
      </c>
      <c r="V371" s="6">
        <v>16</v>
      </c>
      <c r="W371" t="str">
        <f t="shared" si="96"/>
        <v>ok</v>
      </c>
      <c r="X371">
        <f t="shared" si="97"/>
        <v>29</v>
      </c>
      <c r="Y371">
        <f t="shared" si="107"/>
        <v>29</v>
      </c>
      <c r="Z371" s="10">
        <f t="shared" si="108"/>
        <v>4569.5735999999997</v>
      </c>
      <c r="AA371" s="10">
        <f t="shared" si="109"/>
        <v>4086.4</v>
      </c>
      <c r="AB371" s="10">
        <f t="shared" si="110"/>
        <v>483.17359999999962</v>
      </c>
      <c r="AC371" s="10">
        <f t="shared" si="98"/>
        <v>606.37750000000005</v>
      </c>
      <c r="AD371" s="10">
        <f t="shared" si="99"/>
        <v>1193.865</v>
      </c>
      <c r="AE371" s="10">
        <f t="shared" si="100"/>
        <v>1912.0450000000001</v>
      </c>
      <c r="AF371" s="10" t="str">
        <f t="shared" si="101"/>
        <v>High</v>
      </c>
      <c r="AG371" s="6">
        <f t="shared" si="111"/>
        <v>0.10573713048412212</v>
      </c>
      <c r="AH371" s="4">
        <f t="shared" si="112"/>
        <v>44938</v>
      </c>
      <c r="AI371" t="str">
        <f t="shared" si="113"/>
        <v>Jan-2023</v>
      </c>
    </row>
    <row r="372" spans="1:35" x14ac:dyDescent="0.25">
      <c r="A372" t="s">
        <v>384</v>
      </c>
      <c r="B372" s="4">
        <v>45286</v>
      </c>
      <c r="C372" s="4" t="str">
        <f t="shared" si="102"/>
        <v>Q4-2023</v>
      </c>
      <c r="D372" s="4" t="str">
        <f t="shared" si="103"/>
        <v>Dec-2023</v>
      </c>
      <c r="E372" s="4">
        <v>45294</v>
      </c>
      <c r="F372" s="12">
        <f t="shared" si="104"/>
        <v>8</v>
      </c>
      <c r="G372" s="12">
        <f t="shared" si="95"/>
        <v>0</v>
      </c>
      <c r="H372" s="4">
        <f t="shared" si="105"/>
        <v>45294</v>
      </c>
      <c r="I372" t="s">
        <v>649</v>
      </c>
      <c r="J372" t="s">
        <v>657</v>
      </c>
      <c r="K372" t="s">
        <v>679</v>
      </c>
      <c r="L372" t="s">
        <v>705</v>
      </c>
      <c r="M372" t="s">
        <v>707</v>
      </c>
      <c r="N372" t="s">
        <v>724</v>
      </c>
      <c r="O372" t="s">
        <v>731</v>
      </c>
      <c r="P372" t="str" cm="1">
        <f t="array" ref="P372">_xlfn.IFS(S372&lt;=PERCENTILE($S$2:$S$1000, 0.33), "Low", S372&lt;=PERCENTILE($S$2:$S$1000, 0.66), "Medium", TRUE, "High")</f>
        <v>Low</v>
      </c>
      <c r="Q372" t="s">
        <v>1104</v>
      </c>
      <c r="R372" s="10">
        <v>492.75</v>
      </c>
      <c r="S372" s="10">
        <v>731.29</v>
      </c>
      <c r="T372" s="8">
        <v>5.8000000000000003E-2</v>
      </c>
      <c r="U372" s="12">
        <f t="shared" si="106"/>
        <v>0</v>
      </c>
      <c r="V372" s="6">
        <v>6</v>
      </c>
      <c r="W372" t="str">
        <f t="shared" si="96"/>
        <v>ok</v>
      </c>
      <c r="X372">
        <f t="shared" si="97"/>
        <v>8</v>
      </c>
      <c r="Y372">
        <f t="shared" si="107"/>
        <v>8</v>
      </c>
      <c r="Z372" s="10">
        <f t="shared" si="108"/>
        <v>4133.25108</v>
      </c>
      <c r="AA372" s="10">
        <f t="shared" si="109"/>
        <v>2956.5</v>
      </c>
      <c r="AB372" s="10">
        <f t="shared" si="110"/>
        <v>1176.75108</v>
      </c>
      <c r="AC372" s="10">
        <f t="shared" si="98"/>
        <v>606.37750000000005</v>
      </c>
      <c r="AD372" s="10">
        <f t="shared" si="99"/>
        <v>1193.865</v>
      </c>
      <c r="AE372" s="10">
        <f t="shared" si="100"/>
        <v>1912.0450000000001</v>
      </c>
      <c r="AF372" s="10" t="str">
        <f t="shared" si="101"/>
        <v>Low</v>
      </c>
      <c r="AG372" s="6">
        <f t="shared" si="111"/>
        <v>0.28470350753528384</v>
      </c>
      <c r="AH372" s="4">
        <f t="shared" si="112"/>
        <v>44988</v>
      </c>
      <c r="AI372" t="str">
        <f t="shared" si="113"/>
        <v>Mar-2023</v>
      </c>
    </row>
    <row r="373" spans="1:35" x14ac:dyDescent="0.25">
      <c r="A373" t="s">
        <v>385</v>
      </c>
      <c r="B373" s="4">
        <v>44962</v>
      </c>
      <c r="C373" s="4" t="str">
        <f t="shared" si="102"/>
        <v>Q1-2023</v>
      </c>
      <c r="D373" s="4" t="str">
        <f t="shared" si="103"/>
        <v>Feb-2023</v>
      </c>
      <c r="E373" s="4">
        <v>44985</v>
      </c>
      <c r="F373" s="12">
        <f t="shared" si="104"/>
        <v>23</v>
      </c>
      <c r="G373" s="12">
        <f t="shared" si="95"/>
        <v>0</v>
      </c>
      <c r="H373" s="4">
        <f t="shared" si="105"/>
        <v>44985</v>
      </c>
      <c r="I373" t="s">
        <v>648</v>
      </c>
      <c r="J373" t="s">
        <v>660</v>
      </c>
      <c r="K373" t="s">
        <v>697</v>
      </c>
      <c r="L373" t="s">
        <v>703</v>
      </c>
      <c r="M373" t="s">
        <v>710</v>
      </c>
      <c r="N373" t="s">
        <v>716</v>
      </c>
      <c r="O373" t="s">
        <v>730</v>
      </c>
      <c r="P373" t="str" cm="1">
        <f t="array" ref="P373">_xlfn.IFS(S373&lt;=PERCENTILE($S$2:$S$1000, 0.33), "Low", S373&lt;=PERCENTILE($S$2:$S$1000, 0.66), "Medium", TRUE, "High")</f>
        <v>Medium</v>
      </c>
      <c r="Q373" t="s">
        <v>1105</v>
      </c>
      <c r="R373" s="10">
        <v>1214.49</v>
      </c>
      <c r="S373" s="10">
        <v>1533.95</v>
      </c>
      <c r="T373" s="8">
        <v>0</v>
      </c>
      <c r="U373" s="12">
        <f t="shared" si="106"/>
        <v>0</v>
      </c>
      <c r="V373" s="6">
        <v>11</v>
      </c>
      <c r="W373" t="str">
        <f t="shared" si="96"/>
        <v>ok</v>
      </c>
      <c r="X373">
        <f t="shared" si="97"/>
        <v>23</v>
      </c>
      <c r="Y373">
        <f t="shared" si="107"/>
        <v>23</v>
      </c>
      <c r="Z373" s="10">
        <f t="shared" si="108"/>
        <v>16873.45</v>
      </c>
      <c r="AA373" s="10">
        <f t="shared" si="109"/>
        <v>13359.39</v>
      </c>
      <c r="AB373" s="10">
        <f t="shared" si="110"/>
        <v>3514.0600000000013</v>
      </c>
      <c r="AC373" s="10">
        <f t="shared" si="98"/>
        <v>606.37750000000005</v>
      </c>
      <c r="AD373" s="10">
        <f t="shared" si="99"/>
        <v>1193.865</v>
      </c>
      <c r="AE373" s="10">
        <f t="shared" si="100"/>
        <v>1912.0450000000001</v>
      </c>
      <c r="AF373" s="10" t="str">
        <f t="shared" si="101"/>
        <v>Medium</v>
      </c>
      <c r="AG373" s="6">
        <f t="shared" si="111"/>
        <v>0.20825972163369086</v>
      </c>
      <c r="AH373" s="4">
        <f t="shared" si="112"/>
        <v>44948</v>
      </c>
      <c r="AI373" t="str">
        <f t="shared" si="113"/>
        <v>Jan-2023</v>
      </c>
    </row>
    <row r="374" spans="1:35" x14ac:dyDescent="0.25">
      <c r="A374" t="s">
        <v>386</v>
      </c>
      <c r="B374" s="4">
        <v>45022</v>
      </c>
      <c r="C374" s="4" t="str">
        <f t="shared" si="102"/>
        <v>Q2-2023</v>
      </c>
      <c r="D374" s="4" t="str">
        <f t="shared" si="103"/>
        <v>Apr-2023</v>
      </c>
      <c r="E374" s="4">
        <v>45024</v>
      </c>
      <c r="F374" s="12">
        <f t="shared" si="104"/>
        <v>2</v>
      </c>
      <c r="G374" s="12">
        <f t="shared" si="95"/>
        <v>1</v>
      </c>
      <c r="H374" s="4">
        <f t="shared" si="105"/>
        <v>45024</v>
      </c>
      <c r="I374" t="s">
        <v>646</v>
      </c>
      <c r="J374" t="s">
        <v>651</v>
      </c>
      <c r="K374" t="s">
        <v>669</v>
      </c>
      <c r="L374" t="s">
        <v>705</v>
      </c>
      <c r="M374" t="s">
        <v>709</v>
      </c>
      <c r="N374" t="s">
        <v>723</v>
      </c>
      <c r="O374" t="s">
        <v>732</v>
      </c>
      <c r="P374" t="str" cm="1">
        <f t="array" ref="P374">_xlfn.IFS(S374&lt;=PERCENTILE($S$2:$S$1000, 0.33), "Low", S374&lt;=PERCENTILE($S$2:$S$1000, 0.66), "Medium", TRUE, "High")</f>
        <v>Medium</v>
      </c>
      <c r="Q374" t="s">
        <v>1106</v>
      </c>
      <c r="R374" s="10">
        <v>720.35</v>
      </c>
      <c r="S374" s="10">
        <v>1571.66</v>
      </c>
      <c r="T374" s="8">
        <v>0.107</v>
      </c>
      <c r="U374" s="12">
        <f t="shared" si="106"/>
        <v>0</v>
      </c>
      <c r="V374" s="6">
        <v>23</v>
      </c>
      <c r="W374" t="str">
        <f t="shared" si="96"/>
        <v>ok</v>
      </c>
      <c r="X374">
        <f t="shared" si="97"/>
        <v>2</v>
      </c>
      <c r="Y374">
        <f t="shared" si="107"/>
        <v>2</v>
      </c>
      <c r="Z374" s="10">
        <f t="shared" si="108"/>
        <v>32280.32474</v>
      </c>
      <c r="AA374" s="10">
        <f t="shared" si="109"/>
        <v>16568.05</v>
      </c>
      <c r="AB374" s="10">
        <f t="shared" si="110"/>
        <v>15712.274740000001</v>
      </c>
      <c r="AC374" s="10">
        <f t="shared" si="98"/>
        <v>606.37750000000005</v>
      </c>
      <c r="AD374" s="10">
        <f t="shared" si="99"/>
        <v>1193.865</v>
      </c>
      <c r="AE374" s="10">
        <f t="shared" si="100"/>
        <v>1912.0450000000001</v>
      </c>
      <c r="AF374" s="10" t="str">
        <f t="shared" si="101"/>
        <v>Medium</v>
      </c>
      <c r="AG374" s="6">
        <f t="shared" si="111"/>
        <v>0.4867446305622265</v>
      </c>
      <c r="AH374" s="4">
        <f t="shared" si="112"/>
        <v>44955</v>
      </c>
      <c r="AI374" t="str">
        <f t="shared" si="113"/>
        <v>Jan-2023</v>
      </c>
    </row>
    <row r="375" spans="1:35" x14ac:dyDescent="0.25">
      <c r="A375" t="s">
        <v>387</v>
      </c>
      <c r="B375" s="4">
        <v>45751</v>
      </c>
      <c r="C375" s="4" t="str">
        <f t="shared" si="102"/>
        <v>Q2-2025</v>
      </c>
      <c r="D375" s="4" t="str">
        <f t="shared" si="103"/>
        <v>Apr-2025</v>
      </c>
      <c r="E375" s="4">
        <v>45757</v>
      </c>
      <c r="F375" s="12">
        <f t="shared" si="104"/>
        <v>6</v>
      </c>
      <c r="G375" s="12">
        <f t="shared" si="95"/>
        <v>1</v>
      </c>
      <c r="H375" s="4">
        <f t="shared" si="105"/>
        <v>45757</v>
      </c>
      <c r="I375" t="s">
        <v>649</v>
      </c>
      <c r="J375" t="s">
        <v>658</v>
      </c>
      <c r="K375" t="s">
        <v>674</v>
      </c>
      <c r="L375" t="s">
        <v>703</v>
      </c>
      <c r="M375" t="s">
        <v>711</v>
      </c>
      <c r="N375" t="s">
        <v>725</v>
      </c>
      <c r="O375" t="s">
        <v>728</v>
      </c>
      <c r="P375" t="str" cm="1">
        <f t="array" ref="P375">_xlfn.IFS(S375&lt;=PERCENTILE($S$2:$S$1000, 0.33), "Low", S375&lt;=PERCENTILE($S$2:$S$1000, 0.66), "Medium", TRUE, "High")</f>
        <v>Low</v>
      </c>
      <c r="Q375" t="s">
        <v>1107</v>
      </c>
      <c r="R375" s="10">
        <v>290.14</v>
      </c>
      <c r="S375" s="10">
        <v>250.73</v>
      </c>
      <c r="T375" s="8">
        <v>3.4000000000000002E-2</v>
      </c>
      <c r="U375" s="12">
        <f t="shared" si="106"/>
        <v>0</v>
      </c>
      <c r="V375" s="6">
        <v>17</v>
      </c>
      <c r="W375" t="str">
        <f t="shared" si="96"/>
        <v>ok</v>
      </c>
      <c r="X375">
        <f t="shared" si="97"/>
        <v>6</v>
      </c>
      <c r="Y375">
        <f t="shared" si="107"/>
        <v>6</v>
      </c>
      <c r="Z375" s="10">
        <f t="shared" si="108"/>
        <v>4117.4880599999997</v>
      </c>
      <c r="AA375" s="10">
        <f t="shared" si="109"/>
        <v>4932.38</v>
      </c>
      <c r="AB375" s="10">
        <f t="shared" si="110"/>
        <v>-814.89194000000043</v>
      </c>
      <c r="AC375" s="10">
        <f t="shared" si="98"/>
        <v>606.37750000000005</v>
      </c>
      <c r="AD375" s="10">
        <f t="shared" si="99"/>
        <v>1193.865</v>
      </c>
      <c r="AE375" s="10">
        <f t="shared" si="100"/>
        <v>1912.0450000000001</v>
      </c>
      <c r="AF375" s="10" t="str">
        <f t="shared" si="101"/>
        <v>Medium</v>
      </c>
      <c r="AG375" s="6">
        <f t="shared" si="111"/>
        <v>-0.19790997038131072</v>
      </c>
      <c r="AH375" s="4">
        <f t="shared" si="112"/>
        <v>44941</v>
      </c>
      <c r="AI375" t="str">
        <f t="shared" si="113"/>
        <v>Jan-2023</v>
      </c>
    </row>
    <row r="376" spans="1:35" x14ac:dyDescent="0.25">
      <c r="A376" t="s">
        <v>388</v>
      </c>
      <c r="B376" s="4">
        <v>45429</v>
      </c>
      <c r="C376" s="4" t="str">
        <f t="shared" si="102"/>
        <v>Q2-2024</v>
      </c>
      <c r="D376" s="4" t="str">
        <f t="shared" si="103"/>
        <v>May-2024</v>
      </c>
      <c r="E376" s="4">
        <v>45439</v>
      </c>
      <c r="F376" s="12">
        <f t="shared" si="104"/>
        <v>10</v>
      </c>
      <c r="G376" s="12">
        <f t="shared" si="95"/>
        <v>0</v>
      </c>
      <c r="H376" s="4">
        <f t="shared" si="105"/>
        <v>45439</v>
      </c>
      <c r="I376" t="s">
        <v>648</v>
      </c>
      <c r="J376" t="s">
        <v>660</v>
      </c>
      <c r="K376" t="s">
        <v>697</v>
      </c>
      <c r="L376" t="s">
        <v>703</v>
      </c>
      <c r="M376" t="s">
        <v>708</v>
      </c>
      <c r="N376" t="s">
        <v>712</v>
      </c>
      <c r="O376" t="s">
        <v>730</v>
      </c>
      <c r="P376" t="str" cm="1">
        <f t="array" ref="P376">_xlfn.IFS(S376&lt;=PERCENTILE($S$2:$S$1000, 0.33), "Low", S376&lt;=PERCENTILE($S$2:$S$1000, 0.66), "Medium", TRUE, "High")</f>
        <v>High</v>
      </c>
      <c r="Q376" t="s">
        <v>1108</v>
      </c>
      <c r="R376" s="10">
        <v>1484.23</v>
      </c>
      <c r="S376" s="10">
        <v>3472.81</v>
      </c>
      <c r="T376" s="8">
        <v>0.25600000000000001</v>
      </c>
      <c r="U376" s="12">
        <f t="shared" si="106"/>
        <v>1</v>
      </c>
      <c r="V376" s="6">
        <v>12</v>
      </c>
      <c r="W376" t="str">
        <f t="shared" si="96"/>
        <v>ok</v>
      </c>
      <c r="X376">
        <f t="shared" si="97"/>
        <v>10</v>
      </c>
      <c r="Y376">
        <f t="shared" si="107"/>
        <v>10</v>
      </c>
      <c r="Z376" s="10">
        <f t="shared" si="108"/>
        <v>31005.24768</v>
      </c>
      <c r="AA376" s="10">
        <f t="shared" si="109"/>
        <v>17810.760000000002</v>
      </c>
      <c r="AB376" s="10">
        <f t="shared" si="110"/>
        <v>13194.487679999998</v>
      </c>
      <c r="AC376" s="10">
        <f t="shared" si="98"/>
        <v>606.37750000000005</v>
      </c>
      <c r="AD376" s="10">
        <f t="shared" si="99"/>
        <v>1193.865</v>
      </c>
      <c r="AE376" s="10">
        <f t="shared" si="100"/>
        <v>1912.0450000000001</v>
      </c>
      <c r="AF376" s="10" t="str">
        <f t="shared" si="101"/>
        <v>Low</v>
      </c>
      <c r="AG376" s="6">
        <f t="shared" si="111"/>
        <v>0.42555659661803413</v>
      </c>
      <c r="AH376" s="4">
        <f t="shared" si="112"/>
        <v>44928</v>
      </c>
      <c r="AI376" t="str">
        <f t="shared" si="113"/>
        <v>Jan-2023</v>
      </c>
    </row>
    <row r="377" spans="1:35" x14ac:dyDescent="0.25">
      <c r="A377" t="s">
        <v>389</v>
      </c>
      <c r="B377" s="4">
        <v>45354</v>
      </c>
      <c r="C377" s="4" t="str">
        <f t="shared" si="102"/>
        <v>Q1-2024</v>
      </c>
      <c r="D377" s="4" t="str">
        <f t="shared" si="103"/>
        <v>Mar-2024</v>
      </c>
      <c r="E377" s="4">
        <v>45370</v>
      </c>
      <c r="F377" s="12">
        <f t="shared" si="104"/>
        <v>16</v>
      </c>
      <c r="G377" s="12">
        <f t="shared" si="95"/>
        <v>0</v>
      </c>
      <c r="H377" s="4">
        <f t="shared" si="105"/>
        <v>45370</v>
      </c>
      <c r="I377" t="s">
        <v>647</v>
      </c>
      <c r="J377" t="s">
        <v>659</v>
      </c>
      <c r="K377" t="s">
        <v>699</v>
      </c>
      <c r="L377" t="s">
        <v>704</v>
      </c>
      <c r="M377" t="s">
        <v>710</v>
      </c>
      <c r="N377" t="s">
        <v>715</v>
      </c>
      <c r="O377" t="s">
        <v>730</v>
      </c>
      <c r="P377" t="str" cm="1">
        <f t="array" ref="P377">_xlfn.IFS(S377&lt;=PERCENTILE($S$2:$S$1000, 0.33), "Low", S377&lt;=PERCENTILE($S$2:$S$1000, 0.66), "Medium", TRUE, "High")</f>
        <v>Medium</v>
      </c>
      <c r="Q377" t="s">
        <v>1109</v>
      </c>
      <c r="R377" s="10">
        <v>988.83</v>
      </c>
      <c r="S377" s="10">
        <v>1206.04</v>
      </c>
      <c r="T377" s="8">
        <v>6.3E-2</v>
      </c>
      <c r="U377" s="12">
        <f t="shared" si="106"/>
        <v>0</v>
      </c>
      <c r="V377" s="6">
        <v>34</v>
      </c>
      <c r="W377" t="str">
        <f t="shared" si="96"/>
        <v>ok</v>
      </c>
      <c r="X377">
        <f t="shared" si="97"/>
        <v>16</v>
      </c>
      <c r="Y377">
        <f t="shared" si="107"/>
        <v>16</v>
      </c>
      <c r="Z377" s="10">
        <f t="shared" si="108"/>
        <v>38422.022320000004</v>
      </c>
      <c r="AA377" s="10">
        <f t="shared" si="109"/>
        <v>33620.22</v>
      </c>
      <c r="AB377" s="10">
        <f t="shared" si="110"/>
        <v>4801.8023200000025</v>
      </c>
      <c r="AC377" s="10">
        <f t="shared" si="98"/>
        <v>606.37750000000005</v>
      </c>
      <c r="AD377" s="10">
        <f t="shared" si="99"/>
        <v>1193.865</v>
      </c>
      <c r="AE377" s="10">
        <f t="shared" si="100"/>
        <v>1912.0450000000001</v>
      </c>
      <c r="AF377" s="10" t="str">
        <f t="shared" si="101"/>
        <v>High</v>
      </c>
      <c r="AG377" s="6">
        <f t="shared" si="111"/>
        <v>0.12497526236406606</v>
      </c>
      <c r="AH377" s="4">
        <f t="shared" si="112"/>
        <v>44948</v>
      </c>
      <c r="AI377" t="str">
        <f t="shared" si="113"/>
        <v>Jan-2023</v>
      </c>
    </row>
    <row r="378" spans="1:35" x14ac:dyDescent="0.25">
      <c r="A378" t="s">
        <v>390</v>
      </c>
      <c r="B378" s="4">
        <v>45835</v>
      </c>
      <c r="C378" s="4" t="str">
        <f t="shared" si="102"/>
        <v>Q2-2025</v>
      </c>
      <c r="D378" s="4" t="str">
        <f t="shared" si="103"/>
        <v>Jun-2025</v>
      </c>
      <c r="E378" s="4">
        <v>45849</v>
      </c>
      <c r="F378" s="12">
        <f t="shared" si="104"/>
        <v>14</v>
      </c>
      <c r="G378" s="12">
        <f t="shared" si="95"/>
        <v>0</v>
      </c>
      <c r="H378" s="4">
        <f t="shared" si="105"/>
        <v>45849</v>
      </c>
      <c r="I378" t="s">
        <v>647</v>
      </c>
      <c r="J378" t="s">
        <v>659</v>
      </c>
      <c r="K378" t="s">
        <v>685</v>
      </c>
      <c r="L378" t="s">
        <v>705</v>
      </c>
      <c r="M378" t="s">
        <v>709</v>
      </c>
      <c r="N378" t="s">
        <v>716</v>
      </c>
      <c r="O378" t="s">
        <v>729</v>
      </c>
      <c r="P378" t="str" cm="1">
        <f t="array" ref="P378">_xlfn.IFS(S378&lt;=PERCENTILE($S$2:$S$1000, 0.33), "Low", S378&lt;=PERCENTILE($S$2:$S$1000, 0.66), "Medium", TRUE, "High")</f>
        <v>High</v>
      </c>
      <c r="Q378" t="s">
        <v>1110</v>
      </c>
      <c r="R378" s="10">
        <v>1227.7</v>
      </c>
      <c r="S378" s="10">
        <v>2197.23</v>
      </c>
      <c r="T378" s="8">
        <v>9.9000000000000005E-2</v>
      </c>
      <c r="U378" s="12">
        <f t="shared" si="106"/>
        <v>0</v>
      </c>
      <c r="V378" s="6">
        <v>22</v>
      </c>
      <c r="W378" t="str">
        <f t="shared" si="96"/>
        <v>ok</v>
      </c>
      <c r="X378">
        <f t="shared" si="97"/>
        <v>14</v>
      </c>
      <c r="Y378">
        <f t="shared" si="107"/>
        <v>14</v>
      </c>
      <c r="Z378" s="10">
        <f t="shared" si="108"/>
        <v>43553.493060000001</v>
      </c>
      <c r="AA378" s="10">
        <f t="shared" si="109"/>
        <v>27009.4</v>
      </c>
      <c r="AB378" s="10">
        <f t="shared" si="110"/>
        <v>16544.093059999999</v>
      </c>
      <c r="AC378" s="10">
        <f t="shared" si="98"/>
        <v>606.37750000000005</v>
      </c>
      <c r="AD378" s="10">
        <f t="shared" si="99"/>
        <v>1193.865</v>
      </c>
      <c r="AE378" s="10">
        <f t="shared" si="100"/>
        <v>1912.0450000000001</v>
      </c>
      <c r="AF378" s="10" t="str">
        <f t="shared" si="101"/>
        <v>Medium</v>
      </c>
      <c r="AG378" s="6">
        <f t="shared" si="111"/>
        <v>0.37985685871873898</v>
      </c>
      <c r="AH378" s="4">
        <f t="shared" si="112"/>
        <v>44946</v>
      </c>
      <c r="AI378" t="str">
        <f t="shared" si="113"/>
        <v>Jan-2023</v>
      </c>
    </row>
    <row r="379" spans="1:35" x14ac:dyDescent="0.25">
      <c r="A379" t="s">
        <v>391</v>
      </c>
      <c r="B379" s="4">
        <v>44998</v>
      </c>
      <c r="C379" s="4" t="str">
        <f t="shared" si="102"/>
        <v>Q1-2023</v>
      </c>
      <c r="D379" s="4" t="str">
        <f t="shared" si="103"/>
        <v>Mar-2023</v>
      </c>
      <c r="E379" s="4">
        <v>45020</v>
      </c>
      <c r="F379" s="12">
        <f t="shared" si="104"/>
        <v>22</v>
      </c>
      <c r="G379" s="12">
        <f t="shared" si="95"/>
        <v>0</v>
      </c>
      <c r="H379" s="4">
        <f t="shared" si="105"/>
        <v>45020</v>
      </c>
      <c r="I379" t="s">
        <v>646</v>
      </c>
      <c r="J379" t="s">
        <v>661</v>
      </c>
      <c r="K379" t="s">
        <v>687</v>
      </c>
      <c r="L379" t="s">
        <v>705</v>
      </c>
      <c r="M379" t="s">
        <v>707</v>
      </c>
      <c r="N379" t="s">
        <v>720</v>
      </c>
      <c r="O379" t="s">
        <v>727</v>
      </c>
      <c r="P379" t="str" cm="1">
        <f t="array" ref="P379">_xlfn.IFS(S379&lt;=PERCENTILE($S$2:$S$1000, 0.33), "Low", S379&lt;=PERCENTILE($S$2:$S$1000, 0.66), "Medium", TRUE, "High")</f>
        <v>High</v>
      </c>
      <c r="Q379" t="s">
        <v>1111</v>
      </c>
      <c r="R379" s="10">
        <v>1113.7</v>
      </c>
      <c r="S379" s="10">
        <v>1620.6</v>
      </c>
      <c r="T379" s="8">
        <v>0.13900000000000001</v>
      </c>
      <c r="U379" s="12">
        <f t="shared" si="106"/>
        <v>0</v>
      </c>
      <c r="V379" s="6">
        <v>11</v>
      </c>
      <c r="W379" t="str">
        <f t="shared" si="96"/>
        <v>ok</v>
      </c>
      <c r="X379">
        <f t="shared" si="97"/>
        <v>22</v>
      </c>
      <c r="Y379">
        <f t="shared" si="107"/>
        <v>22</v>
      </c>
      <c r="Z379" s="10">
        <f t="shared" si="108"/>
        <v>15348.702599999999</v>
      </c>
      <c r="AA379" s="10">
        <f t="shared" si="109"/>
        <v>12250.7</v>
      </c>
      <c r="AB379" s="10">
        <f t="shared" si="110"/>
        <v>3098.002599999998</v>
      </c>
      <c r="AC379" s="10">
        <f t="shared" si="98"/>
        <v>606.37750000000005</v>
      </c>
      <c r="AD379" s="10">
        <f t="shared" si="99"/>
        <v>1193.865</v>
      </c>
      <c r="AE379" s="10">
        <f t="shared" si="100"/>
        <v>1912.0450000000001</v>
      </c>
      <c r="AF379" s="10" t="str">
        <f t="shared" si="101"/>
        <v>High</v>
      </c>
      <c r="AG379" s="6">
        <f t="shared" si="111"/>
        <v>0.20184133348182787</v>
      </c>
      <c r="AH379" s="4">
        <f t="shared" si="112"/>
        <v>44988</v>
      </c>
      <c r="AI379" t="str">
        <f t="shared" si="113"/>
        <v>Mar-2023</v>
      </c>
    </row>
    <row r="380" spans="1:35" x14ac:dyDescent="0.25">
      <c r="A380" t="s">
        <v>392</v>
      </c>
      <c r="B380" s="4">
        <v>45664</v>
      </c>
      <c r="C380" s="4" t="str">
        <f t="shared" si="102"/>
        <v>Q1-2025</v>
      </c>
      <c r="D380" s="4" t="str">
        <f t="shared" si="103"/>
        <v>Jan-2025</v>
      </c>
      <c r="E380" s="4">
        <v>45677</v>
      </c>
      <c r="F380" s="12">
        <f t="shared" si="104"/>
        <v>13</v>
      </c>
      <c r="G380" s="12">
        <f t="shared" si="95"/>
        <v>0</v>
      </c>
      <c r="H380" s="4">
        <f t="shared" si="105"/>
        <v>45677</v>
      </c>
      <c r="I380" t="s">
        <v>646</v>
      </c>
      <c r="J380" t="s">
        <v>661</v>
      </c>
      <c r="K380" t="s">
        <v>695</v>
      </c>
      <c r="L380" t="s">
        <v>701</v>
      </c>
      <c r="M380" t="s">
        <v>711</v>
      </c>
      <c r="N380" t="s">
        <v>723</v>
      </c>
      <c r="O380" t="s">
        <v>729</v>
      </c>
      <c r="P380" t="str" cm="1">
        <f t="array" ref="P380">_xlfn.IFS(S380&lt;=PERCENTILE($S$2:$S$1000, 0.33), "Low", S380&lt;=PERCENTILE($S$2:$S$1000, 0.66), "Medium", TRUE, "High")</f>
        <v>Medium</v>
      </c>
      <c r="Q380" t="s">
        <v>1112</v>
      </c>
      <c r="R380" s="10">
        <v>432.13</v>
      </c>
      <c r="S380" s="10">
        <v>1034.6600000000001</v>
      </c>
      <c r="T380" s="8">
        <v>9.1999999999999998E-2</v>
      </c>
      <c r="U380" s="12">
        <f t="shared" si="106"/>
        <v>0</v>
      </c>
      <c r="V380" s="6">
        <v>7</v>
      </c>
      <c r="W380" t="str">
        <f t="shared" si="96"/>
        <v>ok</v>
      </c>
      <c r="X380">
        <f t="shared" si="97"/>
        <v>13</v>
      </c>
      <c r="Y380">
        <f t="shared" si="107"/>
        <v>13</v>
      </c>
      <c r="Z380" s="10">
        <f t="shared" si="108"/>
        <v>6576.298960000001</v>
      </c>
      <c r="AA380" s="10">
        <f t="shared" si="109"/>
        <v>3024.91</v>
      </c>
      <c r="AB380" s="10">
        <f t="shared" si="110"/>
        <v>3551.3889600000011</v>
      </c>
      <c r="AC380" s="10">
        <f t="shared" si="98"/>
        <v>606.37750000000005</v>
      </c>
      <c r="AD380" s="10">
        <f t="shared" si="99"/>
        <v>1193.865</v>
      </c>
      <c r="AE380" s="10">
        <f t="shared" si="100"/>
        <v>1912.0450000000001</v>
      </c>
      <c r="AF380" s="10" t="str">
        <f t="shared" si="101"/>
        <v>Medium</v>
      </c>
      <c r="AG380" s="6">
        <f t="shared" si="111"/>
        <v>0.54002851476204794</v>
      </c>
      <c r="AH380" s="4">
        <f t="shared" si="112"/>
        <v>44939</v>
      </c>
      <c r="AI380" t="str">
        <f t="shared" si="113"/>
        <v>Jan-2023</v>
      </c>
    </row>
    <row r="381" spans="1:35" x14ac:dyDescent="0.25">
      <c r="A381" t="s">
        <v>393</v>
      </c>
      <c r="B381" s="4">
        <v>45694</v>
      </c>
      <c r="C381" s="4" t="str">
        <f t="shared" si="102"/>
        <v>Q1-2025</v>
      </c>
      <c r="D381" s="4" t="str">
        <f t="shared" si="103"/>
        <v>Feb-2025</v>
      </c>
      <c r="E381" s="4">
        <v>45703</v>
      </c>
      <c r="F381" s="12">
        <f t="shared" si="104"/>
        <v>9</v>
      </c>
      <c r="G381" s="12">
        <f t="shared" si="95"/>
        <v>0</v>
      </c>
      <c r="H381" s="4">
        <f t="shared" si="105"/>
        <v>45703</v>
      </c>
      <c r="I381" t="s">
        <v>648</v>
      </c>
      <c r="J381" t="s">
        <v>655</v>
      </c>
      <c r="K381" t="s">
        <v>670</v>
      </c>
      <c r="L381" t="s">
        <v>703</v>
      </c>
      <c r="M381" t="s">
        <v>710</v>
      </c>
      <c r="N381" t="s">
        <v>721</v>
      </c>
      <c r="O381" t="s">
        <v>729</v>
      </c>
      <c r="P381" t="str" cm="1">
        <f t="array" ref="P381">_xlfn.IFS(S381&lt;=PERCENTILE($S$2:$S$1000, 0.33), "Low", S381&lt;=PERCENTILE($S$2:$S$1000, 0.66), "Medium", TRUE, "High")</f>
        <v>High</v>
      </c>
      <c r="Q381" t="s">
        <v>1113</v>
      </c>
      <c r="R381" s="10">
        <v>837.39</v>
      </c>
      <c r="S381" s="10">
        <v>1905.42</v>
      </c>
      <c r="T381" s="8">
        <v>3.2000000000000001E-2</v>
      </c>
      <c r="U381" s="12">
        <f t="shared" si="106"/>
        <v>0</v>
      </c>
      <c r="V381" s="6">
        <v>18</v>
      </c>
      <c r="W381" t="str">
        <f t="shared" si="96"/>
        <v>ok</v>
      </c>
      <c r="X381">
        <f t="shared" si="97"/>
        <v>9</v>
      </c>
      <c r="Y381">
        <f t="shared" si="107"/>
        <v>9</v>
      </c>
      <c r="Z381" s="10">
        <f t="shared" si="108"/>
        <v>33200.038079999998</v>
      </c>
      <c r="AA381" s="10">
        <f t="shared" si="109"/>
        <v>15073.02</v>
      </c>
      <c r="AB381" s="10">
        <f t="shared" si="110"/>
        <v>18127.018079999998</v>
      </c>
      <c r="AC381" s="10">
        <f t="shared" si="98"/>
        <v>606.37750000000005</v>
      </c>
      <c r="AD381" s="10">
        <f t="shared" si="99"/>
        <v>1193.865</v>
      </c>
      <c r="AE381" s="10">
        <f t="shared" si="100"/>
        <v>1912.0450000000001</v>
      </c>
      <c r="AF381" s="10" t="str">
        <f t="shared" si="101"/>
        <v>Medium</v>
      </c>
      <c r="AG381" s="6">
        <f t="shared" si="111"/>
        <v>0.54599389423350919</v>
      </c>
      <c r="AH381" s="4">
        <f t="shared" si="112"/>
        <v>44928</v>
      </c>
      <c r="AI381" t="str">
        <f t="shared" si="113"/>
        <v>Jan-2023</v>
      </c>
    </row>
    <row r="382" spans="1:35" x14ac:dyDescent="0.25">
      <c r="A382" t="s">
        <v>394</v>
      </c>
      <c r="B382" s="4">
        <v>45688</v>
      </c>
      <c r="C382" s="4" t="str">
        <f t="shared" si="102"/>
        <v>Q1-2025</v>
      </c>
      <c r="D382" s="4" t="str">
        <f t="shared" si="103"/>
        <v>Jan-2025</v>
      </c>
      <c r="E382" s="4">
        <v>45705</v>
      </c>
      <c r="F382" s="12">
        <f t="shared" si="104"/>
        <v>17</v>
      </c>
      <c r="G382" s="12">
        <f t="shared" si="95"/>
        <v>0</v>
      </c>
      <c r="H382" s="4">
        <f t="shared" si="105"/>
        <v>45705</v>
      </c>
      <c r="I382" t="s">
        <v>649</v>
      </c>
      <c r="J382" t="s">
        <v>658</v>
      </c>
      <c r="K382" t="s">
        <v>683</v>
      </c>
      <c r="L382" t="s">
        <v>706</v>
      </c>
      <c r="M382" t="s">
        <v>707</v>
      </c>
      <c r="N382" t="s">
        <v>722</v>
      </c>
      <c r="O382" t="s">
        <v>727</v>
      </c>
      <c r="P382" t="str" cm="1">
        <f t="array" ref="P382">_xlfn.IFS(S382&lt;=PERCENTILE($S$2:$S$1000, 0.33), "Low", S382&lt;=PERCENTILE($S$2:$S$1000, 0.66), "Medium", TRUE, "High")</f>
        <v>Low</v>
      </c>
      <c r="Q382" t="s">
        <v>812</v>
      </c>
      <c r="R382" s="10">
        <v>378.26</v>
      </c>
      <c r="S382" s="10">
        <v>541.55999999999995</v>
      </c>
      <c r="T382" s="8">
        <v>0.16300000000000001</v>
      </c>
      <c r="U382" s="12">
        <f t="shared" si="106"/>
        <v>0</v>
      </c>
      <c r="V382" s="6">
        <v>25</v>
      </c>
      <c r="W382" t="str">
        <f t="shared" si="96"/>
        <v>ok</v>
      </c>
      <c r="X382">
        <f t="shared" si="97"/>
        <v>17</v>
      </c>
      <c r="Y382">
        <f t="shared" si="107"/>
        <v>17</v>
      </c>
      <c r="Z382" s="10">
        <f t="shared" si="108"/>
        <v>11332.142999999998</v>
      </c>
      <c r="AA382" s="10">
        <f t="shared" si="109"/>
        <v>9456.5</v>
      </c>
      <c r="AB382" s="10">
        <f t="shared" si="110"/>
        <v>1875.6429999999982</v>
      </c>
      <c r="AC382" s="10">
        <f t="shared" si="98"/>
        <v>606.37750000000005</v>
      </c>
      <c r="AD382" s="10">
        <f t="shared" si="99"/>
        <v>1193.865</v>
      </c>
      <c r="AE382" s="10">
        <f t="shared" si="100"/>
        <v>1912.0450000000001</v>
      </c>
      <c r="AF382" s="10" t="str">
        <f t="shared" si="101"/>
        <v>Medium</v>
      </c>
      <c r="AG382" s="6">
        <f t="shared" si="111"/>
        <v>0.16551529573885526</v>
      </c>
      <c r="AH382" s="4">
        <f t="shared" si="112"/>
        <v>44928</v>
      </c>
      <c r="AI382" t="str">
        <f t="shared" si="113"/>
        <v>Jan-2023</v>
      </c>
    </row>
    <row r="383" spans="1:35" x14ac:dyDescent="0.25">
      <c r="A383" t="s">
        <v>395</v>
      </c>
      <c r="B383" s="4">
        <v>45876</v>
      </c>
      <c r="C383" s="4" t="str">
        <f t="shared" si="102"/>
        <v>Q3-2025</v>
      </c>
      <c r="D383" s="4" t="str">
        <f t="shared" si="103"/>
        <v>Aug-2025</v>
      </c>
      <c r="E383" s="4">
        <v>45906</v>
      </c>
      <c r="F383" s="12">
        <f t="shared" si="104"/>
        <v>30</v>
      </c>
      <c r="G383" s="12">
        <f t="shared" si="95"/>
        <v>0</v>
      </c>
      <c r="H383" s="4">
        <f t="shared" si="105"/>
        <v>45906</v>
      </c>
      <c r="I383" t="s">
        <v>648</v>
      </c>
      <c r="J383" t="s">
        <v>653</v>
      </c>
      <c r="K383" t="s">
        <v>681</v>
      </c>
      <c r="L383" t="s">
        <v>702</v>
      </c>
      <c r="M383" t="s">
        <v>711</v>
      </c>
      <c r="N383" t="s">
        <v>724</v>
      </c>
      <c r="O383" t="s">
        <v>729</v>
      </c>
      <c r="P383" t="str" cm="1">
        <f t="array" ref="P383">_xlfn.IFS(S383&lt;=PERCENTILE($S$2:$S$1000, 0.33), "Low", S383&lt;=PERCENTILE($S$2:$S$1000, 0.66), "Medium", TRUE, "High")</f>
        <v>Medium</v>
      </c>
      <c r="Q383" t="s">
        <v>1114</v>
      </c>
      <c r="R383" s="10">
        <v>833.73</v>
      </c>
      <c r="S383" s="10">
        <v>1116.5999999999999</v>
      </c>
      <c r="T383" s="8">
        <v>0.17599999999999999</v>
      </c>
      <c r="U383" s="12">
        <f t="shared" si="106"/>
        <v>0</v>
      </c>
      <c r="V383" s="6">
        <v>14</v>
      </c>
      <c r="W383" t="str">
        <f t="shared" si="96"/>
        <v>ok</v>
      </c>
      <c r="X383">
        <f t="shared" si="97"/>
        <v>30</v>
      </c>
      <c r="Y383">
        <f t="shared" si="107"/>
        <v>30</v>
      </c>
      <c r="Z383" s="10">
        <f t="shared" si="108"/>
        <v>12881.097599999999</v>
      </c>
      <c r="AA383" s="10">
        <f t="shared" si="109"/>
        <v>11672.220000000001</v>
      </c>
      <c r="AB383" s="10">
        <f t="shared" si="110"/>
        <v>1208.877599999998</v>
      </c>
      <c r="AC383" s="10">
        <f t="shared" si="98"/>
        <v>606.37750000000005</v>
      </c>
      <c r="AD383" s="10">
        <f t="shared" si="99"/>
        <v>1193.865</v>
      </c>
      <c r="AE383" s="10">
        <f t="shared" si="100"/>
        <v>1912.0450000000001</v>
      </c>
      <c r="AF383" s="10" t="str">
        <f t="shared" si="101"/>
        <v>Low</v>
      </c>
      <c r="AG383" s="6">
        <f t="shared" si="111"/>
        <v>9.3848958958279924E-2</v>
      </c>
      <c r="AH383" s="4">
        <f t="shared" si="112"/>
        <v>44939</v>
      </c>
      <c r="AI383" t="str">
        <f t="shared" si="113"/>
        <v>Jan-2023</v>
      </c>
    </row>
    <row r="384" spans="1:35" x14ac:dyDescent="0.25">
      <c r="A384" t="s">
        <v>396</v>
      </c>
      <c r="B384" s="4">
        <v>45861</v>
      </c>
      <c r="C384" s="4" t="str">
        <f t="shared" si="102"/>
        <v>Q3-2025</v>
      </c>
      <c r="D384" s="4" t="str">
        <f t="shared" si="103"/>
        <v>Jul-2025</v>
      </c>
      <c r="E384" s="4">
        <v>45886</v>
      </c>
      <c r="F384" s="12">
        <f t="shared" si="104"/>
        <v>25</v>
      </c>
      <c r="G384" s="12">
        <f t="shared" si="95"/>
        <v>0</v>
      </c>
      <c r="H384" s="4">
        <f t="shared" si="105"/>
        <v>45886</v>
      </c>
      <c r="I384" t="s">
        <v>649</v>
      </c>
      <c r="J384" t="s">
        <v>658</v>
      </c>
      <c r="K384" t="s">
        <v>674</v>
      </c>
      <c r="L384" t="s">
        <v>702</v>
      </c>
      <c r="M384" t="s">
        <v>708</v>
      </c>
      <c r="N384" t="s">
        <v>714</v>
      </c>
      <c r="O384" t="s">
        <v>728</v>
      </c>
      <c r="P384" t="str" cm="1">
        <f t="array" ref="P384">_xlfn.IFS(S384&lt;=PERCENTILE($S$2:$S$1000, 0.33), "Low", S384&lt;=PERCENTILE($S$2:$S$1000, 0.66), "Medium", TRUE, "High")</f>
        <v>Medium</v>
      </c>
      <c r="Q384" t="s">
        <v>1115</v>
      </c>
      <c r="R384" s="10">
        <v>1142.06</v>
      </c>
      <c r="S384" s="10">
        <v>1455</v>
      </c>
      <c r="T384" s="8">
        <v>7.8E-2</v>
      </c>
      <c r="U384" s="12">
        <f t="shared" si="106"/>
        <v>0</v>
      </c>
      <c r="V384" s="6">
        <v>28</v>
      </c>
      <c r="W384" t="str">
        <f t="shared" si="96"/>
        <v>ok</v>
      </c>
      <c r="X384">
        <f t="shared" si="97"/>
        <v>25</v>
      </c>
      <c r="Y384">
        <f t="shared" si="107"/>
        <v>25</v>
      </c>
      <c r="Z384" s="10">
        <f t="shared" si="108"/>
        <v>37562.28</v>
      </c>
      <c r="AA384" s="10">
        <f t="shared" si="109"/>
        <v>31977.68</v>
      </c>
      <c r="AB384" s="10">
        <f t="shared" si="110"/>
        <v>5584.5999999999985</v>
      </c>
      <c r="AC384" s="10">
        <f t="shared" si="98"/>
        <v>606.37750000000005</v>
      </c>
      <c r="AD384" s="10">
        <f t="shared" si="99"/>
        <v>1193.865</v>
      </c>
      <c r="AE384" s="10">
        <f t="shared" si="100"/>
        <v>1912.0450000000001</v>
      </c>
      <c r="AF384" s="10" t="str">
        <f t="shared" si="101"/>
        <v>Medium</v>
      </c>
      <c r="AG384" s="6">
        <f t="shared" si="111"/>
        <v>0.1486757459877302</v>
      </c>
      <c r="AH384" s="4">
        <f t="shared" si="112"/>
        <v>44988</v>
      </c>
      <c r="AI384" t="str">
        <f t="shared" si="113"/>
        <v>Mar-2023</v>
      </c>
    </row>
    <row r="385" spans="1:35" x14ac:dyDescent="0.25">
      <c r="A385" t="s">
        <v>397</v>
      </c>
      <c r="B385" s="4">
        <v>45097</v>
      </c>
      <c r="C385" s="4" t="str">
        <f t="shared" si="102"/>
        <v>Q2-2023</v>
      </c>
      <c r="D385" s="4" t="str">
        <f t="shared" si="103"/>
        <v>Jun-2023</v>
      </c>
      <c r="E385" s="4">
        <v>45115</v>
      </c>
      <c r="F385" s="12">
        <f t="shared" si="104"/>
        <v>18</v>
      </c>
      <c r="G385" s="12">
        <f t="shared" si="95"/>
        <v>0</v>
      </c>
      <c r="H385" s="4">
        <f t="shared" si="105"/>
        <v>45115</v>
      </c>
      <c r="I385" t="s">
        <v>648</v>
      </c>
      <c r="J385" t="s">
        <v>660</v>
      </c>
      <c r="K385" t="s">
        <v>700</v>
      </c>
      <c r="L385" t="s">
        <v>704</v>
      </c>
      <c r="M385" t="s">
        <v>709</v>
      </c>
      <c r="N385" t="s">
        <v>719</v>
      </c>
      <c r="O385" t="s">
        <v>729</v>
      </c>
      <c r="P385" t="str" cm="1">
        <f t="array" ref="P385">_xlfn.IFS(S385&lt;=PERCENTILE($S$2:$S$1000, 0.33), "Low", S385&lt;=PERCENTILE($S$2:$S$1000, 0.66), "Medium", TRUE, "High")</f>
        <v>Medium</v>
      </c>
      <c r="Q385" t="s">
        <v>1116</v>
      </c>
      <c r="R385" s="10">
        <v>1145.53</v>
      </c>
      <c r="S385" s="10">
        <v>1278.3</v>
      </c>
      <c r="T385" s="8">
        <v>0.09</v>
      </c>
      <c r="U385" s="12">
        <f t="shared" si="106"/>
        <v>0</v>
      </c>
      <c r="V385" s="6">
        <v>41</v>
      </c>
      <c r="W385" t="str">
        <f t="shared" si="96"/>
        <v>ok</v>
      </c>
      <c r="X385">
        <f t="shared" si="97"/>
        <v>18</v>
      </c>
      <c r="Y385">
        <f t="shared" si="107"/>
        <v>18</v>
      </c>
      <c r="Z385" s="10">
        <f t="shared" si="108"/>
        <v>47693.373</v>
      </c>
      <c r="AA385" s="10">
        <f t="shared" si="109"/>
        <v>46966.729999999996</v>
      </c>
      <c r="AB385" s="10">
        <f t="shared" si="110"/>
        <v>726.64300000000367</v>
      </c>
      <c r="AC385" s="10">
        <f t="shared" si="98"/>
        <v>606.37750000000005</v>
      </c>
      <c r="AD385" s="10">
        <f t="shared" si="99"/>
        <v>1193.865</v>
      </c>
      <c r="AE385" s="10">
        <f t="shared" si="100"/>
        <v>1912.0450000000001</v>
      </c>
      <c r="AF385" s="10" t="str">
        <f t="shared" si="101"/>
        <v>Medium</v>
      </c>
      <c r="AG385" s="6">
        <f t="shared" si="111"/>
        <v>1.5235722581416158E-2</v>
      </c>
      <c r="AH385" s="4">
        <f t="shared" si="112"/>
        <v>44948</v>
      </c>
      <c r="AI385" t="str">
        <f t="shared" si="113"/>
        <v>Jan-2023</v>
      </c>
    </row>
    <row r="386" spans="1:35" x14ac:dyDescent="0.25">
      <c r="A386" t="s">
        <v>398</v>
      </c>
      <c r="B386" s="4">
        <v>45491</v>
      </c>
      <c r="C386" s="4" t="str">
        <f t="shared" si="102"/>
        <v>Q3-2024</v>
      </c>
      <c r="D386" s="4" t="str">
        <f t="shared" si="103"/>
        <v>Jul-2024</v>
      </c>
      <c r="E386" s="4">
        <v>45511</v>
      </c>
      <c r="F386" s="12">
        <f t="shared" si="104"/>
        <v>20</v>
      </c>
      <c r="G386" s="12">
        <f t="shared" ref="G386:G449" si="114">IF(F386&lt;=7, 1, 0)</f>
        <v>0</v>
      </c>
      <c r="H386" s="4">
        <f t="shared" si="105"/>
        <v>45511</v>
      </c>
      <c r="I386" t="s">
        <v>649</v>
      </c>
      <c r="J386" t="s">
        <v>657</v>
      </c>
      <c r="K386" t="s">
        <v>673</v>
      </c>
      <c r="L386" t="s">
        <v>701</v>
      </c>
      <c r="M386" t="s">
        <v>707</v>
      </c>
      <c r="N386" t="s">
        <v>721</v>
      </c>
      <c r="O386" t="s">
        <v>732</v>
      </c>
      <c r="P386" t="str" cm="1">
        <f t="array" ref="P386">_xlfn.IFS(S386&lt;=PERCENTILE($S$2:$S$1000, 0.33), "Low", S386&lt;=PERCENTILE($S$2:$S$1000, 0.66), "Medium", TRUE, "High")</f>
        <v>Medium</v>
      </c>
      <c r="Q386" t="s">
        <v>1117</v>
      </c>
      <c r="R386" s="10">
        <v>941.35</v>
      </c>
      <c r="S386" s="10">
        <v>899.83</v>
      </c>
      <c r="T386" s="8">
        <v>5.8000000000000003E-2</v>
      </c>
      <c r="U386" s="12">
        <f t="shared" si="106"/>
        <v>0</v>
      </c>
      <c r="V386" s="6">
        <v>18</v>
      </c>
      <c r="W386" t="str">
        <f t="shared" ref="W386:W449" si="115">IF(E386&gt;B386, "ok", "sus")</f>
        <v>ok</v>
      </c>
      <c r="X386">
        <f t="shared" ref="X386:X449" si="116">E386-B386</f>
        <v>20</v>
      </c>
      <c r="Y386">
        <f t="shared" si="107"/>
        <v>20</v>
      </c>
      <c r="Z386" s="10">
        <f t="shared" si="108"/>
        <v>15257.51748</v>
      </c>
      <c r="AA386" s="10">
        <f t="shared" si="109"/>
        <v>16944.3</v>
      </c>
      <c r="AB386" s="10">
        <f t="shared" si="110"/>
        <v>-1686.7825199999988</v>
      </c>
      <c r="AC386" s="10">
        <f t="shared" ref="AC386:AC449" si="117">_xlfn.QUARTILE.INC(S:S,1)</f>
        <v>606.37750000000005</v>
      </c>
      <c r="AD386" s="10">
        <f t="shared" ref="AD386:AD449" si="118">_xlfn.QUARTILE.INC(S:S,2)</f>
        <v>1193.865</v>
      </c>
      <c r="AE386" s="10">
        <f t="shared" ref="AE386:AE449" si="119">_xlfn.QUARTILE.INC(S:S,3)</f>
        <v>1912.0450000000001</v>
      </c>
      <c r="AF386" s="10" t="str">
        <f t="shared" ref="AF386:AF449" si="120">IF(S385&lt;=$AC$2,"Low",
 IF(S385&lt;=$AE$3,"Medium",
 "High"))</f>
        <v>Medium</v>
      </c>
      <c r="AG386" s="6">
        <f t="shared" si="111"/>
        <v>-0.11055419220139073</v>
      </c>
      <c r="AH386" s="4">
        <f t="shared" si="112"/>
        <v>44955</v>
      </c>
      <c r="AI386" t="str">
        <f t="shared" si="113"/>
        <v>Jan-2023</v>
      </c>
    </row>
    <row r="387" spans="1:35" x14ac:dyDescent="0.25">
      <c r="A387" t="s">
        <v>399</v>
      </c>
      <c r="B387" s="4">
        <v>45066</v>
      </c>
      <c r="C387" s="4" t="str">
        <f t="shared" ref="C387:C450" si="121">"Q" &amp; ROUNDUP(MONTH(B387)/3,0) &amp; "-" &amp; YEAR(B387)</f>
        <v>Q2-2023</v>
      </c>
      <c r="D387" s="4" t="str">
        <f t="shared" ref="D387:D450" si="122">TEXT(B387,"MMM-YYYY")</f>
        <v>May-2023</v>
      </c>
      <c r="E387" s="4">
        <v>45096</v>
      </c>
      <c r="F387" s="12">
        <f t="shared" ref="F387:F450" si="123">H387-B387</f>
        <v>30</v>
      </c>
      <c r="G387" s="12">
        <f t="shared" si="114"/>
        <v>0</v>
      </c>
      <c r="H387" s="4">
        <f t="shared" ref="H387:H450" si="124">IF(E387&lt;B387,B387+14,E387)</f>
        <v>45096</v>
      </c>
      <c r="I387" t="s">
        <v>647</v>
      </c>
      <c r="J387" t="s">
        <v>654</v>
      </c>
      <c r="K387" t="s">
        <v>680</v>
      </c>
      <c r="L387" t="s">
        <v>703</v>
      </c>
      <c r="M387" t="s">
        <v>709</v>
      </c>
      <c r="N387" t="s">
        <v>722</v>
      </c>
      <c r="O387" t="s">
        <v>731</v>
      </c>
      <c r="P387" t="str" cm="1">
        <f t="array" ref="P387">_xlfn.IFS(S387&lt;=PERCENTILE($S$2:$S$1000, 0.33), "Low", S387&lt;=PERCENTILE($S$2:$S$1000, 0.66), "Medium", TRUE, "High")</f>
        <v>Medium</v>
      </c>
      <c r="Q387" t="s">
        <v>1118</v>
      </c>
      <c r="R387" s="10">
        <v>1161.2</v>
      </c>
      <c r="S387" s="10">
        <v>878.73</v>
      </c>
      <c r="T387" s="8">
        <v>0.19</v>
      </c>
      <c r="U387" s="12">
        <f t="shared" ref="U387:U450" si="125">IF(T387&gt;0.2,1,0)</f>
        <v>0</v>
      </c>
      <c r="V387" s="6">
        <v>31</v>
      </c>
      <c r="W387" t="str">
        <f t="shared" si="115"/>
        <v>ok</v>
      </c>
      <c r="X387">
        <f t="shared" si="116"/>
        <v>30</v>
      </c>
      <c r="Y387">
        <f t="shared" ref="Y387:Y450" si="126">ABS(X387)</f>
        <v>30</v>
      </c>
      <c r="Z387" s="10">
        <f t="shared" ref="Z387:Z450" si="127">S387*V387*(1-T387)</f>
        <v>22064.910300000003</v>
      </c>
      <c r="AA387" s="10">
        <f t="shared" ref="AA387:AA450" si="128">R387*V387</f>
        <v>35997.200000000004</v>
      </c>
      <c r="AB387" s="10">
        <f t="shared" ref="AB387:AB450" si="129">Z387-AA387</f>
        <v>-13932.289700000001</v>
      </c>
      <c r="AC387" s="10">
        <f t="shared" si="117"/>
        <v>606.37750000000005</v>
      </c>
      <c r="AD387" s="10">
        <f t="shared" si="118"/>
        <v>1193.865</v>
      </c>
      <c r="AE387" s="10">
        <f t="shared" si="119"/>
        <v>1912.0450000000001</v>
      </c>
      <c r="AF387" s="10" t="str">
        <f t="shared" si="120"/>
        <v>Medium</v>
      </c>
      <c r="AG387" s="6">
        <f t="shared" ref="AG387:AG450" si="130">IF(Z387=0,0,AB387/Z387)</f>
        <v>-0.63142290227212028</v>
      </c>
      <c r="AH387" s="4">
        <f t="shared" ref="AH387:AH450" si="131">_xlfn.MINIFS($B:$B,$J:$J,J259)</f>
        <v>44945</v>
      </c>
      <c r="AI387" t="str">
        <f t="shared" ref="AI387:AI450" si="132">TEXT(AH387,"MMM-YYYY")</f>
        <v>Jan-2023</v>
      </c>
    </row>
    <row r="388" spans="1:35" x14ac:dyDescent="0.25">
      <c r="A388" t="s">
        <v>400</v>
      </c>
      <c r="B388" s="4">
        <v>45789</v>
      </c>
      <c r="C388" s="4" t="str">
        <f t="shared" si="121"/>
        <v>Q2-2025</v>
      </c>
      <c r="D388" s="4" t="str">
        <f t="shared" si="122"/>
        <v>May-2025</v>
      </c>
      <c r="E388" s="4">
        <v>45803</v>
      </c>
      <c r="F388" s="12">
        <f t="shared" si="123"/>
        <v>14</v>
      </c>
      <c r="G388" s="12">
        <f t="shared" si="114"/>
        <v>0</v>
      </c>
      <c r="H388" s="4">
        <f t="shared" si="124"/>
        <v>45803</v>
      </c>
      <c r="I388" t="s">
        <v>647</v>
      </c>
      <c r="J388" t="s">
        <v>654</v>
      </c>
      <c r="K388" t="s">
        <v>696</v>
      </c>
      <c r="L388" t="s">
        <v>701</v>
      </c>
      <c r="M388" t="s">
        <v>709</v>
      </c>
      <c r="N388" t="s">
        <v>715</v>
      </c>
      <c r="O388" t="s">
        <v>728</v>
      </c>
      <c r="P388" t="str" cm="1">
        <f t="array" ref="P388">_xlfn.IFS(S388&lt;=PERCENTILE($S$2:$S$1000, 0.33), "Low", S388&lt;=PERCENTILE($S$2:$S$1000, 0.66), "Medium", TRUE, "High")</f>
        <v>Low</v>
      </c>
      <c r="Q388" t="s">
        <v>1119</v>
      </c>
      <c r="R388" s="10">
        <v>320.12</v>
      </c>
      <c r="S388" s="10">
        <v>594.41999999999996</v>
      </c>
      <c r="T388" s="8">
        <v>0.104</v>
      </c>
      <c r="U388" s="12">
        <f t="shared" si="125"/>
        <v>0</v>
      </c>
      <c r="V388" s="6">
        <v>18</v>
      </c>
      <c r="W388" t="str">
        <f t="shared" si="115"/>
        <v>ok</v>
      </c>
      <c r="X388">
        <f t="shared" si="116"/>
        <v>14</v>
      </c>
      <c r="Y388">
        <f t="shared" si="126"/>
        <v>14</v>
      </c>
      <c r="Z388" s="10">
        <f t="shared" si="127"/>
        <v>9586.8057599999993</v>
      </c>
      <c r="AA388" s="10">
        <f t="shared" si="128"/>
        <v>5762.16</v>
      </c>
      <c r="AB388" s="10">
        <f t="shared" si="129"/>
        <v>3824.6457599999994</v>
      </c>
      <c r="AC388" s="10">
        <f t="shared" si="117"/>
        <v>606.37750000000005</v>
      </c>
      <c r="AD388" s="10">
        <f t="shared" si="118"/>
        <v>1193.865</v>
      </c>
      <c r="AE388" s="10">
        <f t="shared" si="119"/>
        <v>1912.0450000000001</v>
      </c>
      <c r="AF388" s="10" t="str">
        <f t="shared" si="120"/>
        <v>Medium</v>
      </c>
      <c r="AG388" s="6">
        <f t="shared" si="130"/>
        <v>0.39894891538931104</v>
      </c>
      <c r="AH388" s="4">
        <f t="shared" si="131"/>
        <v>44948</v>
      </c>
      <c r="AI388" t="str">
        <f t="shared" si="132"/>
        <v>Jan-2023</v>
      </c>
    </row>
    <row r="389" spans="1:35" x14ac:dyDescent="0.25">
      <c r="A389" t="s">
        <v>401</v>
      </c>
      <c r="B389" s="4">
        <v>45419</v>
      </c>
      <c r="C389" s="4" t="str">
        <f t="shared" si="121"/>
        <v>Q2-2024</v>
      </c>
      <c r="D389" s="4" t="str">
        <f t="shared" si="122"/>
        <v>May-2024</v>
      </c>
      <c r="E389" s="4">
        <v>45424</v>
      </c>
      <c r="F389" s="12">
        <f t="shared" si="123"/>
        <v>5</v>
      </c>
      <c r="G389" s="12">
        <f t="shared" si="114"/>
        <v>1</v>
      </c>
      <c r="H389" s="4">
        <f t="shared" si="124"/>
        <v>45424</v>
      </c>
      <c r="I389" t="s">
        <v>646</v>
      </c>
      <c r="J389" t="s">
        <v>651</v>
      </c>
      <c r="K389" t="s">
        <v>669</v>
      </c>
      <c r="L389" t="s">
        <v>703</v>
      </c>
      <c r="M389" t="s">
        <v>710</v>
      </c>
      <c r="N389" t="s">
        <v>716</v>
      </c>
      <c r="O389" t="s">
        <v>731</v>
      </c>
      <c r="P389" t="str" cm="1">
        <f t="array" ref="P389">_xlfn.IFS(S389&lt;=PERCENTILE($S$2:$S$1000, 0.33), "Low", S389&lt;=PERCENTILE($S$2:$S$1000, 0.66), "Medium", TRUE, "High")</f>
        <v>Medium</v>
      </c>
      <c r="Q389" t="s">
        <v>1120</v>
      </c>
      <c r="R389" s="10">
        <v>1163.99</v>
      </c>
      <c r="S389" s="10">
        <v>1617.85</v>
      </c>
      <c r="T389" s="8">
        <v>0.127</v>
      </c>
      <c r="U389" s="12">
        <f t="shared" si="125"/>
        <v>0</v>
      </c>
      <c r="V389" s="6">
        <v>14</v>
      </c>
      <c r="W389" t="str">
        <f t="shared" si="115"/>
        <v>ok</v>
      </c>
      <c r="X389">
        <f t="shared" si="116"/>
        <v>5</v>
      </c>
      <c r="Y389">
        <f t="shared" si="126"/>
        <v>5</v>
      </c>
      <c r="Z389" s="10">
        <f t="shared" si="127"/>
        <v>19773.362699999998</v>
      </c>
      <c r="AA389" s="10">
        <f t="shared" si="128"/>
        <v>16295.86</v>
      </c>
      <c r="AB389" s="10">
        <f t="shared" si="129"/>
        <v>3477.5026999999973</v>
      </c>
      <c r="AC389" s="10">
        <f t="shared" si="117"/>
        <v>606.37750000000005</v>
      </c>
      <c r="AD389" s="10">
        <f t="shared" si="118"/>
        <v>1193.865</v>
      </c>
      <c r="AE389" s="10">
        <f t="shared" si="119"/>
        <v>1912.0450000000001</v>
      </c>
      <c r="AF389" s="10" t="str">
        <f t="shared" si="120"/>
        <v>Low</v>
      </c>
      <c r="AG389" s="6">
        <f t="shared" si="130"/>
        <v>0.17586804797749436</v>
      </c>
      <c r="AH389" s="4">
        <f t="shared" si="131"/>
        <v>44955</v>
      </c>
      <c r="AI389" t="str">
        <f t="shared" si="132"/>
        <v>Jan-2023</v>
      </c>
    </row>
    <row r="390" spans="1:35" x14ac:dyDescent="0.25">
      <c r="A390" t="s">
        <v>402</v>
      </c>
      <c r="B390" s="4">
        <v>45199</v>
      </c>
      <c r="C390" s="4" t="str">
        <f t="shared" si="121"/>
        <v>Q3-2023</v>
      </c>
      <c r="D390" s="4" t="str">
        <f t="shared" si="122"/>
        <v>Sept-2023</v>
      </c>
      <c r="E390" s="4">
        <v>45202</v>
      </c>
      <c r="F390" s="12">
        <f t="shared" si="123"/>
        <v>3</v>
      </c>
      <c r="G390" s="12">
        <f t="shared" si="114"/>
        <v>1</v>
      </c>
      <c r="H390" s="4">
        <f t="shared" si="124"/>
        <v>45202</v>
      </c>
      <c r="I390" t="s">
        <v>647</v>
      </c>
      <c r="J390" t="s">
        <v>659</v>
      </c>
      <c r="K390" t="s">
        <v>699</v>
      </c>
      <c r="L390" t="s">
        <v>703</v>
      </c>
      <c r="M390" t="s">
        <v>707</v>
      </c>
      <c r="N390" t="s">
        <v>713</v>
      </c>
      <c r="O390" t="s">
        <v>731</v>
      </c>
      <c r="P390" t="str" cm="1">
        <f t="array" ref="P390">_xlfn.IFS(S390&lt;=PERCENTILE($S$2:$S$1000, 0.33), "Low", S390&lt;=PERCENTILE($S$2:$S$1000, 0.66), "Medium", TRUE, "High")</f>
        <v>Medium</v>
      </c>
      <c r="Q390" t="s">
        <v>1121</v>
      </c>
      <c r="R390" s="10">
        <v>1019.36</v>
      </c>
      <c r="S390" s="10">
        <v>972.91</v>
      </c>
      <c r="T390" s="8">
        <v>0.14699999999999999</v>
      </c>
      <c r="U390" s="12">
        <f t="shared" si="125"/>
        <v>0</v>
      </c>
      <c r="V390" s="6">
        <v>17</v>
      </c>
      <c r="W390" t="str">
        <f t="shared" si="115"/>
        <v>ok</v>
      </c>
      <c r="X390">
        <f t="shared" si="116"/>
        <v>3</v>
      </c>
      <c r="Y390">
        <f t="shared" si="126"/>
        <v>3</v>
      </c>
      <c r="Z390" s="10">
        <f t="shared" si="127"/>
        <v>14108.16791</v>
      </c>
      <c r="AA390" s="10">
        <f t="shared" si="128"/>
        <v>17329.12</v>
      </c>
      <c r="AB390" s="10">
        <f t="shared" si="129"/>
        <v>-3220.9520899999989</v>
      </c>
      <c r="AC390" s="10">
        <f t="shared" si="117"/>
        <v>606.37750000000005</v>
      </c>
      <c r="AD390" s="10">
        <f t="shared" si="118"/>
        <v>1193.865</v>
      </c>
      <c r="AE390" s="10">
        <f t="shared" si="119"/>
        <v>1912.0450000000001</v>
      </c>
      <c r="AF390" s="10" t="str">
        <f t="shared" si="120"/>
        <v>Medium</v>
      </c>
      <c r="AG390" s="6">
        <f t="shared" si="130"/>
        <v>-0.22830406545678819</v>
      </c>
      <c r="AH390" s="4">
        <f t="shared" si="131"/>
        <v>44941</v>
      </c>
      <c r="AI390" t="str">
        <f t="shared" si="132"/>
        <v>Jan-2023</v>
      </c>
    </row>
    <row r="391" spans="1:35" x14ac:dyDescent="0.25">
      <c r="A391" t="s">
        <v>403</v>
      </c>
      <c r="B391" s="4">
        <v>45225</v>
      </c>
      <c r="C391" s="4" t="str">
        <f t="shared" si="121"/>
        <v>Q4-2023</v>
      </c>
      <c r="D391" s="4" t="str">
        <f t="shared" si="122"/>
        <v>Oct-2023</v>
      </c>
      <c r="E391" s="4">
        <v>45235</v>
      </c>
      <c r="F391" s="12">
        <f t="shared" si="123"/>
        <v>10</v>
      </c>
      <c r="G391" s="12">
        <f t="shared" si="114"/>
        <v>0</v>
      </c>
      <c r="H391" s="4">
        <f t="shared" si="124"/>
        <v>45235</v>
      </c>
      <c r="I391" t="s">
        <v>646</v>
      </c>
      <c r="J391" t="s">
        <v>661</v>
      </c>
      <c r="K391" t="s">
        <v>695</v>
      </c>
      <c r="L391" t="s">
        <v>703</v>
      </c>
      <c r="M391" t="s">
        <v>708</v>
      </c>
      <c r="N391" t="s">
        <v>714</v>
      </c>
      <c r="O391" t="s">
        <v>731</v>
      </c>
      <c r="P391" t="str" cm="1">
        <f t="array" ref="P391">_xlfn.IFS(S391&lt;=PERCENTILE($S$2:$S$1000, 0.33), "Low", S391&lt;=PERCENTILE($S$2:$S$1000, 0.66), "Medium", TRUE, "High")</f>
        <v>Low</v>
      </c>
      <c r="Q391" t="s">
        <v>1122</v>
      </c>
      <c r="R391" s="10">
        <v>20.38</v>
      </c>
      <c r="S391" s="10">
        <v>42.56</v>
      </c>
      <c r="T391" s="8">
        <v>7.1999999999999995E-2</v>
      </c>
      <c r="U391" s="12">
        <f t="shared" si="125"/>
        <v>0</v>
      </c>
      <c r="V391" s="6">
        <v>11</v>
      </c>
      <c r="W391" t="str">
        <f t="shared" si="115"/>
        <v>ok</v>
      </c>
      <c r="X391">
        <f t="shared" si="116"/>
        <v>10</v>
      </c>
      <c r="Y391">
        <f t="shared" si="126"/>
        <v>10</v>
      </c>
      <c r="Z391" s="10">
        <f t="shared" si="127"/>
        <v>434.45248000000004</v>
      </c>
      <c r="AA391" s="10">
        <f t="shared" si="128"/>
        <v>224.17999999999998</v>
      </c>
      <c r="AB391" s="10">
        <f t="shared" si="129"/>
        <v>210.27248000000006</v>
      </c>
      <c r="AC391" s="10">
        <f t="shared" si="117"/>
        <v>606.37750000000005</v>
      </c>
      <c r="AD391" s="10">
        <f t="shared" si="118"/>
        <v>1193.865</v>
      </c>
      <c r="AE391" s="10">
        <f t="shared" si="119"/>
        <v>1912.0450000000001</v>
      </c>
      <c r="AF391" s="10" t="str">
        <f t="shared" si="120"/>
        <v>Medium</v>
      </c>
      <c r="AG391" s="6">
        <f t="shared" si="130"/>
        <v>0.48399419885921713</v>
      </c>
      <c r="AH391" s="4">
        <f t="shared" si="131"/>
        <v>44948</v>
      </c>
      <c r="AI391" t="str">
        <f t="shared" si="132"/>
        <v>Jan-2023</v>
      </c>
    </row>
    <row r="392" spans="1:35" x14ac:dyDescent="0.25">
      <c r="A392" t="s">
        <v>404</v>
      </c>
      <c r="B392" s="4">
        <v>45823</v>
      </c>
      <c r="C392" s="4" t="str">
        <f t="shared" si="121"/>
        <v>Q2-2025</v>
      </c>
      <c r="D392" s="4" t="str">
        <f t="shared" si="122"/>
        <v>Jun-2025</v>
      </c>
      <c r="E392" s="4">
        <v>45838</v>
      </c>
      <c r="F392" s="12">
        <f t="shared" si="123"/>
        <v>15</v>
      </c>
      <c r="G392" s="12">
        <f t="shared" si="114"/>
        <v>0</v>
      </c>
      <c r="H392" s="4">
        <f t="shared" si="124"/>
        <v>45838</v>
      </c>
      <c r="I392" t="s">
        <v>646</v>
      </c>
      <c r="J392" t="s">
        <v>661</v>
      </c>
      <c r="K392" t="s">
        <v>682</v>
      </c>
      <c r="L392" t="s">
        <v>705</v>
      </c>
      <c r="M392" t="s">
        <v>711</v>
      </c>
      <c r="N392" t="s">
        <v>712</v>
      </c>
      <c r="O392" t="s">
        <v>732</v>
      </c>
      <c r="P392" t="str" cm="1">
        <f t="array" ref="P392">_xlfn.IFS(S392&lt;=PERCENTILE($S$2:$S$1000, 0.33), "Low", S392&lt;=PERCENTILE($S$2:$S$1000, 0.66), "Medium", TRUE, "High")</f>
        <v>Medium</v>
      </c>
      <c r="Q392" t="s">
        <v>1123</v>
      </c>
      <c r="R392" s="10">
        <v>1487.59</v>
      </c>
      <c r="S392" s="10">
        <v>1480.83</v>
      </c>
      <c r="T392" s="8">
        <v>8.9999999999999993E-3</v>
      </c>
      <c r="U392" s="12">
        <f t="shared" si="125"/>
        <v>0</v>
      </c>
      <c r="V392" s="6">
        <v>11</v>
      </c>
      <c r="W392" t="str">
        <f t="shared" si="115"/>
        <v>ok</v>
      </c>
      <c r="X392">
        <f t="shared" si="116"/>
        <v>15</v>
      </c>
      <c r="Y392">
        <f t="shared" si="126"/>
        <v>15</v>
      </c>
      <c r="Z392" s="10">
        <f t="shared" si="127"/>
        <v>16142.527829999999</v>
      </c>
      <c r="AA392" s="10">
        <f t="shared" si="128"/>
        <v>16363.49</v>
      </c>
      <c r="AB392" s="10">
        <f t="shared" si="129"/>
        <v>-220.9621700000007</v>
      </c>
      <c r="AC392" s="10">
        <f t="shared" si="117"/>
        <v>606.37750000000005</v>
      </c>
      <c r="AD392" s="10">
        <f t="shared" si="118"/>
        <v>1193.865</v>
      </c>
      <c r="AE392" s="10">
        <f t="shared" si="119"/>
        <v>1912.0450000000001</v>
      </c>
      <c r="AF392" s="10" t="str">
        <f t="shared" si="120"/>
        <v>Low</v>
      </c>
      <c r="AG392" s="6">
        <f t="shared" si="130"/>
        <v>-1.3688201273492908E-2</v>
      </c>
      <c r="AH392" s="4">
        <f t="shared" si="131"/>
        <v>44955</v>
      </c>
      <c r="AI392" t="str">
        <f t="shared" si="132"/>
        <v>Jan-2023</v>
      </c>
    </row>
    <row r="393" spans="1:35" x14ac:dyDescent="0.25">
      <c r="A393" t="s">
        <v>405</v>
      </c>
      <c r="B393" s="4">
        <v>45514</v>
      </c>
      <c r="C393" s="4" t="str">
        <f t="shared" si="121"/>
        <v>Q3-2024</v>
      </c>
      <c r="D393" s="4" t="str">
        <f t="shared" si="122"/>
        <v>Aug-2024</v>
      </c>
      <c r="E393" s="4">
        <v>45542</v>
      </c>
      <c r="F393" s="12">
        <f t="shared" si="123"/>
        <v>28</v>
      </c>
      <c r="G393" s="12">
        <f t="shared" si="114"/>
        <v>0</v>
      </c>
      <c r="H393" s="4">
        <f t="shared" si="124"/>
        <v>45542</v>
      </c>
      <c r="I393" t="s">
        <v>649</v>
      </c>
      <c r="J393" t="s">
        <v>657</v>
      </c>
      <c r="K393" t="s">
        <v>673</v>
      </c>
      <c r="L393" t="s">
        <v>703</v>
      </c>
      <c r="M393" t="s">
        <v>711</v>
      </c>
      <c r="N393" t="s">
        <v>721</v>
      </c>
      <c r="O393" t="s">
        <v>728</v>
      </c>
      <c r="P393" t="str" cm="1">
        <f t="array" ref="P393">_xlfn.IFS(S393&lt;=PERCENTILE($S$2:$S$1000, 0.33), "Low", S393&lt;=PERCENTILE($S$2:$S$1000, 0.66), "Medium", TRUE, "High")</f>
        <v>Low</v>
      </c>
      <c r="Q393" t="s">
        <v>1124</v>
      </c>
      <c r="R393" s="10">
        <v>229.96</v>
      </c>
      <c r="S393" s="10">
        <v>564.26</v>
      </c>
      <c r="T393" s="8">
        <v>0.105</v>
      </c>
      <c r="U393" s="12">
        <f t="shared" si="125"/>
        <v>0</v>
      </c>
      <c r="V393" s="6">
        <v>5</v>
      </c>
      <c r="W393" t="str">
        <f t="shared" si="115"/>
        <v>ok</v>
      </c>
      <c r="X393">
        <f t="shared" si="116"/>
        <v>28</v>
      </c>
      <c r="Y393">
        <f t="shared" si="126"/>
        <v>28</v>
      </c>
      <c r="Z393" s="10">
        <f t="shared" si="127"/>
        <v>2525.0635000000002</v>
      </c>
      <c r="AA393" s="10">
        <f t="shared" si="128"/>
        <v>1149.8</v>
      </c>
      <c r="AB393" s="10">
        <f t="shared" si="129"/>
        <v>1375.2635000000002</v>
      </c>
      <c r="AC393" s="10">
        <f t="shared" si="117"/>
        <v>606.37750000000005</v>
      </c>
      <c r="AD393" s="10">
        <f t="shared" si="118"/>
        <v>1193.865</v>
      </c>
      <c r="AE393" s="10">
        <f t="shared" si="119"/>
        <v>1912.0450000000001</v>
      </c>
      <c r="AF393" s="10" t="str">
        <f t="shared" si="120"/>
        <v>Medium</v>
      </c>
      <c r="AG393" s="6">
        <f t="shared" si="130"/>
        <v>0.54464511486542821</v>
      </c>
      <c r="AH393" s="4">
        <f t="shared" si="131"/>
        <v>44933</v>
      </c>
      <c r="AI393" t="str">
        <f t="shared" si="132"/>
        <v>Jan-2023</v>
      </c>
    </row>
    <row r="394" spans="1:35" x14ac:dyDescent="0.25">
      <c r="A394" t="s">
        <v>406</v>
      </c>
      <c r="B394" s="4">
        <v>45208</v>
      </c>
      <c r="C394" s="4" t="str">
        <f t="shared" si="121"/>
        <v>Q4-2023</v>
      </c>
      <c r="D394" s="4" t="str">
        <f t="shared" si="122"/>
        <v>Oct-2023</v>
      </c>
      <c r="E394" s="4">
        <v>45225</v>
      </c>
      <c r="F394" s="12">
        <f t="shared" si="123"/>
        <v>17</v>
      </c>
      <c r="G394" s="12">
        <f t="shared" si="114"/>
        <v>0</v>
      </c>
      <c r="H394" s="4">
        <f t="shared" si="124"/>
        <v>45225</v>
      </c>
      <c r="I394" t="s">
        <v>647</v>
      </c>
      <c r="J394" t="s">
        <v>659</v>
      </c>
      <c r="K394" t="s">
        <v>685</v>
      </c>
      <c r="L394" t="s">
        <v>704</v>
      </c>
      <c r="M394" t="s">
        <v>709</v>
      </c>
      <c r="N394" t="s">
        <v>712</v>
      </c>
      <c r="O394" t="s">
        <v>727</v>
      </c>
      <c r="P394" t="str" cm="1">
        <f t="array" ref="P394">_xlfn.IFS(S394&lt;=PERCENTILE($S$2:$S$1000, 0.33), "Low", S394&lt;=PERCENTILE($S$2:$S$1000, 0.66), "Medium", TRUE, "High")</f>
        <v>High</v>
      </c>
      <c r="Q394" t="s">
        <v>1125</v>
      </c>
      <c r="R394" s="10">
        <v>1132.03</v>
      </c>
      <c r="S394" s="10">
        <v>2137.21</v>
      </c>
      <c r="T394" s="8">
        <v>0.35699999999999998</v>
      </c>
      <c r="U394" s="12">
        <f t="shared" si="125"/>
        <v>1</v>
      </c>
      <c r="V394" s="6">
        <v>35</v>
      </c>
      <c r="W394" t="str">
        <f t="shared" si="115"/>
        <v>ok</v>
      </c>
      <c r="X394">
        <f t="shared" si="116"/>
        <v>17</v>
      </c>
      <c r="Y394">
        <f t="shared" si="126"/>
        <v>17</v>
      </c>
      <c r="Z394" s="10">
        <f t="shared" si="127"/>
        <v>48097.911050000002</v>
      </c>
      <c r="AA394" s="10">
        <f t="shared" si="128"/>
        <v>39621.049999999996</v>
      </c>
      <c r="AB394" s="10">
        <f t="shared" si="129"/>
        <v>8476.8610500000068</v>
      </c>
      <c r="AC394" s="10">
        <f t="shared" si="117"/>
        <v>606.37750000000005</v>
      </c>
      <c r="AD394" s="10">
        <f t="shared" si="118"/>
        <v>1193.865</v>
      </c>
      <c r="AE394" s="10">
        <f t="shared" si="119"/>
        <v>1912.0450000000001</v>
      </c>
      <c r="AF394" s="10" t="str">
        <f t="shared" si="120"/>
        <v>Low</v>
      </c>
      <c r="AG394" s="6">
        <f t="shared" si="130"/>
        <v>0.17624177152284051</v>
      </c>
      <c r="AH394" s="4">
        <f t="shared" si="131"/>
        <v>44941</v>
      </c>
      <c r="AI394" t="str">
        <f t="shared" si="132"/>
        <v>Jan-2023</v>
      </c>
    </row>
    <row r="395" spans="1:35" x14ac:dyDescent="0.25">
      <c r="A395" t="s">
        <v>407</v>
      </c>
      <c r="B395" s="4">
        <v>45360</v>
      </c>
      <c r="C395" s="4" t="str">
        <f t="shared" si="121"/>
        <v>Q1-2024</v>
      </c>
      <c r="D395" s="4" t="str">
        <f t="shared" si="122"/>
        <v>Mar-2024</v>
      </c>
      <c r="E395" s="4">
        <v>45377</v>
      </c>
      <c r="F395" s="12">
        <f t="shared" si="123"/>
        <v>17</v>
      </c>
      <c r="G395" s="12">
        <f t="shared" si="114"/>
        <v>0</v>
      </c>
      <c r="H395" s="4">
        <f t="shared" si="124"/>
        <v>45377</v>
      </c>
      <c r="I395" t="s">
        <v>648</v>
      </c>
      <c r="J395" t="s">
        <v>660</v>
      </c>
      <c r="K395" t="s">
        <v>686</v>
      </c>
      <c r="L395" t="s">
        <v>702</v>
      </c>
      <c r="M395" t="s">
        <v>711</v>
      </c>
      <c r="N395" t="s">
        <v>714</v>
      </c>
      <c r="O395" t="s">
        <v>730</v>
      </c>
      <c r="P395" t="str" cm="1">
        <f t="array" ref="P395">_xlfn.IFS(S395&lt;=PERCENTILE($S$2:$S$1000, 0.33), "Low", S395&lt;=PERCENTILE($S$2:$S$1000, 0.66), "Medium", TRUE, "High")</f>
        <v>High</v>
      </c>
      <c r="Q395" t="s">
        <v>1126</v>
      </c>
      <c r="R395" s="10">
        <v>1137.4100000000001</v>
      </c>
      <c r="S395" s="10">
        <v>1680.93</v>
      </c>
      <c r="T395" s="8">
        <v>0.254</v>
      </c>
      <c r="U395" s="12">
        <f t="shared" si="125"/>
        <v>1</v>
      </c>
      <c r="V395" s="6">
        <v>9</v>
      </c>
      <c r="W395" t="str">
        <f t="shared" si="115"/>
        <v>ok</v>
      </c>
      <c r="X395">
        <f t="shared" si="116"/>
        <v>17</v>
      </c>
      <c r="Y395">
        <f t="shared" si="126"/>
        <v>17</v>
      </c>
      <c r="Z395" s="10">
        <f t="shared" si="127"/>
        <v>11285.764020000001</v>
      </c>
      <c r="AA395" s="10">
        <f t="shared" si="128"/>
        <v>10236.69</v>
      </c>
      <c r="AB395" s="10">
        <f t="shared" si="129"/>
        <v>1049.07402</v>
      </c>
      <c r="AC395" s="10">
        <f t="shared" si="117"/>
        <v>606.37750000000005</v>
      </c>
      <c r="AD395" s="10">
        <f t="shared" si="118"/>
        <v>1193.865</v>
      </c>
      <c r="AE395" s="10">
        <f t="shared" si="119"/>
        <v>1912.0450000000001</v>
      </c>
      <c r="AF395" s="10" t="str">
        <f t="shared" si="120"/>
        <v>High</v>
      </c>
      <c r="AG395" s="6">
        <f t="shared" si="130"/>
        <v>9.2955516183121464E-2</v>
      </c>
      <c r="AH395" s="4">
        <f t="shared" si="131"/>
        <v>44928</v>
      </c>
      <c r="AI395" t="str">
        <f t="shared" si="132"/>
        <v>Jan-2023</v>
      </c>
    </row>
    <row r="396" spans="1:35" x14ac:dyDescent="0.25">
      <c r="A396" t="s">
        <v>408</v>
      </c>
      <c r="B396" s="4">
        <v>45075</v>
      </c>
      <c r="C396" s="4" t="str">
        <f t="shared" si="121"/>
        <v>Q2-2023</v>
      </c>
      <c r="D396" s="4" t="str">
        <f t="shared" si="122"/>
        <v>May-2023</v>
      </c>
      <c r="E396" s="4">
        <v>45097</v>
      </c>
      <c r="F396" s="12">
        <f t="shared" si="123"/>
        <v>22</v>
      </c>
      <c r="G396" s="12">
        <f t="shared" si="114"/>
        <v>0</v>
      </c>
      <c r="H396" s="4">
        <f t="shared" si="124"/>
        <v>45097</v>
      </c>
      <c r="I396" t="s">
        <v>649</v>
      </c>
      <c r="J396" t="s">
        <v>658</v>
      </c>
      <c r="K396" t="s">
        <v>683</v>
      </c>
      <c r="L396" t="s">
        <v>705</v>
      </c>
      <c r="M396" t="s">
        <v>711</v>
      </c>
      <c r="N396" t="s">
        <v>723</v>
      </c>
      <c r="O396" t="s">
        <v>727</v>
      </c>
      <c r="P396" t="str" cm="1">
        <f t="array" ref="P396">_xlfn.IFS(S396&lt;=PERCENTILE($S$2:$S$1000, 0.33), "Low", S396&lt;=PERCENTILE($S$2:$S$1000, 0.66), "Medium", TRUE, "High")</f>
        <v>High</v>
      </c>
      <c r="Q396" t="s">
        <v>1127</v>
      </c>
      <c r="R396" s="10">
        <v>1295.3900000000001</v>
      </c>
      <c r="S396" s="10">
        <v>2905.06</v>
      </c>
      <c r="T396" s="8">
        <v>0.14799999999999999</v>
      </c>
      <c r="U396" s="12">
        <f t="shared" si="125"/>
        <v>0</v>
      </c>
      <c r="V396" s="6">
        <v>8</v>
      </c>
      <c r="W396" t="str">
        <f t="shared" si="115"/>
        <v>ok</v>
      </c>
      <c r="X396">
        <f t="shared" si="116"/>
        <v>22</v>
      </c>
      <c r="Y396">
        <f t="shared" si="126"/>
        <v>22</v>
      </c>
      <c r="Z396" s="10">
        <f t="shared" si="127"/>
        <v>19800.88896</v>
      </c>
      <c r="AA396" s="10">
        <f t="shared" si="128"/>
        <v>10363.120000000001</v>
      </c>
      <c r="AB396" s="10">
        <f t="shared" si="129"/>
        <v>9437.7689599999994</v>
      </c>
      <c r="AC396" s="10">
        <f t="shared" si="117"/>
        <v>606.37750000000005</v>
      </c>
      <c r="AD396" s="10">
        <f t="shared" si="118"/>
        <v>1193.865</v>
      </c>
      <c r="AE396" s="10">
        <f t="shared" si="119"/>
        <v>1912.0450000000001</v>
      </c>
      <c r="AF396" s="10" t="str">
        <f t="shared" si="120"/>
        <v>Medium</v>
      </c>
      <c r="AG396" s="6">
        <f t="shared" si="130"/>
        <v>0.47663359857556614</v>
      </c>
      <c r="AH396" s="4">
        <f t="shared" si="131"/>
        <v>44945</v>
      </c>
      <c r="AI396" t="str">
        <f t="shared" si="132"/>
        <v>Jan-2023</v>
      </c>
    </row>
    <row r="397" spans="1:35" x14ac:dyDescent="0.25">
      <c r="A397" t="s">
        <v>409</v>
      </c>
      <c r="B397" s="4">
        <v>45804</v>
      </c>
      <c r="C397" s="4" t="str">
        <f t="shared" si="121"/>
        <v>Q2-2025</v>
      </c>
      <c r="D397" s="4" t="str">
        <f t="shared" si="122"/>
        <v>May-2025</v>
      </c>
      <c r="E397" s="4">
        <v>45816</v>
      </c>
      <c r="F397" s="12">
        <f t="shared" si="123"/>
        <v>12</v>
      </c>
      <c r="G397" s="12">
        <f t="shared" si="114"/>
        <v>0</v>
      </c>
      <c r="H397" s="4">
        <f t="shared" si="124"/>
        <v>45816</v>
      </c>
      <c r="I397" t="s">
        <v>647</v>
      </c>
      <c r="J397" t="s">
        <v>652</v>
      </c>
      <c r="K397" t="s">
        <v>666</v>
      </c>
      <c r="L397" t="s">
        <v>701</v>
      </c>
      <c r="M397" t="s">
        <v>707</v>
      </c>
      <c r="N397" t="s">
        <v>722</v>
      </c>
      <c r="O397" t="s">
        <v>733</v>
      </c>
      <c r="P397" t="str" cm="1">
        <f t="array" ref="P397">_xlfn.IFS(S397&lt;=PERCENTILE($S$2:$S$1000, 0.33), "Low", S397&lt;=PERCENTILE($S$2:$S$1000, 0.66), "Medium", TRUE, "High")</f>
        <v>Medium</v>
      </c>
      <c r="Q397" t="s">
        <v>1128</v>
      </c>
      <c r="R397" s="10">
        <v>653.6</v>
      </c>
      <c r="S397" s="10">
        <v>842.09</v>
      </c>
      <c r="T397" s="8">
        <v>9.8000000000000004E-2</v>
      </c>
      <c r="U397" s="12">
        <f t="shared" si="125"/>
        <v>0</v>
      </c>
      <c r="V397" s="6">
        <v>19</v>
      </c>
      <c r="W397" t="str">
        <f t="shared" si="115"/>
        <v>ok</v>
      </c>
      <c r="X397">
        <f t="shared" si="116"/>
        <v>12</v>
      </c>
      <c r="Y397">
        <f t="shared" si="126"/>
        <v>12</v>
      </c>
      <c r="Z397" s="10">
        <f t="shared" si="127"/>
        <v>14431.738420000001</v>
      </c>
      <c r="AA397" s="10">
        <f t="shared" si="128"/>
        <v>12418.4</v>
      </c>
      <c r="AB397" s="10">
        <f t="shared" si="129"/>
        <v>2013.3384200000019</v>
      </c>
      <c r="AC397" s="10">
        <f t="shared" si="117"/>
        <v>606.37750000000005</v>
      </c>
      <c r="AD397" s="10">
        <f t="shared" si="118"/>
        <v>1193.865</v>
      </c>
      <c r="AE397" s="10">
        <f t="shared" si="119"/>
        <v>1912.0450000000001</v>
      </c>
      <c r="AF397" s="10" t="str">
        <f t="shared" si="120"/>
        <v>High</v>
      </c>
      <c r="AG397" s="6">
        <f t="shared" si="130"/>
        <v>0.13950768517324622</v>
      </c>
      <c r="AH397" s="4">
        <f t="shared" si="131"/>
        <v>44941</v>
      </c>
      <c r="AI397" t="str">
        <f t="shared" si="132"/>
        <v>Jan-2023</v>
      </c>
    </row>
    <row r="398" spans="1:35" x14ac:dyDescent="0.25">
      <c r="A398" t="s">
        <v>410</v>
      </c>
      <c r="B398" s="4">
        <v>45890</v>
      </c>
      <c r="C398" s="4" t="str">
        <f t="shared" si="121"/>
        <v>Q3-2025</v>
      </c>
      <c r="D398" s="4" t="str">
        <f t="shared" si="122"/>
        <v>Aug-2025</v>
      </c>
      <c r="E398" s="4">
        <v>45914</v>
      </c>
      <c r="F398" s="12">
        <f t="shared" si="123"/>
        <v>24</v>
      </c>
      <c r="G398" s="12">
        <f t="shared" si="114"/>
        <v>0</v>
      </c>
      <c r="H398" s="4">
        <f t="shared" si="124"/>
        <v>45914</v>
      </c>
      <c r="I398" t="s">
        <v>649</v>
      </c>
      <c r="J398" t="s">
        <v>656</v>
      </c>
      <c r="K398" t="s">
        <v>671</v>
      </c>
      <c r="L398" t="s">
        <v>703</v>
      </c>
      <c r="M398" t="s">
        <v>708</v>
      </c>
      <c r="N398" t="s">
        <v>720</v>
      </c>
      <c r="O398" t="s">
        <v>732</v>
      </c>
      <c r="P398" t="str" cm="1">
        <f t="array" ref="P398">_xlfn.IFS(S398&lt;=PERCENTILE($S$2:$S$1000, 0.33), "Low", S398&lt;=PERCENTILE($S$2:$S$1000, 0.66), "Medium", TRUE, "High")</f>
        <v>High</v>
      </c>
      <c r="Q398" t="s">
        <v>1129</v>
      </c>
      <c r="R398" s="10">
        <v>1397.67</v>
      </c>
      <c r="S398" s="10">
        <v>3131.37</v>
      </c>
      <c r="T398" s="8">
        <v>0.10299999999999999</v>
      </c>
      <c r="U398" s="12">
        <f t="shared" si="125"/>
        <v>0</v>
      </c>
      <c r="V398" s="6">
        <v>20</v>
      </c>
      <c r="W398" t="str">
        <f t="shared" si="115"/>
        <v>ok</v>
      </c>
      <c r="X398">
        <f t="shared" si="116"/>
        <v>24</v>
      </c>
      <c r="Y398">
        <f t="shared" si="126"/>
        <v>24</v>
      </c>
      <c r="Z398" s="10">
        <f t="shared" si="127"/>
        <v>56176.777799999996</v>
      </c>
      <c r="AA398" s="10">
        <f t="shared" si="128"/>
        <v>27953.4</v>
      </c>
      <c r="AB398" s="10">
        <f t="shared" si="129"/>
        <v>28223.377799999995</v>
      </c>
      <c r="AC398" s="10">
        <f t="shared" si="117"/>
        <v>606.37750000000005</v>
      </c>
      <c r="AD398" s="10">
        <f t="shared" si="118"/>
        <v>1193.865</v>
      </c>
      <c r="AE398" s="10">
        <f t="shared" si="119"/>
        <v>1912.0450000000001</v>
      </c>
      <c r="AF398" s="10" t="str">
        <f t="shared" si="120"/>
        <v>Medium</v>
      </c>
      <c r="AG398" s="6">
        <f t="shared" si="130"/>
        <v>0.50240293062874808</v>
      </c>
      <c r="AH398" s="4">
        <f t="shared" si="131"/>
        <v>44955</v>
      </c>
      <c r="AI398" t="str">
        <f t="shared" si="132"/>
        <v>Jan-2023</v>
      </c>
    </row>
    <row r="399" spans="1:35" x14ac:dyDescent="0.25">
      <c r="A399" t="s">
        <v>411</v>
      </c>
      <c r="B399" s="4">
        <v>45638</v>
      </c>
      <c r="C399" s="4" t="str">
        <f t="shared" si="121"/>
        <v>Q4-2024</v>
      </c>
      <c r="D399" s="4" t="str">
        <f t="shared" si="122"/>
        <v>Dec-2024</v>
      </c>
      <c r="E399" s="4">
        <v>45646</v>
      </c>
      <c r="F399" s="12">
        <f t="shared" si="123"/>
        <v>8</v>
      </c>
      <c r="G399" s="12">
        <f t="shared" si="114"/>
        <v>0</v>
      </c>
      <c r="H399" s="4">
        <f t="shared" si="124"/>
        <v>45646</v>
      </c>
      <c r="I399" t="s">
        <v>647</v>
      </c>
      <c r="J399" t="s">
        <v>652</v>
      </c>
      <c r="K399" t="s">
        <v>689</v>
      </c>
      <c r="L399" t="s">
        <v>701</v>
      </c>
      <c r="M399" t="s">
        <v>707</v>
      </c>
      <c r="N399" t="s">
        <v>717</v>
      </c>
      <c r="O399" t="s">
        <v>731</v>
      </c>
      <c r="P399" t="str" cm="1">
        <f t="array" ref="P399">_xlfn.IFS(S399&lt;=PERCENTILE($S$2:$S$1000, 0.33), "Low", S399&lt;=PERCENTILE($S$2:$S$1000, 0.66), "Medium", TRUE, "High")</f>
        <v>Medium</v>
      </c>
      <c r="Q399" t="s">
        <v>1130</v>
      </c>
      <c r="R399" s="10">
        <v>1202.47</v>
      </c>
      <c r="S399" s="10">
        <v>1444.72</v>
      </c>
      <c r="T399" s="8">
        <v>0.24099999999999999</v>
      </c>
      <c r="U399" s="12">
        <f t="shared" si="125"/>
        <v>1</v>
      </c>
      <c r="V399" s="6">
        <v>17</v>
      </c>
      <c r="W399" t="str">
        <f t="shared" si="115"/>
        <v>ok</v>
      </c>
      <c r="X399">
        <f t="shared" si="116"/>
        <v>8</v>
      </c>
      <c r="Y399">
        <f t="shared" si="126"/>
        <v>8</v>
      </c>
      <c r="Z399" s="10">
        <f t="shared" si="127"/>
        <v>18641.222160000001</v>
      </c>
      <c r="AA399" s="10">
        <f t="shared" si="128"/>
        <v>20441.990000000002</v>
      </c>
      <c r="AB399" s="10">
        <f t="shared" si="129"/>
        <v>-1800.7678400000004</v>
      </c>
      <c r="AC399" s="10">
        <f t="shared" si="117"/>
        <v>606.37750000000005</v>
      </c>
      <c r="AD399" s="10">
        <f t="shared" si="118"/>
        <v>1193.865</v>
      </c>
      <c r="AE399" s="10">
        <f t="shared" si="119"/>
        <v>1912.0450000000001</v>
      </c>
      <c r="AF399" s="10" t="str">
        <f t="shared" si="120"/>
        <v>High</v>
      </c>
      <c r="AG399" s="6">
        <f t="shared" si="130"/>
        <v>-9.6601382921343834E-2</v>
      </c>
      <c r="AH399" s="4">
        <f t="shared" si="131"/>
        <v>44936</v>
      </c>
      <c r="AI399" t="str">
        <f t="shared" si="132"/>
        <v>Jan-2023</v>
      </c>
    </row>
    <row r="400" spans="1:35" x14ac:dyDescent="0.25">
      <c r="A400" t="s">
        <v>412</v>
      </c>
      <c r="B400" s="4">
        <v>45914</v>
      </c>
      <c r="C400" s="4" t="str">
        <f t="shared" si="121"/>
        <v>Q3-2025</v>
      </c>
      <c r="D400" s="4" t="str">
        <f t="shared" si="122"/>
        <v>Sept-2025</v>
      </c>
      <c r="E400" s="4">
        <v>45923</v>
      </c>
      <c r="F400" s="12">
        <f t="shared" si="123"/>
        <v>9</v>
      </c>
      <c r="G400" s="12">
        <f t="shared" si="114"/>
        <v>0</v>
      </c>
      <c r="H400" s="4">
        <f t="shared" si="124"/>
        <v>45923</v>
      </c>
      <c r="I400" t="s">
        <v>646</v>
      </c>
      <c r="J400" t="s">
        <v>661</v>
      </c>
      <c r="K400" t="s">
        <v>687</v>
      </c>
      <c r="L400" t="s">
        <v>703</v>
      </c>
      <c r="M400" t="s">
        <v>708</v>
      </c>
      <c r="N400" t="s">
        <v>726</v>
      </c>
      <c r="O400" t="s">
        <v>727</v>
      </c>
      <c r="P400" t="str" cm="1">
        <f t="array" ref="P400">_xlfn.IFS(S400&lt;=PERCENTILE($S$2:$S$1000, 0.33), "Low", S400&lt;=PERCENTILE($S$2:$S$1000, 0.66), "Medium", TRUE, "High")</f>
        <v>High</v>
      </c>
      <c r="Q400" t="s">
        <v>1131</v>
      </c>
      <c r="R400" s="10">
        <v>1310.3</v>
      </c>
      <c r="S400" s="10">
        <v>2875.8</v>
      </c>
      <c r="T400" s="8">
        <v>8.3000000000000004E-2</v>
      </c>
      <c r="U400" s="12">
        <f t="shared" si="125"/>
        <v>0</v>
      </c>
      <c r="V400" s="6">
        <v>5</v>
      </c>
      <c r="W400" t="str">
        <f t="shared" si="115"/>
        <v>ok</v>
      </c>
      <c r="X400">
        <f t="shared" si="116"/>
        <v>9</v>
      </c>
      <c r="Y400">
        <f t="shared" si="126"/>
        <v>9</v>
      </c>
      <c r="Z400" s="10">
        <f t="shared" si="127"/>
        <v>13185.543</v>
      </c>
      <c r="AA400" s="10">
        <f t="shared" si="128"/>
        <v>6551.5</v>
      </c>
      <c r="AB400" s="10">
        <f t="shared" si="129"/>
        <v>6634.0429999999997</v>
      </c>
      <c r="AC400" s="10">
        <f t="shared" si="117"/>
        <v>606.37750000000005</v>
      </c>
      <c r="AD400" s="10">
        <f t="shared" si="118"/>
        <v>1193.865</v>
      </c>
      <c r="AE400" s="10">
        <f t="shared" si="119"/>
        <v>1912.0450000000001</v>
      </c>
      <c r="AF400" s="10" t="str">
        <f t="shared" si="120"/>
        <v>Medium</v>
      </c>
      <c r="AG400" s="6">
        <f t="shared" si="130"/>
        <v>0.50313005691157353</v>
      </c>
      <c r="AH400" s="4">
        <f t="shared" si="131"/>
        <v>44955</v>
      </c>
      <c r="AI400" t="str">
        <f t="shared" si="132"/>
        <v>Jan-2023</v>
      </c>
    </row>
    <row r="401" spans="1:35" x14ac:dyDescent="0.25">
      <c r="A401" t="s">
        <v>413</v>
      </c>
      <c r="B401" s="4">
        <v>45541</v>
      </c>
      <c r="C401" s="4" t="str">
        <f t="shared" si="121"/>
        <v>Q3-2024</v>
      </c>
      <c r="D401" s="4" t="str">
        <f t="shared" si="122"/>
        <v>Sept-2024</v>
      </c>
      <c r="E401" s="4">
        <v>45569</v>
      </c>
      <c r="F401" s="12">
        <f t="shared" si="123"/>
        <v>28</v>
      </c>
      <c r="G401" s="12">
        <f t="shared" si="114"/>
        <v>0</v>
      </c>
      <c r="H401" s="4">
        <f t="shared" si="124"/>
        <v>45569</v>
      </c>
      <c r="I401" t="s">
        <v>646</v>
      </c>
      <c r="J401" t="s">
        <v>661</v>
      </c>
      <c r="K401" t="s">
        <v>695</v>
      </c>
      <c r="L401" t="s">
        <v>701</v>
      </c>
      <c r="M401" t="s">
        <v>709</v>
      </c>
      <c r="N401" t="s">
        <v>726</v>
      </c>
      <c r="O401" t="s">
        <v>732</v>
      </c>
      <c r="P401" t="str" cm="1">
        <f t="array" ref="P401">_xlfn.IFS(S401&lt;=PERCENTILE($S$2:$S$1000, 0.33), "Low", S401&lt;=PERCENTILE($S$2:$S$1000, 0.66), "Medium", TRUE, "High")</f>
        <v>High</v>
      </c>
      <c r="Q401" t="s">
        <v>1132</v>
      </c>
      <c r="R401" s="10">
        <v>1174.17</v>
      </c>
      <c r="S401" s="10">
        <v>1641.61</v>
      </c>
      <c r="T401" s="8">
        <v>0.122</v>
      </c>
      <c r="U401" s="12">
        <f t="shared" si="125"/>
        <v>0</v>
      </c>
      <c r="V401" s="6">
        <v>9</v>
      </c>
      <c r="W401" t="str">
        <f t="shared" si="115"/>
        <v>ok</v>
      </c>
      <c r="X401">
        <f t="shared" si="116"/>
        <v>28</v>
      </c>
      <c r="Y401">
        <f t="shared" si="126"/>
        <v>28</v>
      </c>
      <c r="Z401" s="10">
        <f t="shared" si="127"/>
        <v>12972.00222</v>
      </c>
      <c r="AA401" s="10">
        <f t="shared" si="128"/>
        <v>10567.53</v>
      </c>
      <c r="AB401" s="10">
        <f t="shared" si="129"/>
        <v>2404.4722199999997</v>
      </c>
      <c r="AC401" s="10">
        <f t="shared" si="117"/>
        <v>606.37750000000005</v>
      </c>
      <c r="AD401" s="10">
        <f t="shared" si="118"/>
        <v>1193.865</v>
      </c>
      <c r="AE401" s="10">
        <f t="shared" si="119"/>
        <v>1912.0450000000001</v>
      </c>
      <c r="AF401" s="10" t="str">
        <f t="shared" si="120"/>
        <v>High</v>
      </c>
      <c r="AG401" s="6">
        <f t="shared" si="130"/>
        <v>0.18535860380079394</v>
      </c>
      <c r="AH401" s="4">
        <f t="shared" si="131"/>
        <v>44955</v>
      </c>
      <c r="AI401" t="str">
        <f t="shared" si="132"/>
        <v>Jan-2023</v>
      </c>
    </row>
    <row r="402" spans="1:35" x14ac:dyDescent="0.25">
      <c r="A402" t="s">
        <v>414</v>
      </c>
      <c r="B402" s="4">
        <v>45759</v>
      </c>
      <c r="C402" s="4" t="str">
        <f t="shared" si="121"/>
        <v>Q2-2025</v>
      </c>
      <c r="D402" s="4" t="str">
        <f t="shared" si="122"/>
        <v>Apr-2025</v>
      </c>
      <c r="E402" s="4">
        <v>45777</v>
      </c>
      <c r="F402" s="12">
        <f t="shared" si="123"/>
        <v>18</v>
      </c>
      <c r="G402" s="12">
        <f t="shared" si="114"/>
        <v>0</v>
      </c>
      <c r="H402" s="4">
        <f t="shared" si="124"/>
        <v>45777</v>
      </c>
      <c r="I402" t="s">
        <v>646</v>
      </c>
      <c r="J402" t="s">
        <v>650</v>
      </c>
      <c r="K402" t="s">
        <v>662</v>
      </c>
      <c r="L402" t="s">
        <v>701</v>
      </c>
      <c r="M402" t="s">
        <v>709</v>
      </c>
      <c r="N402" t="s">
        <v>721</v>
      </c>
      <c r="O402" t="s">
        <v>729</v>
      </c>
      <c r="P402" t="str" cm="1">
        <f t="array" ref="P402">_xlfn.IFS(S402&lt;=PERCENTILE($S$2:$S$1000, 0.33), "Low", S402&lt;=PERCENTILE($S$2:$S$1000, 0.66), "Medium", TRUE, "High")</f>
        <v>Medium</v>
      </c>
      <c r="Q402" t="s">
        <v>1133</v>
      </c>
      <c r="R402" s="10">
        <v>1119.04</v>
      </c>
      <c r="S402" s="10">
        <v>1299.02</v>
      </c>
      <c r="T402" s="8">
        <v>2.5000000000000001E-2</v>
      </c>
      <c r="U402" s="12">
        <f t="shared" si="125"/>
        <v>0</v>
      </c>
      <c r="V402" s="6">
        <v>14</v>
      </c>
      <c r="W402" t="str">
        <f t="shared" si="115"/>
        <v>ok</v>
      </c>
      <c r="X402">
        <f t="shared" si="116"/>
        <v>18</v>
      </c>
      <c r="Y402">
        <f t="shared" si="126"/>
        <v>18</v>
      </c>
      <c r="Z402" s="10">
        <f t="shared" si="127"/>
        <v>17731.623</v>
      </c>
      <c r="AA402" s="10">
        <f t="shared" si="128"/>
        <v>15666.56</v>
      </c>
      <c r="AB402" s="10">
        <f t="shared" si="129"/>
        <v>2065.0630000000001</v>
      </c>
      <c r="AC402" s="10">
        <f t="shared" si="117"/>
        <v>606.37750000000005</v>
      </c>
      <c r="AD402" s="10">
        <f t="shared" si="118"/>
        <v>1193.865</v>
      </c>
      <c r="AE402" s="10">
        <f t="shared" si="119"/>
        <v>1912.0450000000001</v>
      </c>
      <c r="AF402" s="10" t="str">
        <f t="shared" si="120"/>
        <v>Medium</v>
      </c>
      <c r="AG402" s="6">
        <f t="shared" si="130"/>
        <v>0.11646215352085933</v>
      </c>
      <c r="AH402" s="4">
        <f t="shared" si="131"/>
        <v>44948</v>
      </c>
      <c r="AI402" t="str">
        <f t="shared" si="132"/>
        <v>Jan-2023</v>
      </c>
    </row>
    <row r="403" spans="1:35" x14ac:dyDescent="0.25">
      <c r="A403" t="s">
        <v>415</v>
      </c>
      <c r="B403" s="4">
        <v>45516</v>
      </c>
      <c r="C403" s="4" t="str">
        <f t="shared" si="121"/>
        <v>Q3-2024</v>
      </c>
      <c r="D403" s="4" t="str">
        <f t="shared" si="122"/>
        <v>Aug-2024</v>
      </c>
      <c r="E403" s="4">
        <v>45519</v>
      </c>
      <c r="F403" s="12">
        <f t="shared" si="123"/>
        <v>3</v>
      </c>
      <c r="G403" s="12">
        <f t="shared" si="114"/>
        <v>1</v>
      </c>
      <c r="H403" s="4">
        <f t="shared" si="124"/>
        <v>45519</v>
      </c>
      <c r="I403" t="s">
        <v>648</v>
      </c>
      <c r="J403" t="s">
        <v>660</v>
      </c>
      <c r="K403" t="s">
        <v>677</v>
      </c>
      <c r="L403" t="s">
        <v>701</v>
      </c>
      <c r="M403" t="s">
        <v>709</v>
      </c>
      <c r="N403" t="s">
        <v>726</v>
      </c>
      <c r="O403" t="s">
        <v>728</v>
      </c>
      <c r="P403" t="str" cm="1">
        <f t="array" ref="P403">_xlfn.IFS(S403&lt;=PERCENTILE($S$2:$S$1000, 0.33), "Low", S403&lt;=PERCENTILE($S$2:$S$1000, 0.66), "Medium", TRUE, "High")</f>
        <v>Medium</v>
      </c>
      <c r="Q403" t="s">
        <v>1134</v>
      </c>
      <c r="R403" s="10">
        <v>850.7</v>
      </c>
      <c r="S403" s="10">
        <v>1118.56</v>
      </c>
      <c r="T403" s="8">
        <v>0.18</v>
      </c>
      <c r="U403" s="12">
        <f t="shared" si="125"/>
        <v>0</v>
      </c>
      <c r="V403" s="6">
        <v>19</v>
      </c>
      <c r="W403" t="str">
        <f t="shared" si="115"/>
        <v>ok</v>
      </c>
      <c r="X403">
        <f t="shared" si="116"/>
        <v>3</v>
      </c>
      <c r="Y403">
        <f t="shared" si="126"/>
        <v>3</v>
      </c>
      <c r="Z403" s="10">
        <f t="shared" si="127"/>
        <v>17427.164800000002</v>
      </c>
      <c r="AA403" s="10">
        <f t="shared" si="128"/>
        <v>16163.300000000001</v>
      </c>
      <c r="AB403" s="10">
        <f t="shared" si="129"/>
        <v>1263.8648000000012</v>
      </c>
      <c r="AC403" s="10">
        <f t="shared" si="117"/>
        <v>606.37750000000005</v>
      </c>
      <c r="AD403" s="10">
        <f t="shared" si="118"/>
        <v>1193.865</v>
      </c>
      <c r="AE403" s="10">
        <f t="shared" si="119"/>
        <v>1912.0450000000001</v>
      </c>
      <c r="AF403" s="10" t="str">
        <f t="shared" si="120"/>
        <v>Medium</v>
      </c>
      <c r="AG403" s="6">
        <f t="shared" si="130"/>
        <v>7.2522685962090688E-2</v>
      </c>
      <c r="AH403" s="4">
        <f t="shared" si="131"/>
        <v>44928</v>
      </c>
      <c r="AI403" t="str">
        <f t="shared" si="132"/>
        <v>Jan-2023</v>
      </c>
    </row>
    <row r="404" spans="1:35" x14ac:dyDescent="0.25">
      <c r="A404" t="s">
        <v>416</v>
      </c>
      <c r="B404" s="4">
        <v>45601</v>
      </c>
      <c r="C404" s="4" t="str">
        <f t="shared" si="121"/>
        <v>Q4-2024</v>
      </c>
      <c r="D404" s="4" t="str">
        <f t="shared" si="122"/>
        <v>Nov-2024</v>
      </c>
      <c r="E404" s="4">
        <v>45604</v>
      </c>
      <c r="F404" s="12">
        <f t="shared" si="123"/>
        <v>3</v>
      </c>
      <c r="G404" s="12">
        <f t="shared" si="114"/>
        <v>1</v>
      </c>
      <c r="H404" s="4">
        <f t="shared" si="124"/>
        <v>45604</v>
      </c>
      <c r="I404" t="s">
        <v>648</v>
      </c>
      <c r="J404" t="s">
        <v>653</v>
      </c>
      <c r="K404" t="s">
        <v>667</v>
      </c>
      <c r="L404" t="s">
        <v>702</v>
      </c>
      <c r="M404" t="s">
        <v>709</v>
      </c>
      <c r="N404" t="s">
        <v>719</v>
      </c>
      <c r="O404" t="s">
        <v>727</v>
      </c>
      <c r="P404" t="str" cm="1">
        <f t="array" ref="P404">_xlfn.IFS(S404&lt;=PERCENTILE($S$2:$S$1000, 0.33), "Low", S404&lt;=PERCENTILE($S$2:$S$1000, 0.66), "Medium", TRUE, "High")</f>
        <v>Medium</v>
      </c>
      <c r="Q404" t="s">
        <v>1135</v>
      </c>
      <c r="R404" s="10">
        <v>1020.4</v>
      </c>
      <c r="S404" s="10">
        <v>1184.71</v>
      </c>
      <c r="T404" s="8">
        <v>0.106</v>
      </c>
      <c r="U404" s="12">
        <f t="shared" si="125"/>
        <v>0</v>
      </c>
      <c r="V404" s="6">
        <v>16</v>
      </c>
      <c r="W404" t="str">
        <f t="shared" si="115"/>
        <v>ok</v>
      </c>
      <c r="X404">
        <f t="shared" si="116"/>
        <v>3</v>
      </c>
      <c r="Y404">
        <f t="shared" si="126"/>
        <v>3</v>
      </c>
      <c r="Z404" s="10">
        <f t="shared" si="127"/>
        <v>16946.091840000001</v>
      </c>
      <c r="AA404" s="10">
        <f t="shared" si="128"/>
        <v>16326.4</v>
      </c>
      <c r="AB404" s="10">
        <f t="shared" si="129"/>
        <v>619.69184000000132</v>
      </c>
      <c r="AC404" s="10">
        <f t="shared" si="117"/>
        <v>606.37750000000005</v>
      </c>
      <c r="AD404" s="10">
        <f t="shared" si="118"/>
        <v>1193.865</v>
      </c>
      <c r="AE404" s="10">
        <f t="shared" si="119"/>
        <v>1912.0450000000001</v>
      </c>
      <c r="AF404" s="10" t="str">
        <f t="shared" si="120"/>
        <v>Medium</v>
      </c>
      <c r="AG404" s="6">
        <f t="shared" si="130"/>
        <v>3.6568422138328345E-2</v>
      </c>
      <c r="AH404" s="4">
        <f t="shared" si="131"/>
        <v>44936</v>
      </c>
      <c r="AI404" t="str">
        <f t="shared" si="132"/>
        <v>Jan-2023</v>
      </c>
    </row>
    <row r="405" spans="1:35" x14ac:dyDescent="0.25">
      <c r="A405" t="s">
        <v>417</v>
      </c>
      <c r="B405" s="4">
        <v>45497</v>
      </c>
      <c r="C405" s="4" t="str">
        <f t="shared" si="121"/>
        <v>Q3-2024</v>
      </c>
      <c r="D405" s="4" t="str">
        <f t="shared" si="122"/>
        <v>Jul-2024</v>
      </c>
      <c r="E405" s="4">
        <v>45512</v>
      </c>
      <c r="F405" s="12">
        <f t="shared" si="123"/>
        <v>15</v>
      </c>
      <c r="G405" s="12">
        <f t="shared" si="114"/>
        <v>0</v>
      </c>
      <c r="H405" s="4">
        <f t="shared" si="124"/>
        <v>45512</v>
      </c>
      <c r="I405" t="s">
        <v>649</v>
      </c>
      <c r="J405" t="s">
        <v>657</v>
      </c>
      <c r="K405" t="s">
        <v>673</v>
      </c>
      <c r="L405" t="s">
        <v>706</v>
      </c>
      <c r="M405" t="s">
        <v>709</v>
      </c>
      <c r="N405" t="s">
        <v>722</v>
      </c>
      <c r="O405" t="s">
        <v>731</v>
      </c>
      <c r="P405" t="str" cm="1">
        <f t="array" ref="P405">_xlfn.IFS(S405&lt;=PERCENTILE($S$2:$S$1000, 0.33), "Low", S405&lt;=PERCENTILE($S$2:$S$1000, 0.66), "Medium", TRUE, "High")</f>
        <v>Medium</v>
      </c>
      <c r="Q405" t="s">
        <v>1136</v>
      </c>
      <c r="R405" s="10">
        <v>501.5</v>
      </c>
      <c r="S405" s="10">
        <v>1201.47</v>
      </c>
      <c r="T405" s="8">
        <v>0.126</v>
      </c>
      <c r="U405" s="12">
        <f t="shared" si="125"/>
        <v>0</v>
      </c>
      <c r="V405" s="6">
        <v>5</v>
      </c>
      <c r="W405" t="str">
        <f t="shared" si="115"/>
        <v>ok</v>
      </c>
      <c r="X405">
        <f t="shared" si="116"/>
        <v>15</v>
      </c>
      <c r="Y405">
        <f t="shared" si="126"/>
        <v>15</v>
      </c>
      <c r="Z405" s="10">
        <f t="shared" si="127"/>
        <v>5250.4239000000007</v>
      </c>
      <c r="AA405" s="10">
        <f t="shared" si="128"/>
        <v>2507.5</v>
      </c>
      <c r="AB405" s="10">
        <f t="shared" si="129"/>
        <v>2742.9239000000007</v>
      </c>
      <c r="AC405" s="10">
        <f t="shared" si="117"/>
        <v>606.37750000000005</v>
      </c>
      <c r="AD405" s="10">
        <f t="shared" si="118"/>
        <v>1193.865</v>
      </c>
      <c r="AE405" s="10">
        <f t="shared" si="119"/>
        <v>1912.0450000000001</v>
      </c>
      <c r="AF405" s="10" t="str">
        <f t="shared" si="120"/>
        <v>Medium</v>
      </c>
      <c r="AG405" s="6">
        <f t="shared" si="130"/>
        <v>0.52241951359394057</v>
      </c>
      <c r="AH405" s="4">
        <f t="shared" si="131"/>
        <v>44955</v>
      </c>
      <c r="AI405" t="str">
        <f t="shared" si="132"/>
        <v>Jan-2023</v>
      </c>
    </row>
    <row r="406" spans="1:35" x14ac:dyDescent="0.25">
      <c r="A406" t="s">
        <v>418</v>
      </c>
      <c r="B406" s="4">
        <v>45677</v>
      </c>
      <c r="C406" s="4" t="str">
        <f t="shared" si="121"/>
        <v>Q1-2025</v>
      </c>
      <c r="D406" s="4" t="str">
        <f t="shared" si="122"/>
        <v>Jan-2025</v>
      </c>
      <c r="E406" s="4">
        <v>45691</v>
      </c>
      <c r="F406" s="12">
        <f t="shared" si="123"/>
        <v>14</v>
      </c>
      <c r="G406" s="12">
        <f t="shared" si="114"/>
        <v>0</v>
      </c>
      <c r="H406" s="4">
        <f t="shared" si="124"/>
        <v>45691</v>
      </c>
      <c r="I406" t="s">
        <v>648</v>
      </c>
      <c r="J406" t="s">
        <v>655</v>
      </c>
      <c r="K406" t="s">
        <v>672</v>
      </c>
      <c r="L406" t="s">
        <v>706</v>
      </c>
      <c r="M406" t="s">
        <v>709</v>
      </c>
      <c r="N406" t="s">
        <v>721</v>
      </c>
      <c r="O406" t="s">
        <v>727</v>
      </c>
      <c r="P406" t="str" cm="1">
        <f t="array" ref="P406">_xlfn.IFS(S406&lt;=PERCENTILE($S$2:$S$1000, 0.33), "Low", S406&lt;=PERCENTILE($S$2:$S$1000, 0.66), "Medium", TRUE, "High")</f>
        <v>Medium</v>
      </c>
      <c r="Q406" t="s">
        <v>1137</v>
      </c>
      <c r="R406" s="10">
        <v>974.11</v>
      </c>
      <c r="S406" s="10">
        <v>880.99</v>
      </c>
      <c r="T406" s="8">
        <v>0.111</v>
      </c>
      <c r="U406" s="12">
        <f t="shared" si="125"/>
        <v>0</v>
      </c>
      <c r="V406" s="6">
        <v>10</v>
      </c>
      <c r="W406" t="str">
        <f t="shared" si="115"/>
        <v>ok</v>
      </c>
      <c r="X406">
        <f t="shared" si="116"/>
        <v>14</v>
      </c>
      <c r="Y406">
        <f t="shared" si="126"/>
        <v>14</v>
      </c>
      <c r="Z406" s="10">
        <f t="shared" si="127"/>
        <v>7832.0010999999995</v>
      </c>
      <c r="AA406" s="10">
        <f t="shared" si="128"/>
        <v>9741.1</v>
      </c>
      <c r="AB406" s="10">
        <f t="shared" si="129"/>
        <v>-1909.0989000000009</v>
      </c>
      <c r="AC406" s="10">
        <f t="shared" si="117"/>
        <v>606.37750000000005</v>
      </c>
      <c r="AD406" s="10">
        <f t="shared" si="118"/>
        <v>1193.865</v>
      </c>
      <c r="AE406" s="10">
        <f t="shared" si="119"/>
        <v>1912.0450000000001</v>
      </c>
      <c r="AF406" s="10" t="str">
        <f t="shared" si="120"/>
        <v>Medium</v>
      </c>
      <c r="AG406" s="6">
        <f t="shared" si="130"/>
        <v>-0.2437562093805121</v>
      </c>
      <c r="AH406" s="4">
        <f t="shared" si="131"/>
        <v>44939</v>
      </c>
      <c r="AI406" t="str">
        <f t="shared" si="132"/>
        <v>Jan-2023</v>
      </c>
    </row>
    <row r="407" spans="1:35" x14ac:dyDescent="0.25">
      <c r="A407" t="s">
        <v>419</v>
      </c>
      <c r="B407" s="4">
        <v>44991</v>
      </c>
      <c r="C407" s="4" t="str">
        <f t="shared" si="121"/>
        <v>Q1-2023</v>
      </c>
      <c r="D407" s="4" t="str">
        <f t="shared" si="122"/>
        <v>Mar-2023</v>
      </c>
      <c r="E407" s="4">
        <v>45020</v>
      </c>
      <c r="F407" s="12">
        <f t="shared" si="123"/>
        <v>29</v>
      </c>
      <c r="G407" s="12">
        <f t="shared" si="114"/>
        <v>0</v>
      </c>
      <c r="H407" s="4">
        <f t="shared" si="124"/>
        <v>45020</v>
      </c>
      <c r="I407" t="s">
        <v>647</v>
      </c>
      <c r="J407" t="s">
        <v>659</v>
      </c>
      <c r="K407" t="s">
        <v>699</v>
      </c>
      <c r="L407" t="s">
        <v>705</v>
      </c>
      <c r="M407" t="s">
        <v>711</v>
      </c>
      <c r="N407" t="s">
        <v>712</v>
      </c>
      <c r="O407" t="s">
        <v>732</v>
      </c>
      <c r="P407" t="str" cm="1">
        <f t="array" ref="P407">_xlfn.IFS(S407&lt;=PERCENTILE($S$2:$S$1000, 0.33), "Low", S407&lt;=PERCENTILE($S$2:$S$1000, 0.66), "Medium", TRUE, "High")</f>
        <v>High</v>
      </c>
      <c r="Q407" t="s">
        <v>1138</v>
      </c>
      <c r="R407" s="10">
        <v>1126.29</v>
      </c>
      <c r="S407" s="10">
        <v>2050.87</v>
      </c>
      <c r="T407" s="8">
        <v>6.4000000000000001E-2</v>
      </c>
      <c r="U407" s="12">
        <f t="shared" si="125"/>
        <v>0</v>
      </c>
      <c r="V407" s="6">
        <v>7</v>
      </c>
      <c r="W407" t="str">
        <f t="shared" si="115"/>
        <v>ok</v>
      </c>
      <c r="X407">
        <f t="shared" si="116"/>
        <v>29</v>
      </c>
      <c r="Y407">
        <f t="shared" si="126"/>
        <v>29</v>
      </c>
      <c r="Z407" s="10">
        <f t="shared" si="127"/>
        <v>13437.300239999999</v>
      </c>
      <c r="AA407" s="10">
        <f t="shared" si="128"/>
        <v>7884.03</v>
      </c>
      <c r="AB407" s="10">
        <f t="shared" si="129"/>
        <v>5553.2702399999989</v>
      </c>
      <c r="AC407" s="10">
        <f t="shared" si="117"/>
        <v>606.37750000000005</v>
      </c>
      <c r="AD407" s="10">
        <f t="shared" si="118"/>
        <v>1193.865</v>
      </c>
      <c r="AE407" s="10">
        <f t="shared" si="119"/>
        <v>1912.0450000000001</v>
      </c>
      <c r="AF407" s="10" t="str">
        <f t="shared" si="120"/>
        <v>Medium</v>
      </c>
      <c r="AG407" s="6">
        <f t="shared" si="130"/>
        <v>0.41327276616690373</v>
      </c>
      <c r="AH407" s="4">
        <f t="shared" si="131"/>
        <v>44948</v>
      </c>
      <c r="AI407" t="str">
        <f t="shared" si="132"/>
        <v>Jan-2023</v>
      </c>
    </row>
    <row r="408" spans="1:35" x14ac:dyDescent="0.25">
      <c r="A408" t="s">
        <v>420</v>
      </c>
      <c r="B408" s="4">
        <v>45646</v>
      </c>
      <c r="C408" s="4" t="str">
        <f t="shared" si="121"/>
        <v>Q4-2024</v>
      </c>
      <c r="D408" s="4" t="str">
        <f t="shared" si="122"/>
        <v>Dec-2024</v>
      </c>
      <c r="E408" s="4">
        <v>45671</v>
      </c>
      <c r="F408" s="12">
        <f t="shared" si="123"/>
        <v>25</v>
      </c>
      <c r="G408" s="12">
        <f t="shared" si="114"/>
        <v>0</v>
      </c>
      <c r="H408" s="4">
        <f t="shared" si="124"/>
        <v>45671</v>
      </c>
      <c r="I408" t="s">
        <v>647</v>
      </c>
      <c r="J408" t="s">
        <v>654</v>
      </c>
      <c r="K408" t="s">
        <v>680</v>
      </c>
      <c r="L408" t="s">
        <v>705</v>
      </c>
      <c r="M408" t="s">
        <v>707</v>
      </c>
      <c r="N408" t="s">
        <v>724</v>
      </c>
      <c r="O408" t="s">
        <v>728</v>
      </c>
      <c r="P408" t="str" cm="1">
        <f t="array" ref="P408">_xlfn.IFS(S408&lt;=PERCENTILE($S$2:$S$1000, 0.33), "Low", S408&lt;=PERCENTILE($S$2:$S$1000, 0.66), "Medium", TRUE, "High")</f>
        <v>High</v>
      </c>
      <c r="Q408" t="s">
        <v>1139</v>
      </c>
      <c r="R408" s="10">
        <v>1361.34</v>
      </c>
      <c r="S408" s="10">
        <v>1737.9</v>
      </c>
      <c r="T408" s="8">
        <v>7.6999999999999999E-2</v>
      </c>
      <c r="U408" s="12">
        <f t="shared" si="125"/>
        <v>0</v>
      </c>
      <c r="V408" s="6">
        <v>14</v>
      </c>
      <c r="W408" t="str">
        <f t="shared" si="115"/>
        <v>ok</v>
      </c>
      <c r="X408">
        <f t="shared" si="116"/>
        <v>25</v>
      </c>
      <c r="Y408">
        <f t="shared" si="126"/>
        <v>25</v>
      </c>
      <c r="Z408" s="10">
        <f t="shared" si="127"/>
        <v>22457.143800000002</v>
      </c>
      <c r="AA408" s="10">
        <f t="shared" si="128"/>
        <v>19058.759999999998</v>
      </c>
      <c r="AB408" s="10">
        <f t="shared" si="129"/>
        <v>3398.3838000000032</v>
      </c>
      <c r="AC408" s="10">
        <f t="shared" si="117"/>
        <v>606.37750000000005</v>
      </c>
      <c r="AD408" s="10">
        <f t="shared" si="118"/>
        <v>1193.865</v>
      </c>
      <c r="AE408" s="10">
        <f t="shared" si="119"/>
        <v>1912.0450000000001</v>
      </c>
      <c r="AF408" s="10" t="str">
        <f t="shared" si="120"/>
        <v>High</v>
      </c>
      <c r="AG408" s="6">
        <f t="shared" si="130"/>
        <v>0.15132751654731813</v>
      </c>
      <c r="AH408" s="4">
        <f t="shared" si="131"/>
        <v>44933</v>
      </c>
      <c r="AI408" t="str">
        <f t="shared" si="132"/>
        <v>Jan-2023</v>
      </c>
    </row>
    <row r="409" spans="1:35" x14ac:dyDescent="0.25">
      <c r="A409" t="s">
        <v>421</v>
      </c>
      <c r="B409" s="4">
        <v>45709</v>
      </c>
      <c r="C409" s="4" t="str">
        <f t="shared" si="121"/>
        <v>Q1-2025</v>
      </c>
      <c r="D409" s="4" t="str">
        <f t="shared" si="122"/>
        <v>Feb-2025</v>
      </c>
      <c r="E409" s="4">
        <v>45737</v>
      </c>
      <c r="F409" s="12">
        <f t="shared" si="123"/>
        <v>28</v>
      </c>
      <c r="G409" s="12">
        <f t="shared" si="114"/>
        <v>0</v>
      </c>
      <c r="H409" s="4">
        <f t="shared" si="124"/>
        <v>45737</v>
      </c>
      <c r="I409" t="s">
        <v>646</v>
      </c>
      <c r="J409" t="s">
        <v>651</v>
      </c>
      <c r="K409" t="s">
        <v>669</v>
      </c>
      <c r="L409" t="s">
        <v>706</v>
      </c>
      <c r="M409" t="s">
        <v>709</v>
      </c>
      <c r="N409" t="s">
        <v>714</v>
      </c>
      <c r="O409" t="s">
        <v>730</v>
      </c>
      <c r="P409" t="str" cm="1">
        <f t="array" ref="P409">_xlfn.IFS(S409&lt;=PERCENTILE($S$2:$S$1000, 0.33), "Low", S409&lt;=PERCENTILE($S$2:$S$1000, 0.66), "Medium", TRUE, "High")</f>
        <v>Medium</v>
      </c>
      <c r="Q409" t="s">
        <v>1140</v>
      </c>
      <c r="R409" s="10">
        <v>1437.39</v>
      </c>
      <c r="S409" s="10">
        <v>1388.31</v>
      </c>
      <c r="T409" s="8">
        <v>0.13800000000000001</v>
      </c>
      <c r="U409" s="12">
        <f t="shared" si="125"/>
        <v>0</v>
      </c>
      <c r="V409" s="6">
        <v>18</v>
      </c>
      <c r="W409" t="str">
        <f t="shared" si="115"/>
        <v>ok</v>
      </c>
      <c r="X409">
        <f t="shared" si="116"/>
        <v>28</v>
      </c>
      <c r="Y409">
        <f t="shared" si="126"/>
        <v>28</v>
      </c>
      <c r="Z409" s="10">
        <f t="shared" si="127"/>
        <v>21541.017959999997</v>
      </c>
      <c r="AA409" s="10">
        <f t="shared" si="128"/>
        <v>25873.02</v>
      </c>
      <c r="AB409" s="10">
        <f t="shared" si="129"/>
        <v>-4332.002040000003</v>
      </c>
      <c r="AC409" s="10">
        <f t="shared" si="117"/>
        <v>606.37750000000005</v>
      </c>
      <c r="AD409" s="10">
        <f t="shared" si="118"/>
        <v>1193.865</v>
      </c>
      <c r="AE409" s="10">
        <f t="shared" si="119"/>
        <v>1912.0450000000001</v>
      </c>
      <c r="AF409" s="10" t="str">
        <f t="shared" si="120"/>
        <v>Medium</v>
      </c>
      <c r="AG409" s="6">
        <f t="shared" si="130"/>
        <v>-0.20110479681341872</v>
      </c>
      <c r="AH409" s="4">
        <f t="shared" si="131"/>
        <v>44955</v>
      </c>
      <c r="AI409" t="str">
        <f t="shared" si="132"/>
        <v>Jan-2023</v>
      </c>
    </row>
    <row r="410" spans="1:35" x14ac:dyDescent="0.25">
      <c r="A410" t="s">
        <v>422</v>
      </c>
      <c r="B410" s="4">
        <v>45724</v>
      </c>
      <c r="C410" s="4" t="str">
        <f t="shared" si="121"/>
        <v>Q1-2025</v>
      </c>
      <c r="D410" s="4" t="str">
        <f t="shared" si="122"/>
        <v>Mar-2025</v>
      </c>
      <c r="E410" s="4">
        <v>45731</v>
      </c>
      <c r="F410" s="12">
        <f t="shared" si="123"/>
        <v>7</v>
      </c>
      <c r="G410" s="12">
        <f t="shared" si="114"/>
        <v>1</v>
      </c>
      <c r="H410" s="4">
        <f t="shared" si="124"/>
        <v>45731</v>
      </c>
      <c r="I410" t="s">
        <v>647</v>
      </c>
      <c r="J410" t="s">
        <v>654</v>
      </c>
      <c r="K410" t="s">
        <v>668</v>
      </c>
      <c r="L410" t="s">
        <v>701</v>
      </c>
      <c r="M410" t="s">
        <v>710</v>
      </c>
      <c r="N410" t="s">
        <v>723</v>
      </c>
      <c r="O410" t="s">
        <v>731</v>
      </c>
      <c r="P410" t="str" cm="1">
        <f t="array" ref="P410">_xlfn.IFS(S410&lt;=PERCENTILE($S$2:$S$1000, 0.33), "Low", S410&lt;=PERCENTILE($S$2:$S$1000, 0.66), "Medium", TRUE, "High")</f>
        <v>Low</v>
      </c>
      <c r="Q410" t="s">
        <v>1141</v>
      </c>
      <c r="R410" s="10">
        <v>475.66</v>
      </c>
      <c r="S410" s="10">
        <v>529.14</v>
      </c>
      <c r="T410" s="8">
        <v>0.19600000000000001</v>
      </c>
      <c r="U410" s="12">
        <f t="shared" si="125"/>
        <v>0</v>
      </c>
      <c r="V410" s="6">
        <v>11</v>
      </c>
      <c r="W410" t="str">
        <f t="shared" si="115"/>
        <v>ok</v>
      </c>
      <c r="X410">
        <f t="shared" si="116"/>
        <v>7</v>
      </c>
      <c r="Y410">
        <f t="shared" si="126"/>
        <v>7</v>
      </c>
      <c r="Z410" s="10">
        <f t="shared" si="127"/>
        <v>4679.7141600000004</v>
      </c>
      <c r="AA410" s="10">
        <f t="shared" si="128"/>
        <v>5232.26</v>
      </c>
      <c r="AB410" s="10">
        <f t="shared" si="129"/>
        <v>-552.54583999999977</v>
      </c>
      <c r="AC410" s="10">
        <f t="shared" si="117"/>
        <v>606.37750000000005</v>
      </c>
      <c r="AD410" s="10">
        <f t="shared" si="118"/>
        <v>1193.865</v>
      </c>
      <c r="AE410" s="10">
        <f t="shared" si="119"/>
        <v>1912.0450000000001</v>
      </c>
      <c r="AF410" s="10" t="str">
        <f t="shared" si="120"/>
        <v>Medium</v>
      </c>
      <c r="AG410" s="6">
        <f t="shared" si="130"/>
        <v>-0.11807256193613323</v>
      </c>
      <c r="AH410" s="4">
        <f t="shared" si="131"/>
        <v>44939</v>
      </c>
      <c r="AI410" t="str">
        <f t="shared" si="132"/>
        <v>Jan-2023</v>
      </c>
    </row>
    <row r="411" spans="1:35" x14ac:dyDescent="0.25">
      <c r="A411" t="s">
        <v>423</v>
      </c>
      <c r="B411" s="4">
        <v>45276</v>
      </c>
      <c r="C411" s="4" t="str">
        <f t="shared" si="121"/>
        <v>Q4-2023</v>
      </c>
      <c r="D411" s="4" t="str">
        <f t="shared" si="122"/>
        <v>Dec-2023</v>
      </c>
      <c r="E411" s="4">
        <v>45279</v>
      </c>
      <c r="F411" s="12">
        <f t="shared" si="123"/>
        <v>3</v>
      </c>
      <c r="G411" s="12">
        <f t="shared" si="114"/>
        <v>1</v>
      </c>
      <c r="H411" s="4">
        <f t="shared" si="124"/>
        <v>45279</v>
      </c>
      <c r="I411" t="s">
        <v>647</v>
      </c>
      <c r="J411" t="s">
        <v>659</v>
      </c>
      <c r="K411" t="s">
        <v>699</v>
      </c>
      <c r="L411" t="s">
        <v>702</v>
      </c>
      <c r="M411" t="s">
        <v>707</v>
      </c>
      <c r="N411" t="s">
        <v>720</v>
      </c>
      <c r="O411" t="s">
        <v>733</v>
      </c>
      <c r="P411" t="str" cm="1">
        <f t="array" ref="P411">_xlfn.IFS(S411&lt;=PERCENTILE($S$2:$S$1000, 0.33), "Low", S411&lt;=PERCENTILE($S$2:$S$1000, 0.66), "Medium", TRUE, "High")</f>
        <v>High</v>
      </c>
      <c r="Q411" t="s">
        <v>1142</v>
      </c>
      <c r="R411" s="10">
        <v>1415.05</v>
      </c>
      <c r="S411" s="10">
        <v>1972.38</v>
      </c>
      <c r="T411" s="8">
        <v>0</v>
      </c>
      <c r="U411" s="12">
        <f t="shared" si="125"/>
        <v>0</v>
      </c>
      <c r="V411" s="6">
        <v>12</v>
      </c>
      <c r="W411" t="str">
        <f t="shared" si="115"/>
        <v>ok</v>
      </c>
      <c r="X411">
        <f t="shared" si="116"/>
        <v>3</v>
      </c>
      <c r="Y411">
        <f t="shared" si="126"/>
        <v>3</v>
      </c>
      <c r="Z411" s="10">
        <f t="shared" si="127"/>
        <v>23668.560000000001</v>
      </c>
      <c r="AA411" s="10">
        <f t="shared" si="128"/>
        <v>16980.599999999999</v>
      </c>
      <c r="AB411" s="10">
        <f t="shared" si="129"/>
        <v>6687.9600000000028</v>
      </c>
      <c r="AC411" s="10">
        <f t="shared" si="117"/>
        <v>606.37750000000005</v>
      </c>
      <c r="AD411" s="10">
        <f t="shared" si="118"/>
        <v>1193.865</v>
      </c>
      <c r="AE411" s="10">
        <f t="shared" si="119"/>
        <v>1912.0450000000001</v>
      </c>
      <c r="AF411" s="10" t="str">
        <f t="shared" si="120"/>
        <v>Low</v>
      </c>
      <c r="AG411" s="6">
        <f t="shared" si="130"/>
        <v>0.28256725377462771</v>
      </c>
      <c r="AH411" s="4">
        <f t="shared" si="131"/>
        <v>44988</v>
      </c>
      <c r="AI411" t="str">
        <f t="shared" si="132"/>
        <v>Mar-2023</v>
      </c>
    </row>
    <row r="412" spans="1:35" x14ac:dyDescent="0.25">
      <c r="A412" t="s">
        <v>424</v>
      </c>
      <c r="B412" s="4">
        <v>45534</v>
      </c>
      <c r="C412" s="4" t="str">
        <f t="shared" si="121"/>
        <v>Q3-2024</v>
      </c>
      <c r="D412" s="4" t="str">
        <f t="shared" si="122"/>
        <v>Aug-2024</v>
      </c>
      <c r="E412" s="4">
        <v>45540</v>
      </c>
      <c r="F412" s="12">
        <f t="shared" si="123"/>
        <v>6</v>
      </c>
      <c r="G412" s="12">
        <f t="shared" si="114"/>
        <v>1</v>
      </c>
      <c r="H412" s="4">
        <f t="shared" si="124"/>
        <v>45540</v>
      </c>
      <c r="I412" t="s">
        <v>647</v>
      </c>
      <c r="J412" t="s">
        <v>652</v>
      </c>
      <c r="K412" t="s">
        <v>694</v>
      </c>
      <c r="L412" t="s">
        <v>702</v>
      </c>
      <c r="M412" t="s">
        <v>708</v>
      </c>
      <c r="N412" t="s">
        <v>725</v>
      </c>
      <c r="O412" t="s">
        <v>731</v>
      </c>
      <c r="P412" t="str" cm="1">
        <f t="array" ref="P412">_xlfn.IFS(S412&lt;=PERCENTILE($S$2:$S$1000, 0.33), "Low", S412&lt;=PERCENTILE($S$2:$S$1000, 0.66), "Medium", TRUE, "High")</f>
        <v>Medium</v>
      </c>
      <c r="Q412" t="s">
        <v>1143</v>
      </c>
      <c r="R412" s="10">
        <v>466.16</v>
      </c>
      <c r="S412" s="10">
        <v>876.81</v>
      </c>
      <c r="T412" s="8">
        <v>0.24099999999999999</v>
      </c>
      <c r="U412" s="12">
        <f t="shared" si="125"/>
        <v>1</v>
      </c>
      <c r="V412" s="6">
        <v>8</v>
      </c>
      <c r="W412" t="str">
        <f t="shared" si="115"/>
        <v>ok</v>
      </c>
      <c r="X412">
        <f t="shared" si="116"/>
        <v>6</v>
      </c>
      <c r="Y412">
        <f t="shared" si="126"/>
        <v>6</v>
      </c>
      <c r="Z412" s="10">
        <f t="shared" si="127"/>
        <v>5323.9903199999999</v>
      </c>
      <c r="AA412" s="10">
        <f t="shared" si="128"/>
        <v>3729.28</v>
      </c>
      <c r="AB412" s="10">
        <f t="shared" si="129"/>
        <v>1594.7103199999997</v>
      </c>
      <c r="AC412" s="10">
        <f t="shared" si="117"/>
        <v>606.37750000000005</v>
      </c>
      <c r="AD412" s="10">
        <f t="shared" si="118"/>
        <v>1193.865</v>
      </c>
      <c r="AE412" s="10">
        <f t="shared" si="119"/>
        <v>1912.0450000000001</v>
      </c>
      <c r="AF412" s="10" t="str">
        <f t="shared" si="120"/>
        <v>High</v>
      </c>
      <c r="AG412" s="6">
        <f t="shared" si="130"/>
        <v>0.29953291124691594</v>
      </c>
      <c r="AH412" s="4">
        <f t="shared" si="131"/>
        <v>44946</v>
      </c>
      <c r="AI412" t="str">
        <f t="shared" si="132"/>
        <v>Jan-2023</v>
      </c>
    </row>
    <row r="413" spans="1:35" x14ac:dyDescent="0.25">
      <c r="A413" t="s">
        <v>425</v>
      </c>
      <c r="B413" s="4">
        <v>45430</v>
      </c>
      <c r="C413" s="4" t="str">
        <f t="shared" si="121"/>
        <v>Q2-2024</v>
      </c>
      <c r="D413" s="4" t="str">
        <f t="shared" si="122"/>
        <v>May-2024</v>
      </c>
      <c r="E413" s="4">
        <v>45433</v>
      </c>
      <c r="F413" s="12">
        <f t="shared" si="123"/>
        <v>3</v>
      </c>
      <c r="G413" s="12">
        <f t="shared" si="114"/>
        <v>1</v>
      </c>
      <c r="H413" s="4">
        <f t="shared" si="124"/>
        <v>45433</v>
      </c>
      <c r="I413" t="s">
        <v>649</v>
      </c>
      <c r="J413" t="s">
        <v>657</v>
      </c>
      <c r="K413" t="s">
        <v>673</v>
      </c>
      <c r="L413" t="s">
        <v>703</v>
      </c>
      <c r="M413" t="s">
        <v>709</v>
      </c>
      <c r="N413" t="s">
        <v>726</v>
      </c>
      <c r="O413" t="s">
        <v>728</v>
      </c>
      <c r="P413" t="str" cm="1">
        <f t="array" ref="P413">_xlfn.IFS(S413&lt;=PERCENTILE($S$2:$S$1000, 0.33), "Low", S413&lt;=PERCENTILE($S$2:$S$1000, 0.66), "Medium", TRUE, "High")</f>
        <v>Medium</v>
      </c>
      <c r="Q413" t="s">
        <v>1144</v>
      </c>
      <c r="R413" s="10">
        <v>663.66</v>
      </c>
      <c r="S413" s="10">
        <v>824.26</v>
      </c>
      <c r="T413" s="8">
        <v>0.23899999999999999</v>
      </c>
      <c r="U413" s="12">
        <f t="shared" si="125"/>
        <v>1</v>
      </c>
      <c r="V413" s="6">
        <v>11</v>
      </c>
      <c r="W413" t="str">
        <f t="shared" si="115"/>
        <v>ok</v>
      </c>
      <c r="X413">
        <f t="shared" si="116"/>
        <v>3</v>
      </c>
      <c r="Y413">
        <f t="shared" si="126"/>
        <v>3</v>
      </c>
      <c r="Z413" s="10">
        <f t="shared" si="127"/>
        <v>6899.8804600000003</v>
      </c>
      <c r="AA413" s="10">
        <f t="shared" si="128"/>
        <v>7300.2599999999993</v>
      </c>
      <c r="AB413" s="10">
        <f t="shared" si="129"/>
        <v>-400.379539999999</v>
      </c>
      <c r="AC413" s="10">
        <f t="shared" si="117"/>
        <v>606.37750000000005</v>
      </c>
      <c r="AD413" s="10">
        <f t="shared" si="118"/>
        <v>1193.865</v>
      </c>
      <c r="AE413" s="10">
        <f t="shared" si="119"/>
        <v>1912.0450000000001</v>
      </c>
      <c r="AF413" s="10" t="str">
        <f t="shared" si="120"/>
        <v>Medium</v>
      </c>
      <c r="AG413" s="6">
        <f t="shared" si="130"/>
        <v>-5.8027025587048933E-2</v>
      </c>
      <c r="AH413" s="4">
        <f t="shared" si="131"/>
        <v>44955</v>
      </c>
      <c r="AI413" t="str">
        <f t="shared" si="132"/>
        <v>Jan-2023</v>
      </c>
    </row>
    <row r="414" spans="1:35" x14ac:dyDescent="0.25">
      <c r="A414" t="s">
        <v>426</v>
      </c>
      <c r="B414" s="4">
        <v>45002</v>
      </c>
      <c r="C414" s="4" t="str">
        <f t="shared" si="121"/>
        <v>Q1-2023</v>
      </c>
      <c r="D414" s="4" t="str">
        <f t="shared" si="122"/>
        <v>Mar-2023</v>
      </c>
      <c r="E414" s="4">
        <v>45022</v>
      </c>
      <c r="F414" s="12">
        <f t="shared" si="123"/>
        <v>20</v>
      </c>
      <c r="G414" s="12">
        <f t="shared" si="114"/>
        <v>0</v>
      </c>
      <c r="H414" s="4">
        <f t="shared" si="124"/>
        <v>45022</v>
      </c>
      <c r="I414" t="s">
        <v>649</v>
      </c>
      <c r="J414" t="s">
        <v>656</v>
      </c>
      <c r="K414" t="s">
        <v>684</v>
      </c>
      <c r="L414" t="s">
        <v>704</v>
      </c>
      <c r="M414" t="s">
        <v>707</v>
      </c>
      <c r="N414" t="s">
        <v>719</v>
      </c>
      <c r="O414" t="s">
        <v>730</v>
      </c>
      <c r="P414" t="str" cm="1">
        <f t="array" ref="P414">_xlfn.IFS(S414&lt;=PERCENTILE($S$2:$S$1000, 0.33), "Low", S414&lt;=PERCENTILE($S$2:$S$1000, 0.66), "Medium", TRUE, "High")</f>
        <v>Medium</v>
      </c>
      <c r="Q414" t="s">
        <v>1145</v>
      </c>
      <c r="R414" s="10">
        <v>692.18</v>
      </c>
      <c r="S414" s="10">
        <v>1159.3499999999999</v>
      </c>
      <c r="T414" s="8">
        <v>0.112</v>
      </c>
      <c r="U414" s="12">
        <f t="shared" si="125"/>
        <v>0</v>
      </c>
      <c r="V414" s="6">
        <v>2</v>
      </c>
      <c r="W414" t="str">
        <f t="shared" si="115"/>
        <v>ok</v>
      </c>
      <c r="X414">
        <f t="shared" si="116"/>
        <v>20</v>
      </c>
      <c r="Y414">
        <f t="shared" si="126"/>
        <v>20</v>
      </c>
      <c r="Z414" s="10">
        <f t="shared" si="127"/>
        <v>2059.0056</v>
      </c>
      <c r="AA414" s="10">
        <f t="shared" si="128"/>
        <v>1384.36</v>
      </c>
      <c r="AB414" s="10">
        <f t="shared" si="129"/>
        <v>674.64560000000006</v>
      </c>
      <c r="AC414" s="10">
        <f t="shared" si="117"/>
        <v>606.37750000000005</v>
      </c>
      <c r="AD414" s="10">
        <f t="shared" si="118"/>
        <v>1193.865</v>
      </c>
      <c r="AE414" s="10">
        <f t="shared" si="119"/>
        <v>1912.0450000000001</v>
      </c>
      <c r="AF414" s="10" t="str">
        <f t="shared" si="120"/>
        <v>Medium</v>
      </c>
      <c r="AG414" s="6">
        <f t="shared" si="130"/>
        <v>0.32765602968734037</v>
      </c>
      <c r="AH414" s="4">
        <f t="shared" si="131"/>
        <v>44948</v>
      </c>
      <c r="AI414" t="str">
        <f t="shared" si="132"/>
        <v>Jan-2023</v>
      </c>
    </row>
    <row r="415" spans="1:35" x14ac:dyDescent="0.25">
      <c r="A415" t="s">
        <v>427</v>
      </c>
      <c r="B415" s="4">
        <v>45163</v>
      </c>
      <c r="C415" s="4" t="str">
        <f t="shared" si="121"/>
        <v>Q3-2023</v>
      </c>
      <c r="D415" s="4" t="str">
        <f t="shared" si="122"/>
        <v>Aug-2023</v>
      </c>
      <c r="E415" s="4">
        <v>45185</v>
      </c>
      <c r="F415" s="12">
        <f t="shared" si="123"/>
        <v>22</v>
      </c>
      <c r="G415" s="12">
        <f t="shared" si="114"/>
        <v>0</v>
      </c>
      <c r="H415" s="4">
        <f t="shared" si="124"/>
        <v>45185</v>
      </c>
      <c r="I415" t="s">
        <v>646</v>
      </c>
      <c r="J415" t="s">
        <v>651</v>
      </c>
      <c r="K415" t="s">
        <v>669</v>
      </c>
      <c r="L415" t="s">
        <v>701</v>
      </c>
      <c r="M415" t="s">
        <v>709</v>
      </c>
      <c r="N415" t="s">
        <v>716</v>
      </c>
      <c r="O415" t="s">
        <v>730</v>
      </c>
      <c r="P415" t="str" cm="1">
        <f t="array" ref="P415">_xlfn.IFS(S415&lt;=PERCENTILE($S$2:$S$1000, 0.33), "Low", S415&lt;=PERCENTILE($S$2:$S$1000, 0.66), "Medium", TRUE, "High")</f>
        <v>High</v>
      </c>
      <c r="Q415" t="s">
        <v>1146</v>
      </c>
      <c r="R415" s="10">
        <v>1196.83</v>
      </c>
      <c r="S415" s="10">
        <v>2513.5100000000002</v>
      </c>
      <c r="T415" s="8">
        <v>8.3000000000000004E-2</v>
      </c>
      <c r="U415" s="12">
        <f t="shared" si="125"/>
        <v>0</v>
      </c>
      <c r="V415" s="6">
        <v>7</v>
      </c>
      <c r="W415" t="str">
        <f t="shared" si="115"/>
        <v>ok</v>
      </c>
      <c r="X415">
        <f t="shared" si="116"/>
        <v>22</v>
      </c>
      <c r="Y415">
        <f t="shared" si="126"/>
        <v>22</v>
      </c>
      <c r="Z415" s="10">
        <f t="shared" si="127"/>
        <v>16134.22069</v>
      </c>
      <c r="AA415" s="10">
        <f t="shared" si="128"/>
        <v>8377.81</v>
      </c>
      <c r="AB415" s="10">
        <f t="shared" si="129"/>
        <v>7756.4106900000006</v>
      </c>
      <c r="AC415" s="10">
        <f t="shared" si="117"/>
        <v>606.37750000000005</v>
      </c>
      <c r="AD415" s="10">
        <f t="shared" si="118"/>
        <v>1193.865</v>
      </c>
      <c r="AE415" s="10">
        <f t="shared" si="119"/>
        <v>1912.0450000000001</v>
      </c>
      <c r="AF415" s="10" t="str">
        <f t="shared" si="120"/>
        <v>Medium</v>
      </c>
      <c r="AG415" s="6">
        <f t="shared" si="130"/>
        <v>0.48074281609445374</v>
      </c>
      <c r="AH415" s="4">
        <f t="shared" si="131"/>
        <v>44988</v>
      </c>
      <c r="AI415" t="str">
        <f t="shared" si="132"/>
        <v>Mar-2023</v>
      </c>
    </row>
    <row r="416" spans="1:35" x14ac:dyDescent="0.25">
      <c r="A416" t="s">
        <v>428</v>
      </c>
      <c r="B416" s="4">
        <v>45449</v>
      </c>
      <c r="C416" s="4" t="str">
        <f t="shared" si="121"/>
        <v>Q2-2024</v>
      </c>
      <c r="D416" s="4" t="str">
        <f t="shared" si="122"/>
        <v>Jun-2024</v>
      </c>
      <c r="E416" s="4">
        <v>45467</v>
      </c>
      <c r="F416" s="12">
        <f t="shared" si="123"/>
        <v>18</v>
      </c>
      <c r="G416" s="12">
        <f t="shared" si="114"/>
        <v>0</v>
      </c>
      <c r="H416" s="4">
        <f t="shared" si="124"/>
        <v>45467</v>
      </c>
      <c r="I416" t="s">
        <v>647</v>
      </c>
      <c r="J416" t="s">
        <v>654</v>
      </c>
      <c r="K416" t="s">
        <v>668</v>
      </c>
      <c r="L416" t="s">
        <v>705</v>
      </c>
      <c r="M416" t="s">
        <v>711</v>
      </c>
      <c r="N416" t="s">
        <v>722</v>
      </c>
      <c r="O416" t="s">
        <v>729</v>
      </c>
      <c r="P416" t="str" cm="1">
        <f t="array" ref="P416">_xlfn.IFS(S416&lt;=PERCENTILE($S$2:$S$1000, 0.33), "Low", S416&lt;=PERCENTILE($S$2:$S$1000, 0.66), "Medium", TRUE, "High")</f>
        <v>High</v>
      </c>
      <c r="Q416" t="s">
        <v>1147</v>
      </c>
      <c r="R416" s="10">
        <v>1253.25</v>
      </c>
      <c r="S416" s="10">
        <v>3087.13</v>
      </c>
      <c r="T416" s="8">
        <v>7.1999999999999995E-2</v>
      </c>
      <c r="U416" s="12">
        <f t="shared" si="125"/>
        <v>0</v>
      </c>
      <c r="V416" s="6">
        <v>11</v>
      </c>
      <c r="W416" t="str">
        <f t="shared" si="115"/>
        <v>ok</v>
      </c>
      <c r="X416">
        <f t="shared" si="116"/>
        <v>18</v>
      </c>
      <c r="Y416">
        <f t="shared" si="126"/>
        <v>18</v>
      </c>
      <c r="Z416" s="10">
        <f t="shared" si="127"/>
        <v>31513.423040000001</v>
      </c>
      <c r="AA416" s="10">
        <f t="shared" si="128"/>
        <v>13785.75</v>
      </c>
      <c r="AB416" s="10">
        <f t="shared" si="129"/>
        <v>17727.673040000001</v>
      </c>
      <c r="AC416" s="10">
        <f t="shared" si="117"/>
        <v>606.37750000000005</v>
      </c>
      <c r="AD416" s="10">
        <f t="shared" si="118"/>
        <v>1193.865</v>
      </c>
      <c r="AE416" s="10">
        <f t="shared" si="119"/>
        <v>1912.0450000000001</v>
      </c>
      <c r="AF416" s="10" t="str">
        <f t="shared" si="120"/>
        <v>High</v>
      </c>
      <c r="AG416" s="6">
        <f t="shared" si="130"/>
        <v>0.562543555408064</v>
      </c>
      <c r="AH416" s="4">
        <f t="shared" si="131"/>
        <v>44948</v>
      </c>
      <c r="AI416" t="str">
        <f t="shared" si="132"/>
        <v>Jan-2023</v>
      </c>
    </row>
    <row r="417" spans="1:35" x14ac:dyDescent="0.25">
      <c r="A417" t="s">
        <v>429</v>
      </c>
      <c r="B417" s="4">
        <v>45167</v>
      </c>
      <c r="C417" s="4" t="str">
        <f t="shared" si="121"/>
        <v>Q3-2023</v>
      </c>
      <c r="D417" s="4" t="str">
        <f t="shared" si="122"/>
        <v>Aug-2023</v>
      </c>
      <c r="E417" s="4">
        <v>45182</v>
      </c>
      <c r="F417" s="12">
        <f t="shared" si="123"/>
        <v>15</v>
      </c>
      <c r="G417" s="12">
        <f t="shared" si="114"/>
        <v>0</v>
      </c>
      <c r="H417" s="4">
        <f t="shared" si="124"/>
        <v>45182</v>
      </c>
      <c r="I417" t="s">
        <v>648</v>
      </c>
      <c r="J417" t="s">
        <v>653</v>
      </c>
      <c r="K417" t="s">
        <v>688</v>
      </c>
      <c r="L417" t="s">
        <v>705</v>
      </c>
      <c r="M417" t="s">
        <v>709</v>
      </c>
      <c r="N417" t="s">
        <v>719</v>
      </c>
      <c r="O417" t="s">
        <v>728</v>
      </c>
      <c r="P417" t="str" cm="1">
        <f t="array" ref="P417">_xlfn.IFS(S417&lt;=PERCENTILE($S$2:$S$1000, 0.33), "Low", S417&lt;=PERCENTILE($S$2:$S$1000, 0.66), "Medium", TRUE, "High")</f>
        <v>High</v>
      </c>
      <c r="Q417" t="s">
        <v>1148</v>
      </c>
      <c r="R417" s="10">
        <v>1287.6400000000001</v>
      </c>
      <c r="S417" s="10">
        <v>2717.15</v>
      </c>
      <c r="T417" s="8">
        <v>3.2000000000000001E-2</v>
      </c>
      <c r="U417" s="12">
        <f t="shared" si="125"/>
        <v>0</v>
      </c>
      <c r="V417" s="6">
        <v>7</v>
      </c>
      <c r="W417" t="str">
        <f t="shared" si="115"/>
        <v>ok</v>
      </c>
      <c r="X417">
        <f t="shared" si="116"/>
        <v>15</v>
      </c>
      <c r="Y417">
        <f t="shared" si="126"/>
        <v>15</v>
      </c>
      <c r="Z417" s="10">
        <f t="shared" si="127"/>
        <v>18411.4084</v>
      </c>
      <c r="AA417" s="10">
        <f t="shared" si="128"/>
        <v>9013.4800000000014</v>
      </c>
      <c r="AB417" s="10">
        <f t="shared" si="129"/>
        <v>9397.9283999999989</v>
      </c>
      <c r="AC417" s="10">
        <f t="shared" si="117"/>
        <v>606.37750000000005</v>
      </c>
      <c r="AD417" s="10">
        <f t="shared" si="118"/>
        <v>1193.865</v>
      </c>
      <c r="AE417" s="10">
        <f t="shared" si="119"/>
        <v>1912.0450000000001</v>
      </c>
      <c r="AF417" s="10" t="str">
        <f t="shared" si="120"/>
        <v>High</v>
      </c>
      <c r="AG417" s="6">
        <f t="shared" si="130"/>
        <v>0.51044049405802105</v>
      </c>
      <c r="AH417" s="4">
        <f t="shared" si="131"/>
        <v>44955</v>
      </c>
      <c r="AI417" t="str">
        <f t="shared" si="132"/>
        <v>Jan-2023</v>
      </c>
    </row>
    <row r="418" spans="1:35" x14ac:dyDescent="0.25">
      <c r="A418" t="s">
        <v>430</v>
      </c>
      <c r="B418" s="4">
        <v>45626</v>
      </c>
      <c r="C418" s="4" t="str">
        <f t="shared" si="121"/>
        <v>Q4-2024</v>
      </c>
      <c r="D418" s="4" t="str">
        <f t="shared" si="122"/>
        <v>Nov-2024</v>
      </c>
      <c r="E418" s="4">
        <v>45636</v>
      </c>
      <c r="F418" s="12">
        <f t="shared" si="123"/>
        <v>10</v>
      </c>
      <c r="G418" s="12">
        <f t="shared" si="114"/>
        <v>0</v>
      </c>
      <c r="H418" s="4">
        <f t="shared" si="124"/>
        <v>45636</v>
      </c>
      <c r="I418" t="s">
        <v>647</v>
      </c>
      <c r="J418" t="s">
        <v>654</v>
      </c>
      <c r="K418" t="s">
        <v>696</v>
      </c>
      <c r="L418" t="s">
        <v>705</v>
      </c>
      <c r="M418" t="s">
        <v>707</v>
      </c>
      <c r="N418" t="s">
        <v>721</v>
      </c>
      <c r="O418" t="s">
        <v>733</v>
      </c>
      <c r="P418" t="str" cm="1">
        <f t="array" ref="P418">_xlfn.IFS(S418&lt;=PERCENTILE($S$2:$S$1000, 0.33), "Low", S418&lt;=PERCENTILE($S$2:$S$1000, 0.66), "Medium", TRUE, "High")</f>
        <v>Medium</v>
      </c>
      <c r="Q418" t="s">
        <v>1149</v>
      </c>
      <c r="R418" s="10">
        <v>851.49</v>
      </c>
      <c r="S418" s="10">
        <v>901.79</v>
      </c>
      <c r="T418" s="8">
        <v>0.245</v>
      </c>
      <c r="U418" s="12">
        <f t="shared" si="125"/>
        <v>1</v>
      </c>
      <c r="V418" s="6">
        <v>16</v>
      </c>
      <c r="W418" t="str">
        <f t="shared" si="115"/>
        <v>ok</v>
      </c>
      <c r="X418">
        <f t="shared" si="116"/>
        <v>10</v>
      </c>
      <c r="Y418">
        <f t="shared" si="126"/>
        <v>10</v>
      </c>
      <c r="Z418" s="10">
        <f t="shared" si="127"/>
        <v>10893.6232</v>
      </c>
      <c r="AA418" s="10">
        <f t="shared" si="128"/>
        <v>13623.84</v>
      </c>
      <c r="AB418" s="10">
        <f t="shared" si="129"/>
        <v>-2730.2168000000001</v>
      </c>
      <c r="AC418" s="10">
        <f t="shared" si="117"/>
        <v>606.37750000000005</v>
      </c>
      <c r="AD418" s="10">
        <f t="shared" si="118"/>
        <v>1193.865</v>
      </c>
      <c r="AE418" s="10">
        <f t="shared" si="119"/>
        <v>1912.0450000000001</v>
      </c>
      <c r="AF418" s="10" t="str">
        <f t="shared" si="120"/>
        <v>High</v>
      </c>
      <c r="AG418" s="6">
        <f t="shared" si="130"/>
        <v>-0.25062522816100341</v>
      </c>
      <c r="AH418" s="4">
        <f t="shared" si="131"/>
        <v>44933</v>
      </c>
      <c r="AI418" t="str">
        <f t="shared" si="132"/>
        <v>Jan-2023</v>
      </c>
    </row>
    <row r="419" spans="1:35" x14ac:dyDescent="0.25">
      <c r="A419" t="s">
        <v>431</v>
      </c>
      <c r="B419" s="4">
        <v>45813</v>
      </c>
      <c r="C419" s="4" t="str">
        <f t="shared" si="121"/>
        <v>Q2-2025</v>
      </c>
      <c r="D419" s="4" t="str">
        <f t="shared" si="122"/>
        <v>Jun-2025</v>
      </c>
      <c r="E419" s="4">
        <v>45822</v>
      </c>
      <c r="F419" s="12">
        <f t="shared" si="123"/>
        <v>9</v>
      </c>
      <c r="G419" s="12">
        <f t="shared" si="114"/>
        <v>0</v>
      </c>
      <c r="H419" s="4">
        <f t="shared" si="124"/>
        <v>45822</v>
      </c>
      <c r="I419" t="s">
        <v>647</v>
      </c>
      <c r="J419" t="s">
        <v>654</v>
      </c>
      <c r="K419" t="s">
        <v>680</v>
      </c>
      <c r="L419" t="s">
        <v>703</v>
      </c>
      <c r="M419" t="s">
        <v>707</v>
      </c>
      <c r="N419" t="s">
        <v>720</v>
      </c>
      <c r="O419" t="s">
        <v>733</v>
      </c>
      <c r="P419" t="str" cm="1">
        <f t="array" ref="P419">_xlfn.IFS(S419&lt;=PERCENTILE($S$2:$S$1000, 0.33), "Low", S419&lt;=PERCENTILE($S$2:$S$1000, 0.66), "Medium", TRUE, "High")</f>
        <v>Low</v>
      </c>
      <c r="Q419" t="s">
        <v>1150</v>
      </c>
      <c r="R419" s="10">
        <v>618.69000000000005</v>
      </c>
      <c r="S419" s="10">
        <v>796.15</v>
      </c>
      <c r="T419" s="8">
        <v>0.09</v>
      </c>
      <c r="U419" s="12">
        <f t="shared" si="125"/>
        <v>0</v>
      </c>
      <c r="V419" s="6">
        <v>11</v>
      </c>
      <c r="W419" t="str">
        <f t="shared" si="115"/>
        <v>ok</v>
      </c>
      <c r="X419">
        <f t="shared" si="116"/>
        <v>9</v>
      </c>
      <c r="Y419">
        <f t="shared" si="126"/>
        <v>9</v>
      </c>
      <c r="Z419" s="10">
        <f t="shared" si="127"/>
        <v>7969.4615000000003</v>
      </c>
      <c r="AA419" s="10">
        <f t="shared" si="128"/>
        <v>6805.59</v>
      </c>
      <c r="AB419" s="10">
        <f t="shared" si="129"/>
        <v>1163.8715000000002</v>
      </c>
      <c r="AC419" s="10">
        <f t="shared" si="117"/>
        <v>606.37750000000005</v>
      </c>
      <c r="AD419" s="10">
        <f t="shared" si="118"/>
        <v>1193.865</v>
      </c>
      <c r="AE419" s="10">
        <f t="shared" si="119"/>
        <v>1912.0450000000001</v>
      </c>
      <c r="AF419" s="10" t="str">
        <f t="shared" si="120"/>
        <v>Medium</v>
      </c>
      <c r="AG419" s="6">
        <f t="shared" si="130"/>
        <v>0.14604142325049191</v>
      </c>
      <c r="AH419" s="4">
        <f t="shared" si="131"/>
        <v>44933</v>
      </c>
      <c r="AI419" t="str">
        <f t="shared" si="132"/>
        <v>Jan-2023</v>
      </c>
    </row>
    <row r="420" spans="1:35" x14ac:dyDescent="0.25">
      <c r="A420" t="s">
        <v>432</v>
      </c>
      <c r="B420" s="4">
        <v>45730</v>
      </c>
      <c r="C420" s="4" t="str">
        <f t="shared" si="121"/>
        <v>Q1-2025</v>
      </c>
      <c r="D420" s="4" t="str">
        <f t="shared" si="122"/>
        <v>Mar-2025</v>
      </c>
      <c r="E420" s="4">
        <v>45755</v>
      </c>
      <c r="F420" s="12">
        <f t="shared" si="123"/>
        <v>25</v>
      </c>
      <c r="G420" s="12">
        <f t="shared" si="114"/>
        <v>0</v>
      </c>
      <c r="H420" s="4">
        <f t="shared" si="124"/>
        <v>45755</v>
      </c>
      <c r="I420" t="s">
        <v>647</v>
      </c>
      <c r="J420" t="s">
        <v>659</v>
      </c>
      <c r="K420" t="s">
        <v>1418</v>
      </c>
      <c r="L420" t="s">
        <v>701</v>
      </c>
      <c r="M420" t="s">
        <v>710</v>
      </c>
      <c r="N420" t="s">
        <v>726</v>
      </c>
      <c r="O420" t="s">
        <v>728</v>
      </c>
      <c r="P420" t="str" cm="1">
        <f t="array" ref="P420">_xlfn.IFS(S420&lt;=PERCENTILE($S$2:$S$1000, 0.33), "Low", S420&lt;=PERCENTILE($S$2:$S$1000, 0.66), "Medium", TRUE, "High")</f>
        <v>Low</v>
      </c>
      <c r="Q420" t="s">
        <v>1151</v>
      </c>
      <c r="R420" s="10">
        <v>80.59</v>
      </c>
      <c r="S420" s="10">
        <v>157.82</v>
      </c>
      <c r="T420" s="8">
        <v>0.217</v>
      </c>
      <c r="U420" s="12">
        <f t="shared" si="125"/>
        <v>1</v>
      </c>
      <c r="V420" s="6">
        <v>6</v>
      </c>
      <c r="W420" t="str">
        <f t="shared" si="115"/>
        <v>ok</v>
      </c>
      <c r="X420">
        <f t="shared" si="116"/>
        <v>25</v>
      </c>
      <c r="Y420">
        <f t="shared" si="126"/>
        <v>25</v>
      </c>
      <c r="Z420" s="10">
        <f t="shared" si="127"/>
        <v>741.43835999999999</v>
      </c>
      <c r="AA420" s="10">
        <f t="shared" si="128"/>
        <v>483.54</v>
      </c>
      <c r="AB420" s="10">
        <f t="shared" si="129"/>
        <v>257.89835999999997</v>
      </c>
      <c r="AC420" s="10">
        <f t="shared" si="117"/>
        <v>606.37750000000005</v>
      </c>
      <c r="AD420" s="10">
        <f t="shared" si="118"/>
        <v>1193.865</v>
      </c>
      <c r="AE420" s="10">
        <f t="shared" si="119"/>
        <v>1912.0450000000001</v>
      </c>
      <c r="AF420" s="10" t="str">
        <f t="shared" si="120"/>
        <v>Medium</v>
      </c>
      <c r="AG420" s="6">
        <f t="shared" si="130"/>
        <v>0.34783519967863541</v>
      </c>
      <c r="AH420" s="4">
        <f t="shared" si="131"/>
        <v>44941</v>
      </c>
      <c r="AI420" t="str">
        <f t="shared" si="132"/>
        <v>Jan-2023</v>
      </c>
    </row>
    <row r="421" spans="1:35" x14ac:dyDescent="0.25">
      <c r="A421" t="s">
        <v>433</v>
      </c>
      <c r="B421" s="4">
        <v>45307</v>
      </c>
      <c r="C421" s="4" t="str">
        <f t="shared" si="121"/>
        <v>Q1-2024</v>
      </c>
      <c r="D421" s="4" t="str">
        <f t="shared" si="122"/>
        <v>Jan-2024</v>
      </c>
      <c r="E421" s="4">
        <v>45333</v>
      </c>
      <c r="F421" s="12">
        <f t="shared" si="123"/>
        <v>26</v>
      </c>
      <c r="G421" s="12">
        <f t="shared" si="114"/>
        <v>0</v>
      </c>
      <c r="H421" s="4">
        <f t="shared" si="124"/>
        <v>45333</v>
      </c>
      <c r="I421" t="s">
        <v>649</v>
      </c>
      <c r="J421" t="s">
        <v>656</v>
      </c>
      <c r="K421" t="s">
        <v>698</v>
      </c>
      <c r="L421" t="s">
        <v>703</v>
      </c>
      <c r="M421" t="s">
        <v>710</v>
      </c>
      <c r="N421" t="s">
        <v>718</v>
      </c>
      <c r="O421" t="s">
        <v>732</v>
      </c>
      <c r="P421" t="str" cm="1">
        <f t="array" ref="P421">_xlfn.IFS(S421&lt;=PERCENTILE($S$2:$S$1000, 0.33), "Low", S421&lt;=PERCENTILE($S$2:$S$1000, 0.66), "Medium", TRUE, "High")</f>
        <v>Medium</v>
      </c>
      <c r="Q421" t="s">
        <v>1152</v>
      </c>
      <c r="R421" s="10">
        <v>504.93</v>
      </c>
      <c r="S421" s="10">
        <v>819.06</v>
      </c>
      <c r="T421" s="8">
        <v>0.22600000000000001</v>
      </c>
      <c r="U421" s="12">
        <f t="shared" si="125"/>
        <v>1</v>
      </c>
      <c r="V421" s="6">
        <v>15</v>
      </c>
      <c r="W421" t="str">
        <f t="shared" si="115"/>
        <v>ok</v>
      </c>
      <c r="X421">
        <f t="shared" si="116"/>
        <v>26</v>
      </c>
      <c r="Y421">
        <f t="shared" si="126"/>
        <v>26</v>
      </c>
      <c r="Z421" s="10">
        <f t="shared" si="127"/>
        <v>9509.2865999999995</v>
      </c>
      <c r="AA421" s="10">
        <f t="shared" si="128"/>
        <v>7573.95</v>
      </c>
      <c r="AB421" s="10">
        <f t="shared" si="129"/>
        <v>1935.3365999999996</v>
      </c>
      <c r="AC421" s="10">
        <f t="shared" si="117"/>
        <v>606.37750000000005</v>
      </c>
      <c r="AD421" s="10">
        <f t="shared" si="118"/>
        <v>1193.865</v>
      </c>
      <c r="AE421" s="10">
        <f t="shared" si="119"/>
        <v>1912.0450000000001</v>
      </c>
      <c r="AF421" s="10" t="str">
        <f t="shared" si="120"/>
        <v>Low</v>
      </c>
      <c r="AG421" s="6">
        <f t="shared" si="130"/>
        <v>0.20352069312959814</v>
      </c>
      <c r="AH421" s="4">
        <f t="shared" si="131"/>
        <v>44955</v>
      </c>
      <c r="AI421" t="str">
        <f t="shared" si="132"/>
        <v>Jan-2023</v>
      </c>
    </row>
    <row r="422" spans="1:35" x14ac:dyDescent="0.25">
      <c r="A422" t="s">
        <v>434</v>
      </c>
      <c r="B422" s="4">
        <v>45211</v>
      </c>
      <c r="C422" s="4" t="str">
        <f t="shared" si="121"/>
        <v>Q4-2023</v>
      </c>
      <c r="D422" s="4" t="str">
        <f t="shared" si="122"/>
        <v>Oct-2023</v>
      </c>
      <c r="E422" s="4">
        <v>45228</v>
      </c>
      <c r="F422" s="12">
        <f t="shared" si="123"/>
        <v>17</v>
      </c>
      <c r="G422" s="12">
        <f t="shared" si="114"/>
        <v>0</v>
      </c>
      <c r="H422" s="4">
        <f t="shared" si="124"/>
        <v>45228</v>
      </c>
      <c r="I422" t="s">
        <v>647</v>
      </c>
      <c r="J422" t="s">
        <v>652</v>
      </c>
      <c r="K422" t="s">
        <v>694</v>
      </c>
      <c r="L422" t="s">
        <v>703</v>
      </c>
      <c r="M422" t="s">
        <v>711</v>
      </c>
      <c r="N422" t="s">
        <v>722</v>
      </c>
      <c r="O422" t="s">
        <v>730</v>
      </c>
      <c r="P422" t="str" cm="1">
        <f t="array" ref="P422">_xlfn.IFS(S422&lt;=PERCENTILE($S$2:$S$1000, 0.33), "Low", S422&lt;=PERCENTILE($S$2:$S$1000, 0.66), "Medium", TRUE, "High")</f>
        <v>High</v>
      </c>
      <c r="Q422" t="s">
        <v>1153</v>
      </c>
      <c r="R422" s="10">
        <v>1102.19</v>
      </c>
      <c r="S422" s="10">
        <v>1711.16</v>
      </c>
      <c r="T422" s="8">
        <v>0.151</v>
      </c>
      <c r="U422" s="12">
        <f t="shared" si="125"/>
        <v>0</v>
      </c>
      <c r="V422" s="6">
        <v>10</v>
      </c>
      <c r="W422" t="str">
        <f t="shared" si="115"/>
        <v>ok</v>
      </c>
      <c r="X422">
        <f t="shared" si="116"/>
        <v>17</v>
      </c>
      <c r="Y422">
        <f t="shared" si="126"/>
        <v>17</v>
      </c>
      <c r="Z422" s="10">
        <f t="shared" si="127"/>
        <v>14527.748400000002</v>
      </c>
      <c r="AA422" s="10">
        <f t="shared" si="128"/>
        <v>11021.900000000001</v>
      </c>
      <c r="AB422" s="10">
        <f t="shared" si="129"/>
        <v>3505.8484000000008</v>
      </c>
      <c r="AC422" s="10">
        <f t="shared" si="117"/>
        <v>606.37750000000005</v>
      </c>
      <c r="AD422" s="10">
        <f t="shared" si="118"/>
        <v>1193.865</v>
      </c>
      <c r="AE422" s="10">
        <f t="shared" si="119"/>
        <v>1912.0450000000001</v>
      </c>
      <c r="AF422" s="10" t="str">
        <f t="shared" si="120"/>
        <v>Medium</v>
      </c>
      <c r="AG422" s="6">
        <f t="shared" si="130"/>
        <v>0.24132083675127525</v>
      </c>
      <c r="AH422" s="4">
        <f t="shared" si="131"/>
        <v>44945</v>
      </c>
      <c r="AI422" t="str">
        <f t="shared" si="132"/>
        <v>Jan-2023</v>
      </c>
    </row>
    <row r="423" spans="1:35" x14ac:dyDescent="0.25">
      <c r="A423" t="s">
        <v>435</v>
      </c>
      <c r="B423" s="4">
        <v>45713</v>
      </c>
      <c r="C423" s="4" t="str">
        <f t="shared" si="121"/>
        <v>Q1-2025</v>
      </c>
      <c r="D423" s="4" t="str">
        <f t="shared" si="122"/>
        <v>Feb-2025</v>
      </c>
      <c r="E423" s="4">
        <v>45733</v>
      </c>
      <c r="F423" s="12">
        <f t="shared" si="123"/>
        <v>20</v>
      </c>
      <c r="G423" s="12">
        <f t="shared" si="114"/>
        <v>0</v>
      </c>
      <c r="H423" s="4">
        <f t="shared" si="124"/>
        <v>45733</v>
      </c>
      <c r="I423" t="s">
        <v>648</v>
      </c>
      <c r="J423" t="s">
        <v>660</v>
      </c>
      <c r="K423" t="s">
        <v>686</v>
      </c>
      <c r="L423" t="s">
        <v>703</v>
      </c>
      <c r="M423" t="s">
        <v>709</v>
      </c>
      <c r="N423" t="s">
        <v>722</v>
      </c>
      <c r="O423" t="s">
        <v>730</v>
      </c>
      <c r="P423" t="str" cm="1">
        <f t="array" ref="P423">_xlfn.IFS(S423&lt;=PERCENTILE($S$2:$S$1000, 0.33), "Low", S423&lt;=PERCENTILE($S$2:$S$1000, 0.66), "Medium", TRUE, "High")</f>
        <v>High</v>
      </c>
      <c r="Q423" t="s">
        <v>1154</v>
      </c>
      <c r="R423" s="10">
        <v>1205.26</v>
      </c>
      <c r="S423" s="10">
        <v>1696.35</v>
      </c>
      <c r="T423" s="8">
        <v>1.9E-2</v>
      </c>
      <c r="U423" s="12">
        <f t="shared" si="125"/>
        <v>0</v>
      </c>
      <c r="V423" s="6">
        <v>6</v>
      </c>
      <c r="W423" t="str">
        <f t="shared" si="115"/>
        <v>ok</v>
      </c>
      <c r="X423">
        <f t="shared" si="116"/>
        <v>20</v>
      </c>
      <c r="Y423">
        <f t="shared" si="126"/>
        <v>20</v>
      </c>
      <c r="Z423" s="10">
        <f t="shared" si="127"/>
        <v>9984.7160999999978</v>
      </c>
      <c r="AA423" s="10">
        <f t="shared" si="128"/>
        <v>7231.5599999999995</v>
      </c>
      <c r="AB423" s="10">
        <f t="shared" si="129"/>
        <v>2753.1560999999983</v>
      </c>
      <c r="AC423" s="10">
        <f t="shared" si="117"/>
        <v>606.37750000000005</v>
      </c>
      <c r="AD423" s="10">
        <f t="shared" si="118"/>
        <v>1193.865</v>
      </c>
      <c r="AE423" s="10">
        <f t="shared" si="119"/>
        <v>1912.0450000000001</v>
      </c>
      <c r="AF423" s="10" t="str">
        <f t="shared" si="120"/>
        <v>Medium</v>
      </c>
      <c r="AG423" s="6">
        <f t="shared" si="130"/>
        <v>0.27573704374028213</v>
      </c>
      <c r="AH423" s="4">
        <f t="shared" si="131"/>
        <v>44945</v>
      </c>
      <c r="AI423" t="str">
        <f t="shared" si="132"/>
        <v>Jan-2023</v>
      </c>
    </row>
    <row r="424" spans="1:35" x14ac:dyDescent="0.25">
      <c r="A424" t="s">
        <v>436</v>
      </c>
      <c r="B424" s="4">
        <v>45841</v>
      </c>
      <c r="C424" s="4" t="str">
        <f t="shared" si="121"/>
        <v>Q3-2025</v>
      </c>
      <c r="D424" s="4" t="str">
        <f t="shared" si="122"/>
        <v>Jul-2025</v>
      </c>
      <c r="E424" s="4">
        <v>45844</v>
      </c>
      <c r="F424" s="12">
        <f t="shared" si="123"/>
        <v>3</v>
      </c>
      <c r="G424" s="12">
        <f t="shared" si="114"/>
        <v>1</v>
      </c>
      <c r="H424" s="4">
        <f t="shared" si="124"/>
        <v>45844</v>
      </c>
      <c r="I424" t="s">
        <v>646</v>
      </c>
      <c r="J424" t="s">
        <v>651</v>
      </c>
      <c r="K424" t="s">
        <v>665</v>
      </c>
      <c r="L424" t="s">
        <v>704</v>
      </c>
      <c r="M424" t="s">
        <v>708</v>
      </c>
      <c r="N424" t="s">
        <v>1418</v>
      </c>
      <c r="O424" t="s">
        <v>731</v>
      </c>
      <c r="P424" t="str" cm="1">
        <f t="array" ref="P424">_xlfn.IFS(S424&lt;=PERCENTILE($S$2:$S$1000, 0.33), "Low", S424&lt;=PERCENTILE($S$2:$S$1000, 0.66), "Medium", TRUE, "High")</f>
        <v>High</v>
      </c>
      <c r="Q424" t="s">
        <v>1155</v>
      </c>
      <c r="R424" s="10">
        <v>1313.3</v>
      </c>
      <c r="S424" s="10">
        <v>2884.34</v>
      </c>
      <c r="T424" s="8">
        <v>0.157</v>
      </c>
      <c r="U424" s="12">
        <f t="shared" si="125"/>
        <v>0</v>
      </c>
      <c r="V424" s="6">
        <v>42</v>
      </c>
      <c r="W424" t="str">
        <f t="shared" si="115"/>
        <v>ok</v>
      </c>
      <c r="X424">
        <f t="shared" si="116"/>
        <v>3</v>
      </c>
      <c r="Y424">
        <f t="shared" si="126"/>
        <v>3</v>
      </c>
      <c r="Z424" s="10">
        <f t="shared" si="127"/>
        <v>102122.94203999999</v>
      </c>
      <c r="AA424" s="10">
        <f t="shared" si="128"/>
        <v>55158.6</v>
      </c>
      <c r="AB424" s="10">
        <f t="shared" si="129"/>
        <v>46964.342039999996</v>
      </c>
      <c r="AC424" s="10">
        <f t="shared" si="117"/>
        <v>606.37750000000005</v>
      </c>
      <c r="AD424" s="10">
        <f t="shared" si="118"/>
        <v>1193.865</v>
      </c>
      <c r="AE424" s="10">
        <f t="shared" si="119"/>
        <v>1912.0450000000001</v>
      </c>
      <c r="AF424" s="10" t="str">
        <f t="shared" si="120"/>
        <v>Medium</v>
      </c>
      <c r="AG424" s="6">
        <f t="shared" si="130"/>
        <v>0.45988042551305253</v>
      </c>
      <c r="AH424" s="4">
        <f t="shared" si="131"/>
        <v>44988</v>
      </c>
      <c r="AI424" t="str">
        <f t="shared" si="132"/>
        <v>Mar-2023</v>
      </c>
    </row>
    <row r="425" spans="1:35" x14ac:dyDescent="0.25">
      <c r="A425" t="s">
        <v>437</v>
      </c>
      <c r="B425" s="4">
        <v>45915</v>
      </c>
      <c r="C425" s="4" t="str">
        <f t="shared" si="121"/>
        <v>Q3-2025</v>
      </c>
      <c r="D425" s="4" t="str">
        <f t="shared" si="122"/>
        <v>Sept-2025</v>
      </c>
      <c r="E425" s="4">
        <v>45925</v>
      </c>
      <c r="F425" s="12">
        <f t="shared" si="123"/>
        <v>10</v>
      </c>
      <c r="G425" s="12">
        <f t="shared" si="114"/>
        <v>0</v>
      </c>
      <c r="H425" s="4">
        <f t="shared" si="124"/>
        <v>45925</v>
      </c>
      <c r="I425" t="s">
        <v>647</v>
      </c>
      <c r="J425" t="s">
        <v>654</v>
      </c>
      <c r="K425" t="s">
        <v>680</v>
      </c>
      <c r="L425" t="s">
        <v>704</v>
      </c>
      <c r="M425" t="s">
        <v>707</v>
      </c>
      <c r="N425" t="s">
        <v>720</v>
      </c>
      <c r="O425" t="s">
        <v>730</v>
      </c>
      <c r="P425" t="str" cm="1">
        <f t="array" ref="P425">_xlfn.IFS(S425&lt;=PERCENTILE($S$2:$S$1000, 0.33), "Low", S425&lt;=PERCENTILE($S$2:$S$1000, 0.66), "Medium", TRUE, "High")</f>
        <v>Medium</v>
      </c>
      <c r="Q425" t="s">
        <v>1156</v>
      </c>
      <c r="R425" s="10">
        <v>1488.91</v>
      </c>
      <c r="S425" s="10">
        <v>1483.74</v>
      </c>
      <c r="T425" s="8">
        <v>0.16800000000000001</v>
      </c>
      <c r="U425" s="12">
        <f t="shared" si="125"/>
        <v>0</v>
      </c>
      <c r="V425" s="6">
        <v>24</v>
      </c>
      <c r="W425" t="str">
        <f t="shared" si="115"/>
        <v>ok</v>
      </c>
      <c r="X425">
        <f t="shared" si="116"/>
        <v>10</v>
      </c>
      <c r="Y425">
        <f t="shared" si="126"/>
        <v>10</v>
      </c>
      <c r="Z425" s="10">
        <f t="shared" si="127"/>
        <v>29627.320319999999</v>
      </c>
      <c r="AA425" s="10">
        <f t="shared" si="128"/>
        <v>35733.840000000004</v>
      </c>
      <c r="AB425" s="10">
        <f t="shared" si="129"/>
        <v>-6106.5196800000049</v>
      </c>
      <c r="AC425" s="10">
        <f t="shared" si="117"/>
        <v>606.37750000000005</v>
      </c>
      <c r="AD425" s="10">
        <f t="shared" si="118"/>
        <v>1193.865</v>
      </c>
      <c r="AE425" s="10">
        <f t="shared" si="119"/>
        <v>1912.0450000000001</v>
      </c>
      <c r="AF425" s="10" t="str">
        <f t="shared" si="120"/>
        <v>High</v>
      </c>
      <c r="AG425" s="6">
        <f t="shared" si="130"/>
        <v>-0.20611110333450519</v>
      </c>
      <c r="AH425" s="4">
        <f t="shared" si="131"/>
        <v>44948</v>
      </c>
      <c r="AI425" t="str">
        <f t="shared" si="132"/>
        <v>Jan-2023</v>
      </c>
    </row>
    <row r="426" spans="1:35" x14ac:dyDescent="0.25">
      <c r="A426" t="s">
        <v>438</v>
      </c>
      <c r="B426" s="4">
        <v>45341</v>
      </c>
      <c r="C426" s="4" t="str">
        <f t="shared" si="121"/>
        <v>Q1-2024</v>
      </c>
      <c r="D426" s="4" t="str">
        <f t="shared" si="122"/>
        <v>Feb-2024</v>
      </c>
      <c r="E426" s="4">
        <v>45357</v>
      </c>
      <c r="F426" s="12">
        <f t="shared" si="123"/>
        <v>16</v>
      </c>
      <c r="G426" s="12">
        <f t="shared" si="114"/>
        <v>0</v>
      </c>
      <c r="H426" s="4">
        <f t="shared" si="124"/>
        <v>45357</v>
      </c>
      <c r="I426" t="s">
        <v>647</v>
      </c>
      <c r="J426" t="s">
        <v>659</v>
      </c>
      <c r="K426" t="s">
        <v>699</v>
      </c>
      <c r="L426" t="s">
        <v>702</v>
      </c>
      <c r="M426" t="s">
        <v>709</v>
      </c>
      <c r="N426" t="s">
        <v>719</v>
      </c>
      <c r="O426" t="s">
        <v>728</v>
      </c>
      <c r="P426" t="str" cm="1">
        <f t="array" ref="P426">_xlfn.IFS(S426&lt;=PERCENTILE($S$2:$S$1000, 0.33), "Low", S426&lt;=PERCENTILE($S$2:$S$1000, 0.66), "Medium", TRUE, "High")</f>
        <v>High</v>
      </c>
      <c r="Q426" t="s">
        <v>1157</v>
      </c>
      <c r="R426" s="10">
        <v>1477.84</v>
      </c>
      <c r="S426" s="10">
        <v>3197.47</v>
      </c>
      <c r="T426" s="8">
        <v>0.24299999999999999</v>
      </c>
      <c r="U426" s="12">
        <f t="shared" si="125"/>
        <v>1</v>
      </c>
      <c r="V426" s="6">
        <v>24</v>
      </c>
      <c r="W426" t="str">
        <f t="shared" si="115"/>
        <v>ok</v>
      </c>
      <c r="X426">
        <f t="shared" si="116"/>
        <v>16</v>
      </c>
      <c r="Y426">
        <f t="shared" si="126"/>
        <v>16</v>
      </c>
      <c r="Z426" s="10">
        <f t="shared" si="127"/>
        <v>58091.634960000003</v>
      </c>
      <c r="AA426" s="10">
        <f t="shared" si="128"/>
        <v>35468.159999999996</v>
      </c>
      <c r="AB426" s="10">
        <f t="shared" si="129"/>
        <v>22623.474960000007</v>
      </c>
      <c r="AC426" s="10">
        <f t="shared" si="117"/>
        <v>606.37750000000005</v>
      </c>
      <c r="AD426" s="10">
        <f t="shared" si="118"/>
        <v>1193.865</v>
      </c>
      <c r="AE426" s="10">
        <f t="shared" si="119"/>
        <v>1912.0450000000001</v>
      </c>
      <c r="AF426" s="10" t="str">
        <f t="shared" si="120"/>
        <v>Medium</v>
      </c>
      <c r="AG426" s="6">
        <f t="shared" si="130"/>
        <v>0.38944462443823091</v>
      </c>
      <c r="AH426" s="4">
        <f t="shared" si="131"/>
        <v>44928</v>
      </c>
      <c r="AI426" t="str">
        <f t="shared" si="132"/>
        <v>Jan-2023</v>
      </c>
    </row>
    <row r="427" spans="1:35" x14ac:dyDescent="0.25">
      <c r="A427" t="s">
        <v>439</v>
      </c>
      <c r="B427" s="4">
        <v>45349</v>
      </c>
      <c r="C427" s="4" t="str">
        <f t="shared" si="121"/>
        <v>Q1-2024</v>
      </c>
      <c r="D427" s="4" t="str">
        <f t="shared" si="122"/>
        <v>Feb-2024</v>
      </c>
      <c r="E427" s="4">
        <v>45377</v>
      </c>
      <c r="F427" s="12">
        <f t="shared" si="123"/>
        <v>28</v>
      </c>
      <c r="G427" s="12">
        <f t="shared" si="114"/>
        <v>0</v>
      </c>
      <c r="H427" s="4">
        <f t="shared" si="124"/>
        <v>45377</v>
      </c>
      <c r="I427" t="s">
        <v>647</v>
      </c>
      <c r="J427" t="s">
        <v>654</v>
      </c>
      <c r="K427" t="s">
        <v>691</v>
      </c>
      <c r="L427" t="s">
        <v>702</v>
      </c>
      <c r="M427" t="s">
        <v>709</v>
      </c>
      <c r="N427" t="s">
        <v>715</v>
      </c>
      <c r="O427" t="s">
        <v>731</v>
      </c>
      <c r="P427" t="str" cm="1">
        <f t="array" ref="P427">_xlfn.IFS(S427&lt;=PERCENTILE($S$2:$S$1000, 0.33), "Low", S427&lt;=PERCENTILE($S$2:$S$1000, 0.66), "Medium", TRUE, "High")</f>
        <v>High</v>
      </c>
      <c r="Q427" t="s">
        <v>1158</v>
      </c>
      <c r="R427" s="10">
        <v>1035.19</v>
      </c>
      <c r="S427" s="10">
        <v>2322.6999999999998</v>
      </c>
      <c r="T427" s="8">
        <v>0.17299999999999999</v>
      </c>
      <c r="U427" s="12">
        <f t="shared" si="125"/>
        <v>0</v>
      </c>
      <c r="V427" s="6">
        <v>8</v>
      </c>
      <c r="W427" t="str">
        <f t="shared" si="115"/>
        <v>ok</v>
      </c>
      <c r="X427">
        <f t="shared" si="116"/>
        <v>28</v>
      </c>
      <c r="Y427">
        <f t="shared" si="126"/>
        <v>28</v>
      </c>
      <c r="Z427" s="10">
        <f t="shared" si="127"/>
        <v>15366.983199999999</v>
      </c>
      <c r="AA427" s="10">
        <f t="shared" si="128"/>
        <v>8281.52</v>
      </c>
      <c r="AB427" s="10">
        <f t="shared" si="129"/>
        <v>7085.4631999999983</v>
      </c>
      <c r="AC427" s="10">
        <f t="shared" si="117"/>
        <v>606.37750000000005</v>
      </c>
      <c r="AD427" s="10">
        <f t="shared" si="118"/>
        <v>1193.865</v>
      </c>
      <c r="AE427" s="10">
        <f t="shared" si="119"/>
        <v>1912.0450000000001</v>
      </c>
      <c r="AF427" s="10" t="str">
        <f t="shared" si="120"/>
        <v>High</v>
      </c>
      <c r="AG427" s="6">
        <f t="shared" si="130"/>
        <v>0.46108355217047409</v>
      </c>
      <c r="AH427" s="4">
        <f t="shared" si="131"/>
        <v>44939</v>
      </c>
      <c r="AI427" t="str">
        <f t="shared" si="132"/>
        <v>Jan-2023</v>
      </c>
    </row>
    <row r="428" spans="1:35" x14ac:dyDescent="0.25">
      <c r="A428" t="s">
        <v>440</v>
      </c>
      <c r="B428" s="4">
        <v>45897</v>
      </c>
      <c r="C428" s="4" t="str">
        <f t="shared" si="121"/>
        <v>Q3-2025</v>
      </c>
      <c r="D428" s="4" t="str">
        <f t="shared" si="122"/>
        <v>Aug-2025</v>
      </c>
      <c r="E428" s="4">
        <v>45905</v>
      </c>
      <c r="F428" s="12">
        <f t="shared" si="123"/>
        <v>8</v>
      </c>
      <c r="G428" s="12">
        <f t="shared" si="114"/>
        <v>0</v>
      </c>
      <c r="H428" s="4">
        <f t="shared" si="124"/>
        <v>45905</v>
      </c>
      <c r="I428" t="s">
        <v>646</v>
      </c>
      <c r="J428" t="s">
        <v>651</v>
      </c>
      <c r="K428" t="s">
        <v>663</v>
      </c>
      <c r="L428" t="s">
        <v>705</v>
      </c>
      <c r="M428" t="s">
        <v>709</v>
      </c>
      <c r="N428" t="s">
        <v>718</v>
      </c>
      <c r="O428" t="s">
        <v>731</v>
      </c>
      <c r="P428" t="str" cm="1">
        <f t="array" ref="P428">_xlfn.IFS(S428&lt;=PERCENTILE($S$2:$S$1000, 0.33), "Low", S428&lt;=PERCENTILE($S$2:$S$1000, 0.66), "Medium", TRUE, "High")</f>
        <v>High</v>
      </c>
      <c r="Q428" t="s">
        <v>1159</v>
      </c>
      <c r="R428" s="10">
        <v>1271.0999999999999</v>
      </c>
      <c r="S428" s="10">
        <v>1932.42</v>
      </c>
      <c r="T428" s="8">
        <v>0.25</v>
      </c>
      <c r="U428" s="12">
        <f t="shared" si="125"/>
        <v>1</v>
      </c>
      <c r="V428" s="6">
        <v>21</v>
      </c>
      <c r="W428" t="str">
        <f t="shared" si="115"/>
        <v>ok</v>
      </c>
      <c r="X428">
        <f t="shared" si="116"/>
        <v>8</v>
      </c>
      <c r="Y428">
        <f t="shared" si="126"/>
        <v>8</v>
      </c>
      <c r="Z428" s="10">
        <f t="shared" si="127"/>
        <v>30435.614999999998</v>
      </c>
      <c r="AA428" s="10">
        <f t="shared" si="128"/>
        <v>26693.1</v>
      </c>
      <c r="AB428" s="10">
        <f t="shared" si="129"/>
        <v>3742.5149999999994</v>
      </c>
      <c r="AC428" s="10">
        <f t="shared" si="117"/>
        <v>606.37750000000005</v>
      </c>
      <c r="AD428" s="10">
        <f t="shared" si="118"/>
        <v>1193.865</v>
      </c>
      <c r="AE428" s="10">
        <f t="shared" si="119"/>
        <v>1912.0450000000001</v>
      </c>
      <c r="AF428" s="10" t="str">
        <f t="shared" si="120"/>
        <v>High</v>
      </c>
      <c r="AG428" s="6">
        <f t="shared" si="130"/>
        <v>0.12296498690760807</v>
      </c>
      <c r="AH428" s="4">
        <f t="shared" si="131"/>
        <v>44939</v>
      </c>
      <c r="AI428" t="str">
        <f t="shared" si="132"/>
        <v>Jan-2023</v>
      </c>
    </row>
    <row r="429" spans="1:35" x14ac:dyDescent="0.25">
      <c r="A429" t="s">
        <v>441</v>
      </c>
      <c r="B429" s="4">
        <v>45522</v>
      </c>
      <c r="C429" s="4" t="str">
        <f t="shared" si="121"/>
        <v>Q3-2024</v>
      </c>
      <c r="D429" s="4" t="str">
        <f t="shared" si="122"/>
        <v>Aug-2024</v>
      </c>
      <c r="E429" s="4">
        <v>45547</v>
      </c>
      <c r="F429" s="12">
        <f t="shared" si="123"/>
        <v>25</v>
      </c>
      <c r="G429" s="12">
        <f t="shared" si="114"/>
        <v>0</v>
      </c>
      <c r="H429" s="4">
        <f t="shared" si="124"/>
        <v>45547</v>
      </c>
      <c r="I429" t="s">
        <v>647</v>
      </c>
      <c r="J429" t="s">
        <v>654</v>
      </c>
      <c r="K429" t="s">
        <v>691</v>
      </c>
      <c r="L429" t="s">
        <v>704</v>
      </c>
      <c r="M429" t="s">
        <v>709</v>
      </c>
      <c r="N429" t="s">
        <v>712</v>
      </c>
      <c r="O429" t="s">
        <v>730</v>
      </c>
      <c r="P429" t="str" cm="1">
        <f t="array" ref="P429">_xlfn.IFS(S429&lt;=PERCENTILE($S$2:$S$1000, 0.33), "Low", S429&lt;=PERCENTILE($S$2:$S$1000, 0.66), "Medium", TRUE, "High")</f>
        <v>Medium</v>
      </c>
      <c r="Q429" t="s">
        <v>1160</v>
      </c>
      <c r="R429" s="10">
        <v>1154.03</v>
      </c>
      <c r="S429" s="10">
        <v>1590.36</v>
      </c>
      <c r="T429" s="8">
        <v>0.314</v>
      </c>
      <c r="U429" s="12">
        <f t="shared" si="125"/>
        <v>1</v>
      </c>
      <c r="V429" s="6">
        <v>18</v>
      </c>
      <c r="W429" t="str">
        <f t="shared" si="115"/>
        <v>ok</v>
      </c>
      <c r="X429">
        <f t="shared" si="116"/>
        <v>25</v>
      </c>
      <c r="Y429">
        <f t="shared" si="126"/>
        <v>25</v>
      </c>
      <c r="Z429" s="10">
        <f t="shared" si="127"/>
        <v>19637.76528</v>
      </c>
      <c r="AA429" s="10">
        <f t="shared" si="128"/>
        <v>20772.54</v>
      </c>
      <c r="AB429" s="10">
        <f t="shared" si="129"/>
        <v>-1134.7747200000013</v>
      </c>
      <c r="AC429" s="10">
        <f t="shared" si="117"/>
        <v>606.37750000000005</v>
      </c>
      <c r="AD429" s="10">
        <f t="shared" si="118"/>
        <v>1193.865</v>
      </c>
      <c r="AE429" s="10">
        <f t="shared" si="119"/>
        <v>1912.0450000000001</v>
      </c>
      <c r="AF429" s="10" t="str">
        <f t="shared" si="120"/>
        <v>High</v>
      </c>
      <c r="AG429" s="6">
        <f t="shared" si="130"/>
        <v>-5.7785328616576745E-2</v>
      </c>
      <c r="AH429" s="4">
        <f t="shared" si="131"/>
        <v>44936</v>
      </c>
      <c r="AI429" t="str">
        <f t="shared" si="132"/>
        <v>Jan-2023</v>
      </c>
    </row>
    <row r="430" spans="1:35" x14ac:dyDescent="0.25">
      <c r="A430" t="s">
        <v>442</v>
      </c>
      <c r="B430" s="4">
        <v>45347</v>
      </c>
      <c r="C430" s="4" t="str">
        <f t="shared" si="121"/>
        <v>Q1-2024</v>
      </c>
      <c r="D430" s="4" t="str">
        <f t="shared" si="122"/>
        <v>Feb-2024</v>
      </c>
      <c r="E430" s="4">
        <v>45360</v>
      </c>
      <c r="F430" s="12">
        <f t="shared" si="123"/>
        <v>13</v>
      </c>
      <c r="G430" s="12">
        <f t="shared" si="114"/>
        <v>0</v>
      </c>
      <c r="H430" s="4">
        <f t="shared" si="124"/>
        <v>45360</v>
      </c>
      <c r="I430" t="s">
        <v>649</v>
      </c>
      <c r="J430" t="s">
        <v>657</v>
      </c>
      <c r="K430" t="s">
        <v>673</v>
      </c>
      <c r="L430" t="s">
        <v>705</v>
      </c>
      <c r="M430" t="s">
        <v>710</v>
      </c>
      <c r="N430" t="s">
        <v>718</v>
      </c>
      <c r="O430" t="s">
        <v>732</v>
      </c>
      <c r="P430" t="str" cm="1">
        <f t="array" ref="P430">_xlfn.IFS(S430&lt;=PERCENTILE($S$2:$S$1000, 0.33), "Low", S430&lt;=PERCENTILE($S$2:$S$1000, 0.66), "Medium", TRUE, "High")</f>
        <v>Low</v>
      </c>
      <c r="Q430" t="s">
        <v>1161</v>
      </c>
      <c r="R430" s="10">
        <v>322.44</v>
      </c>
      <c r="S430" s="10">
        <v>395.61</v>
      </c>
      <c r="T430" s="8">
        <v>0</v>
      </c>
      <c r="U430" s="12">
        <f t="shared" si="125"/>
        <v>0</v>
      </c>
      <c r="V430" s="6">
        <v>34</v>
      </c>
      <c r="W430" t="str">
        <f t="shared" si="115"/>
        <v>ok</v>
      </c>
      <c r="X430">
        <f t="shared" si="116"/>
        <v>13</v>
      </c>
      <c r="Y430">
        <f t="shared" si="126"/>
        <v>13</v>
      </c>
      <c r="Z430" s="10">
        <f t="shared" si="127"/>
        <v>13450.74</v>
      </c>
      <c r="AA430" s="10">
        <f t="shared" si="128"/>
        <v>10962.96</v>
      </c>
      <c r="AB430" s="10">
        <f t="shared" si="129"/>
        <v>2487.7800000000007</v>
      </c>
      <c r="AC430" s="10">
        <f t="shared" si="117"/>
        <v>606.37750000000005</v>
      </c>
      <c r="AD430" s="10">
        <f t="shared" si="118"/>
        <v>1193.865</v>
      </c>
      <c r="AE430" s="10">
        <f t="shared" si="119"/>
        <v>1912.0450000000001</v>
      </c>
      <c r="AF430" s="10" t="str">
        <f t="shared" si="120"/>
        <v>Medium</v>
      </c>
      <c r="AG430" s="6">
        <f t="shared" si="130"/>
        <v>0.18495487980586947</v>
      </c>
      <c r="AH430" s="4">
        <f t="shared" si="131"/>
        <v>44928</v>
      </c>
      <c r="AI430" t="str">
        <f t="shared" si="132"/>
        <v>Jan-2023</v>
      </c>
    </row>
    <row r="431" spans="1:35" x14ac:dyDescent="0.25">
      <c r="A431" t="s">
        <v>443</v>
      </c>
      <c r="B431" s="4">
        <v>45784</v>
      </c>
      <c r="C431" s="4" t="str">
        <f t="shared" si="121"/>
        <v>Q2-2025</v>
      </c>
      <c r="D431" s="4" t="str">
        <f t="shared" si="122"/>
        <v>May-2025</v>
      </c>
      <c r="E431" s="4">
        <v>45790</v>
      </c>
      <c r="F431" s="12">
        <f t="shared" si="123"/>
        <v>6</v>
      </c>
      <c r="G431" s="12">
        <f t="shared" si="114"/>
        <v>1</v>
      </c>
      <c r="H431" s="4">
        <f t="shared" si="124"/>
        <v>45790</v>
      </c>
      <c r="I431" t="s">
        <v>647</v>
      </c>
      <c r="J431" t="s">
        <v>654</v>
      </c>
      <c r="K431" t="s">
        <v>668</v>
      </c>
      <c r="L431" t="s">
        <v>706</v>
      </c>
      <c r="M431" t="s">
        <v>711</v>
      </c>
      <c r="N431" t="s">
        <v>713</v>
      </c>
      <c r="O431" t="s">
        <v>730</v>
      </c>
      <c r="P431" t="str" cm="1">
        <f t="array" ref="P431">_xlfn.IFS(S431&lt;=PERCENTILE($S$2:$S$1000, 0.33), "Low", S431&lt;=PERCENTILE($S$2:$S$1000, 0.66), "Medium", TRUE, "High")</f>
        <v>High</v>
      </c>
      <c r="Q431" t="s">
        <v>1162</v>
      </c>
      <c r="R431" s="10">
        <v>935.98</v>
      </c>
      <c r="S431" s="10">
        <v>2077.69</v>
      </c>
      <c r="T431" s="8">
        <v>0.17499999999999999</v>
      </c>
      <c r="U431" s="12">
        <f t="shared" si="125"/>
        <v>0</v>
      </c>
      <c r="V431" s="6">
        <v>24</v>
      </c>
      <c r="W431" t="str">
        <f t="shared" si="115"/>
        <v>ok</v>
      </c>
      <c r="X431">
        <f t="shared" si="116"/>
        <v>6</v>
      </c>
      <c r="Y431">
        <f t="shared" si="126"/>
        <v>6</v>
      </c>
      <c r="Z431" s="10">
        <f t="shared" si="127"/>
        <v>41138.261999999995</v>
      </c>
      <c r="AA431" s="10">
        <f t="shared" si="128"/>
        <v>22463.52</v>
      </c>
      <c r="AB431" s="10">
        <f t="shared" si="129"/>
        <v>18674.741999999995</v>
      </c>
      <c r="AC431" s="10">
        <f t="shared" si="117"/>
        <v>606.37750000000005</v>
      </c>
      <c r="AD431" s="10">
        <f t="shared" si="118"/>
        <v>1193.865</v>
      </c>
      <c r="AE431" s="10">
        <f t="shared" si="119"/>
        <v>1912.0450000000001</v>
      </c>
      <c r="AF431" s="10" t="str">
        <f t="shared" si="120"/>
        <v>Low</v>
      </c>
      <c r="AG431" s="6">
        <f t="shared" si="130"/>
        <v>0.45395067978321491</v>
      </c>
      <c r="AH431" s="4">
        <f t="shared" si="131"/>
        <v>44938</v>
      </c>
      <c r="AI431" t="str">
        <f t="shared" si="132"/>
        <v>Jan-2023</v>
      </c>
    </row>
    <row r="432" spans="1:35" x14ac:dyDescent="0.25">
      <c r="A432" t="s">
        <v>444</v>
      </c>
      <c r="B432" s="4">
        <v>45597</v>
      </c>
      <c r="C432" s="4" t="str">
        <f t="shared" si="121"/>
        <v>Q4-2024</v>
      </c>
      <c r="D432" s="4" t="str">
        <f t="shared" si="122"/>
        <v>Nov-2024</v>
      </c>
      <c r="E432" s="4">
        <v>45608</v>
      </c>
      <c r="F432" s="12">
        <f t="shared" si="123"/>
        <v>11</v>
      </c>
      <c r="G432" s="12">
        <f t="shared" si="114"/>
        <v>0</v>
      </c>
      <c r="H432" s="4">
        <f t="shared" si="124"/>
        <v>45608</v>
      </c>
      <c r="I432" t="s">
        <v>649</v>
      </c>
      <c r="J432" t="s">
        <v>656</v>
      </c>
      <c r="K432" t="s">
        <v>698</v>
      </c>
      <c r="L432" t="s">
        <v>704</v>
      </c>
      <c r="M432" t="s">
        <v>708</v>
      </c>
      <c r="N432" t="s">
        <v>717</v>
      </c>
      <c r="O432" t="s">
        <v>728</v>
      </c>
      <c r="P432" t="str" cm="1">
        <f t="array" ref="P432">_xlfn.IFS(S432&lt;=PERCENTILE($S$2:$S$1000, 0.33), "Low", S432&lt;=PERCENTILE($S$2:$S$1000, 0.66), "Medium", TRUE, "High")</f>
        <v>Medium</v>
      </c>
      <c r="Q432" t="s">
        <v>1163</v>
      </c>
      <c r="R432" s="10">
        <v>599.84</v>
      </c>
      <c r="S432" s="10">
        <v>1330.85</v>
      </c>
      <c r="T432" s="8">
        <v>0.115</v>
      </c>
      <c r="U432" s="12">
        <f t="shared" si="125"/>
        <v>0</v>
      </c>
      <c r="V432" s="6">
        <v>11</v>
      </c>
      <c r="W432" t="str">
        <f t="shared" si="115"/>
        <v>ok</v>
      </c>
      <c r="X432">
        <f t="shared" si="116"/>
        <v>11</v>
      </c>
      <c r="Y432">
        <f t="shared" si="126"/>
        <v>11</v>
      </c>
      <c r="Z432" s="10">
        <f t="shared" si="127"/>
        <v>12955.824749999998</v>
      </c>
      <c r="AA432" s="10">
        <f t="shared" si="128"/>
        <v>6598.2400000000007</v>
      </c>
      <c r="AB432" s="10">
        <f t="shared" si="129"/>
        <v>6357.5847499999973</v>
      </c>
      <c r="AC432" s="10">
        <f t="shared" si="117"/>
        <v>606.37750000000005</v>
      </c>
      <c r="AD432" s="10">
        <f t="shared" si="118"/>
        <v>1193.865</v>
      </c>
      <c r="AE432" s="10">
        <f t="shared" si="119"/>
        <v>1912.0450000000001</v>
      </c>
      <c r="AF432" s="10" t="str">
        <f t="shared" si="120"/>
        <v>High</v>
      </c>
      <c r="AG432" s="6">
        <f t="shared" si="130"/>
        <v>0.49071246892252063</v>
      </c>
      <c r="AH432" s="4">
        <f t="shared" si="131"/>
        <v>44955</v>
      </c>
      <c r="AI432" t="str">
        <f t="shared" si="132"/>
        <v>Jan-2023</v>
      </c>
    </row>
    <row r="433" spans="1:35" x14ac:dyDescent="0.25">
      <c r="A433" t="s">
        <v>445</v>
      </c>
      <c r="B433" s="4">
        <v>45654</v>
      </c>
      <c r="C433" s="4" t="str">
        <f t="shared" si="121"/>
        <v>Q4-2024</v>
      </c>
      <c r="D433" s="4" t="str">
        <f t="shared" si="122"/>
        <v>Dec-2024</v>
      </c>
      <c r="E433" s="4">
        <v>45665</v>
      </c>
      <c r="F433" s="12">
        <f t="shared" si="123"/>
        <v>11</v>
      </c>
      <c r="G433" s="12">
        <f t="shared" si="114"/>
        <v>0</v>
      </c>
      <c r="H433" s="4">
        <f t="shared" si="124"/>
        <v>45665</v>
      </c>
      <c r="I433" t="s">
        <v>647</v>
      </c>
      <c r="J433" t="s">
        <v>659</v>
      </c>
      <c r="K433" t="s">
        <v>676</v>
      </c>
      <c r="L433" t="s">
        <v>706</v>
      </c>
      <c r="M433" t="s">
        <v>708</v>
      </c>
      <c r="N433" t="s">
        <v>723</v>
      </c>
      <c r="O433" t="s">
        <v>731</v>
      </c>
      <c r="P433" t="str" cm="1">
        <f t="array" ref="P433">_xlfn.IFS(S433&lt;=PERCENTILE($S$2:$S$1000, 0.33), "Low", S433&lt;=PERCENTILE($S$2:$S$1000, 0.66), "Medium", TRUE, "High")</f>
        <v>High</v>
      </c>
      <c r="Q433" t="s">
        <v>1164</v>
      </c>
      <c r="R433" s="10">
        <v>1201.31</v>
      </c>
      <c r="S433" s="10">
        <v>2764.65</v>
      </c>
      <c r="T433" s="8">
        <v>0</v>
      </c>
      <c r="U433" s="12">
        <f t="shared" si="125"/>
        <v>0</v>
      </c>
      <c r="V433" s="6">
        <v>21</v>
      </c>
      <c r="W433" t="str">
        <f t="shared" si="115"/>
        <v>ok</v>
      </c>
      <c r="X433">
        <f t="shared" si="116"/>
        <v>11</v>
      </c>
      <c r="Y433">
        <f t="shared" si="126"/>
        <v>11</v>
      </c>
      <c r="Z433" s="10">
        <f t="shared" si="127"/>
        <v>58057.65</v>
      </c>
      <c r="AA433" s="10">
        <f t="shared" si="128"/>
        <v>25227.51</v>
      </c>
      <c r="AB433" s="10">
        <f t="shared" si="129"/>
        <v>32830.14</v>
      </c>
      <c r="AC433" s="10">
        <f t="shared" si="117"/>
        <v>606.37750000000005</v>
      </c>
      <c r="AD433" s="10">
        <f t="shared" si="118"/>
        <v>1193.865</v>
      </c>
      <c r="AE433" s="10">
        <f t="shared" si="119"/>
        <v>1912.0450000000001</v>
      </c>
      <c r="AF433" s="10" t="str">
        <f t="shared" si="120"/>
        <v>Medium</v>
      </c>
      <c r="AG433" s="6">
        <f t="shared" si="130"/>
        <v>0.56547483406579491</v>
      </c>
      <c r="AH433" s="4">
        <f t="shared" si="131"/>
        <v>44945</v>
      </c>
      <c r="AI433" t="str">
        <f t="shared" si="132"/>
        <v>Jan-2023</v>
      </c>
    </row>
    <row r="434" spans="1:35" x14ac:dyDescent="0.25">
      <c r="A434" t="s">
        <v>446</v>
      </c>
      <c r="B434" s="4">
        <v>45220</v>
      </c>
      <c r="C434" s="4" t="str">
        <f t="shared" si="121"/>
        <v>Q4-2023</v>
      </c>
      <c r="D434" s="4" t="str">
        <f t="shared" si="122"/>
        <v>Oct-2023</v>
      </c>
      <c r="E434" s="4">
        <v>45220</v>
      </c>
      <c r="F434" s="12">
        <f t="shared" si="123"/>
        <v>0</v>
      </c>
      <c r="G434" s="12">
        <f t="shared" si="114"/>
        <v>1</v>
      </c>
      <c r="H434" s="4">
        <f t="shared" si="124"/>
        <v>45220</v>
      </c>
      <c r="I434" t="s">
        <v>649</v>
      </c>
      <c r="J434" t="s">
        <v>658</v>
      </c>
      <c r="K434" t="s">
        <v>693</v>
      </c>
      <c r="L434" t="s">
        <v>706</v>
      </c>
      <c r="M434" t="s">
        <v>710</v>
      </c>
      <c r="N434" t="s">
        <v>713</v>
      </c>
      <c r="O434" t="s">
        <v>732</v>
      </c>
      <c r="P434" t="str" cm="1">
        <f t="array" ref="P434">_xlfn.IFS(S434&lt;=PERCENTILE($S$2:$S$1000, 0.33), "Low", S434&lt;=PERCENTILE($S$2:$S$1000, 0.66), "Medium", TRUE, "High")</f>
        <v>Low</v>
      </c>
      <c r="Q434" t="s">
        <v>1165</v>
      </c>
      <c r="R434" s="10">
        <v>384.19</v>
      </c>
      <c r="S434" s="10">
        <v>278.35000000000002</v>
      </c>
      <c r="T434" s="8">
        <v>5.6000000000000001E-2</v>
      </c>
      <c r="U434" s="12">
        <f t="shared" si="125"/>
        <v>0</v>
      </c>
      <c r="V434" s="6">
        <v>10</v>
      </c>
      <c r="W434" t="str">
        <f t="shared" si="115"/>
        <v>sus</v>
      </c>
      <c r="X434">
        <f t="shared" si="116"/>
        <v>0</v>
      </c>
      <c r="Y434">
        <f t="shared" si="126"/>
        <v>0</v>
      </c>
      <c r="Z434" s="10">
        <f t="shared" si="127"/>
        <v>2627.6239999999998</v>
      </c>
      <c r="AA434" s="10">
        <f t="shared" si="128"/>
        <v>3841.9</v>
      </c>
      <c r="AB434" s="10">
        <f t="shared" si="129"/>
        <v>-1214.2760000000003</v>
      </c>
      <c r="AC434" s="10">
        <f t="shared" si="117"/>
        <v>606.37750000000005</v>
      </c>
      <c r="AD434" s="10">
        <f t="shared" si="118"/>
        <v>1193.865</v>
      </c>
      <c r="AE434" s="10">
        <f t="shared" si="119"/>
        <v>1912.0450000000001</v>
      </c>
      <c r="AF434" s="10" t="str">
        <f t="shared" si="120"/>
        <v>High</v>
      </c>
      <c r="AG434" s="6">
        <f t="shared" si="130"/>
        <v>-0.46211938998882657</v>
      </c>
      <c r="AH434" s="4">
        <f t="shared" si="131"/>
        <v>44946</v>
      </c>
      <c r="AI434" t="str">
        <f t="shared" si="132"/>
        <v>Jan-2023</v>
      </c>
    </row>
    <row r="435" spans="1:35" x14ac:dyDescent="0.25">
      <c r="A435" t="s">
        <v>447</v>
      </c>
      <c r="B435" s="4">
        <v>45636</v>
      </c>
      <c r="C435" s="4" t="str">
        <f t="shared" si="121"/>
        <v>Q4-2024</v>
      </c>
      <c r="D435" s="4" t="str">
        <f t="shared" si="122"/>
        <v>Dec-2024</v>
      </c>
      <c r="E435" s="4">
        <v>45645</v>
      </c>
      <c r="F435" s="12">
        <f t="shared" si="123"/>
        <v>9</v>
      </c>
      <c r="G435" s="12">
        <f t="shared" si="114"/>
        <v>0</v>
      </c>
      <c r="H435" s="4">
        <f t="shared" si="124"/>
        <v>45645</v>
      </c>
      <c r="I435" t="s">
        <v>646</v>
      </c>
      <c r="J435" t="s">
        <v>651</v>
      </c>
      <c r="K435" t="s">
        <v>665</v>
      </c>
      <c r="L435" t="s">
        <v>701</v>
      </c>
      <c r="M435" t="s">
        <v>707</v>
      </c>
      <c r="N435" t="s">
        <v>719</v>
      </c>
      <c r="O435" t="s">
        <v>732</v>
      </c>
      <c r="P435" t="str" cm="1">
        <f t="array" ref="P435">_xlfn.IFS(S435&lt;=PERCENTILE($S$2:$S$1000, 0.33), "Low", S435&lt;=PERCENTILE($S$2:$S$1000, 0.66), "Medium", TRUE, "High")</f>
        <v>Medium</v>
      </c>
      <c r="Q435" t="s">
        <v>1166</v>
      </c>
      <c r="R435" s="10">
        <v>488.68</v>
      </c>
      <c r="S435" s="10">
        <v>984.36</v>
      </c>
      <c r="T435" s="8">
        <v>5.8999999999999997E-2</v>
      </c>
      <c r="U435" s="12">
        <f t="shared" si="125"/>
        <v>0</v>
      </c>
      <c r="V435" s="6">
        <v>14</v>
      </c>
      <c r="W435" t="str">
        <f t="shared" si="115"/>
        <v>ok</v>
      </c>
      <c r="X435">
        <f t="shared" si="116"/>
        <v>9</v>
      </c>
      <c r="Y435">
        <f t="shared" si="126"/>
        <v>9</v>
      </c>
      <c r="Z435" s="10">
        <f t="shared" si="127"/>
        <v>12967.958640000001</v>
      </c>
      <c r="AA435" s="10">
        <f t="shared" si="128"/>
        <v>6841.52</v>
      </c>
      <c r="AB435" s="10">
        <f t="shared" si="129"/>
        <v>6126.4386400000003</v>
      </c>
      <c r="AC435" s="10">
        <f t="shared" si="117"/>
        <v>606.37750000000005</v>
      </c>
      <c r="AD435" s="10">
        <f t="shared" si="118"/>
        <v>1193.865</v>
      </c>
      <c r="AE435" s="10">
        <f t="shared" si="119"/>
        <v>1912.0450000000001</v>
      </c>
      <c r="AF435" s="10" t="str">
        <f t="shared" si="120"/>
        <v>Low</v>
      </c>
      <c r="AG435" s="6">
        <f t="shared" si="130"/>
        <v>0.47242891576649876</v>
      </c>
      <c r="AH435" s="4">
        <f t="shared" si="131"/>
        <v>44936</v>
      </c>
      <c r="AI435" t="str">
        <f t="shared" si="132"/>
        <v>Jan-2023</v>
      </c>
    </row>
    <row r="436" spans="1:35" x14ac:dyDescent="0.25">
      <c r="A436" t="s">
        <v>448</v>
      </c>
      <c r="B436" s="4">
        <v>45542</v>
      </c>
      <c r="C436" s="4" t="str">
        <f t="shared" si="121"/>
        <v>Q3-2024</v>
      </c>
      <c r="D436" s="4" t="str">
        <f t="shared" si="122"/>
        <v>Sept-2024</v>
      </c>
      <c r="E436" s="4">
        <v>45553</v>
      </c>
      <c r="F436" s="12">
        <f t="shared" si="123"/>
        <v>11</v>
      </c>
      <c r="G436" s="12">
        <f t="shared" si="114"/>
        <v>0</v>
      </c>
      <c r="H436" s="4">
        <f t="shared" si="124"/>
        <v>45553</v>
      </c>
      <c r="I436" t="s">
        <v>647</v>
      </c>
      <c r="J436" t="s">
        <v>659</v>
      </c>
      <c r="K436" t="s">
        <v>699</v>
      </c>
      <c r="L436" t="s">
        <v>704</v>
      </c>
      <c r="M436" t="s">
        <v>710</v>
      </c>
      <c r="N436" t="s">
        <v>719</v>
      </c>
      <c r="O436" t="s">
        <v>729</v>
      </c>
      <c r="P436" t="str" cm="1">
        <f t="array" ref="P436">_xlfn.IFS(S436&lt;=PERCENTILE($S$2:$S$1000, 0.33), "Low", S436&lt;=PERCENTILE($S$2:$S$1000, 0.66), "Medium", TRUE, "High")</f>
        <v>Low</v>
      </c>
      <c r="Q436" t="s">
        <v>1167</v>
      </c>
      <c r="R436" s="10">
        <v>181.74</v>
      </c>
      <c r="S436" s="10">
        <v>190.84</v>
      </c>
      <c r="T436" s="8">
        <v>0.214</v>
      </c>
      <c r="U436" s="12">
        <f t="shared" si="125"/>
        <v>1</v>
      </c>
      <c r="V436" s="6">
        <v>13</v>
      </c>
      <c r="W436" t="str">
        <f t="shared" si="115"/>
        <v>ok</v>
      </c>
      <c r="X436">
        <f t="shared" si="116"/>
        <v>11</v>
      </c>
      <c r="Y436">
        <f t="shared" si="126"/>
        <v>11</v>
      </c>
      <c r="Z436" s="10">
        <f t="shared" si="127"/>
        <v>1950.0031200000001</v>
      </c>
      <c r="AA436" s="10">
        <f t="shared" si="128"/>
        <v>2362.62</v>
      </c>
      <c r="AB436" s="10">
        <f t="shared" si="129"/>
        <v>-412.61687999999981</v>
      </c>
      <c r="AC436" s="10">
        <f t="shared" si="117"/>
        <v>606.37750000000005</v>
      </c>
      <c r="AD436" s="10">
        <f t="shared" si="118"/>
        <v>1193.865</v>
      </c>
      <c r="AE436" s="10">
        <f t="shared" si="119"/>
        <v>1912.0450000000001</v>
      </c>
      <c r="AF436" s="10" t="str">
        <f t="shared" si="120"/>
        <v>Medium</v>
      </c>
      <c r="AG436" s="6">
        <f t="shared" si="130"/>
        <v>-0.21159806144310159</v>
      </c>
      <c r="AH436" s="4">
        <f t="shared" si="131"/>
        <v>44941</v>
      </c>
      <c r="AI436" t="str">
        <f t="shared" si="132"/>
        <v>Jan-2023</v>
      </c>
    </row>
    <row r="437" spans="1:35" x14ac:dyDescent="0.25">
      <c r="A437" t="s">
        <v>449</v>
      </c>
      <c r="B437" s="4">
        <v>45217</v>
      </c>
      <c r="C437" s="4" t="str">
        <f t="shared" si="121"/>
        <v>Q4-2023</v>
      </c>
      <c r="D437" s="4" t="str">
        <f t="shared" si="122"/>
        <v>Oct-2023</v>
      </c>
      <c r="E437" s="4">
        <v>45219</v>
      </c>
      <c r="F437" s="12">
        <f t="shared" si="123"/>
        <v>2</v>
      </c>
      <c r="G437" s="12">
        <f t="shared" si="114"/>
        <v>1</v>
      </c>
      <c r="H437" s="4">
        <f t="shared" si="124"/>
        <v>45219</v>
      </c>
      <c r="I437" t="s">
        <v>646</v>
      </c>
      <c r="J437" t="s">
        <v>650</v>
      </c>
      <c r="K437" t="s">
        <v>662</v>
      </c>
      <c r="L437" t="s">
        <v>704</v>
      </c>
      <c r="M437" t="s">
        <v>707</v>
      </c>
      <c r="N437" t="s">
        <v>713</v>
      </c>
      <c r="O437" t="s">
        <v>730</v>
      </c>
      <c r="P437" t="str" cm="1">
        <f t="array" ref="P437">_xlfn.IFS(S437&lt;=PERCENTILE($S$2:$S$1000, 0.33), "Low", S437&lt;=PERCENTILE($S$2:$S$1000, 0.66), "Medium", TRUE, "High")</f>
        <v>Medium</v>
      </c>
      <c r="Q437" t="s">
        <v>1168</v>
      </c>
      <c r="R437" s="10">
        <v>774.12</v>
      </c>
      <c r="S437" s="10">
        <v>908.3</v>
      </c>
      <c r="T437" s="8">
        <v>0</v>
      </c>
      <c r="U437" s="12">
        <f t="shared" si="125"/>
        <v>0</v>
      </c>
      <c r="V437" s="6">
        <v>30</v>
      </c>
      <c r="W437" t="str">
        <f t="shared" si="115"/>
        <v>ok</v>
      </c>
      <c r="X437">
        <f t="shared" si="116"/>
        <v>2</v>
      </c>
      <c r="Y437">
        <f t="shared" si="126"/>
        <v>2</v>
      </c>
      <c r="Z437" s="10">
        <f t="shared" si="127"/>
        <v>27249</v>
      </c>
      <c r="AA437" s="10">
        <f t="shared" si="128"/>
        <v>23223.599999999999</v>
      </c>
      <c r="AB437" s="10">
        <f t="shared" si="129"/>
        <v>4025.4000000000015</v>
      </c>
      <c r="AC437" s="10">
        <f t="shared" si="117"/>
        <v>606.37750000000005</v>
      </c>
      <c r="AD437" s="10">
        <f t="shared" si="118"/>
        <v>1193.865</v>
      </c>
      <c r="AE437" s="10">
        <f t="shared" si="119"/>
        <v>1912.0450000000001</v>
      </c>
      <c r="AF437" s="10" t="str">
        <f t="shared" si="120"/>
        <v>Low</v>
      </c>
      <c r="AG437" s="6">
        <f t="shared" si="130"/>
        <v>0.14772652207420461</v>
      </c>
      <c r="AH437" s="4">
        <f t="shared" si="131"/>
        <v>44939</v>
      </c>
      <c r="AI437" t="str">
        <f t="shared" si="132"/>
        <v>Jan-2023</v>
      </c>
    </row>
    <row r="438" spans="1:35" x14ac:dyDescent="0.25">
      <c r="A438" t="s">
        <v>450</v>
      </c>
      <c r="B438" s="4">
        <v>45650</v>
      </c>
      <c r="C438" s="4" t="str">
        <f t="shared" si="121"/>
        <v>Q4-2024</v>
      </c>
      <c r="D438" s="4" t="str">
        <f t="shared" si="122"/>
        <v>Dec-2024</v>
      </c>
      <c r="E438" s="4">
        <v>45670</v>
      </c>
      <c r="F438" s="12">
        <f t="shared" si="123"/>
        <v>20</v>
      </c>
      <c r="G438" s="12">
        <f t="shared" si="114"/>
        <v>0</v>
      </c>
      <c r="H438" s="4">
        <f t="shared" si="124"/>
        <v>45670</v>
      </c>
      <c r="I438" t="s">
        <v>647</v>
      </c>
      <c r="J438" t="s">
        <v>654</v>
      </c>
      <c r="K438" t="s">
        <v>668</v>
      </c>
      <c r="L438" t="s">
        <v>701</v>
      </c>
      <c r="M438" t="s">
        <v>709</v>
      </c>
      <c r="N438" t="s">
        <v>726</v>
      </c>
      <c r="O438" t="s">
        <v>729</v>
      </c>
      <c r="P438" t="str" cm="1">
        <f t="array" ref="P438">_xlfn.IFS(S438&lt;=PERCENTILE($S$2:$S$1000, 0.33), "Low", S438&lt;=PERCENTILE($S$2:$S$1000, 0.66), "Medium", TRUE, "High")</f>
        <v>Low</v>
      </c>
      <c r="Q438" t="s">
        <v>1169</v>
      </c>
      <c r="R438" s="10">
        <v>126.15</v>
      </c>
      <c r="S438" s="10">
        <v>284.23</v>
      </c>
      <c r="T438" s="8">
        <v>0.113</v>
      </c>
      <c r="U438" s="12">
        <f t="shared" si="125"/>
        <v>0</v>
      </c>
      <c r="V438" s="6">
        <v>22</v>
      </c>
      <c r="W438" t="str">
        <f t="shared" si="115"/>
        <v>ok</v>
      </c>
      <c r="X438">
        <f t="shared" si="116"/>
        <v>20</v>
      </c>
      <c r="Y438">
        <f t="shared" si="126"/>
        <v>20</v>
      </c>
      <c r="Z438" s="10">
        <f t="shared" si="127"/>
        <v>5546.4642200000008</v>
      </c>
      <c r="AA438" s="10">
        <f t="shared" si="128"/>
        <v>2775.3</v>
      </c>
      <c r="AB438" s="10">
        <f t="shared" si="129"/>
        <v>2771.1642200000006</v>
      </c>
      <c r="AC438" s="10">
        <f t="shared" si="117"/>
        <v>606.37750000000005</v>
      </c>
      <c r="AD438" s="10">
        <f t="shared" si="118"/>
        <v>1193.865</v>
      </c>
      <c r="AE438" s="10">
        <f t="shared" si="119"/>
        <v>1912.0450000000001</v>
      </c>
      <c r="AF438" s="10" t="str">
        <f t="shared" si="120"/>
        <v>Medium</v>
      </c>
      <c r="AG438" s="6">
        <f t="shared" si="130"/>
        <v>0.49962716968541088</v>
      </c>
      <c r="AH438" s="4">
        <f t="shared" si="131"/>
        <v>44988</v>
      </c>
      <c r="AI438" t="str">
        <f t="shared" si="132"/>
        <v>Mar-2023</v>
      </c>
    </row>
    <row r="439" spans="1:35" x14ac:dyDescent="0.25">
      <c r="A439" t="s">
        <v>451</v>
      </c>
      <c r="B439" s="4">
        <v>45037</v>
      </c>
      <c r="C439" s="4" t="str">
        <f t="shared" si="121"/>
        <v>Q2-2023</v>
      </c>
      <c r="D439" s="4" t="str">
        <f t="shared" si="122"/>
        <v>Apr-2023</v>
      </c>
      <c r="E439" s="4">
        <v>45035</v>
      </c>
      <c r="F439" s="12">
        <f t="shared" si="123"/>
        <v>14</v>
      </c>
      <c r="G439" s="12">
        <f t="shared" si="114"/>
        <v>0</v>
      </c>
      <c r="H439" s="4">
        <f t="shared" si="124"/>
        <v>45051</v>
      </c>
      <c r="I439" t="s">
        <v>647</v>
      </c>
      <c r="J439" t="s">
        <v>652</v>
      </c>
      <c r="K439" t="s">
        <v>694</v>
      </c>
      <c r="L439" t="s">
        <v>705</v>
      </c>
      <c r="M439" t="s">
        <v>711</v>
      </c>
      <c r="N439" t="s">
        <v>724</v>
      </c>
      <c r="O439" t="s">
        <v>727</v>
      </c>
      <c r="P439" t="str" cm="1">
        <f t="array" ref="P439">_xlfn.IFS(S439&lt;=PERCENTILE($S$2:$S$1000, 0.33), "Low", S439&lt;=PERCENTILE($S$2:$S$1000, 0.66), "Medium", TRUE, "High")</f>
        <v>Medium</v>
      </c>
      <c r="Q439" t="s">
        <v>1170</v>
      </c>
      <c r="R439" s="10">
        <v>607.04</v>
      </c>
      <c r="S439" s="10">
        <v>1229.3399999999999</v>
      </c>
      <c r="T439" s="8">
        <v>0.14699999999999999</v>
      </c>
      <c r="U439" s="12">
        <f t="shared" si="125"/>
        <v>0</v>
      </c>
      <c r="V439" s="6">
        <v>7</v>
      </c>
      <c r="W439" t="str">
        <f t="shared" si="115"/>
        <v>sus</v>
      </c>
      <c r="X439">
        <f t="shared" si="116"/>
        <v>-2</v>
      </c>
      <c r="Y439">
        <f t="shared" si="126"/>
        <v>2</v>
      </c>
      <c r="Z439" s="10">
        <f t="shared" si="127"/>
        <v>7340.3891399999993</v>
      </c>
      <c r="AA439" s="10">
        <f t="shared" si="128"/>
        <v>4249.28</v>
      </c>
      <c r="AB439" s="10">
        <f t="shared" si="129"/>
        <v>3091.1091399999996</v>
      </c>
      <c r="AC439" s="10">
        <f t="shared" si="117"/>
        <v>606.37750000000005</v>
      </c>
      <c r="AD439" s="10">
        <f t="shared" si="118"/>
        <v>1193.865</v>
      </c>
      <c r="AE439" s="10">
        <f t="shared" si="119"/>
        <v>1912.0450000000001</v>
      </c>
      <c r="AF439" s="10" t="str">
        <f t="shared" si="120"/>
        <v>Low</v>
      </c>
      <c r="AG439" s="6">
        <f t="shared" si="130"/>
        <v>0.42110970972310058</v>
      </c>
      <c r="AH439" s="4">
        <f t="shared" si="131"/>
        <v>44936</v>
      </c>
      <c r="AI439" t="str">
        <f t="shared" si="132"/>
        <v>Jan-2023</v>
      </c>
    </row>
    <row r="440" spans="1:35" x14ac:dyDescent="0.25">
      <c r="A440" t="s">
        <v>452</v>
      </c>
      <c r="B440" s="4">
        <v>45290</v>
      </c>
      <c r="C440" s="4" t="str">
        <f t="shared" si="121"/>
        <v>Q4-2023</v>
      </c>
      <c r="D440" s="4" t="str">
        <f t="shared" si="122"/>
        <v>Dec-2023</v>
      </c>
      <c r="E440" s="4">
        <v>45299</v>
      </c>
      <c r="F440" s="12">
        <f t="shared" si="123"/>
        <v>9</v>
      </c>
      <c r="G440" s="12">
        <f t="shared" si="114"/>
        <v>0</v>
      </c>
      <c r="H440" s="4">
        <f t="shared" si="124"/>
        <v>45299</v>
      </c>
      <c r="I440" t="s">
        <v>649</v>
      </c>
      <c r="J440" t="s">
        <v>657</v>
      </c>
      <c r="K440" t="s">
        <v>673</v>
      </c>
      <c r="L440" t="s">
        <v>704</v>
      </c>
      <c r="M440" t="s">
        <v>709</v>
      </c>
      <c r="N440" t="s">
        <v>716</v>
      </c>
      <c r="O440" t="s">
        <v>733</v>
      </c>
      <c r="P440" t="str" cm="1">
        <f t="array" ref="P440">_xlfn.IFS(S440&lt;=PERCENTILE($S$2:$S$1000, 0.33), "Low", S440&lt;=PERCENTILE($S$2:$S$1000, 0.66), "Medium", TRUE, "High")</f>
        <v>Medium</v>
      </c>
      <c r="Q440" t="s">
        <v>1171</v>
      </c>
      <c r="R440" s="10">
        <v>861.1</v>
      </c>
      <c r="S440" s="10">
        <v>1224.72</v>
      </c>
      <c r="T440" s="8">
        <v>0.17399999999999999</v>
      </c>
      <c r="U440" s="12">
        <f t="shared" si="125"/>
        <v>0</v>
      </c>
      <c r="V440" s="6">
        <v>24</v>
      </c>
      <c r="W440" t="str">
        <f t="shared" si="115"/>
        <v>ok</v>
      </c>
      <c r="X440">
        <f t="shared" si="116"/>
        <v>9</v>
      </c>
      <c r="Y440">
        <f t="shared" si="126"/>
        <v>9</v>
      </c>
      <c r="Z440" s="10">
        <f t="shared" si="127"/>
        <v>24278.849280000002</v>
      </c>
      <c r="AA440" s="10">
        <f t="shared" si="128"/>
        <v>20666.400000000001</v>
      </c>
      <c r="AB440" s="10">
        <f t="shared" si="129"/>
        <v>3612.4492800000007</v>
      </c>
      <c r="AC440" s="10">
        <f t="shared" si="117"/>
        <v>606.37750000000005</v>
      </c>
      <c r="AD440" s="10">
        <f t="shared" si="118"/>
        <v>1193.865</v>
      </c>
      <c r="AE440" s="10">
        <f t="shared" si="119"/>
        <v>1912.0450000000001</v>
      </c>
      <c r="AF440" s="10" t="str">
        <f t="shared" si="120"/>
        <v>Medium</v>
      </c>
      <c r="AG440" s="6">
        <f t="shared" si="130"/>
        <v>0.14878997098827909</v>
      </c>
      <c r="AH440" s="4">
        <f t="shared" si="131"/>
        <v>44945</v>
      </c>
      <c r="AI440" t="str">
        <f t="shared" si="132"/>
        <v>Jan-2023</v>
      </c>
    </row>
    <row r="441" spans="1:35" x14ac:dyDescent="0.25">
      <c r="A441" t="s">
        <v>453</v>
      </c>
      <c r="B441" s="4">
        <v>44978</v>
      </c>
      <c r="C441" s="4" t="str">
        <f t="shared" si="121"/>
        <v>Q1-2023</v>
      </c>
      <c r="D441" s="4" t="str">
        <f t="shared" si="122"/>
        <v>Feb-2023</v>
      </c>
      <c r="E441" s="4">
        <v>44997</v>
      </c>
      <c r="F441" s="12">
        <f t="shared" si="123"/>
        <v>19</v>
      </c>
      <c r="G441" s="12">
        <f t="shared" si="114"/>
        <v>0</v>
      </c>
      <c r="H441" s="4">
        <f t="shared" si="124"/>
        <v>44997</v>
      </c>
      <c r="I441" t="s">
        <v>646</v>
      </c>
      <c r="J441" t="s">
        <v>650</v>
      </c>
      <c r="K441" t="s">
        <v>678</v>
      </c>
      <c r="L441" t="s">
        <v>701</v>
      </c>
      <c r="M441" t="s">
        <v>708</v>
      </c>
      <c r="N441" t="s">
        <v>721</v>
      </c>
      <c r="O441" t="s">
        <v>729</v>
      </c>
      <c r="P441" t="str" cm="1">
        <f t="array" ref="P441">_xlfn.IFS(S441&lt;=PERCENTILE($S$2:$S$1000, 0.33), "Low", S441&lt;=PERCENTILE($S$2:$S$1000, 0.66), "Medium", TRUE, "High")</f>
        <v>Low</v>
      </c>
      <c r="Q441" t="s">
        <v>1172</v>
      </c>
      <c r="R441" s="10">
        <v>352.65</v>
      </c>
      <c r="S441" s="10">
        <v>485.86</v>
      </c>
      <c r="T441" s="8">
        <v>4.1000000000000002E-2</v>
      </c>
      <c r="U441" s="12">
        <f t="shared" si="125"/>
        <v>0</v>
      </c>
      <c r="V441" s="6">
        <v>6</v>
      </c>
      <c r="W441" t="str">
        <f t="shared" si="115"/>
        <v>ok</v>
      </c>
      <c r="X441">
        <f t="shared" si="116"/>
        <v>19</v>
      </c>
      <c r="Y441">
        <f t="shared" si="126"/>
        <v>19</v>
      </c>
      <c r="Z441" s="10">
        <f t="shared" si="127"/>
        <v>2795.6384399999997</v>
      </c>
      <c r="AA441" s="10">
        <f t="shared" si="128"/>
        <v>2115.8999999999996</v>
      </c>
      <c r="AB441" s="10">
        <f t="shared" si="129"/>
        <v>679.73844000000008</v>
      </c>
      <c r="AC441" s="10">
        <f t="shared" si="117"/>
        <v>606.37750000000005</v>
      </c>
      <c r="AD441" s="10">
        <f t="shared" si="118"/>
        <v>1193.865</v>
      </c>
      <c r="AE441" s="10">
        <f t="shared" si="119"/>
        <v>1912.0450000000001</v>
      </c>
      <c r="AF441" s="10" t="str">
        <f t="shared" si="120"/>
        <v>Medium</v>
      </c>
      <c r="AG441" s="6">
        <f t="shared" si="130"/>
        <v>0.24314247159943908</v>
      </c>
      <c r="AH441" s="4">
        <f t="shared" si="131"/>
        <v>44955</v>
      </c>
      <c r="AI441" t="str">
        <f t="shared" si="132"/>
        <v>Jan-2023</v>
      </c>
    </row>
    <row r="442" spans="1:35" x14ac:dyDescent="0.25">
      <c r="A442" t="s">
        <v>454</v>
      </c>
      <c r="B442" s="4">
        <v>45063</v>
      </c>
      <c r="C442" s="4" t="str">
        <f t="shared" si="121"/>
        <v>Q2-2023</v>
      </c>
      <c r="D442" s="4" t="str">
        <f t="shared" si="122"/>
        <v>May-2023</v>
      </c>
      <c r="E442" s="4">
        <v>45080</v>
      </c>
      <c r="F442" s="12">
        <f t="shared" si="123"/>
        <v>17</v>
      </c>
      <c r="G442" s="12">
        <f t="shared" si="114"/>
        <v>0</v>
      </c>
      <c r="H442" s="4">
        <f t="shared" si="124"/>
        <v>45080</v>
      </c>
      <c r="I442" t="s">
        <v>647</v>
      </c>
      <c r="J442" t="s">
        <v>659</v>
      </c>
      <c r="K442" t="s">
        <v>699</v>
      </c>
      <c r="L442" t="s">
        <v>703</v>
      </c>
      <c r="M442" t="s">
        <v>710</v>
      </c>
      <c r="N442" t="s">
        <v>724</v>
      </c>
      <c r="O442" t="s">
        <v>728</v>
      </c>
      <c r="P442" t="str" cm="1">
        <f t="array" ref="P442">_xlfn.IFS(S442&lt;=PERCENTILE($S$2:$S$1000, 0.33), "Low", S442&lt;=PERCENTILE($S$2:$S$1000, 0.66), "Medium", TRUE, "High")</f>
        <v>High</v>
      </c>
      <c r="Q442" t="s">
        <v>1173</v>
      </c>
      <c r="R442" s="10">
        <v>979.59</v>
      </c>
      <c r="S442" s="10">
        <v>2210.94</v>
      </c>
      <c r="T442" s="8">
        <v>0.15</v>
      </c>
      <c r="U442" s="12">
        <f t="shared" si="125"/>
        <v>0</v>
      </c>
      <c r="V442" s="6">
        <v>11</v>
      </c>
      <c r="W442" t="str">
        <f t="shared" si="115"/>
        <v>ok</v>
      </c>
      <c r="X442">
        <f t="shared" si="116"/>
        <v>17</v>
      </c>
      <c r="Y442">
        <f t="shared" si="126"/>
        <v>17</v>
      </c>
      <c r="Z442" s="10">
        <f t="shared" si="127"/>
        <v>20672.289000000001</v>
      </c>
      <c r="AA442" s="10">
        <f t="shared" si="128"/>
        <v>10775.49</v>
      </c>
      <c r="AB442" s="10">
        <f t="shared" si="129"/>
        <v>9896.7990000000009</v>
      </c>
      <c r="AC442" s="10">
        <f t="shared" si="117"/>
        <v>606.37750000000005</v>
      </c>
      <c r="AD442" s="10">
        <f t="shared" si="118"/>
        <v>1193.865</v>
      </c>
      <c r="AE442" s="10">
        <f t="shared" si="119"/>
        <v>1912.0450000000001</v>
      </c>
      <c r="AF442" s="10" t="str">
        <f t="shared" si="120"/>
        <v>Low</v>
      </c>
      <c r="AG442" s="6">
        <f t="shared" si="130"/>
        <v>0.47874712858358359</v>
      </c>
      <c r="AH442" s="4">
        <f t="shared" si="131"/>
        <v>44928</v>
      </c>
      <c r="AI442" t="str">
        <f t="shared" si="132"/>
        <v>Jan-2023</v>
      </c>
    </row>
    <row r="443" spans="1:35" x14ac:dyDescent="0.25">
      <c r="A443" t="s">
        <v>455</v>
      </c>
      <c r="B443" s="4">
        <v>45374</v>
      </c>
      <c r="C443" s="4" t="str">
        <f t="shared" si="121"/>
        <v>Q1-2024</v>
      </c>
      <c r="D443" s="4" t="str">
        <f t="shared" si="122"/>
        <v>Mar-2024</v>
      </c>
      <c r="E443" s="4">
        <v>45377</v>
      </c>
      <c r="F443" s="12">
        <f t="shared" si="123"/>
        <v>3</v>
      </c>
      <c r="G443" s="12">
        <f t="shared" si="114"/>
        <v>1</v>
      </c>
      <c r="H443" s="4">
        <f t="shared" si="124"/>
        <v>45377</v>
      </c>
      <c r="I443" t="s">
        <v>647</v>
      </c>
      <c r="J443" t="s">
        <v>654</v>
      </c>
      <c r="K443" t="s">
        <v>668</v>
      </c>
      <c r="L443" t="s">
        <v>702</v>
      </c>
      <c r="M443" t="s">
        <v>711</v>
      </c>
      <c r="N443" t="s">
        <v>715</v>
      </c>
      <c r="O443" t="s">
        <v>730</v>
      </c>
      <c r="P443" t="str" cm="1">
        <f t="array" ref="P443">_xlfn.IFS(S443&lt;=PERCENTILE($S$2:$S$1000, 0.33), "Low", S443&lt;=PERCENTILE($S$2:$S$1000, 0.66), "Medium", TRUE, "High")</f>
        <v>Low</v>
      </c>
      <c r="Q443" t="s">
        <v>1174</v>
      </c>
      <c r="R443" s="10">
        <v>382.21</v>
      </c>
      <c r="S443" s="10">
        <v>571.89</v>
      </c>
      <c r="T443" s="8">
        <v>0.14799999999999999</v>
      </c>
      <c r="U443" s="12">
        <f t="shared" si="125"/>
        <v>0</v>
      </c>
      <c r="V443" s="6">
        <v>26</v>
      </c>
      <c r="W443" t="str">
        <f t="shared" si="115"/>
        <v>ok</v>
      </c>
      <c r="X443">
        <f t="shared" si="116"/>
        <v>3</v>
      </c>
      <c r="Y443">
        <f t="shared" si="126"/>
        <v>3</v>
      </c>
      <c r="Z443" s="10">
        <f t="shared" si="127"/>
        <v>12668.50728</v>
      </c>
      <c r="AA443" s="10">
        <f t="shared" si="128"/>
        <v>9937.4599999999991</v>
      </c>
      <c r="AB443" s="10">
        <f t="shared" si="129"/>
        <v>2731.0472800000007</v>
      </c>
      <c r="AC443" s="10">
        <f t="shared" si="117"/>
        <v>606.37750000000005</v>
      </c>
      <c r="AD443" s="10">
        <f t="shared" si="118"/>
        <v>1193.865</v>
      </c>
      <c r="AE443" s="10">
        <f t="shared" si="119"/>
        <v>1912.0450000000001</v>
      </c>
      <c r="AF443" s="10" t="str">
        <f t="shared" si="120"/>
        <v>High</v>
      </c>
      <c r="AG443" s="6">
        <f t="shared" si="130"/>
        <v>0.2155776698578809</v>
      </c>
      <c r="AH443" s="4">
        <f t="shared" si="131"/>
        <v>44945</v>
      </c>
      <c r="AI443" t="str">
        <f t="shared" si="132"/>
        <v>Jan-2023</v>
      </c>
    </row>
    <row r="444" spans="1:35" x14ac:dyDescent="0.25">
      <c r="A444" t="s">
        <v>456</v>
      </c>
      <c r="B444" s="4">
        <v>45189</v>
      </c>
      <c r="C444" s="4" t="str">
        <f t="shared" si="121"/>
        <v>Q3-2023</v>
      </c>
      <c r="D444" s="4" t="str">
        <f t="shared" si="122"/>
        <v>Sept-2023</v>
      </c>
      <c r="E444" s="4">
        <v>45197</v>
      </c>
      <c r="F444" s="12">
        <f t="shared" si="123"/>
        <v>8</v>
      </c>
      <c r="G444" s="12">
        <f t="shared" si="114"/>
        <v>0</v>
      </c>
      <c r="H444" s="4">
        <f t="shared" si="124"/>
        <v>45197</v>
      </c>
      <c r="I444" t="s">
        <v>647</v>
      </c>
      <c r="J444" t="s">
        <v>654</v>
      </c>
      <c r="K444" t="s">
        <v>1418</v>
      </c>
      <c r="L444" t="s">
        <v>701</v>
      </c>
      <c r="M444" t="s">
        <v>1418</v>
      </c>
      <c r="N444" t="s">
        <v>717</v>
      </c>
      <c r="O444" t="s">
        <v>733</v>
      </c>
      <c r="P444" t="str" cm="1">
        <f t="array" ref="P444">_xlfn.IFS(S444&lt;=PERCENTILE($S$2:$S$1000, 0.33), "Low", S444&lt;=PERCENTILE($S$2:$S$1000, 0.66), "Medium", TRUE, "High")</f>
        <v>High</v>
      </c>
      <c r="Q444" t="s">
        <v>1175</v>
      </c>
      <c r="R444" s="10">
        <v>1362.06</v>
      </c>
      <c r="S444" s="10">
        <v>3398.37</v>
      </c>
      <c r="T444" s="8">
        <v>0.157</v>
      </c>
      <c r="U444" s="12">
        <f t="shared" si="125"/>
        <v>0</v>
      </c>
      <c r="V444" s="6">
        <v>11</v>
      </c>
      <c r="W444" t="str">
        <f t="shared" si="115"/>
        <v>ok</v>
      </c>
      <c r="X444">
        <f t="shared" si="116"/>
        <v>8</v>
      </c>
      <c r="Y444">
        <f t="shared" si="126"/>
        <v>8</v>
      </c>
      <c r="Z444" s="10">
        <f t="shared" si="127"/>
        <v>31513.085009999999</v>
      </c>
      <c r="AA444" s="10">
        <f t="shared" si="128"/>
        <v>14982.66</v>
      </c>
      <c r="AB444" s="10">
        <f t="shared" si="129"/>
        <v>16530.425009999999</v>
      </c>
      <c r="AC444" s="10">
        <f t="shared" si="117"/>
        <v>606.37750000000005</v>
      </c>
      <c r="AD444" s="10">
        <f t="shared" si="118"/>
        <v>1193.865</v>
      </c>
      <c r="AE444" s="10">
        <f t="shared" si="119"/>
        <v>1912.0450000000001</v>
      </c>
      <c r="AF444" s="10" t="str">
        <f t="shared" si="120"/>
        <v>Low</v>
      </c>
      <c r="AG444" s="6">
        <f t="shared" si="130"/>
        <v>0.52455749745714919</v>
      </c>
      <c r="AH444" s="4">
        <f t="shared" si="131"/>
        <v>44933</v>
      </c>
      <c r="AI444" t="str">
        <f t="shared" si="132"/>
        <v>Jan-2023</v>
      </c>
    </row>
    <row r="445" spans="1:35" x14ac:dyDescent="0.25">
      <c r="A445" t="s">
        <v>457</v>
      </c>
      <c r="B445" s="4">
        <v>45526</v>
      </c>
      <c r="C445" s="4" t="str">
        <f t="shared" si="121"/>
        <v>Q3-2024</v>
      </c>
      <c r="D445" s="4" t="str">
        <f t="shared" si="122"/>
        <v>Aug-2024</v>
      </c>
      <c r="E445" s="4">
        <v>45539</v>
      </c>
      <c r="F445" s="12">
        <f t="shared" si="123"/>
        <v>13</v>
      </c>
      <c r="G445" s="12">
        <f t="shared" si="114"/>
        <v>0</v>
      </c>
      <c r="H445" s="4">
        <f t="shared" si="124"/>
        <v>45539</v>
      </c>
      <c r="I445" t="s">
        <v>649</v>
      </c>
      <c r="J445" t="s">
        <v>656</v>
      </c>
      <c r="K445" t="s">
        <v>698</v>
      </c>
      <c r="L445" t="s">
        <v>703</v>
      </c>
      <c r="M445" t="s">
        <v>707</v>
      </c>
      <c r="N445" t="s">
        <v>716</v>
      </c>
      <c r="O445" t="s">
        <v>728</v>
      </c>
      <c r="P445" t="str" cm="1">
        <f t="array" ref="P445">_xlfn.IFS(S445&lt;=PERCENTILE($S$2:$S$1000, 0.33), "Low", S445&lt;=PERCENTILE($S$2:$S$1000, 0.66), "Medium", TRUE, "High")</f>
        <v>Low</v>
      </c>
      <c r="Q445" t="s">
        <v>1176</v>
      </c>
      <c r="R445" s="10">
        <v>90.04</v>
      </c>
      <c r="S445" s="10">
        <v>194.62</v>
      </c>
      <c r="T445" s="8">
        <v>4.2999999999999997E-2</v>
      </c>
      <c r="U445" s="12">
        <f t="shared" si="125"/>
        <v>0</v>
      </c>
      <c r="V445" s="6">
        <v>32</v>
      </c>
      <c r="W445" t="str">
        <f t="shared" si="115"/>
        <v>ok</v>
      </c>
      <c r="X445">
        <f t="shared" si="116"/>
        <v>13</v>
      </c>
      <c r="Y445">
        <f t="shared" si="126"/>
        <v>13</v>
      </c>
      <c r="Z445" s="10">
        <f t="shared" si="127"/>
        <v>5960.04288</v>
      </c>
      <c r="AA445" s="10">
        <f t="shared" si="128"/>
        <v>2881.28</v>
      </c>
      <c r="AB445" s="10">
        <f t="shared" si="129"/>
        <v>3078.7628799999998</v>
      </c>
      <c r="AC445" s="10">
        <f t="shared" si="117"/>
        <v>606.37750000000005</v>
      </c>
      <c r="AD445" s="10">
        <f t="shared" si="118"/>
        <v>1193.865</v>
      </c>
      <c r="AE445" s="10">
        <f t="shared" si="119"/>
        <v>1912.0450000000001</v>
      </c>
      <c r="AF445" s="10" t="str">
        <f t="shared" si="120"/>
        <v>High</v>
      </c>
      <c r="AG445" s="6">
        <f t="shared" si="130"/>
        <v>0.51656723650954672</v>
      </c>
      <c r="AH445" s="4">
        <f t="shared" si="131"/>
        <v>44936</v>
      </c>
      <c r="AI445" t="str">
        <f t="shared" si="132"/>
        <v>Jan-2023</v>
      </c>
    </row>
    <row r="446" spans="1:35" x14ac:dyDescent="0.25">
      <c r="A446" t="s">
        <v>458</v>
      </c>
      <c r="B446" s="4">
        <v>45560</v>
      </c>
      <c r="C446" s="4" t="str">
        <f t="shared" si="121"/>
        <v>Q3-2024</v>
      </c>
      <c r="D446" s="4" t="str">
        <f t="shared" si="122"/>
        <v>Sept-2024</v>
      </c>
      <c r="E446" s="4">
        <v>45568</v>
      </c>
      <c r="F446" s="12">
        <f t="shared" si="123"/>
        <v>8</v>
      </c>
      <c r="G446" s="12">
        <f t="shared" si="114"/>
        <v>0</v>
      </c>
      <c r="H446" s="4">
        <f t="shared" si="124"/>
        <v>45568</v>
      </c>
      <c r="I446" t="s">
        <v>648</v>
      </c>
      <c r="J446" t="s">
        <v>653</v>
      </c>
      <c r="K446" t="s">
        <v>667</v>
      </c>
      <c r="L446" t="s">
        <v>704</v>
      </c>
      <c r="M446" t="s">
        <v>708</v>
      </c>
      <c r="N446" t="s">
        <v>718</v>
      </c>
      <c r="O446" t="s">
        <v>728</v>
      </c>
      <c r="P446" t="str" cm="1">
        <f t="array" ref="P446">_xlfn.IFS(S446&lt;=PERCENTILE($S$2:$S$1000, 0.33), "Low", S446&lt;=PERCENTILE($S$2:$S$1000, 0.66), "Medium", TRUE, "High")</f>
        <v>Medium</v>
      </c>
      <c r="Q446" t="s">
        <v>1177</v>
      </c>
      <c r="R446" s="10">
        <v>558.19000000000005</v>
      </c>
      <c r="S446" s="10">
        <v>1031.6400000000001</v>
      </c>
      <c r="T446" s="8">
        <v>0</v>
      </c>
      <c r="U446" s="12">
        <f t="shared" si="125"/>
        <v>0</v>
      </c>
      <c r="V446" s="6">
        <v>21</v>
      </c>
      <c r="W446" t="str">
        <f t="shared" si="115"/>
        <v>ok</v>
      </c>
      <c r="X446">
        <f t="shared" si="116"/>
        <v>8</v>
      </c>
      <c r="Y446">
        <f t="shared" si="126"/>
        <v>8</v>
      </c>
      <c r="Z446" s="10">
        <f t="shared" si="127"/>
        <v>21664.440000000002</v>
      </c>
      <c r="AA446" s="10">
        <f t="shared" si="128"/>
        <v>11721.990000000002</v>
      </c>
      <c r="AB446" s="10">
        <f t="shared" si="129"/>
        <v>9942.4500000000007</v>
      </c>
      <c r="AC446" s="10">
        <f t="shared" si="117"/>
        <v>606.37750000000005</v>
      </c>
      <c r="AD446" s="10">
        <f t="shared" si="118"/>
        <v>1193.865</v>
      </c>
      <c r="AE446" s="10">
        <f t="shared" si="119"/>
        <v>1912.0450000000001</v>
      </c>
      <c r="AF446" s="10" t="str">
        <f t="shared" si="120"/>
        <v>Low</v>
      </c>
      <c r="AG446" s="6">
        <f t="shared" si="130"/>
        <v>0.45892947152107322</v>
      </c>
      <c r="AH446" s="4">
        <f t="shared" si="131"/>
        <v>44988</v>
      </c>
      <c r="AI446" t="str">
        <f t="shared" si="132"/>
        <v>Mar-2023</v>
      </c>
    </row>
    <row r="447" spans="1:35" x14ac:dyDescent="0.25">
      <c r="A447" t="s">
        <v>459</v>
      </c>
      <c r="B447" s="4">
        <v>45090</v>
      </c>
      <c r="C447" s="4" t="str">
        <f t="shared" si="121"/>
        <v>Q2-2023</v>
      </c>
      <c r="D447" s="4" t="str">
        <f t="shared" si="122"/>
        <v>Jun-2023</v>
      </c>
      <c r="E447" s="4">
        <v>45101</v>
      </c>
      <c r="F447" s="12">
        <f t="shared" si="123"/>
        <v>11</v>
      </c>
      <c r="G447" s="12">
        <f t="shared" si="114"/>
        <v>0</v>
      </c>
      <c r="H447" s="4">
        <f t="shared" si="124"/>
        <v>45101</v>
      </c>
      <c r="I447" t="s">
        <v>648</v>
      </c>
      <c r="J447" t="s">
        <v>653</v>
      </c>
      <c r="K447" t="s">
        <v>667</v>
      </c>
      <c r="L447" t="s">
        <v>701</v>
      </c>
      <c r="M447" t="s">
        <v>708</v>
      </c>
      <c r="N447" t="s">
        <v>712</v>
      </c>
      <c r="O447" t="s">
        <v>728</v>
      </c>
      <c r="P447" t="str" cm="1">
        <f t="array" ref="P447">_xlfn.IFS(S447&lt;=PERCENTILE($S$2:$S$1000, 0.33), "Low", S447&lt;=PERCENTILE($S$2:$S$1000, 0.66), "Medium", TRUE, "High")</f>
        <v>Low</v>
      </c>
      <c r="Q447" t="s">
        <v>1178</v>
      </c>
      <c r="R447" s="10">
        <v>247.07</v>
      </c>
      <c r="S447" s="10">
        <v>495.19</v>
      </c>
      <c r="T447" s="8">
        <v>2.8000000000000001E-2</v>
      </c>
      <c r="U447" s="12">
        <f t="shared" si="125"/>
        <v>0</v>
      </c>
      <c r="V447" s="6">
        <v>4</v>
      </c>
      <c r="W447" t="str">
        <f t="shared" si="115"/>
        <v>ok</v>
      </c>
      <c r="X447">
        <f t="shared" si="116"/>
        <v>11</v>
      </c>
      <c r="Y447">
        <f t="shared" si="126"/>
        <v>11</v>
      </c>
      <c r="Z447" s="10">
        <f t="shared" si="127"/>
        <v>1925.29872</v>
      </c>
      <c r="AA447" s="10">
        <f t="shared" si="128"/>
        <v>988.28</v>
      </c>
      <c r="AB447" s="10">
        <f t="shared" si="129"/>
        <v>937.01872000000003</v>
      </c>
      <c r="AC447" s="10">
        <f t="shared" si="117"/>
        <v>606.37750000000005</v>
      </c>
      <c r="AD447" s="10">
        <f t="shared" si="118"/>
        <v>1193.865</v>
      </c>
      <c r="AE447" s="10">
        <f t="shared" si="119"/>
        <v>1912.0450000000001</v>
      </c>
      <c r="AF447" s="10" t="str">
        <f t="shared" si="120"/>
        <v>Medium</v>
      </c>
      <c r="AG447" s="6">
        <f t="shared" si="130"/>
        <v>0.48668744764968214</v>
      </c>
      <c r="AH447" s="4">
        <f t="shared" si="131"/>
        <v>44955</v>
      </c>
      <c r="AI447" t="str">
        <f t="shared" si="132"/>
        <v>Jan-2023</v>
      </c>
    </row>
    <row r="448" spans="1:35" x14ac:dyDescent="0.25">
      <c r="A448" t="s">
        <v>460</v>
      </c>
      <c r="B448" s="4">
        <v>45284</v>
      </c>
      <c r="C448" s="4" t="str">
        <f t="shared" si="121"/>
        <v>Q4-2023</v>
      </c>
      <c r="D448" s="4" t="str">
        <f t="shared" si="122"/>
        <v>Dec-2023</v>
      </c>
      <c r="E448" s="4">
        <v>45304</v>
      </c>
      <c r="F448" s="12">
        <f t="shared" si="123"/>
        <v>20</v>
      </c>
      <c r="G448" s="12">
        <f t="shared" si="114"/>
        <v>0</v>
      </c>
      <c r="H448" s="4">
        <f t="shared" si="124"/>
        <v>45304</v>
      </c>
      <c r="I448" t="s">
        <v>647</v>
      </c>
      <c r="J448" t="s">
        <v>652</v>
      </c>
      <c r="K448" t="s">
        <v>694</v>
      </c>
      <c r="L448" t="s">
        <v>702</v>
      </c>
      <c r="M448" t="s">
        <v>711</v>
      </c>
      <c r="N448" t="s">
        <v>717</v>
      </c>
      <c r="O448" t="s">
        <v>731</v>
      </c>
      <c r="P448" t="str" cm="1">
        <f t="array" ref="P448">_xlfn.IFS(S448&lt;=PERCENTILE($S$2:$S$1000, 0.33), "Low", S448&lt;=PERCENTILE($S$2:$S$1000, 0.66), "Medium", TRUE, "High")</f>
        <v>Medium</v>
      </c>
      <c r="Q448" t="s">
        <v>1179</v>
      </c>
      <c r="R448" s="10">
        <v>625.37</v>
      </c>
      <c r="S448" s="10">
        <v>1319.04</v>
      </c>
      <c r="T448" s="8">
        <v>7.3999999999999996E-2</v>
      </c>
      <c r="U448" s="12">
        <f t="shared" si="125"/>
        <v>0</v>
      </c>
      <c r="V448" s="6">
        <v>8</v>
      </c>
      <c r="W448" t="str">
        <f t="shared" si="115"/>
        <v>ok</v>
      </c>
      <c r="X448">
        <f t="shared" si="116"/>
        <v>20</v>
      </c>
      <c r="Y448">
        <f t="shared" si="126"/>
        <v>20</v>
      </c>
      <c r="Z448" s="10">
        <f t="shared" si="127"/>
        <v>9771.4483199999995</v>
      </c>
      <c r="AA448" s="10">
        <f t="shared" si="128"/>
        <v>5002.96</v>
      </c>
      <c r="AB448" s="10">
        <f t="shared" si="129"/>
        <v>4768.4883199999995</v>
      </c>
      <c r="AC448" s="10">
        <f t="shared" si="117"/>
        <v>606.37750000000005</v>
      </c>
      <c r="AD448" s="10">
        <f t="shared" si="118"/>
        <v>1193.865</v>
      </c>
      <c r="AE448" s="10">
        <f t="shared" si="119"/>
        <v>1912.0450000000001</v>
      </c>
      <c r="AF448" s="10" t="str">
        <f t="shared" si="120"/>
        <v>Low</v>
      </c>
      <c r="AG448" s="6">
        <f t="shared" si="130"/>
        <v>0.48800220436513547</v>
      </c>
      <c r="AH448" s="4">
        <f t="shared" si="131"/>
        <v>44939</v>
      </c>
      <c r="AI448" t="str">
        <f t="shared" si="132"/>
        <v>Jan-2023</v>
      </c>
    </row>
    <row r="449" spans="1:35" x14ac:dyDescent="0.25">
      <c r="A449" t="s">
        <v>461</v>
      </c>
      <c r="B449" s="4">
        <v>45746</v>
      </c>
      <c r="C449" s="4" t="str">
        <f t="shared" si="121"/>
        <v>Q1-2025</v>
      </c>
      <c r="D449" s="4" t="str">
        <f t="shared" si="122"/>
        <v>Mar-2025</v>
      </c>
      <c r="E449" s="4">
        <v>45776</v>
      </c>
      <c r="F449" s="12">
        <f t="shared" si="123"/>
        <v>30</v>
      </c>
      <c r="G449" s="12">
        <f t="shared" si="114"/>
        <v>0</v>
      </c>
      <c r="H449" s="4">
        <f t="shared" si="124"/>
        <v>45776</v>
      </c>
      <c r="I449" t="s">
        <v>646</v>
      </c>
      <c r="J449" t="s">
        <v>661</v>
      </c>
      <c r="K449" t="s">
        <v>687</v>
      </c>
      <c r="L449" t="s">
        <v>704</v>
      </c>
      <c r="M449" t="s">
        <v>709</v>
      </c>
      <c r="N449" t="s">
        <v>713</v>
      </c>
      <c r="O449" t="s">
        <v>732</v>
      </c>
      <c r="P449" t="str" cm="1">
        <f t="array" ref="P449">_xlfn.IFS(S449&lt;=PERCENTILE($S$2:$S$1000, 0.33), "Low", S449&lt;=PERCENTILE($S$2:$S$1000, 0.66), "Medium", TRUE, "High")</f>
        <v>Low</v>
      </c>
      <c r="Q449" t="s">
        <v>1180</v>
      </c>
      <c r="R449" s="10">
        <v>194.6</v>
      </c>
      <c r="S449" s="10">
        <v>314.87</v>
      </c>
      <c r="T449" s="8">
        <v>0.29299999999999998</v>
      </c>
      <c r="U449" s="12">
        <f t="shared" si="125"/>
        <v>1</v>
      </c>
      <c r="V449" s="6">
        <v>25</v>
      </c>
      <c r="W449" t="str">
        <f t="shared" si="115"/>
        <v>ok</v>
      </c>
      <c r="X449">
        <f t="shared" si="116"/>
        <v>30</v>
      </c>
      <c r="Y449">
        <f t="shared" si="126"/>
        <v>30</v>
      </c>
      <c r="Z449" s="10">
        <f t="shared" si="127"/>
        <v>5565.3272500000003</v>
      </c>
      <c r="AA449" s="10">
        <f t="shared" si="128"/>
        <v>4865</v>
      </c>
      <c r="AB449" s="10">
        <f t="shared" si="129"/>
        <v>700.32725000000028</v>
      </c>
      <c r="AC449" s="10">
        <f t="shared" si="117"/>
        <v>606.37750000000005</v>
      </c>
      <c r="AD449" s="10">
        <f t="shared" si="118"/>
        <v>1193.865</v>
      </c>
      <c r="AE449" s="10">
        <f t="shared" si="119"/>
        <v>1912.0450000000001</v>
      </c>
      <c r="AF449" s="10" t="str">
        <f t="shared" si="120"/>
        <v>Medium</v>
      </c>
      <c r="AG449" s="6">
        <f t="shared" si="130"/>
        <v>0.1258375686712763</v>
      </c>
      <c r="AH449" s="4">
        <f t="shared" si="131"/>
        <v>44946</v>
      </c>
      <c r="AI449" t="str">
        <f t="shared" si="132"/>
        <v>Jan-2023</v>
      </c>
    </row>
    <row r="450" spans="1:35" x14ac:dyDescent="0.25">
      <c r="A450" t="s">
        <v>462</v>
      </c>
      <c r="B450" s="4">
        <v>45446</v>
      </c>
      <c r="C450" s="4" t="str">
        <f t="shared" si="121"/>
        <v>Q2-2024</v>
      </c>
      <c r="D450" s="4" t="str">
        <f t="shared" si="122"/>
        <v>Jun-2024</v>
      </c>
      <c r="E450" s="4">
        <v>45467</v>
      </c>
      <c r="F450" s="12">
        <f t="shared" si="123"/>
        <v>21</v>
      </c>
      <c r="G450" s="12">
        <f t="shared" ref="G450:G513" si="133">IF(F450&lt;=7, 1, 0)</f>
        <v>0</v>
      </c>
      <c r="H450" s="4">
        <f t="shared" si="124"/>
        <v>45467</v>
      </c>
      <c r="I450" t="s">
        <v>648</v>
      </c>
      <c r="J450" t="s">
        <v>653</v>
      </c>
      <c r="K450" t="s">
        <v>667</v>
      </c>
      <c r="L450" t="s">
        <v>705</v>
      </c>
      <c r="M450" t="s">
        <v>711</v>
      </c>
      <c r="N450" t="s">
        <v>715</v>
      </c>
      <c r="O450" t="s">
        <v>732</v>
      </c>
      <c r="P450" t="str" cm="1">
        <f t="array" ref="P450">_xlfn.IFS(S450&lt;=PERCENTILE($S$2:$S$1000, 0.33), "Low", S450&lt;=PERCENTILE($S$2:$S$1000, 0.66), "Medium", TRUE, "High")</f>
        <v>High</v>
      </c>
      <c r="Q450" t="s">
        <v>1181</v>
      </c>
      <c r="R450" s="10">
        <v>1205.5</v>
      </c>
      <c r="S450" s="10">
        <v>2210.17</v>
      </c>
      <c r="T450" s="8">
        <v>0.104</v>
      </c>
      <c r="U450" s="12">
        <f t="shared" si="125"/>
        <v>0</v>
      </c>
      <c r="V450" s="6">
        <v>23</v>
      </c>
      <c r="W450" t="str">
        <f t="shared" ref="W450:W513" si="134">IF(E450&gt;B450, "ok", "sus")</f>
        <v>ok</v>
      </c>
      <c r="X450">
        <f t="shared" ref="X450:X513" si="135">E450-B450</f>
        <v>21</v>
      </c>
      <c r="Y450">
        <f t="shared" si="126"/>
        <v>21</v>
      </c>
      <c r="Z450" s="10">
        <f t="shared" si="127"/>
        <v>45547.183360000003</v>
      </c>
      <c r="AA450" s="10">
        <f t="shared" si="128"/>
        <v>27726.5</v>
      </c>
      <c r="AB450" s="10">
        <f t="shared" si="129"/>
        <v>17820.683360000003</v>
      </c>
      <c r="AC450" s="10">
        <f t="shared" ref="AC450:AC513" si="136">_xlfn.QUARTILE.INC(S:S,1)</f>
        <v>606.37750000000005</v>
      </c>
      <c r="AD450" s="10">
        <f t="shared" ref="AD450:AD513" si="137">_xlfn.QUARTILE.INC(S:S,2)</f>
        <v>1193.865</v>
      </c>
      <c r="AE450" s="10">
        <f t="shared" ref="AE450:AE513" si="138">_xlfn.QUARTILE.INC(S:S,3)</f>
        <v>1912.0450000000001</v>
      </c>
      <c r="AF450" s="10" t="str">
        <f t="shared" ref="AF450:AF513" si="139">IF(S449&lt;=$AC$2,"Low",
 IF(S449&lt;=$AE$3,"Medium",
 "High"))</f>
        <v>Low</v>
      </c>
      <c r="AG450" s="6">
        <f t="shared" si="130"/>
        <v>0.39125763758314652</v>
      </c>
      <c r="AH450" s="4">
        <f t="shared" si="131"/>
        <v>44948</v>
      </c>
      <c r="AI450" t="str">
        <f t="shared" si="132"/>
        <v>Jan-2023</v>
      </c>
    </row>
    <row r="451" spans="1:35" x14ac:dyDescent="0.25">
      <c r="A451" t="s">
        <v>463</v>
      </c>
      <c r="B451" s="4">
        <v>45454</v>
      </c>
      <c r="C451" s="4" t="str">
        <f t="shared" ref="C451:C514" si="140">"Q" &amp; ROUNDUP(MONTH(B451)/3,0) &amp; "-" &amp; YEAR(B451)</f>
        <v>Q2-2024</v>
      </c>
      <c r="D451" s="4" t="str">
        <f t="shared" ref="D451:D514" si="141">TEXT(B451,"MMM-YYYY")</f>
        <v>Jun-2024</v>
      </c>
      <c r="E451" s="4">
        <v>45482</v>
      </c>
      <c r="F451" s="12">
        <f t="shared" ref="F451:F514" si="142">H451-B451</f>
        <v>28</v>
      </c>
      <c r="G451" s="12">
        <f t="shared" si="133"/>
        <v>0</v>
      </c>
      <c r="H451" s="4">
        <f t="shared" ref="H451:H514" si="143">IF(E451&lt;B451,B451+14,E451)</f>
        <v>45482</v>
      </c>
      <c r="I451" t="s">
        <v>646</v>
      </c>
      <c r="J451" t="s">
        <v>651</v>
      </c>
      <c r="K451" t="s">
        <v>663</v>
      </c>
      <c r="L451" t="s">
        <v>701</v>
      </c>
      <c r="M451" t="s">
        <v>709</v>
      </c>
      <c r="N451" t="s">
        <v>714</v>
      </c>
      <c r="O451" t="s">
        <v>730</v>
      </c>
      <c r="P451" t="str" cm="1">
        <f t="array" ref="P451">_xlfn.IFS(S451&lt;=PERCENTILE($S$2:$S$1000, 0.33), "Low", S451&lt;=PERCENTILE($S$2:$S$1000, 0.66), "Medium", TRUE, "High")</f>
        <v>Medium</v>
      </c>
      <c r="Q451" t="s">
        <v>1182</v>
      </c>
      <c r="R451" s="10">
        <v>895.54</v>
      </c>
      <c r="S451" s="10">
        <v>1045</v>
      </c>
      <c r="T451" s="8">
        <v>0.216</v>
      </c>
      <c r="U451" s="12">
        <f t="shared" ref="U451:U514" si="144">IF(T451&gt;0.2,1,0)</f>
        <v>1</v>
      </c>
      <c r="V451" s="6">
        <v>15</v>
      </c>
      <c r="W451" t="str">
        <f t="shared" si="134"/>
        <v>ok</v>
      </c>
      <c r="X451">
        <f t="shared" si="135"/>
        <v>28</v>
      </c>
      <c r="Y451">
        <f t="shared" ref="Y451:Y514" si="145">ABS(X451)</f>
        <v>28</v>
      </c>
      <c r="Z451" s="10">
        <f t="shared" ref="Z451:Z514" si="146">S451*V451*(1-T451)</f>
        <v>12289.2</v>
      </c>
      <c r="AA451" s="10">
        <f t="shared" ref="AA451:AA514" si="147">R451*V451</f>
        <v>13433.099999999999</v>
      </c>
      <c r="AB451" s="10">
        <f t="shared" ref="AB451:AB514" si="148">Z451-AA451</f>
        <v>-1143.8999999999978</v>
      </c>
      <c r="AC451" s="10">
        <f t="shared" si="136"/>
        <v>606.37750000000005</v>
      </c>
      <c r="AD451" s="10">
        <f t="shared" si="137"/>
        <v>1193.865</v>
      </c>
      <c r="AE451" s="10">
        <f t="shared" si="138"/>
        <v>1912.0450000000001</v>
      </c>
      <c r="AF451" s="10" t="str">
        <f t="shared" si="139"/>
        <v>High</v>
      </c>
      <c r="AG451" s="6">
        <f t="shared" ref="AG451:AG514" si="149">IF(Z451=0,0,AB451/Z451)</f>
        <v>-9.3081730299775234E-2</v>
      </c>
      <c r="AH451" s="4">
        <f t="shared" ref="AH451:AH514" si="150">_xlfn.MINIFS($B:$B,$J:$J,J323)</f>
        <v>44939</v>
      </c>
      <c r="AI451" t="str">
        <f t="shared" ref="AI451:AI514" si="151">TEXT(AH451,"MMM-YYYY")</f>
        <v>Jan-2023</v>
      </c>
    </row>
    <row r="452" spans="1:35" x14ac:dyDescent="0.25">
      <c r="A452" t="s">
        <v>464</v>
      </c>
      <c r="B452" s="4">
        <v>45129</v>
      </c>
      <c r="C452" s="4" t="str">
        <f t="shared" si="140"/>
        <v>Q3-2023</v>
      </c>
      <c r="D452" s="4" t="str">
        <f t="shared" si="141"/>
        <v>Jul-2023</v>
      </c>
      <c r="E452" s="4">
        <v>45128</v>
      </c>
      <c r="F452" s="12">
        <f t="shared" si="142"/>
        <v>14</v>
      </c>
      <c r="G452" s="12">
        <f t="shared" si="133"/>
        <v>0</v>
      </c>
      <c r="H452" s="4">
        <f t="shared" si="143"/>
        <v>45143</v>
      </c>
      <c r="I452" t="s">
        <v>647</v>
      </c>
      <c r="J452" t="s">
        <v>654</v>
      </c>
      <c r="K452" t="s">
        <v>680</v>
      </c>
      <c r="L452" t="s">
        <v>705</v>
      </c>
      <c r="M452" t="s">
        <v>710</v>
      </c>
      <c r="N452" t="s">
        <v>718</v>
      </c>
      <c r="O452" t="s">
        <v>728</v>
      </c>
      <c r="P452" t="str" cm="1">
        <f t="array" ref="P452">_xlfn.IFS(S452&lt;=PERCENTILE($S$2:$S$1000, 0.33), "Low", S452&lt;=PERCENTILE($S$2:$S$1000, 0.66), "Medium", TRUE, "High")</f>
        <v>High</v>
      </c>
      <c r="Q452" t="s">
        <v>1183</v>
      </c>
      <c r="R452" s="10">
        <v>946.99</v>
      </c>
      <c r="S452" s="10">
        <v>2132.19</v>
      </c>
      <c r="T452" s="8">
        <v>0.16500000000000001</v>
      </c>
      <c r="U452" s="12">
        <f t="shared" si="144"/>
        <v>0</v>
      </c>
      <c r="V452" s="6">
        <v>7</v>
      </c>
      <c r="W452" t="str">
        <f t="shared" si="134"/>
        <v>sus</v>
      </c>
      <c r="X452">
        <f t="shared" si="135"/>
        <v>-1</v>
      </c>
      <c r="Y452">
        <f t="shared" si="145"/>
        <v>1</v>
      </c>
      <c r="Z452" s="10">
        <f t="shared" si="146"/>
        <v>12462.65055</v>
      </c>
      <c r="AA452" s="10">
        <f t="shared" si="147"/>
        <v>6628.93</v>
      </c>
      <c r="AB452" s="10">
        <f t="shared" si="148"/>
        <v>5833.72055</v>
      </c>
      <c r="AC452" s="10">
        <f t="shared" si="136"/>
        <v>606.37750000000005</v>
      </c>
      <c r="AD452" s="10">
        <f t="shared" si="137"/>
        <v>1193.865</v>
      </c>
      <c r="AE452" s="10">
        <f t="shared" si="138"/>
        <v>1912.0450000000001</v>
      </c>
      <c r="AF452" s="10" t="str">
        <f t="shared" si="139"/>
        <v>Medium</v>
      </c>
      <c r="AG452" s="6">
        <f t="shared" si="149"/>
        <v>0.46809629513362228</v>
      </c>
      <c r="AH452" s="4">
        <f t="shared" si="150"/>
        <v>44936</v>
      </c>
      <c r="AI452" t="str">
        <f t="shared" si="151"/>
        <v>Jan-2023</v>
      </c>
    </row>
    <row r="453" spans="1:35" x14ac:dyDescent="0.25">
      <c r="A453" t="s">
        <v>465</v>
      </c>
      <c r="B453" s="4">
        <v>44945</v>
      </c>
      <c r="C453" s="4" t="str">
        <f t="shared" si="140"/>
        <v>Q1-2023</v>
      </c>
      <c r="D453" s="4" t="str">
        <f t="shared" si="141"/>
        <v>Jan-2023</v>
      </c>
      <c r="E453" s="4">
        <v>44960</v>
      </c>
      <c r="F453" s="12">
        <f t="shared" si="142"/>
        <v>15</v>
      </c>
      <c r="G453" s="12">
        <f t="shared" si="133"/>
        <v>0</v>
      </c>
      <c r="H453" s="4">
        <f t="shared" si="143"/>
        <v>44960</v>
      </c>
      <c r="I453" t="s">
        <v>649</v>
      </c>
      <c r="J453" t="s">
        <v>658</v>
      </c>
      <c r="K453" t="s">
        <v>683</v>
      </c>
      <c r="L453" t="s">
        <v>706</v>
      </c>
      <c r="M453" t="s">
        <v>710</v>
      </c>
      <c r="N453" t="s">
        <v>715</v>
      </c>
      <c r="O453" t="s">
        <v>733</v>
      </c>
      <c r="P453" t="str" cm="1">
        <f t="array" ref="P453">_xlfn.IFS(S453&lt;=PERCENTILE($S$2:$S$1000, 0.33), "Low", S453&lt;=PERCENTILE($S$2:$S$1000, 0.66), "Medium", TRUE, "High")</f>
        <v>High</v>
      </c>
      <c r="Q453" t="s">
        <v>1184</v>
      </c>
      <c r="R453" s="10">
        <v>873.06</v>
      </c>
      <c r="S453" s="10">
        <v>2101.5500000000002</v>
      </c>
      <c r="T453" s="8">
        <v>6.6000000000000003E-2</v>
      </c>
      <c r="U453" s="12">
        <f t="shared" si="144"/>
        <v>0</v>
      </c>
      <c r="V453" s="6">
        <v>10</v>
      </c>
      <c r="W453" t="str">
        <f t="shared" si="134"/>
        <v>ok</v>
      </c>
      <c r="X453">
        <f t="shared" si="135"/>
        <v>15</v>
      </c>
      <c r="Y453">
        <f t="shared" si="145"/>
        <v>15</v>
      </c>
      <c r="Z453" s="10">
        <f t="shared" si="146"/>
        <v>19628.476999999999</v>
      </c>
      <c r="AA453" s="10">
        <f t="shared" si="147"/>
        <v>8730.5999999999985</v>
      </c>
      <c r="AB453" s="10">
        <f t="shared" si="148"/>
        <v>10897.877</v>
      </c>
      <c r="AC453" s="10">
        <f t="shared" si="136"/>
        <v>606.37750000000005</v>
      </c>
      <c r="AD453" s="10">
        <f t="shared" si="137"/>
        <v>1193.865</v>
      </c>
      <c r="AE453" s="10">
        <f t="shared" si="138"/>
        <v>1912.0450000000001</v>
      </c>
      <c r="AF453" s="10" t="str">
        <f t="shared" si="139"/>
        <v>High</v>
      </c>
      <c r="AG453" s="6">
        <f t="shared" si="149"/>
        <v>0.55520746719167269</v>
      </c>
      <c r="AH453" s="4">
        <f t="shared" si="150"/>
        <v>44955</v>
      </c>
      <c r="AI453" t="str">
        <f t="shared" si="151"/>
        <v>Jan-2023</v>
      </c>
    </row>
    <row r="454" spans="1:35" x14ac:dyDescent="0.25">
      <c r="A454" t="s">
        <v>466</v>
      </c>
      <c r="B454" s="4">
        <v>45413</v>
      </c>
      <c r="C454" s="4" t="str">
        <f t="shared" si="140"/>
        <v>Q2-2024</v>
      </c>
      <c r="D454" s="4" t="str">
        <f t="shared" si="141"/>
        <v>May-2024</v>
      </c>
      <c r="E454" s="4">
        <v>45428</v>
      </c>
      <c r="F454" s="12">
        <f t="shared" si="142"/>
        <v>15</v>
      </c>
      <c r="G454" s="12">
        <f t="shared" si="133"/>
        <v>0</v>
      </c>
      <c r="H454" s="4">
        <f t="shared" si="143"/>
        <v>45428</v>
      </c>
      <c r="I454" t="s">
        <v>647</v>
      </c>
      <c r="J454" t="s">
        <v>654</v>
      </c>
      <c r="K454" t="s">
        <v>668</v>
      </c>
      <c r="L454" t="s">
        <v>705</v>
      </c>
      <c r="M454" t="s">
        <v>707</v>
      </c>
      <c r="N454" t="s">
        <v>716</v>
      </c>
      <c r="O454" t="s">
        <v>727</v>
      </c>
      <c r="P454" t="str" cm="1">
        <f t="array" ref="P454">_xlfn.IFS(S454&lt;=PERCENTILE($S$2:$S$1000, 0.33), "Low", S454&lt;=PERCENTILE($S$2:$S$1000, 0.66), "Medium", TRUE, "High")</f>
        <v>High</v>
      </c>
      <c r="Q454" t="s">
        <v>1185</v>
      </c>
      <c r="R454" s="10">
        <v>901.19</v>
      </c>
      <c r="S454" s="10">
        <v>2125.44</v>
      </c>
      <c r="T454" s="8">
        <v>7.0999999999999994E-2</v>
      </c>
      <c r="U454" s="12">
        <f t="shared" si="144"/>
        <v>0</v>
      </c>
      <c r="V454" s="6">
        <v>12</v>
      </c>
      <c r="W454" t="str">
        <f t="shared" si="134"/>
        <v>ok</v>
      </c>
      <c r="X454">
        <f t="shared" si="135"/>
        <v>15</v>
      </c>
      <c r="Y454">
        <f t="shared" si="145"/>
        <v>15</v>
      </c>
      <c r="Z454" s="10">
        <f t="shared" si="146"/>
        <v>23694.405119999999</v>
      </c>
      <c r="AA454" s="10">
        <f t="shared" si="147"/>
        <v>10814.28</v>
      </c>
      <c r="AB454" s="10">
        <f t="shared" si="148"/>
        <v>12880.125119999999</v>
      </c>
      <c r="AC454" s="10">
        <f t="shared" si="136"/>
        <v>606.37750000000005</v>
      </c>
      <c r="AD454" s="10">
        <f t="shared" si="137"/>
        <v>1193.865</v>
      </c>
      <c r="AE454" s="10">
        <f t="shared" si="138"/>
        <v>1912.0450000000001</v>
      </c>
      <c r="AF454" s="10" t="str">
        <f t="shared" si="139"/>
        <v>High</v>
      </c>
      <c r="AG454" s="6">
        <f t="shared" si="149"/>
        <v>0.54359352154100415</v>
      </c>
      <c r="AH454" s="4">
        <f t="shared" si="150"/>
        <v>44955</v>
      </c>
      <c r="AI454" t="str">
        <f t="shared" si="151"/>
        <v>Jan-2023</v>
      </c>
    </row>
    <row r="455" spans="1:35" x14ac:dyDescent="0.25">
      <c r="A455" t="s">
        <v>467</v>
      </c>
      <c r="B455" s="4">
        <v>45817</v>
      </c>
      <c r="C455" s="4" t="str">
        <f t="shared" si="140"/>
        <v>Q2-2025</v>
      </c>
      <c r="D455" s="4" t="str">
        <f t="shared" si="141"/>
        <v>Jun-2025</v>
      </c>
      <c r="E455" s="4">
        <v>45832</v>
      </c>
      <c r="F455" s="12">
        <f t="shared" si="142"/>
        <v>15</v>
      </c>
      <c r="G455" s="12">
        <f t="shared" si="133"/>
        <v>0</v>
      </c>
      <c r="H455" s="4">
        <f t="shared" si="143"/>
        <v>45832</v>
      </c>
      <c r="I455" t="s">
        <v>647</v>
      </c>
      <c r="J455" t="s">
        <v>652</v>
      </c>
      <c r="K455" t="s">
        <v>694</v>
      </c>
      <c r="L455" t="s">
        <v>701</v>
      </c>
      <c r="M455" t="s">
        <v>711</v>
      </c>
      <c r="N455" t="s">
        <v>717</v>
      </c>
      <c r="O455" t="s">
        <v>730</v>
      </c>
      <c r="P455" t="str" cm="1">
        <f t="array" ref="P455">_xlfn.IFS(S455&lt;=PERCENTILE($S$2:$S$1000, 0.33), "Low", S455&lt;=PERCENTILE($S$2:$S$1000, 0.66), "Medium", TRUE, "High")</f>
        <v>Low</v>
      </c>
      <c r="Q455" t="s">
        <v>1186</v>
      </c>
      <c r="R455" s="10">
        <v>400.39</v>
      </c>
      <c r="S455" s="10">
        <v>712.75</v>
      </c>
      <c r="T455" s="8">
        <v>0.115</v>
      </c>
      <c r="U455" s="12">
        <f t="shared" si="144"/>
        <v>0</v>
      </c>
      <c r="V455" s="6">
        <v>19</v>
      </c>
      <c r="W455" t="str">
        <f t="shared" si="134"/>
        <v>ok</v>
      </c>
      <c r="X455">
        <f t="shared" si="135"/>
        <v>15</v>
      </c>
      <c r="Y455">
        <f t="shared" si="145"/>
        <v>15</v>
      </c>
      <c r="Z455" s="10">
        <f t="shared" si="146"/>
        <v>11984.891250000001</v>
      </c>
      <c r="AA455" s="10">
        <f t="shared" si="147"/>
        <v>7607.41</v>
      </c>
      <c r="AB455" s="10">
        <f t="shared" si="148"/>
        <v>4377.4812500000007</v>
      </c>
      <c r="AC455" s="10">
        <f t="shared" si="136"/>
        <v>606.37750000000005</v>
      </c>
      <c r="AD455" s="10">
        <f t="shared" si="137"/>
        <v>1193.865</v>
      </c>
      <c r="AE455" s="10">
        <f t="shared" si="138"/>
        <v>1912.0450000000001</v>
      </c>
      <c r="AF455" s="10" t="str">
        <f t="shared" si="139"/>
        <v>High</v>
      </c>
      <c r="AG455" s="6">
        <f t="shared" si="149"/>
        <v>0.36524997671547504</v>
      </c>
      <c r="AH455" s="4">
        <f t="shared" si="150"/>
        <v>44933</v>
      </c>
      <c r="AI455" t="str">
        <f t="shared" si="151"/>
        <v>Jan-2023</v>
      </c>
    </row>
    <row r="456" spans="1:35" x14ac:dyDescent="0.25">
      <c r="A456" t="s">
        <v>468</v>
      </c>
      <c r="B456" s="4">
        <v>45070</v>
      </c>
      <c r="C456" s="4" t="str">
        <f t="shared" si="140"/>
        <v>Q2-2023</v>
      </c>
      <c r="D456" s="4" t="str">
        <f t="shared" si="141"/>
        <v>May-2023</v>
      </c>
      <c r="E456" s="4">
        <v>45098</v>
      </c>
      <c r="F456" s="12">
        <f t="shared" si="142"/>
        <v>28</v>
      </c>
      <c r="G456" s="12">
        <f t="shared" si="133"/>
        <v>0</v>
      </c>
      <c r="H456" s="4">
        <f t="shared" si="143"/>
        <v>45098</v>
      </c>
      <c r="I456" t="s">
        <v>648</v>
      </c>
      <c r="J456" t="s">
        <v>660</v>
      </c>
      <c r="K456" t="s">
        <v>697</v>
      </c>
      <c r="L456" t="s">
        <v>705</v>
      </c>
      <c r="M456" t="s">
        <v>709</v>
      </c>
      <c r="N456" t="s">
        <v>715</v>
      </c>
      <c r="O456" t="s">
        <v>732</v>
      </c>
      <c r="P456" t="str" cm="1">
        <f t="array" ref="P456">_xlfn.IFS(S456&lt;=PERCENTILE($S$2:$S$1000, 0.33), "Low", S456&lt;=PERCENTILE($S$2:$S$1000, 0.66), "Medium", TRUE, "High")</f>
        <v>Medium</v>
      </c>
      <c r="Q456" t="s">
        <v>1187</v>
      </c>
      <c r="R456" s="10">
        <v>813.97</v>
      </c>
      <c r="S456" s="10">
        <v>1568.83</v>
      </c>
      <c r="T456" s="8">
        <v>1.7000000000000001E-2</v>
      </c>
      <c r="U456" s="12">
        <f t="shared" si="144"/>
        <v>0</v>
      </c>
      <c r="V456" s="6">
        <v>15</v>
      </c>
      <c r="W456" t="str">
        <f t="shared" si="134"/>
        <v>ok</v>
      </c>
      <c r="X456">
        <f t="shared" si="135"/>
        <v>28</v>
      </c>
      <c r="Y456">
        <f t="shared" si="145"/>
        <v>28</v>
      </c>
      <c r="Z456" s="10">
        <f t="shared" si="146"/>
        <v>23132.398349999996</v>
      </c>
      <c r="AA456" s="10">
        <f t="shared" si="147"/>
        <v>12209.550000000001</v>
      </c>
      <c r="AB456" s="10">
        <f t="shared" si="148"/>
        <v>10922.848349999995</v>
      </c>
      <c r="AC456" s="10">
        <f t="shared" si="136"/>
        <v>606.37750000000005</v>
      </c>
      <c r="AD456" s="10">
        <f t="shared" si="137"/>
        <v>1193.865</v>
      </c>
      <c r="AE456" s="10">
        <f t="shared" si="138"/>
        <v>1912.0450000000001</v>
      </c>
      <c r="AF456" s="10" t="str">
        <f t="shared" si="139"/>
        <v>Medium</v>
      </c>
      <c r="AG456" s="6">
        <f t="shared" si="149"/>
        <v>0.4721883215364911</v>
      </c>
      <c r="AH456" s="4">
        <f t="shared" si="150"/>
        <v>44955</v>
      </c>
      <c r="AI456" t="str">
        <f t="shared" si="151"/>
        <v>Jan-2023</v>
      </c>
    </row>
    <row r="457" spans="1:35" x14ac:dyDescent="0.25">
      <c r="A457" t="s">
        <v>469</v>
      </c>
      <c r="B457" s="4">
        <v>45653</v>
      </c>
      <c r="C457" s="4" t="str">
        <f t="shared" si="140"/>
        <v>Q4-2024</v>
      </c>
      <c r="D457" s="4" t="str">
        <f t="shared" si="141"/>
        <v>Dec-2024</v>
      </c>
      <c r="E457" s="4">
        <v>45655</v>
      </c>
      <c r="F457" s="12">
        <f t="shared" si="142"/>
        <v>2</v>
      </c>
      <c r="G457" s="12">
        <f t="shared" si="133"/>
        <v>1</v>
      </c>
      <c r="H457" s="4">
        <f t="shared" si="143"/>
        <v>45655</v>
      </c>
      <c r="I457" t="s">
        <v>648</v>
      </c>
      <c r="J457" t="s">
        <v>653</v>
      </c>
      <c r="K457" t="s">
        <v>688</v>
      </c>
      <c r="L457" t="s">
        <v>706</v>
      </c>
      <c r="M457" t="s">
        <v>709</v>
      </c>
      <c r="N457" t="s">
        <v>712</v>
      </c>
      <c r="O457" t="s">
        <v>733</v>
      </c>
      <c r="P457" t="str" cm="1">
        <f t="array" ref="P457">_xlfn.IFS(S457&lt;=PERCENTILE($S$2:$S$1000, 0.33), "Low", S457&lt;=PERCENTILE($S$2:$S$1000, 0.66), "Medium", TRUE, "High")</f>
        <v>High</v>
      </c>
      <c r="Q457" t="s">
        <v>1188</v>
      </c>
      <c r="R457" s="10">
        <v>1146.72</v>
      </c>
      <c r="S457" s="10">
        <v>2074.34</v>
      </c>
      <c r="T457" s="8">
        <v>0.111</v>
      </c>
      <c r="U457" s="12">
        <f t="shared" si="144"/>
        <v>0</v>
      </c>
      <c r="V457" s="6">
        <v>8</v>
      </c>
      <c r="W457" t="str">
        <f t="shared" si="134"/>
        <v>ok</v>
      </c>
      <c r="X457">
        <f t="shared" si="135"/>
        <v>2</v>
      </c>
      <c r="Y457">
        <f t="shared" si="145"/>
        <v>2</v>
      </c>
      <c r="Z457" s="10">
        <f t="shared" si="146"/>
        <v>14752.706080000002</v>
      </c>
      <c r="AA457" s="10">
        <f t="shared" si="147"/>
        <v>9173.76</v>
      </c>
      <c r="AB457" s="10">
        <f t="shared" si="148"/>
        <v>5578.9460800000015</v>
      </c>
      <c r="AC457" s="10">
        <f t="shared" si="136"/>
        <v>606.37750000000005</v>
      </c>
      <c r="AD457" s="10">
        <f t="shared" si="137"/>
        <v>1193.865</v>
      </c>
      <c r="AE457" s="10">
        <f t="shared" si="138"/>
        <v>1912.0450000000001</v>
      </c>
      <c r="AF457" s="10" t="str">
        <f t="shared" si="139"/>
        <v>Medium</v>
      </c>
      <c r="AG457" s="6">
        <f t="shared" si="149"/>
        <v>0.37816425337472737</v>
      </c>
      <c r="AH457" s="4">
        <f t="shared" si="150"/>
        <v>44946</v>
      </c>
      <c r="AI457" t="str">
        <f t="shared" si="151"/>
        <v>Jan-2023</v>
      </c>
    </row>
    <row r="458" spans="1:35" x14ac:dyDescent="0.25">
      <c r="A458" t="s">
        <v>470</v>
      </c>
      <c r="B458" s="4">
        <v>45265</v>
      </c>
      <c r="C458" s="4" t="str">
        <f t="shared" si="140"/>
        <v>Q4-2023</v>
      </c>
      <c r="D458" s="4" t="str">
        <f t="shared" si="141"/>
        <v>Dec-2023</v>
      </c>
      <c r="E458" s="4">
        <v>45272</v>
      </c>
      <c r="F458" s="12">
        <f t="shared" si="142"/>
        <v>7</v>
      </c>
      <c r="G458" s="12">
        <f t="shared" si="133"/>
        <v>1</v>
      </c>
      <c r="H458" s="4">
        <f t="shared" si="143"/>
        <v>45272</v>
      </c>
      <c r="I458" t="s">
        <v>648</v>
      </c>
      <c r="J458" t="s">
        <v>655</v>
      </c>
      <c r="K458" t="s">
        <v>672</v>
      </c>
      <c r="L458" t="s">
        <v>701</v>
      </c>
      <c r="M458" t="s">
        <v>711</v>
      </c>
      <c r="N458" t="s">
        <v>721</v>
      </c>
      <c r="O458" t="s">
        <v>730</v>
      </c>
      <c r="P458" t="str" cm="1">
        <f t="array" ref="P458">_xlfn.IFS(S458&lt;=PERCENTILE($S$2:$S$1000, 0.33), "Low", S458&lt;=PERCENTILE($S$2:$S$1000, 0.66), "Medium", TRUE, "High")</f>
        <v>Low</v>
      </c>
      <c r="Q458" t="s">
        <v>1189</v>
      </c>
      <c r="R458" s="10">
        <v>307.43</v>
      </c>
      <c r="S458" s="10">
        <v>495.19</v>
      </c>
      <c r="T458" s="8">
        <v>0</v>
      </c>
      <c r="U458" s="12">
        <f t="shared" si="144"/>
        <v>0</v>
      </c>
      <c r="V458" s="6">
        <v>42</v>
      </c>
      <c r="W458" t="str">
        <f t="shared" si="134"/>
        <v>ok</v>
      </c>
      <c r="X458">
        <f t="shared" si="135"/>
        <v>7</v>
      </c>
      <c r="Y458">
        <f t="shared" si="145"/>
        <v>7</v>
      </c>
      <c r="Z458" s="10">
        <f t="shared" si="146"/>
        <v>20797.98</v>
      </c>
      <c r="AA458" s="10">
        <f t="shared" si="147"/>
        <v>12912.06</v>
      </c>
      <c r="AB458" s="10">
        <f t="shared" si="148"/>
        <v>7885.92</v>
      </c>
      <c r="AC458" s="10">
        <f t="shared" si="136"/>
        <v>606.37750000000005</v>
      </c>
      <c r="AD458" s="10">
        <f t="shared" si="137"/>
        <v>1193.865</v>
      </c>
      <c r="AE458" s="10">
        <f t="shared" si="138"/>
        <v>1912.0450000000001</v>
      </c>
      <c r="AF458" s="10" t="str">
        <f t="shared" si="139"/>
        <v>High</v>
      </c>
      <c r="AG458" s="6">
        <f t="shared" si="149"/>
        <v>0.37916759223732305</v>
      </c>
      <c r="AH458" s="4">
        <f t="shared" si="150"/>
        <v>44955</v>
      </c>
      <c r="AI458" t="str">
        <f t="shared" si="151"/>
        <v>Jan-2023</v>
      </c>
    </row>
    <row r="459" spans="1:35" x14ac:dyDescent="0.25">
      <c r="A459" t="s">
        <v>471</v>
      </c>
      <c r="B459" s="4">
        <v>45048</v>
      </c>
      <c r="C459" s="4" t="str">
        <f t="shared" si="140"/>
        <v>Q2-2023</v>
      </c>
      <c r="D459" s="4" t="str">
        <f t="shared" si="141"/>
        <v>May-2023</v>
      </c>
      <c r="E459" s="4">
        <v>45065</v>
      </c>
      <c r="F459" s="12">
        <f t="shared" si="142"/>
        <v>17</v>
      </c>
      <c r="G459" s="12">
        <f t="shared" si="133"/>
        <v>0</v>
      </c>
      <c r="H459" s="4">
        <f t="shared" si="143"/>
        <v>45065</v>
      </c>
      <c r="I459" t="s">
        <v>647</v>
      </c>
      <c r="J459" t="s">
        <v>659</v>
      </c>
      <c r="K459" t="s">
        <v>685</v>
      </c>
      <c r="L459" t="s">
        <v>703</v>
      </c>
      <c r="M459" t="s">
        <v>711</v>
      </c>
      <c r="N459" t="s">
        <v>713</v>
      </c>
      <c r="O459" t="s">
        <v>732</v>
      </c>
      <c r="P459" t="str" cm="1">
        <f t="array" ref="P459">_xlfn.IFS(S459&lt;=PERCENTILE($S$2:$S$1000, 0.33), "Low", S459&lt;=PERCENTILE($S$2:$S$1000, 0.66), "Medium", TRUE, "High")</f>
        <v>Low</v>
      </c>
      <c r="Q459" t="s">
        <v>1190</v>
      </c>
      <c r="R459" s="10">
        <v>714.28</v>
      </c>
      <c r="S459" s="10">
        <v>757.59</v>
      </c>
      <c r="T459" s="8">
        <v>0.13600000000000001</v>
      </c>
      <c r="U459" s="12">
        <f t="shared" si="144"/>
        <v>0</v>
      </c>
      <c r="V459" s="6">
        <v>12</v>
      </c>
      <c r="W459" t="str">
        <f t="shared" si="134"/>
        <v>ok</v>
      </c>
      <c r="X459">
        <f t="shared" si="135"/>
        <v>17</v>
      </c>
      <c r="Y459">
        <f t="shared" si="145"/>
        <v>17</v>
      </c>
      <c r="Z459" s="10">
        <f t="shared" si="146"/>
        <v>7854.6931199999999</v>
      </c>
      <c r="AA459" s="10">
        <f t="shared" si="147"/>
        <v>8571.36</v>
      </c>
      <c r="AB459" s="10">
        <f t="shared" si="148"/>
        <v>-716.66688000000067</v>
      </c>
      <c r="AC459" s="10">
        <f t="shared" si="136"/>
        <v>606.37750000000005</v>
      </c>
      <c r="AD459" s="10">
        <f t="shared" si="137"/>
        <v>1193.865</v>
      </c>
      <c r="AE459" s="10">
        <f t="shared" si="138"/>
        <v>1912.0450000000001</v>
      </c>
      <c r="AF459" s="10" t="str">
        <f t="shared" si="139"/>
        <v>Low</v>
      </c>
      <c r="AG459" s="6">
        <f t="shared" si="149"/>
        <v>-9.1240595787910383E-2</v>
      </c>
      <c r="AH459" s="4">
        <f t="shared" si="150"/>
        <v>44928</v>
      </c>
      <c r="AI459" t="str">
        <f t="shared" si="151"/>
        <v>Jan-2023</v>
      </c>
    </row>
    <row r="460" spans="1:35" x14ac:dyDescent="0.25">
      <c r="A460" t="s">
        <v>472</v>
      </c>
      <c r="B460" s="4">
        <v>45260</v>
      </c>
      <c r="C460" s="4" t="str">
        <f t="shared" si="140"/>
        <v>Q4-2023</v>
      </c>
      <c r="D460" s="4" t="str">
        <f t="shared" si="141"/>
        <v>Nov-2023</v>
      </c>
      <c r="E460" s="4">
        <v>45270</v>
      </c>
      <c r="F460" s="12">
        <f t="shared" si="142"/>
        <v>10</v>
      </c>
      <c r="G460" s="12">
        <f t="shared" si="133"/>
        <v>0</v>
      </c>
      <c r="H460" s="4">
        <f t="shared" si="143"/>
        <v>45270</v>
      </c>
      <c r="I460" t="s">
        <v>649</v>
      </c>
      <c r="J460" t="s">
        <v>656</v>
      </c>
      <c r="K460" t="s">
        <v>684</v>
      </c>
      <c r="L460" t="s">
        <v>705</v>
      </c>
      <c r="M460" t="s">
        <v>711</v>
      </c>
      <c r="N460" t="s">
        <v>721</v>
      </c>
      <c r="O460" t="s">
        <v>731</v>
      </c>
      <c r="P460" t="str" cm="1">
        <f t="array" ref="P460">_xlfn.IFS(S460&lt;=PERCENTILE($S$2:$S$1000, 0.33), "Low", S460&lt;=PERCENTILE($S$2:$S$1000, 0.66), "Medium", TRUE, "High")</f>
        <v>Low</v>
      </c>
      <c r="Q460" t="s">
        <v>1191</v>
      </c>
      <c r="R460" s="10">
        <v>174.74</v>
      </c>
      <c r="S460" s="10">
        <v>415.96</v>
      </c>
      <c r="T460" s="8">
        <v>0.125</v>
      </c>
      <c r="U460" s="12">
        <f t="shared" si="144"/>
        <v>0</v>
      </c>
      <c r="V460" s="6">
        <v>21</v>
      </c>
      <c r="W460" t="str">
        <f t="shared" si="134"/>
        <v>ok</v>
      </c>
      <c r="X460">
        <f t="shared" si="135"/>
        <v>10</v>
      </c>
      <c r="Y460">
        <f t="shared" si="145"/>
        <v>10</v>
      </c>
      <c r="Z460" s="10">
        <f t="shared" si="146"/>
        <v>7643.2649999999994</v>
      </c>
      <c r="AA460" s="10">
        <f t="shared" si="147"/>
        <v>3669.54</v>
      </c>
      <c r="AB460" s="10">
        <f t="shared" si="148"/>
        <v>3973.7249999999995</v>
      </c>
      <c r="AC460" s="10">
        <f t="shared" si="136"/>
        <v>606.37750000000005</v>
      </c>
      <c r="AD460" s="10">
        <f t="shared" si="137"/>
        <v>1193.865</v>
      </c>
      <c r="AE460" s="10">
        <f t="shared" si="138"/>
        <v>1912.0450000000001</v>
      </c>
      <c r="AF460" s="10" t="str">
        <f t="shared" si="139"/>
        <v>Medium</v>
      </c>
      <c r="AG460" s="6">
        <f t="shared" si="149"/>
        <v>0.51989889137691803</v>
      </c>
      <c r="AH460" s="4">
        <f t="shared" si="150"/>
        <v>44939</v>
      </c>
      <c r="AI460" t="str">
        <f t="shared" si="151"/>
        <v>Jan-2023</v>
      </c>
    </row>
    <row r="461" spans="1:35" x14ac:dyDescent="0.25">
      <c r="A461" t="s">
        <v>473</v>
      </c>
      <c r="B461" s="4">
        <v>45417</v>
      </c>
      <c r="C461" s="4" t="str">
        <f t="shared" si="140"/>
        <v>Q2-2024</v>
      </c>
      <c r="D461" s="4" t="str">
        <f t="shared" si="141"/>
        <v>May-2024</v>
      </c>
      <c r="E461" s="4">
        <v>45430</v>
      </c>
      <c r="F461" s="12">
        <f t="shared" si="142"/>
        <v>13</v>
      </c>
      <c r="G461" s="12">
        <f t="shared" si="133"/>
        <v>0</v>
      </c>
      <c r="H461" s="4">
        <f t="shared" si="143"/>
        <v>45430</v>
      </c>
      <c r="I461" t="s">
        <v>649</v>
      </c>
      <c r="J461" t="s">
        <v>657</v>
      </c>
      <c r="K461" t="s">
        <v>673</v>
      </c>
      <c r="L461" t="s">
        <v>701</v>
      </c>
      <c r="M461" t="s">
        <v>709</v>
      </c>
      <c r="N461" t="s">
        <v>720</v>
      </c>
      <c r="O461" t="s">
        <v>727</v>
      </c>
      <c r="P461" t="str" cm="1">
        <f t="array" ref="P461">_xlfn.IFS(S461&lt;=PERCENTILE($S$2:$S$1000, 0.33), "Low", S461&lt;=PERCENTILE($S$2:$S$1000, 0.66), "Medium", TRUE, "High")</f>
        <v>High</v>
      </c>
      <c r="Q461" t="s">
        <v>1192</v>
      </c>
      <c r="R461" s="10">
        <v>1264.04</v>
      </c>
      <c r="S461" s="10">
        <v>1870.89</v>
      </c>
      <c r="T461" s="8">
        <v>0</v>
      </c>
      <c r="U461" s="12">
        <f t="shared" si="144"/>
        <v>0</v>
      </c>
      <c r="V461" s="6">
        <v>13</v>
      </c>
      <c r="W461" t="str">
        <f t="shared" si="134"/>
        <v>ok</v>
      </c>
      <c r="X461">
        <f t="shared" si="135"/>
        <v>13</v>
      </c>
      <c r="Y461">
        <f t="shared" si="145"/>
        <v>13</v>
      </c>
      <c r="Z461" s="10">
        <f t="shared" si="146"/>
        <v>24321.57</v>
      </c>
      <c r="AA461" s="10">
        <f t="shared" si="147"/>
        <v>16432.52</v>
      </c>
      <c r="AB461" s="10">
        <f t="shared" si="148"/>
        <v>7889.0499999999993</v>
      </c>
      <c r="AC461" s="10">
        <f t="shared" si="136"/>
        <v>606.37750000000005</v>
      </c>
      <c r="AD461" s="10">
        <f t="shared" si="137"/>
        <v>1193.865</v>
      </c>
      <c r="AE461" s="10">
        <f t="shared" si="138"/>
        <v>1912.0450000000001</v>
      </c>
      <c r="AF461" s="10" t="str">
        <f t="shared" si="139"/>
        <v>Low</v>
      </c>
      <c r="AG461" s="6">
        <f t="shared" si="149"/>
        <v>0.32436433996653996</v>
      </c>
      <c r="AH461" s="4">
        <f t="shared" si="150"/>
        <v>44945</v>
      </c>
      <c r="AI461" t="str">
        <f t="shared" si="151"/>
        <v>Jan-2023</v>
      </c>
    </row>
    <row r="462" spans="1:35" x14ac:dyDescent="0.25">
      <c r="A462" t="s">
        <v>474</v>
      </c>
      <c r="B462" s="4">
        <v>45116</v>
      </c>
      <c r="C462" s="4" t="str">
        <f t="shared" si="140"/>
        <v>Q3-2023</v>
      </c>
      <c r="D462" s="4" t="str">
        <f t="shared" si="141"/>
        <v>Jul-2023</v>
      </c>
      <c r="E462" s="4">
        <v>45126</v>
      </c>
      <c r="F462" s="12">
        <f t="shared" si="142"/>
        <v>10</v>
      </c>
      <c r="G462" s="12">
        <f t="shared" si="133"/>
        <v>0</v>
      </c>
      <c r="H462" s="4">
        <f t="shared" si="143"/>
        <v>45126</v>
      </c>
      <c r="I462" t="s">
        <v>647</v>
      </c>
      <c r="J462" t="s">
        <v>652</v>
      </c>
      <c r="K462" t="s">
        <v>689</v>
      </c>
      <c r="L462" t="s">
        <v>706</v>
      </c>
      <c r="M462" t="s">
        <v>710</v>
      </c>
      <c r="N462" t="s">
        <v>725</v>
      </c>
      <c r="O462" t="s">
        <v>727</v>
      </c>
      <c r="P462" t="str" cm="1">
        <f t="array" ref="P462">_xlfn.IFS(S462&lt;=PERCENTILE($S$2:$S$1000, 0.33), "Low", S462&lt;=PERCENTILE($S$2:$S$1000, 0.66), "Medium", TRUE, "High")</f>
        <v>Low</v>
      </c>
      <c r="Q462" t="s">
        <v>1193</v>
      </c>
      <c r="R462" s="10">
        <v>141.26</v>
      </c>
      <c r="S462" s="10">
        <v>206.88</v>
      </c>
      <c r="T462" s="8">
        <v>0.107</v>
      </c>
      <c r="U462" s="12">
        <f t="shared" si="144"/>
        <v>0</v>
      </c>
      <c r="V462" s="6">
        <v>9</v>
      </c>
      <c r="W462" t="str">
        <f t="shared" si="134"/>
        <v>ok</v>
      </c>
      <c r="X462">
        <f t="shared" si="135"/>
        <v>10</v>
      </c>
      <c r="Y462">
        <f t="shared" si="145"/>
        <v>10</v>
      </c>
      <c r="Z462" s="10">
        <f t="shared" si="146"/>
        <v>1662.6945600000001</v>
      </c>
      <c r="AA462" s="10">
        <f t="shared" si="147"/>
        <v>1271.3399999999999</v>
      </c>
      <c r="AB462" s="10">
        <f t="shared" si="148"/>
        <v>391.35456000000022</v>
      </c>
      <c r="AC462" s="10">
        <f t="shared" si="136"/>
        <v>606.37750000000005</v>
      </c>
      <c r="AD462" s="10">
        <f t="shared" si="137"/>
        <v>1193.865</v>
      </c>
      <c r="AE462" s="10">
        <f t="shared" si="138"/>
        <v>1912.0450000000001</v>
      </c>
      <c r="AF462" s="10" t="str">
        <f t="shared" si="139"/>
        <v>Medium</v>
      </c>
      <c r="AG462" s="6">
        <f t="shared" si="149"/>
        <v>0.23537369365062469</v>
      </c>
      <c r="AH462" s="4">
        <f t="shared" si="150"/>
        <v>44955</v>
      </c>
      <c r="AI462" t="str">
        <f t="shared" si="151"/>
        <v>Jan-2023</v>
      </c>
    </row>
    <row r="463" spans="1:35" x14ac:dyDescent="0.25">
      <c r="A463" t="s">
        <v>475</v>
      </c>
      <c r="B463" s="4">
        <v>45063</v>
      </c>
      <c r="C463" s="4" t="str">
        <f t="shared" si="140"/>
        <v>Q2-2023</v>
      </c>
      <c r="D463" s="4" t="str">
        <f t="shared" si="141"/>
        <v>May-2023</v>
      </c>
      <c r="E463" s="4">
        <v>45092</v>
      </c>
      <c r="F463" s="12">
        <f t="shared" si="142"/>
        <v>29</v>
      </c>
      <c r="G463" s="12">
        <f t="shared" si="133"/>
        <v>0</v>
      </c>
      <c r="H463" s="4">
        <f t="shared" si="143"/>
        <v>45092</v>
      </c>
      <c r="I463" t="s">
        <v>646</v>
      </c>
      <c r="J463" t="s">
        <v>661</v>
      </c>
      <c r="K463" t="s">
        <v>687</v>
      </c>
      <c r="L463" t="s">
        <v>706</v>
      </c>
      <c r="M463" t="s">
        <v>707</v>
      </c>
      <c r="N463" t="s">
        <v>723</v>
      </c>
      <c r="O463" t="s">
        <v>733</v>
      </c>
      <c r="P463" t="str" cm="1">
        <f t="array" ref="P463">_xlfn.IFS(S463&lt;=PERCENTILE($S$2:$S$1000, 0.33), "Low", S463&lt;=PERCENTILE($S$2:$S$1000, 0.66), "Medium", TRUE, "High")</f>
        <v>Low</v>
      </c>
      <c r="Q463" t="s">
        <v>1194</v>
      </c>
      <c r="R463" s="10">
        <v>40.89</v>
      </c>
      <c r="S463" s="10">
        <v>62.82</v>
      </c>
      <c r="T463" s="8">
        <v>0.129</v>
      </c>
      <c r="U463" s="12">
        <f t="shared" si="144"/>
        <v>0</v>
      </c>
      <c r="V463" s="6">
        <v>17</v>
      </c>
      <c r="W463" t="str">
        <f t="shared" si="134"/>
        <v>ok</v>
      </c>
      <c r="X463">
        <f t="shared" si="135"/>
        <v>29</v>
      </c>
      <c r="Y463">
        <f t="shared" si="145"/>
        <v>29</v>
      </c>
      <c r="Z463" s="10">
        <f t="shared" si="146"/>
        <v>930.17574000000002</v>
      </c>
      <c r="AA463" s="10">
        <f t="shared" si="147"/>
        <v>695.13</v>
      </c>
      <c r="AB463" s="10">
        <f t="shared" si="148"/>
        <v>235.04574000000002</v>
      </c>
      <c r="AC463" s="10">
        <f t="shared" si="136"/>
        <v>606.37750000000005</v>
      </c>
      <c r="AD463" s="10">
        <f t="shared" si="137"/>
        <v>1193.865</v>
      </c>
      <c r="AE463" s="10">
        <f t="shared" si="138"/>
        <v>1912.0450000000001</v>
      </c>
      <c r="AF463" s="10" t="str">
        <f t="shared" si="139"/>
        <v>Low</v>
      </c>
      <c r="AG463" s="6">
        <f t="shared" si="149"/>
        <v>0.25268960465470752</v>
      </c>
      <c r="AH463" s="4">
        <f t="shared" si="150"/>
        <v>44945</v>
      </c>
      <c r="AI463" t="str">
        <f t="shared" si="151"/>
        <v>Jan-2023</v>
      </c>
    </row>
    <row r="464" spans="1:35" x14ac:dyDescent="0.25">
      <c r="A464" t="s">
        <v>476</v>
      </c>
      <c r="B464" s="4">
        <v>45358</v>
      </c>
      <c r="C464" s="4" t="str">
        <f t="shared" si="140"/>
        <v>Q1-2024</v>
      </c>
      <c r="D464" s="4" t="str">
        <f t="shared" si="141"/>
        <v>Mar-2024</v>
      </c>
      <c r="E464" s="4">
        <v>45385</v>
      </c>
      <c r="F464" s="12">
        <f t="shared" si="142"/>
        <v>27</v>
      </c>
      <c r="G464" s="12">
        <f t="shared" si="133"/>
        <v>0</v>
      </c>
      <c r="H464" s="4">
        <f t="shared" si="143"/>
        <v>45385</v>
      </c>
      <c r="I464" t="s">
        <v>649</v>
      </c>
      <c r="J464" t="s">
        <v>656</v>
      </c>
      <c r="K464" t="s">
        <v>698</v>
      </c>
      <c r="L464" t="s">
        <v>701</v>
      </c>
      <c r="M464" t="s">
        <v>711</v>
      </c>
      <c r="N464" t="s">
        <v>724</v>
      </c>
      <c r="O464" t="s">
        <v>728</v>
      </c>
      <c r="P464" t="str" cm="1">
        <f t="array" ref="P464">_xlfn.IFS(S464&lt;=PERCENTILE($S$2:$S$1000, 0.33), "Low", S464&lt;=PERCENTILE($S$2:$S$1000, 0.66), "Medium", TRUE, "High")</f>
        <v>Medium</v>
      </c>
      <c r="Q464" t="s">
        <v>1195</v>
      </c>
      <c r="R464" s="10">
        <v>738.16</v>
      </c>
      <c r="S464" s="10">
        <v>956.49</v>
      </c>
      <c r="T464" s="8">
        <v>0.152</v>
      </c>
      <c r="U464" s="12">
        <f t="shared" si="144"/>
        <v>0</v>
      </c>
      <c r="V464" s="6">
        <v>5</v>
      </c>
      <c r="W464" t="str">
        <f t="shared" si="134"/>
        <v>ok</v>
      </c>
      <c r="X464">
        <f t="shared" si="135"/>
        <v>27</v>
      </c>
      <c r="Y464">
        <f t="shared" si="145"/>
        <v>27</v>
      </c>
      <c r="Z464" s="10">
        <f t="shared" si="146"/>
        <v>4055.5175999999997</v>
      </c>
      <c r="AA464" s="10">
        <f t="shared" si="147"/>
        <v>3690.7999999999997</v>
      </c>
      <c r="AB464" s="10">
        <f t="shared" si="148"/>
        <v>364.71759999999995</v>
      </c>
      <c r="AC464" s="10">
        <f t="shared" si="136"/>
        <v>606.37750000000005</v>
      </c>
      <c r="AD464" s="10">
        <f t="shared" si="137"/>
        <v>1193.865</v>
      </c>
      <c r="AE464" s="10">
        <f t="shared" si="138"/>
        <v>1912.0450000000001</v>
      </c>
      <c r="AF464" s="10" t="str">
        <f t="shared" si="139"/>
        <v>Low</v>
      </c>
      <c r="AG464" s="6">
        <f t="shared" si="149"/>
        <v>8.9931208780847108E-2</v>
      </c>
      <c r="AH464" s="4">
        <f t="shared" si="150"/>
        <v>44955</v>
      </c>
      <c r="AI464" t="str">
        <f t="shared" si="151"/>
        <v>Jan-2023</v>
      </c>
    </row>
    <row r="465" spans="1:35" x14ac:dyDescent="0.25">
      <c r="A465" t="s">
        <v>477</v>
      </c>
      <c r="B465" s="4">
        <v>45757</v>
      </c>
      <c r="C465" s="4" t="str">
        <f t="shared" si="140"/>
        <v>Q2-2025</v>
      </c>
      <c r="D465" s="4" t="str">
        <f t="shared" si="141"/>
        <v>Apr-2025</v>
      </c>
      <c r="E465" s="4">
        <v>45766</v>
      </c>
      <c r="F465" s="12">
        <f t="shared" si="142"/>
        <v>9</v>
      </c>
      <c r="G465" s="12">
        <f t="shared" si="133"/>
        <v>0</v>
      </c>
      <c r="H465" s="4">
        <f t="shared" si="143"/>
        <v>45766</v>
      </c>
      <c r="I465" t="s">
        <v>646</v>
      </c>
      <c r="J465" t="s">
        <v>661</v>
      </c>
      <c r="K465" t="s">
        <v>687</v>
      </c>
      <c r="L465" t="s">
        <v>706</v>
      </c>
      <c r="M465" t="s">
        <v>1418</v>
      </c>
      <c r="N465" t="s">
        <v>715</v>
      </c>
      <c r="O465" t="s">
        <v>729</v>
      </c>
      <c r="P465" t="str" cm="1">
        <f t="array" ref="P465">_xlfn.IFS(S465&lt;=PERCENTILE($S$2:$S$1000, 0.33), "Low", S465&lt;=PERCENTILE($S$2:$S$1000, 0.66), "Medium", TRUE, "High")</f>
        <v>Low</v>
      </c>
      <c r="Q465" t="s">
        <v>1196</v>
      </c>
      <c r="R465" s="10">
        <v>113.74</v>
      </c>
      <c r="S465" s="10">
        <v>165.7</v>
      </c>
      <c r="T465" s="8">
        <v>0.124</v>
      </c>
      <c r="U465" s="12">
        <f t="shared" si="144"/>
        <v>0</v>
      </c>
      <c r="V465" s="6">
        <v>13</v>
      </c>
      <c r="W465" t="str">
        <f t="shared" si="134"/>
        <v>ok</v>
      </c>
      <c r="X465">
        <f t="shared" si="135"/>
        <v>9</v>
      </c>
      <c r="Y465">
        <f t="shared" si="145"/>
        <v>9</v>
      </c>
      <c r="Z465" s="10">
        <f t="shared" si="146"/>
        <v>1886.9915999999998</v>
      </c>
      <c r="AA465" s="10">
        <f t="shared" si="147"/>
        <v>1478.62</v>
      </c>
      <c r="AB465" s="10">
        <f t="shared" si="148"/>
        <v>408.37159999999994</v>
      </c>
      <c r="AC465" s="10">
        <f t="shared" si="136"/>
        <v>606.37750000000005</v>
      </c>
      <c r="AD465" s="10">
        <f t="shared" si="137"/>
        <v>1193.865</v>
      </c>
      <c r="AE465" s="10">
        <f t="shared" si="138"/>
        <v>1912.0450000000001</v>
      </c>
      <c r="AF465" s="10" t="str">
        <f t="shared" si="139"/>
        <v>Medium</v>
      </c>
      <c r="AG465" s="6">
        <f t="shared" si="149"/>
        <v>0.21641410592394794</v>
      </c>
      <c r="AH465" s="4">
        <f t="shared" si="150"/>
        <v>44936</v>
      </c>
      <c r="AI465" t="str">
        <f t="shared" si="151"/>
        <v>Jan-2023</v>
      </c>
    </row>
    <row r="466" spans="1:35" x14ac:dyDescent="0.25">
      <c r="A466" t="s">
        <v>478</v>
      </c>
      <c r="B466" s="4">
        <v>45865</v>
      </c>
      <c r="C466" s="4" t="str">
        <f t="shared" si="140"/>
        <v>Q3-2025</v>
      </c>
      <c r="D466" s="4" t="str">
        <f t="shared" si="141"/>
        <v>Jul-2025</v>
      </c>
      <c r="E466" s="4">
        <v>45884</v>
      </c>
      <c r="F466" s="12">
        <f t="shared" si="142"/>
        <v>19</v>
      </c>
      <c r="G466" s="12">
        <f t="shared" si="133"/>
        <v>0</v>
      </c>
      <c r="H466" s="4">
        <f t="shared" si="143"/>
        <v>45884</v>
      </c>
      <c r="I466" t="s">
        <v>647</v>
      </c>
      <c r="J466" t="s">
        <v>652</v>
      </c>
      <c r="K466" t="s">
        <v>689</v>
      </c>
      <c r="L466" t="s">
        <v>705</v>
      </c>
      <c r="M466" t="s">
        <v>709</v>
      </c>
      <c r="N466" t="s">
        <v>713</v>
      </c>
      <c r="O466" t="s">
        <v>727</v>
      </c>
      <c r="P466" t="str" cm="1">
        <f t="array" ref="P466">_xlfn.IFS(S466&lt;=PERCENTILE($S$2:$S$1000, 0.33), "Low", S466&lt;=PERCENTILE($S$2:$S$1000, 0.66), "Medium", TRUE, "High")</f>
        <v>Low</v>
      </c>
      <c r="Q466" t="s">
        <v>1197</v>
      </c>
      <c r="R466" s="10">
        <v>275.43</v>
      </c>
      <c r="S466" s="10">
        <v>608.36</v>
      </c>
      <c r="T466" s="8">
        <v>0.25700000000000001</v>
      </c>
      <c r="U466" s="12">
        <f t="shared" si="144"/>
        <v>1</v>
      </c>
      <c r="V466" s="6">
        <v>4</v>
      </c>
      <c r="W466" t="str">
        <f t="shared" si="134"/>
        <v>ok</v>
      </c>
      <c r="X466">
        <f t="shared" si="135"/>
        <v>19</v>
      </c>
      <c r="Y466">
        <f t="shared" si="145"/>
        <v>19</v>
      </c>
      <c r="Z466" s="10">
        <f t="shared" si="146"/>
        <v>1808.04592</v>
      </c>
      <c r="AA466" s="10">
        <f t="shared" si="147"/>
        <v>1101.72</v>
      </c>
      <c r="AB466" s="10">
        <f t="shared" si="148"/>
        <v>706.32592</v>
      </c>
      <c r="AC466" s="10">
        <f t="shared" si="136"/>
        <v>606.37750000000005</v>
      </c>
      <c r="AD466" s="10">
        <f t="shared" si="137"/>
        <v>1193.865</v>
      </c>
      <c r="AE466" s="10">
        <f t="shared" si="138"/>
        <v>1912.0450000000001</v>
      </c>
      <c r="AF466" s="10" t="str">
        <f t="shared" si="139"/>
        <v>Low</v>
      </c>
      <c r="AG466" s="6">
        <f t="shared" si="149"/>
        <v>0.39065706915231446</v>
      </c>
      <c r="AH466" s="4">
        <f t="shared" si="150"/>
        <v>44938</v>
      </c>
      <c r="AI466" t="str">
        <f t="shared" si="151"/>
        <v>Jan-2023</v>
      </c>
    </row>
    <row r="467" spans="1:35" x14ac:dyDescent="0.25">
      <c r="A467" t="s">
        <v>479</v>
      </c>
      <c r="B467" s="4">
        <v>45618</v>
      </c>
      <c r="C467" s="4" t="str">
        <f t="shared" si="140"/>
        <v>Q4-2024</v>
      </c>
      <c r="D467" s="4" t="str">
        <f t="shared" si="141"/>
        <v>Nov-2024</v>
      </c>
      <c r="E467" s="4">
        <v>45641</v>
      </c>
      <c r="F467" s="12">
        <f t="shared" si="142"/>
        <v>23</v>
      </c>
      <c r="G467" s="12">
        <f t="shared" si="133"/>
        <v>0</v>
      </c>
      <c r="H467" s="4">
        <f t="shared" si="143"/>
        <v>45641</v>
      </c>
      <c r="I467" t="s">
        <v>646</v>
      </c>
      <c r="J467" t="s">
        <v>650</v>
      </c>
      <c r="K467" t="s">
        <v>675</v>
      </c>
      <c r="L467" t="s">
        <v>703</v>
      </c>
      <c r="M467" t="s">
        <v>710</v>
      </c>
      <c r="N467" t="s">
        <v>712</v>
      </c>
      <c r="O467" t="s">
        <v>727</v>
      </c>
      <c r="P467" t="str" cm="1">
        <f t="array" ref="P467">_xlfn.IFS(S467&lt;=PERCENTILE($S$2:$S$1000, 0.33), "Low", S467&lt;=PERCENTILE($S$2:$S$1000, 0.66), "Medium", TRUE, "High")</f>
        <v>High</v>
      </c>
      <c r="Q467" t="s">
        <v>1198</v>
      </c>
      <c r="R467" s="10">
        <v>1335.76</v>
      </c>
      <c r="S467" s="10">
        <v>2665.91</v>
      </c>
      <c r="T467" s="8">
        <v>0.21099999999999999</v>
      </c>
      <c r="U467" s="12">
        <f t="shared" si="144"/>
        <v>1</v>
      </c>
      <c r="V467" s="6">
        <v>40</v>
      </c>
      <c r="W467" t="str">
        <f t="shared" si="134"/>
        <v>ok</v>
      </c>
      <c r="X467">
        <f t="shared" si="135"/>
        <v>23</v>
      </c>
      <c r="Y467">
        <f t="shared" si="145"/>
        <v>23</v>
      </c>
      <c r="Z467" s="10">
        <f t="shared" si="146"/>
        <v>84136.119600000005</v>
      </c>
      <c r="AA467" s="10">
        <f t="shared" si="147"/>
        <v>53430.400000000001</v>
      </c>
      <c r="AB467" s="10">
        <f t="shared" si="148"/>
        <v>30705.719600000004</v>
      </c>
      <c r="AC467" s="10">
        <f t="shared" si="136"/>
        <v>606.37750000000005</v>
      </c>
      <c r="AD467" s="10">
        <f t="shared" si="137"/>
        <v>1193.865</v>
      </c>
      <c r="AE467" s="10">
        <f t="shared" si="138"/>
        <v>1912.0450000000001</v>
      </c>
      <c r="AF467" s="10" t="str">
        <f t="shared" si="139"/>
        <v>Medium</v>
      </c>
      <c r="AG467" s="6">
        <f t="shared" si="149"/>
        <v>0.36495288522909253</v>
      </c>
      <c r="AH467" s="4">
        <f t="shared" si="150"/>
        <v>44955</v>
      </c>
      <c r="AI467" t="str">
        <f t="shared" si="151"/>
        <v>Jan-2023</v>
      </c>
    </row>
    <row r="468" spans="1:35" x14ac:dyDescent="0.25">
      <c r="A468" t="s">
        <v>480</v>
      </c>
      <c r="B468" s="4">
        <v>45466</v>
      </c>
      <c r="C468" s="4" t="str">
        <f t="shared" si="140"/>
        <v>Q2-2024</v>
      </c>
      <c r="D468" s="4" t="str">
        <f t="shared" si="141"/>
        <v>Jun-2024</v>
      </c>
      <c r="E468" s="4">
        <v>45471</v>
      </c>
      <c r="F468" s="12">
        <f t="shared" si="142"/>
        <v>5</v>
      </c>
      <c r="G468" s="12">
        <f t="shared" si="133"/>
        <v>1</v>
      </c>
      <c r="H468" s="4">
        <f t="shared" si="143"/>
        <v>45471</v>
      </c>
      <c r="I468" t="s">
        <v>646</v>
      </c>
      <c r="J468" t="s">
        <v>651</v>
      </c>
      <c r="K468" t="s">
        <v>663</v>
      </c>
      <c r="L468" t="s">
        <v>703</v>
      </c>
      <c r="M468" t="s">
        <v>711</v>
      </c>
      <c r="N468" t="s">
        <v>724</v>
      </c>
      <c r="O468" t="s">
        <v>733</v>
      </c>
      <c r="P468" t="str" cm="1">
        <f t="array" ref="P468">_xlfn.IFS(S468&lt;=PERCENTILE($S$2:$S$1000, 0.33), "Low", S468&lt;=PERCENTILE($S$2:$S$1000, 0.66), "Medium", TRUE, "High")</f>
        <v>Low</v>
      </c>
      <c r="Q468" t="s">
        <v>1199</v>
      </c>
      <c r="R468" s="10">
        <v>242.31</v>
      </c>
      <c r="S468" s="10">
        <v>587.95000000000005</v>
      </c>
      <c r="T468" s="8">
        <v>0.22900000000000001</v>
      </c>
      <c r="U468" s="12">
        <f t="shared" si="144"/>
        <v>1</v>
      </c>
      <c r="V468" s="6">
        <v>6</v>
      </c>
      <c r="W468" t="str">
        <f t="shared" si="134"/>
        <v>ok</v>
      </c>
      <c r="X468">
        <f t="shared" si="135"/>
        <v>5</v>
      </c>
      <c r="Y468">
        <f t="shared" si="145"/>
        <v>5</v>
      </c>
      <c r="Z468" s="10">
        <f t="shared" si="146"/>
        <v>2719.8567000000003</v>
      </c>
      <c r="AA468" s="10">
        <f t="shared" si="147"/>
        <v>1453.8600000000001</v>
      </c>
      <c r="AB468" s="10">
        <f t="shared" si="148"/>
        <v>1265.9967000000001</v>
      </c>
      <c r="AC468" s="10">
        <f t="shared" si="136"/>
        <v>606.37750000000005</v>
      </c>
      <c r="AD468" s="10">
        <f t="shared" si="137"/>
        <v>1193.865</v>
      </c>
      <c r="AE468" s="10">
        <f t="shared" si="138"/>
        <v>1912.0450000000001</v>
      </c>
      <c r="AF468" s="10" t="str">
        <f t="shared" si="139"/>
        <v>High</v>
      </c>
      <c r="AG468" s="6">
        <f t="shared" si="149"/>
        <v>0.46546448568411714</v>
      </c>
      <c r="AH468" s="4">
        <f t="shared" si="150"/>
        <v>44941</v>
      </c>
      <c r="AI468" t="str">
        <f t="shared" si="151"/>
        <v>Jan-2023</v>
      </c>
    </row>
    <row r="469" spans="1:35" x14ac:dyDescent="0.25">
      <c r="A469" t="s">
        <v>481</v>
      </c>
      <c r="B469" s="4">
        <v>45278</v>
      </c>
      <c r="C469" s="4" t="str">
        <f t="shared" si="140"/>
        <v>Q4-2023</v>
      </c>
      <c r="D469" s="4" t="str">
        <f t="shared" si="141"/>
        <v>Dec-2023</v>
      </c>
      <c r="E469" s="4">
        <v>45305</v>
      </c>
      <c r="F469" s="12">
        <f t="shared" si="142"/>
        <v>27</v>
      </c>
      <c r="G469" s="12">
        <f t="shared" si="133"/>
        <v>0</v>
      </c>
      <c r="H469" s="4">
        <f t="shared" si="143"/>
        <v>45305</v>
      </c>
      <c r="I469" t="s">
        <v>647</v>
      </c>
      <c r="J469" t="s">
        <v>654</v>
      </c>
      <c r="K469" t="s">
        <v>691</v>
      </c>
      <c r="L469" t="s">
        <v>704</v>
      </c>
      <c r="M469" t="s">
        <v>710</v>
      </c>
      <c r="N469" t="s">
        <v>726</v>
      </c>
      <c r="O469" t="s">
        <v>729</v>
      </c>
      <c r="P469" t="str" cm="1">
        <f t="array" ref="P469">_xlfn.IFS(S469&lt;=PERCENTILE($S$2:$S$1000, 0.33), "Low", S469&lt;=PERCENTILE($S$2:$S$1000, 0.66), "Medium", TRUE, "High")</f>
        <v>High</v>
      </c>
      <c r="Q469" t="s">
        <v>1200</v>
      </c>
      <c r="R469" s="10">
        <v>1408.3</v>
      </c>
      <c r="S469" s="10">
        <v>2193.13</v>
      </c>
      <c r="T469" s="8">
        <v>7.0999999999999994E-2</v>
      </c>
      <c r="U469" s="12">
        <f t="shared" si="144"/>
        <v>0</v>
      </c>
      <c r="V469" s="6">
        <v>7</v>
      </c>
      <c r="W469" t="str">
        <f t="shared" si="134"/>
        <v>ok</v>
      </c>
      <c r="X469">
        <f t="shared" si="135"/>
        <v>27</v>
      </c>
      <c r="Y469">
        <f t="shared" si="145"/>
        <v>27</v>
      </c>
      <c r="Z469" s="10">
        <f t="shared" si="146"/>
        <v>14261.92439</v>
      </c>
      <c r="AA469" s="10">
        <f t="shared" si="147"/>
        <v>9858.1</v>
      </c>
      <c r="AB469" s="10">
        <f t="shared" si="148"/>
        <v>4403.8243899999998</v>
      </c>
      <c r="AC469" s="10">
        <f t="shared" si="136"/>
        <v>606.37750000000005</v>
      </c>
      <c r="AD469" s="10">
        <f t="shared" si="137"/>
        <v>1193.865</v>
      </c>
      <c r="AE469" s="10">
        <f t="shared" si="138"/>
        <v>1912.0450000000001</v>
      </c>
      <c r="AF469" s="10" t="str">
        <f t="shared" si="139"/>
        <v>Low</v>
      </c>
      <c r="AG469" s="6">
        <f t="shared" si="149"/>
        <v>0.30878191957656281</v>
      </c>
      <c r="AH469" s="4">
        <f t="shared" si="150"/>
        <v>44933</v>
      </c>
      <c r="AI469" t="str">
        <f t="shared" si="151"/>
        <v>Jan-2023</v>
      </c>
    </row>
    <row r="470" spans="1:35" x14ac:dyDescent="0.25">
      <c r="A470" t="s">
        <v>482</v>
      </c>
      <c r="B470" s="4">
        <v>45809</v>
      </c>
      <c r="C470" s="4" t="str">
        <f t="shared" si="140"/>
        <v>Q2-2025</v>
      </c>
      <c r="D470" s="4" t="str">
        <f t="shared" si="141"/>
        <v>Jun-2025</v>
      </c>
      <c r="E470" s="4">
        <v>45813</v>
      </c>
      <c r="F470" s="12">
        <f t="shared" si="142"/>
        <v>4</v>
      </c>
      <c r="G470" s="12">
        <f t="shared" si="133"/>
        <v>1</v>
      </c>
      <c r="H470" s="4">
        <f t="shared" si="143"/>
        <v>45813</v>
      </c>
      <c r="I470" t="s">
        <v>649</v>
      </c>
      <c r="J470" t="s">
        <v>656</v>
      </c>
      <c r="K470" t="s">
        <v>684</v>
      </c>
      <c r="L470" t="s">
        <v>706</v>
      </c>
      <c r="M470" t="s">
        <v>711</v>
      </c>
      <c r="N470" t="s">
        <v>724</v>
      </c>
      <c r="O470" t="s">
        <v>727</v>
      </c>
      <c r="P470" t="str" cm="1">
        <f t="array" ref="P470">_xlfn.IFS(S470&lt;=PERCENTILE($S$2:$S$1000, 0.33), "Low", S470&lt;=PERCENTILE($S$2:$S$1000, 0.66), "Medium", TRUE, "High")</f>
        <v>High</v>
      </c>
      <c r="Q470" t="s">
        <v>1201</v>
      </c>
      <c r="R470" s="10">
        <v>1171.42</v>
      </c>
      <c r="S470" s="10">
        <v>2187.8000000000002</v>
      </c>
      <c r="T470" s="8">
        <v>0.23</v>
      </c>
      <c r="U470" s="12">
        <f t="shared" si="144"/>
        <v>1</v>
      </c>
      <c r="V470" s="6">
        <v>15</v>
      </c>
      <c r="W470" t="str">
        <f t="shared" si="134"/>
        <v>ok</v>
      </c>
      <c r="X470">
        <f t="shared" si="135"/>
        <v>4</v>
      </c>
      <c r="Y470">
        <f t="shared" si="145"/>
        <v>4</v>
      </c>
      <c r="Z470" s="10">
        <f t="shared" si="146"/>
        <v>25269.09</v>
      </c>
      <c r="AA470" s="10">
        <f t="shared" si="147"/>
        <v>17571.300000000003</v>
      </c>
      <c r="AB470" s="10">
        <f t="shared" si="148"/>
        <v>7697.7899999999972</v>
      </c>
      <c r="AC470" s="10">
        <f t="shared" si="136"/>
        <v>606.37750000000005</v>
      </c>
      <c r="AD470" s="10">
        <f t="shared" si="137"/>
        <v>1193.865</v>
      </c>
      <c r="AE470" s="10">
        <f t="shared" si="138"/>
        <v>1912.0450000000001</v>
      </c>
      <c r="AF470" s="10" t="str">
        <f t="shared" si="139"/>
        <v>High</v>
      </c>
      <c r="AG470" s="6">
        <f t="shared" si="149"/>
        <v>0.30463265594447592</v>
      </c>
      <c r="AH470" s="4">
        <f t="shared" si="150"/>
        <v>44946</v>
      </c>
      <c r="AI470" t="str">
        <f t="shared" si="151"/>
        <v>Jan-2023</v>
      </c>
    </row>
    <row r="471" spans="1:35" x14ac:dyDescent="0.25">
      <c r="A471" t="s">
        <v>483</v>
      </c>
      <c r="B471" s="4">
        <v>45739</v>
      </c>
      <c r="C471" s="4" t="str">
        <f t="shared" si="140"/>
        <v>Q1-2025</v>
      </c>
      <c r="D471" s="4" t="str">
        <f t="shared" si="141"/>
        <v>Mar-2025</v>
      </c>
      <c r="E471" s="4">
        <v>45749</v>
      </c>
      <c r="F471" s="12">
        <f t="shared" si="142"/>
        <v>10</v>
      </c>
      <c r="G471" s="12">
        <f t="shared" si="133"/>
        <v>0</v>
      </c>
      <c r="H471" s="4">
        <f t="shared" si="143"/>
        <v>45749</v>
      </c>
      <c r="I471" t="s">
        <v>649</v>
      </c>
      <c r="J471" t="s">
        <v>656</v>
      </c>
      <c r="K471" t="s">
        <v>671</v>
      </c>
      <c r="L471" t="s">
        <v>706</v>
      </c>
      <c r="M471" t="s">
        <v>708</v>
      </c>
      <c r="N471" t="s">
        <v>718</v>
      </c>
      <c r="O471" t="s">
        <v>728</v>
      </c>
      <c r="P471" t="str" cm="1">
        <f t="array" ref="P471">_xlfn.IFS(S471&lt;=PERCENTILE($S$2:$S$1000, 0.33), "Low", S471&lt;=PERCENTILE($S$2:$S$1000, 0.66), "Medium", TRUE, "High")</f>
        <v>Medium</v>
      </c>
      <c r="Q471" t="s">
        <v>1202</v>
      </c>
      <c r="R471" s="10">
        <v>663.61</v>
      </c>
      <c r="S471" s="10">
        <v>1002.11</v>
      </c>
      <c r="T471" s="8">
        <v>4.5999999999999999E-2</v>
      </c>
      <c r="U471" s="12">
        <f t="shared" si="144"/>
        <v>0</v>
      </c>
      <c r="V471" s="6">
        <v>17</v>
      </c>
      <c r="W471" t="str">
        <f t="shared" si="134"/>
        <v>ok</v>
      </c>
      <c r="X471">
        <f t="shared" si="135"/>
        <v>10</v>
      </c>
      <c r="Y471">
        <f t="shared" si="145"/>
        <v>10</v>
      </c>
      <c r="Z471" s="10">
        <f t="shared" si="146"/>
        <v>16252.219979999998</v>
      </c>
      <c r="AA471" s="10">
        <f t="shared" si="147"/>
        <v>11281.37</v>
      </c>
      <c r="AB471" s="10">
        <f t="shared" si="148"/>
        <v>4970.8499799999972</v>
      </c>
      <c r="AC471" s="10">
        <f t="shared" si="136"/>
        <v>606.37750000000005</v>
      </c>
      <c r="AD471" s="10">
        <f t="shared" si="137"/>
        <v>1193.865</v>
      </c>
      <c r="AE471" s="10">
        <f t="shared" si="138"/>
        <v>1912.0450000000001</v>
      </c>
      <c r="AF471" s="10" t="str">
        <f t="shared" si="139"/>
        <v>High</v>
      </c>
      <c r="AG471" s="6">
        <f t="shared" si="149"/>
        <v>0.30585667595670812</v>
      </c>
      <c r="AH471" s="4">
        <f t="shared" si="150"/>
        <v>44939</v>
      </c>
      <c r="AI471" t="str">
        <f t="shared" si="151"/>
        <v>Jan-2023</v>
      </c>
    </row>
    <row r="472" spans="1:35" x14ac:dyDescent="0.25">
      <c r="A472" t="s">
        <v>484</v>
      </c>
      <c r="B472" s="4">
        <v>45060</v>
      </c>
      <c r="C472" s="4" t="str">
        <f t="shared" si="140"/>
        <v>Q2-2023</v>
      </c>
      <c r="D472" s="4" t="str">
        <f t="shared" si="141"/>
        <v>May-2023</v>
      </c>
      <c r="E472" s="4">
        <v>45068</v>
      </c>
      <c r="F472" s="12">
        <f t="shared" si="142"/>
        <v>8</v>
      </c>
      <c r="G472" s="12">
        <f t="shared" si="133"/>
        <v>0</v>
      </c>
      <c r="H472" s="4">
        <f t="shared" si="143"/>
        <v>45068</v>
      </c>
      <c r="I472" t="s">
        <v>646</v>
      </c>
      <c r="J472" t="s">
        <v>650</v>
      </c>
      <c r="K472" t="s">
        <v>675</v>
      </c>
      <c r="L472" t="s">
        <v>705</v>
      </c>
      <c r="M472" t="s">
        <v>710</v>
      </c>
      <c r="N472" t="s">
        <v>721</v>
      </c>
      <c r="O472" t="s">
        <v>728</v>
      </c>
      <c r="P472" t="str" cm="1">
        <f t="array" ref="P472">_xlfn.IFS(S472&lt;=PERCENTILE($S$2:$S$1000, 0.33), "Low", S472&lt;=PERCENTILE($S$2:$S$1000, 0.66), "Medium", TRUE, "High")</f>
        <v>Medium</v>
      </c>
      <c r="Q472" t="s">
        <v>1203</v>
      </c>
      <c r="R472" s="10">
        <v>432.01</v>
      </c>
      <c r="S472" s="10">
        <v>913.78</v>
      </c>
      <c r="T472" s="8">
        <v>4.9000000000000002E-2</v>
      </c>
      <c r="U472" s="12">
        <f t="shared" si="144"/>
        <v>0</v>
      </c>
      <c r="V472" s="6">
        <v>12</v>
      </c>
      <c r="W472" t="str">
        <f t="shared" si="134"/>
        <v>ok</v>
      </c>
      <c r="X472">
        <f t="shared" si="135"/>
        <v>8</v>
      </c>
      <c r="Y472">
        <f t="shared" si="145"/>
        <v>8</v>
      </c>
      <c r="Z472" s="10">
        <f t="shared" si="146"/>
        <v>10428.057360000001</v>
      </c>
      <c r="AA472" s="10">
        <f t="shared" si="147"/>
        <v>5184.12</v>
      </c>
      <c r="AB472" s="10">
        <f t="shared" si="148"/>
        <v>5243.9373600000008</v>
      </c>
      <c r="AC472" s="10">
        <f t="shared" si="136"/>
        <v>606.37750000000005</v>
      </c>
      <c r="AD472" s="10">
        <f t="shared" si="137"/>
        <v>1193.865</v>
      </c>
      <c r="AE472" s="10">
        <f t="shared" si="138"/>
        <v>1912.0450000000001</v>
      </c>
      <c r="AF472" s="10" t="str">
        <f t="shared" si="139"/>
        <v>Medium</v>
      </c>
      <c r="AG472" s="6">
        <f t="shared" si="149"/>
        <v>0.50286809699711899</v>
      </c>
      <c r="AH472" s="4">
        <f t="shared" si="150"/>
        <v>44946</v>
      </c>
      <c r="AI472" t="str">
        <f t="shared" si="151"/>
        <v>Jan-2023</v>
      </c>
    </row>
    <row r="473" spans="1:35" x14ac:dyDescent="0.25">
      <c r="A473" t="s">
        <v>485</v>
      </c>
      <c r="B473" s="4">
        <v>45167</v>
      </c>
      <c r="C473" s="4" t="str">
        <f t="shared" si="140"/>
        <v>Q3-2023</v>
      </c>
      <c r="D473" s="4" t="str">
        <f t="shared" si="141"/>
        <v>Aug-2023</v>
      </c>
      <c r="E473" s="4">
        <v>45188</v>
      </c>
      <c r="F473" s="12">
        <f t="shared" si="142"/>
        <v>21</v>
      </c>
      <c r="G473" s="12">
        <f t="shared" si="133"/>
        <v>0</v>
      </c>
      <c r="H473" s="4">
        <f t="shared" si="143"/>
        <v>45188</v>
      </c>
      <c r="I473" t="s">
        <v>649</v>
      </c>
      <c r="J473" t="s">
        <v>657</v>
      </c>
      <c r="K473" t="s">
        <v>679</v>
      </c>
      <c r="L473" t="s">
        <v>705</v>
      </c>
      <c r="M473" t="s">
        <v>711</v>
      </c>
      <c r="N473" t="s">
        <v>717</v>
      </c>
      <c r="O473" t="s">
        <v>728</v>
      </c>
      <c r="P473" t="str" cm="1">
        <f t="array" ref="P473">_xlfn.IFS(S473&lt;=PERCENTILE($S$2:$S$1000, 0.33), "Low", S473&lt;=PERCENTILE($S$2:$S$1000, 0.66), "Medium", TRUE, "High")</f>
        <v>High</v>
      </c>
      <c r="Q473" t="s">
        <v>1204</v>
      </c>
      <c r="R473" s="10">
        <v>784.46</v>
      </c>
      <c r="S473" s="10">
        <v>1843.51</v>
      </c>
      <c r="T473" s="8">
        <v>0.13800000000000001</v>
      </c>
      <c r="U473" s="12">
        <f t="shared" si="144"/>
        <v>0</v>
      </c>
      <c r="V473" s="6">
        <v>23</v>
      </c>
      <c r="W473" t="str">
        <f t="shared" si="134"/>
        <v>ok</v>
      </c>
      <c r="X473">
        <f t="shared" si="135"/>
        <v>21</v>
      </c>
      <c r="Y473">
        <f t="shared" si="145"/>
        <v>21</v>
      </c>
      <c r="Z473" s="10">
        <f t="shared" si="146"/>
        <v>36549.429260000004</v>
      </c>
      <c r="AA473" s="10">
        <f t="shared" si="147"/>
        <v>18042.580000000002</v>
      </c>
      <c r="AB473" s="10">
        <f t="shared" si="148"/>
        <v>18506.849260000003</v>
      </c>
      <c r="AC473" s="10">
        <f t="shared" si="136"/>
        <v>606.37750000000005</v>
      </c>
      <c r="AD473" s="10">
        <f t="shared" si="137"/>
        <v>1193.865</v>
      </c>
      <c r="AE473" s="10">
        <f t="shared" si="138"/>
        <v>1912.0450000000001</v>
      </c>
      <c r="AF473" s="10" t="str">
        <f t="shared" si="139"/>
        <v>Medium</v>
      </c>
      <c r="AG473" s="6">
        <f t="shared" si="149"/>
        <v>0.50635125184441798</v>
      </c>
      <c r="AH473" s="4">
        <f t="shared" si="150"/>
        <v>44955</v>
      </c>
      <c r="AI473" t="str">
        <f t="shared" si="151"/>
        <v>Jan-2023</v>
      </c>
    </row>
    <row r="474" spans="1:35" x14ac:dyDescent="0.25">
      <c r="A474" t="s">
        <v>486</v>
      </c>
      <c r="B474" s="4">
        <v>45841</v>
      </c>
      <c r="C474" s="4" t="str">
        <f t="shared" si="140"/>
        <v>Q3-2025</v>
      </c>
      <c r="D474" s="4" t="str">
        <f t="shared" si="141"/>
        <v>Jul-2025</v>
      </c>
      <c r="E474" s="4">
        <v>45861</v>
      </c>
      <c r="F474" s="12">
        <f t="shared" si="142"/>
        <v>20</v>
      </c>
      <c r="G474" s="12">
        <f t="shared" si="133"/>
        <v>0</v>
      </c>
      <c r="H474" s="4">
        <f t="shared" si="143"/>
        <v>45861</v>
      </c>
      <c r="I474" t="s">
        <v>647</v>
      </c>
      <c r="J474" t="s">
        <v>659</v>
      </c>
      <c r="K474" t="s">
        <v>699</v>
      </c>
      <c r="L474" t="s">
        <v>705</v>
      </c>
      <c r="M474" t="s">
        <v>708</v>
      </c>
      <c r="N474" t="s">
        <v>724</v>
      </c>
      <c r="O474" t="s">
        <v>727</v>
      </c>
      <c r="P474" t="str" cm="1">
        <f t="array" ref="P474">_xlfn.IFS(S474&lt;=PERCENTILE($S$2:$S$1000, 0.33), "Low", S474&lt;=PERCENTILE($S$2:$S$1000, 0.66), "Medium", TRUE, "High")</f>
        <v>Medium</v>
      </c>
      <c r="Q474" t="s">
        <v>1205</v>
      </c>
      <c r="R474" s="10">
        <v>647.36</v>
      </c>
      <c r="S474" s="10">
        <v>1383.6</v>
      </c>
      <c r="T474" s="8">
        <v>7.3999999999999996E-2</v>
      </c>
      <c r="U474" s="12">
        <f t="shared" si="144"/>
        <v>0</v>
      </c>
      <c r="V474" s="6">
        <v>12</v>
      </c>
      <c r="W474" t="str">
        <f t="shared" si="134"/>
        <v>ok</v>
      </c>
      <c r="X474">
        <f t="shared" si="135"/>
        <v>20</v>
      </c>
      <c r="Y474">
        <f t="shared" si="145"/>
        <v>20</v>
      </c>
      <c r="Z474" s="10">
        <f t="shared" si="146"/>
        <v>15374.563199999999</v>
      </c>
      <c r="AA474" s="10">
        <f t="shared" si="147"/>
        <v>7768.32</v>
      </c>
      <c r="AB474" s="10">
        <f t="shared" si="148"/>
        <v>7606.243199999999</v>
      </c>
      <c r="AC474" s="10">
        <f t="shared" si="136"/>
        <v>606.37750000000005</v>
      </c>
      <c r="AD474" s="10">
        <f t="shared" si="137"/>
        <v>1193.865</v>
      </c>
      <c r="AE474" s="10">
        <f t="shared" si="138"/>
        <v>1912.0450000000001</v>
      </c>
      <c r="AF474" s="10" t="str">
        <f t="shared" si="139"/>
        <v>Medium</v>
      </c>
      <c r="AG474" s="6">
        <f t="shared" si="149"/>
        <v>0.49472906000997802</v>
      </c>
      <c r="AH474" s="4">
        <f t="shared" si="150"/>
        <v>44988</v>
      </c>
      <c r="AI474" t="str">
        <f t="shared" si="151"/>
        <v>Mar-2023</v>
      </c>
    </row>
    <row r="475" spans="1:35" x14ac:dyDescent="0.25">
      <c r="A475" t="s">
        <v>487</v>
      </c>
      <c r="B475" s="4">
        <v>45328</v>
      </c>
      <c r="C475" s="4" t="str">
        <f t="shared" si="140"/>
        <v>Q1-2024</v>
      </c>
      <c r="D475" s="4" t="str">
        <f t="shared" si="141"/>
        <v>Feb-2024</v>
      </c>
      <c r="E475" s="4">
        <v>45350</v>
      </c>
      <c r="F475" s="12">
        <f t="shared" si="142"/>
        <v>22</v>
      </c>
      <c r="G475" s="12">
        <f t="shared" si="133"/>
        <v>0</v>
      </c>
      <c r="H475" s="4">
        <f t="shared" si="143"/>
        <v>45350</v>
      </c>
      <c r="I475" t="s">
        <v>646</v>
      </c>
      <c r="J475" t="s">
        <v>650</v>
      </c>
      <c r="K475" t="s">
        <v>662</v>
      </c>
      <c r="L475" t="s">
        <v>703</v>
      </c>
      <c r="M475" t="s">
        <v>708</v>
      </c>
      <c r="N475" t="s">
        <v>723</v>
      </c>
      <c r="O475" t="s">
        <v>732</v>
      </c>
      <c r="P475" t="str" cm="1">
        <f t="array" ref="P475">_xlfn.IFS(S475&lt;=PERCENTILE($S$2:$S$1000, 0.33), "Low", S475&lt;=PERCENTILE($S$2:$S$1000, 0.66), "Medium", TRUE, "High")</f>
        <v>Medium</v>
      </c>
      <c r="Q475" t="s">
        <v>1206</v>
      </c>
      <c r="R475" s="10">
        <v>834.93</v>
      </c>
      <c r="S475" s="10">
        <v>1588.53</v>
      </c>
      <c r="T475" s="8">
        <v>0.126</v>
      </c>
      <c r="U475" s="12">
        <f t="shared" si="144"/>
        <v>0</v>
      </c>
      <c r="V475" s="6">
        <v>6</v>
      </c>
      <c r="W475" t="str">
        <f t="shared" si="134"/>
        <v>ok</v>
      </c>
      <c r="X475">
        <f t="shared" si="135"/>
        <v>22</v>
      </c>
      <c r="Y475">
        <f t="shared" si="145"/>
        <v>22</v>
      </c>
      <c r="Z475" s="10">
        <f t="shared" si="146"/>
        <v>8330.2513199999994</v>
      </c>
      <c r="AA475" s="10">
        <f t="shared" si="147"/>
        <v>5009.58</v>
      </c>
      <c r="AB475" s="10">
        <f t="shared" si="148"/>
        <v>3320.6713199999995</v>
      </c>
      <c r="AC475" s="10">
        <f t="shared" si="136"/>
        <v>606.37750000000005</v>
      </c>
      <c r="AD475" s="10">
        <f t="shared" si="137"/>
        <v>1193.865</v>
      </c>
      <c r="AE475" s="10">
        <f t="shared" si="138"/>
        <v>1912.0450000000001</v>
      </c>
      <c r="AF475" s="10" t="str">
        <f t="shared" si="139"/>
        <v>Medium</v>
      </c>
      <c r="AG475" s="6">
        <f t="shared" si="149"/>
        <v>0.39862798761274343</v>
      </c>
      <c r="AH475" s="4">
        <f t="shared" si="150"/>
        <v>44988</v>
      </c>
      <c r="AI475" t="str">
        <f t="shared" si="151"/>
        <v>Mar-2023</v>
      </c>
    </row>
    <row r="476" spans="1:35" x14ac:dyDescent="0.25">
      <c r="A476" t="s">
        <v>488</v>
      </c>
      <c r="B476" s="4">
        <v>45882</v>
      </c>
      <c r="C476" s="4" t="str">
        <f t="shared" si="140"/>
        <v>Q3-2025</v>
      </c>
      <c r="D476" s="4" t="str">
        <f t="shared" si="141"/>
        <v>Aug-2025</v>
      </c>
      <c r="E476" s="4">
        <v>45903</v>
      </c>
      <c r="F476" s="12">
        <f t="shared" si="142"/>
        <v>21</v>
      </c>
      <c r="G476" s="12">
        <f t="shared" si="133"/>
        <v>0</v>
      </c>
      <c r="H476" s="4">
        <f t="shared" si="143"/>
        <v>45903</v>
      </c>
      <c r="I476" t="s">
        <v>649</v>
      </c>
      <c r="J476" t="s">
        <v>657</v>
      </c>
      <c r="K476" t="s">
        <v>690</v>
      </c>
      <c r="L476" t="s">
        <v>702</v>
      </c>
      <c r="M476" t="s">
        <v>707</v>
      </c>
      <c r="N476" t="s">
        <v>714</v>
      </c>
      <c r="O476" t="s">
        <v>730</v>
      </c>
      <c r="P476" t="str" cm="1">
        <f t="array" ref="P476">_xlfn.IFS(S476&lt;=PERCENTILE($S$2:$S$1000, 0.33), "Low", S476&lt;=PERCENTILE($S$2:$S$1000, 0.66), "Medium", TRUE, "High")</f>
        <v>Medium</v>
      </c>
      <c r="Q476" t="s">
        <v>1207</v>
      </c>
      <c r="R476" s="10">
        <v>603.47</v>
      </c>
      <c r="S476" s="10">
        <v>1344.05</v>
      </c>
      <c r="T476" s="8">
        <v>0.20499999999999999</v>
      </c>
      <c r="U476" s="12">
        <f t="shared" si="144"/>
        <v>1</v>
      </c>
      <c r="V476" s="6">
        <v>18</v>
      </c>
      <c r="W476" t="str">
        <f t="shared" si="134"/>
        <v>ok</v>
      </c>
      <c r="X476">
        <f t="shared" si="135"/>
        <v>21</v>
      </c>
      <c r="Y476">
        <f t="shared" si="145"/>
        <v>21</v>
      </c>
      <c r="Z476" s="10">
        <f t="shared" si="146"/>
        <v>19233.355499999998</v>
      </c>
      <c r="AA476" s="10">
        <f t="shared" si="147"/>
        <v>10862.460000000001</v>
      </c>
      <c r="AB476" s="10">
        <f t="shared" si="148"/>
        <v>8370.8954999999969</v>
      </c>
      <c r="AC476" s="10">
        <f t="shared" si="136"/>
        <v>606.37750000000005</v>
      </c>
      <c r="AD476" s="10">
        <f t="shared" si="137"/>
        <v>1193.865</v>
      </c>
      <c r="AE476" s="10">
        <f t="shared" si="138"/>
        <v>1912.0450000000001</v>
      </c>
      <c r="AF476" s="10" t="str">
        <f t="shared" si="139"/>
        <v>Medium</v>
      </c>
      <c r="AG476" s="6">
        <f t="shared" si="149"/>
        <v>0.43522803392262976</v>
      </c>
      <c r="AH476" s="4">
        <f t="shared" si="150"/>
        <v>44928</v>
      </c>
      <c r="AI476" t="str">
        <f t="shared" si="151"/>
        <v>Jan-2023</v>
      </c>
    </row>
    <row r="477" spans="1:35" x14ac:dyDescent="0.25">
      <c r="A477" t="s">
        <v>489</v>
      </c>
      <c r="B477" s="4">
        <v>45069</v>
      </c>
      <c r="C477" s="4" t="str">
        <f t="shared" si="140"/>
        <v>Q2-2023</v>
      </c>
      <c r="D477" s="4" t="str">
        <f t="shared" si="141"/>
        <v>May-2023</v>
      </c>
      <c r="E477" s="4">
        <v>45071</v>
      </c>
      <c r="F477" s="12">
        <f t="shared" si="142"/>
        <v>2</v>
      </c>
      <c r="G477" s="12">
        <f t="shared" si="133"/>
        <v>1</v>
      </c>
      <c r="H477" s="4">
        <f t="shared" si="143"/>
        <v>45071</v>
      </c>
      <c r="I477" t="s">
        <v>648</v>
      </c>
      <c r="J477" t="s">
        <v>655</v>
      </c>
      <c r="K477" t="s">
        <v>692</v>
      </c>
      <c r="L477" t="s">
        <v>706</v>
      </c>
      <c r="M477" t="s">
        <v>707</v>
      </c>
      <c r="N477" t="s">
        <v>724</v>
      </c>
      <c r="O477" t="s">
        <v>728</v>
      </c>
      <c r="P477" t="str" cm="1">
        <f t="array" ref="P477">_xlfn.IFS(S477&lt;=PERCENTILE($S$2:$S$1000, 0.33), "Low", S477&lt;=PERCENTILE($S$2:$S$1000, 0.66), "Medium", TRUE, "High")</f>
        <v>Medium</v>
      </c>
      <c r="Q477" t="s">
        <v>1208</v>
      </c>
      <c r="R477" s="10">
        <v>690.49</v>
      </c>
      <c r="S477" s="10">
        <v>1290.29</v>
      </c>
      <c r="T477" s="8">
        <v>4.2000000000000003E-2</v>
      </c>
      <c r="U477" s="12">
        <f t="shared" si="144"/>
        <v>0</v>
      </c>
      <c r="V477" s="6">
        <v>22</v>
      </c>
      <c r="W477" t="str">
        <f t="shared" si="134"/>
        <v>ok</v>
      </c>
      <c r="X477">
        <f t="shared" si="135"/>
        <v>2</v>
      </c>
      <c r="Y477">
        <f t="shared" si="145"/>
        <v>2</v>
      </c>
      <c r="Z477" s="10">
        <f t="shared" si="146"/>
        <v>27194.152039999997</v>
      </c>
      <c r="AA477" s="10">
        <f t="shared" si="147"/>
        <v>15190.78</v>
      </c>
      <c r="AB477" s="10">
        <f t="shared" si="148"/>
        <v>12003.372039999997</v>
      </c>
      <c r="AC477" s="10">
        <f t="shared" si="136"/>
        <v>606.37750000000005</v>
      </c>
      <c r="AD477" s="10">
        <f t="shared" si="137"/>
        <v>1193.865</v>
      </c>
      <c r="AE477" s="10">
        <f t="shared" si="138"/>
        <v>1912.0450000000001</v>
      </c>
      <c r="AF477" s="10" t="str">
        <f t="shared" si="139"/>
        <v>Medium</v>
      </c>
      <c r="AG477" s="6">
        <f t="shared" si="149"/>
        <v>0.44139534199647718</v>
      </c>
      <c r="AH477" s="4">
        <f t="shared" si="150"/>
        <v>44941</v>
      </c>
      <c r="AI477" t="str">
        <f t="shared" si="151"/>
        <v>Jan-2023</v>
      </c>
    </row>
    <row r="478" spans="1:35" x14ac:dyDescent="0.25">
      <c r="A478" t="s">
        <v>490</v>
      </c>
      <c r="B478" s="4">
        <v>45422</v>
      </c>
      <c r="C478" s="4" t="str">
        <f t="shared" si="140"/>
        <v>Q2-2024</v>
      </c>
      <c r="D478" s="4" t="str">
        <f t="shared" si="141"/>
        <v>May-2024</v>
      </c>
      <c r="E478" s="4">
        <v>45428</v>
      </c>
      <c r="F478" s="12">
        <f t="shared" si="142"/>
        <v>6</v>
      </c>
      <c r="G478" s="12">
        <f t="shared" si="133"/>
        <v>1</v>
      </c>
      <c r="H478" s="4">
        <f t="shared" si="143"/>
        <v>45428</v>
      </c>
      <c r="I478" t="s">
        <v>649</v>
      </c>
      <c r="J478" t="s">
        <v>658</v>
      </c>
      <c r="K478" t="s">
        <v>674</v>
      </c>
      <c r="L478" t="s">
        <v>703</v>
      </c>
      <c r="M478" t="s">
        <v>711</v>
      </c>
      <c r="N478" t="s">
        <v>715</v>
      </c>
      <c r="O478" t="s">
        <v>731</v>
      </c>
      <c r="P478" t="str" cm="1">
        <f t="array" ref="P478">_xlfn.IFS(S478&lt;=PERCENTILE($S$2:$S$1000, 0.33), "Low", S478&lt;=PERCENTILE($S$2:$S$1000, 0.66), "Medium", TRUE, "High")</f>
        <v>Low</v>
      </c>
      <c r="Q478" t="s">
        <v>1209</v>
      </c>
      <c r="R478" s="10">
        <v>210.76</v>
      </c>
      <c r="S478" s="10">
        <v>221.58</v>
      </c>
      <c r="T478" s="8">
        <v>8.8999999999999996E-2</v>
      </c>
      <c r="U478" s="12">
        <f t="shared" si="144"/>
        <v>0</v>
      </c>
      <c r="V478" s="6">
        <v>5</v>
      </c>
      <c r="W478" t="str">
        <f t="shared" si="134"/>
        <v>ok</v>
      </c>
      <c r="X478">
        <f t="shared" si="135"/>
        <v>6</v>
      </c>
      <c r="Y478">
        <f t="shared" si="145"/>
        <v>6</v>
      </c>
      <c r="Z478" s="10">
        <f t="shared" si="146"/>
        <v>1009.2969000000002</v>
      </c>
      <c r="AA478" s="10">
        <f t="shared" si="147"/>
        <v>1053.8</v>
      </c>
      <c r="AB478" s="10">
        <f t="shared" si="148"/>
        <v>-44.50309999999979</v>
      </c>
      <c r="AC478" s="10">
        <f t="shared" si="136"/>
        <v>606.37750000000005</v>
      </c>
      <c r="AD478" s="10">
        <f t="shared" si="137"/>
        <v>1193.865</v>
      </c>
      <c r="AE478" s="10">
        <f t="shared" si="138"/>
        <v>1912.0450000000001</v>
      </c>
      <c r="AF478" s="10" t="str">
        <f t="shared" si="139"/>
        <v>Medium</v>
      </c>
      <c r="AG478" s="6">
        <f t="shared" si="149"/>
        <v>-4.4093170205912434E-2</v>
      </c>
      <c r="AH478" s="4">
        <f t="shared" si="150"/>
        <v>44941</v>
      </c>
      <c r="AI478" t="str">
        <f t="shared" si="151"/>
        <v>Jan-2023</v>
      </c>
    </row>
    <row r="479" spans="1:35" x14ac:dyDescent="0.25">
      <c r="A479" t="s">
        <v>491</v>
      </c>
      <c r="B479" s="4">
        <v>44999</v>
      </c>
      <c r="C479" s="4" t="str">
        <f t="shared" si="140"/>
        <v>Q1-2023</v>
      </c>
      <c r="D479" s="4" t="str">
        <f t="shared" si="141"/>
        <v>Mar-2023</v>
      </c>
      <c r="E479" s="4">
        <v>45003</v>
      </c>
      <c r="F479" s="12">
        <f t="shared" si="142"/>
        <v>4</v>
      </c>
      <c r="G479" s="12">
        <f t="shared" si="133"/>
        <v>1</v>
      </c>
      <c r="H479" s="4">
        <f t="shared" si="143"/>
        <v>45003</v>
      </c>
      <c r="I479" t="s">
        <v>649</v>
      </c>
      <c r="J479" t="s">
        <v>656</v>
      </c>
      <c r="K479" t="s">
        <v>698</v>
      </c>
      <c r="L479" t="s">
        <v>706</v>
      </c>
      <c r="M479" t="s">
        <v>711</v>
      </c>
      <c r="N479" t="s">
        <v>720</v>
      </c>
      <c r="O479" t="s">
        <v>727</v>
      </c>
      <c r="P479" t="str" cm="1">
        <f t="array" ref="P479">_xlfn.IFS(S479&lt;=PERCENTILE($S$2:$S$1000, 0.33), "Low", S479&lt;=PERCENTILE($S$2:$S$1000, 0.66), "Medium", TRUE, "High")</f>
        <v>Low</v>
      </c>
      <c r="Q479" t="s">
        <v>1210</v>
      </c>
      <c r="R479" s="10">
        <v>472.33</v>
      </c>
      <c r="S479" s="10">
        <v>360.34</v>
      </c>
      <c r="T479" s="8">
        <v>0.16500000000000001</v>
      </c>
      <c r="U479" s="12">
        <f t="shared" si="144"/>
        <v>0</v>
      </c>
      <c r="V479" s="6">
        <v>14</v>
      </c>
      <c r="W479" t="str">
        <f t="shared" si="134"/>
        <v>ok</v>
      </c>
      <c r="X479">
        <f t="shared" si="135"/>
        <v>4</v>
      </c>
      <c r="Y479">
        <f t="shared" si="145"/>
        <v>4</v>
      </c>
      <c r="Z479" s="10">
        <f t="shared" si="146"/>
        <v>4212.3745999999992</v>
      </c>
      <c r="AA479" s="10">
        <f t="shared" si="147"/>
        <v>6612.62</v>
      </c>
      <c r="AB479" s="10">
        <f t="shared" si="148"/>
        <v>-2400.2454000000007</v>
      </c>
      <c r="AC479" s="10">
        <f t="shared" si="136"/>
        <v>606.37750000000005</v>
      </c>
      <c r="AD479" s="10">
        <f t="shared" si="137"/>
        <v>1193.865</v>
      </c>
      <c r="AE479" s="10">
        <f t="shared" si="138"/>
        <v>1912.0450000000001</v>
      </c>
      <c r="AF479" s="10" t="str">
        <f t="shared" si="139"/>
        <v>Low</v>
      </c>
      <c r="AG479" s="6">
        <f t="shared" si="149"/>
        <v>-0.56980815523861561</v>
      </c>
      <c r="AH479" s="4">
        <f t="shared" si="150"/>
        <v>44955</v>
      </c>
      <c r="AI479" t="str">
        <f t="shared" si="151"/>
        <v>Jan-2023</v>
      </c>
    </row>
    <row r="480" spans="1:35" x14ac:dyDescent="0.25">
      <c r="A480" t="s">
        <v>492</v>
      </c>
      <c r="B480" s="4">
        <v>45123</v>
      </c>
      <c r="C480" s="4" t="str">
        <f t="shared" si="140"/>
        <v>Q3-2023</v>
      </c>
      <c r="D480" s="4" t="str">
        <f t="shared" si="141"/>
        <v>Jul-2023</v>
      </c>
      <c r="E480" s="4">
        <v>45151</v>
      </c>
      <c r="F480" s="12">
        <f t="shared" si="142"/>
        <v>28</v>
      </c>
      <c r="G480" s="12">
        <f t="shared" si="133"/>
        <v>0</v>
      </c>
      <c r="H480" s="4">
        <f t="shared" si="143"/>
        <v>45151</v>
      </c>
      <c r="I480" t="s">
        <v>649</v>
      </c>
      <c r="J480" t="s">
        <v>658</v>
      </c>
      <c r="K480" t="s">
        <v>693</v>
      </c>
      <c r="L480" t="s">
        <v>703</v>
      </c>
      <c r="M480" t="s">
        <v>708</v>
      </c>
      <c r="N480" t="s">
        <v>713</v>
      </c>
      <c r="O480" t="s">
        <v>731</v>
      </c>
      <c r="P480" t="str" cm="1">
        <f t="array" ref="P480">_xlfn.IFS(S480&lt;=PERCENTILE($S$2:$S$1000, 0.33), "Low", S480&lt;=PERCENTILE($S$2:$S$1000, 0.66), "Medium", TRUE, "High")</f>
        <v>High</v>
      </c>
      <c r="Q480" t="s">
        <v>1211</v>
      </c>
      <c r="R480" s="10">
        <v>1039.03</v>
      </c>
      <c r="S480" s="10">
        <v>2545.81</v>
      </c>
      <c r="T480" s="8">
        <v>0.216</v>
      </c>
      <c r="U480" s="12">
        <f t="shared" si="144"/>
        <v>1</v>
      </c>
      <c r="V480" s="6">
        <v>21</v>
      </c>
      <c r="W480" t="str">
        <f t="shared" si="134"/>
        <v>ok</v>
      </c>
      <c r="X480">
        <f t="shared" si="135"/>
        <v>28</v>
      </c>
      <c r="Y480">
        <f t="shared" si="145"/>
        <v>28</v>
      </c>
      <c r="Z480" s="10">
        <f t="shared" si="146"/>
        <v>41914.215840000004</v>
      </c>
      <c r="AA480" s="10">
        <f t="shared" si="147"/>
        <v>21819.63</v>
      </c>
      <c r="AB480" s="10">
        <f t="shared" si="148"/>
        <v>20094.585840000003</v>
      </c>
      <c r="AC480" s="10">
        <f t="shared" si="136"/>
        <v>606.37750000000005</v>
      </c>
      <c r="AD480" s="10">
        <f t="shared" si="137"/>
        <v>1193.865</v>
      </c>
      <c r="AE480" s="10">
        <f t="shared" si="138"/>
        <v>1912.0450000000001</v>
      </c>
      <c r="AF480" s="10" t="str">
        <f t="shared" si="139"/>
        <v>Low</v>
      </c>
      <c r="AG480" s="6">
        <f t="shared" si="149"/>
        <v>0.47942172929364774</v>
      </c>
      <c r="AH480" s="4">
        <f t="shared" si="150"/>
        <v>44945</v>
      </c>
      <c r="AI480" t="str">
        <f t="shared" si="151"/>
        <v>Jan-2023</v>
      </c>
    </row>
    <row r="481" spans="1:35" x14ac:dyDescent="0.25">
      <c r="A481" t="s">
        <v>493</v>
      </c>
      <c r="B481" s="4">
        <v>45032</v>
      </c>
      <c r="C481" s="4" t="str">
        <f t="shared" si="140"/>
        <v>Q2-2023</v>
      </c>
      <c r="D481" s="4" t="str">
        <f t="shared" si="141"/>
        <v>Apr-2023</v>
      </c>
      <c r="E481" s="4">
        <v>45035</v>
      </c>
      <c r="F481" s="12">
        <f t="shared" si="142"/>
        <v>3</v>
      </c>
      <c r="G481" s="12">
        <f t="shared" si="133"/>
        <v>1</v>
      </c>
      <c r="H481" s="4">
        <f t="shared" si="143"/>
        <v>45035</v>
      </c>
      <c r="I481" t="s">
        <v>649</v>
      </c>
      <c r="J481" t="s">
        <v>656</v>
      </c>
      <c r="K481" t="s">
        <v>684</v>
      </c>
      <c r="L481" t="s">
        <v>701</v>
      </c>
      <c r="M481" t="s">
        <v>711</v>
      </c>
      <c r="N481" t="s">
        <v>717</v>
      </c>
      <c r="O481" t="s">
        <v>733</v>
      </c>
      <c r="P481" t="str" cm="1">
        <f t="array" ref="P481">_xlfn.IFS(S481&lt;=PERCENTILE($S$2:$S$1000, 0.33), "Low", S481&lt;=PERCENTILE($S$2:$S$1000, 0.66), "Medium", TRUE, "High")</f>
        <v>Low</v>
      </c>
      <c r="Q481" t="s">
        <v>1212</v>
      </c>
      <c r="R481" s="10">
        <v>553.61</v>
      </c>
      <c r="S481" s="10">
        <v>699.47</v>
      </c>
      <c r="T481" s="8">
        <v>0.02</v>
      </c>
      <c r="U481" s="12">
        <f t="shared" si="144"/>
        <v>0</v>
      </c>
      <c r="V481" s="6">
        <v>33</v>
      </c>
      <c r="W481" t="str">
        <f t="shared" si="134"/>
        <v>ok</v>
      </c>
      <c r="X481">
        <f t="shared" si="135"/>
        <v>3</v>
      </c>
      <c r="Y481">
        <f t="shared" si="145"/>
        <v>3</v>
      </c>
      <c r="Z481" s="10">
        <f t="shared" si="146"/>
        <v>22620.859800000002</v>
      </c>
      <c r="AA481" s="10">
        <f t="shared" si="147"/>
        <v>18269.13</v>
      </c>
      <c r="AB481" s="10">
        <f t="shared" si="148"/>
        <v>4351.729800000001</v>
      </c>
      <c r="AC481" s="10">
        <f t="shared" si="136"/>
        <v>606.37750000000005</v>
      </c>
      <c r="AD481" s="10">
        <f t="shared" si="137"/>
        <v>1193.865</v>
      </c>
      <c r="AE481" s="10">
        <f t="shared" si="138"/>
        <v>1912.0450000000001</v>
      </c>
      <c r="AF481" s="10" t="str">
        <f t="shared" si="139"/>
        <v>High</v>
      </c>
      <c r="AG481" s="6">
        <f t="shared" si="149"/>
        <v>0.19237685209472014</v>
      </c>
      <c r="AH481" s="4">
        <f t="shared" si="150"/>
        <v>44948</v>
      </c>
      <c r="AI481" t="str">
        <f t="shared" si="151"/>
        <v>Jan-2023</v>
      </c>
    </row>
    <row r="482" spans="1:35" x14ac:dyDescent="0.25">
      <c r="A482" t="s">
        <v>494</v>
      </c>
      <c r="B482" s="4">
        <v>45293</v>
      </c>
      <c r="C482" s="4" t="str">
        <f t="shared" si="140"/>
        <v>Q1-2024</v>
      </c>
      <c r="D482" s="4" t="str">
        <f t="shared" si="141"/>
        <v>Jan-2024</v>
      </c>
      <c r="E482" s="4">
        <v>45306</v>
      </c>
      <c r="F482" s="12">
        <f t="shared" si="142"/>
        <v>13</v>
      </c>
      <c r="G482" s="12">
        <f t="shared" si="133"/>
        <v>0</v>
      </c>
      <c r="H482" s="4">
        <f t="shared" si="143"/>
        <v>45306</v>
      </c>
      <c r="I482" t="s">
        <v>647</v>
      </c>
      <c r="J482" t="s">
        <v>652</v>
      </c>
      <c r="K482" t="s">
        <v>694</v>
      </c>
      <c r="L482" t="s">
        <v>705</v>
      </c>
      <c r="M482" t="s">
        <v>709</v>
      </c>
      <c r="N482" t="s">
        <v>715</v>
      </c>
      <c r="O482" t="s">
        <v>729</v>
      </c>
      <c r="P482" t="str" cm="1">
        <f t="array" ref="P482">_xlfn.IFS(S482&lt;=PERCENTILE($S$2:$S$1000, 0.33), "Low", S482&lt;=PERCENTILE($S$2:$S$1000, 0.66), "Medium", TRUE, "High")</f>
        <v>High</v>
      </c>
      <c r="Q482" t="s">
        <v>1213</v>
      </c>
      <c r="R482" s="10">
        <v>1219.06</v>
      </c>
      <c r="S482" s="10">
        <v>2738.69</v>
      </c>
      <c r="T482" s="8">
        <v>7.5999999999999998E-2</v>
      </c>
      <c r="U482" s="12">
        <f t="shared" si="144"/>
        <v>0</v>
      </c>
      <c r="V482" s="6">
        <v>16</v>
      </c>
      <c r="W482" t="str">
        <f t="shared" si="134"/>
        <v>ok</v>
      </c>
      <c r="X482">
        <f t="shared" si="135"/>
        <v>13</v>
      </c>
      <c r="Y482">
        <f t="shared" si="145"/>
        <v>13</v>
      </c>
      <c r="Z482" s="10">
        <f t="shared" si="146"/>
        <v>40488.792960000006</v>
      </c>
      <c r="AA482" s="10">
        <f t="shared" si="147"/>
        <v>19504.96</v>
      </c>
      <c r="AB482" s="10">
        <f t="shared" si="148"/>
        <v>20983.832960000007</v>
      </c>
      <c r="AC482" s="10">
        <f t="shared" si="136"/>
        <v>606.37750000000005</v>
      </c>
      <c r="AD482" s="10">
        <f t="shared" si="137"/>
        <v>1193.865</v>
      </c>
      <c r="AE482" s="10">
        <f t="shared" si="138"/>
        <v>1912.0450000000001</v>
      </c>
      <c r="AF482" s="10" t="str">
        <f t="shared" si="139"/>
        <v>Medium</v>
      </c>
      <c r="AG482" s="6">
        <f t="shared" si="149"/>
        <v>0.51826274447673737</v>
      </c>
      <c r="AH482" s="4">
        <f t="shared" si="150"/>
        <v>44941</v>
      </c>
      <c r="AI482" t="str">
        <f t="shared" si="151"/>
        <v>Jan-2023</v>
      </c>
    </row>
    <row r="483" spans="1:35" x14ac:dyDescent="0.25">
      <c r="A483" t="s">
        <v>495</v>
      </c>
      <c r="B483" s="4">
        <v>45538</v>
      </c>
      <c r="C483" s="4" t="str">
        <f t="shared" si="140"/>
        <v>Q3-2024</v>
      </c>
      <c r="D483" s="4" t="str">
        <f t="shared" si="141"/>
        <v>Sept-2024</v>
      </c>
      <c r="E483" s="4">
        <v>45542</v>
      </c>
      <c r="F483" s="12">
        <f t="shared" si="142"/>
        <v>4</v>
      </c>
      <c r="G483" s="12">
        <f t="shared" si="133"/>
        <v>1</v>
      </c>
      <c r="H483" s="4">
        <f t="shared" si="143"/>
        <v>45542</v>
      </c>
      <c r="I483" t="s">
        <v>647</v>
      </c>
      <c r="J483" t="s">
        <v>652</v>
      </c>
      <c r="K483" t="s">
        <v>689</v>
      </c>
      <c r="L483" t="s">
        <v>705</v>
      </c>
      <c r="M483" t="s">
        <v>710</v>
      </c>
      <c r="N483" t="s">
        <v>725</v>
      </c>
      <c r="O483" t="s">
        <v>728</v>
      </c>
      <c r="P483" t="str" cm="1">
        <f t="array" ref="P483">_xlfn.IFS(S483&lt;=PERCENTILE($S$2:$S$1000, 0.33), "Low", S483&lt;=PERCENTILE($S$2:$S$1000, 0.66), "Medium", TRUE, "High")</f>
        <v>Low</v>
      </c>
      <c r="Q483" t="s">
        <v>1214</v>
      </c>
      <c r="R483" s="10">
        <v>43.23</v>
      </c>
      <c r="S483" s="10">
        <v>94.78</v>
      </c>
      <c r="T483" s="8">
        <v>9.0999999999999998E-2</v>
      </c>
      <c r="U483" s="12">
        <f t="shared" si="144"/>
        <v>0</v>
      </c>
      <c r="V483" s="6">
        <v>55</v>
      </c>
      <c r="W483" t="str">
        <f t="shared" si="134"/>
        <v>ok</v>
      </c>
      <c r="X483">
        <f t="shared" si="135"/>
        <v>4</v>
      </c>
      <c r="Y483">
        <f t="shared" si="145"/>
        <v>4</v>
      </c>
      <c r="Z483" s="10">
        <f t="shared" si="146"/>
        <v>4738.5261</v>
      </c>
      <c r="AA483" s="10">
        <f t="shared" si="147"/>
        <v>2377.6499999999996</v>
      </c>
      <c r="AB483" s="10">
        <f t="shared" si="148"/>
        <v>2360.8761000000004</v>
      </c>
      <c r="AC483" s="10">
        <f t="shared" si="136"/>
        <v>606.37750000000005</v>
      </c>
      <c r="AD483" s="10">
        <f t="shared" si="137"/>
        <v>1193.865</v>
      </c>
      <c r="AE483" s="10">
        <f t="shared" si="138"/>
        <v>1912.0450000000001</v>
      </c>
      <c r="AF483" s="10" t="str">
        <f t="shared" si="139"/>
        <v>High</v>
      </c>
      <c r="AG483" s="6">
        <f t="shared" si="149"/>
        <v>0.49823005090127082</v>
      </c>
      <c r="AH483" s="4">
        <f t="shared" si="150"/>
        <v>44988</v>
      </c>
      <c r="AI483" t="str">
        <f t="shared" si="151"/>
        <v>Mar-2023</v>
      </c>
    </row>
    <row r="484" spans="1:35" x14ac:dyDescent="0.25">
      <c r="A484" t="s">
        <v>496</v>
      </c>
      <c r="B484" s="4">
        <v>45899</v>
      </c>
      <c r="C484" s="4" t="str">
        <f t="shared" si="140"/>
        <v>Q3-2025</v>
      </c>
      <c r="D484" s="4" t="str">
        <f t="shared" si="141"/>
        <v>Aug-2025</v>
      </c>
      <c r="E484" s="4">
        <v>45903</v>
      </c>
      <c r="F484" s="12">
        <f t="shared" si="142"/>
        <v>4</v>
      </c>
      <c r="G484" s="12">
        <f t="shared" si="133"/>
        <v>1</v>
      </c>
      <c r="H484" s="4">
        <f t="shared" si="143"/>
        <v>45903</v>
      </c>
      <c r="I484" t="s">
        <v>649</v>
      </c>
      <c r="J484" t="s">
        <v>657</v>
      </c>
      <c r="K484" t="s">
        <v>673</v>
      </c>
      <c r="L484" t="s">
        <v>705</v>
      </c>
      <c r="M484" t="s">
        <v>709</v>
      </c>
      <c r="N484" t="s">
        <v>713</v>
      </c>
      <c r="O484" t="s">
        <v>731</v>
      </c>
      <c r="P484" t="str" cm="1">
        <f t="array" ref="P484">_xlfn.IFS(S484&lt;=PERCENTILE($S$2:$S$1000, 0.33), "Low", S484&lt;=PERCENTILE($S$2:$S$1000, 0.66), "Medium", TRUE, "High")</f>
        <v>High</v>
      </c>
      <c r="Q484" t="s">
        <v>1215</v>
      </c>
      <c r="R484" s="10">
        <v>1286.56</v>
      </c>
      <c r="S484" s="10">
        <v>2777.35</v>
      </c>
      <c r="T484" s="8">
        <v>0.13200000000000001</v>
      </c>
      <c r="U484" s="12">
        <f t="shared" si="144"/>
        <v>0</v>
      </c>
      <c r="V484" s="6">
        <v>15</v>
      </c>
      <c r="W484" t="str">
        <f t="shared" si="134"/>
        <v>ok</v>
      </c>
      <c r="X484">
        <f t="shared" si="135"/>
        <v>4</v>
      </c>
      <c r="Y484">
        <f t="shared" si="145"/>
        <v>4</v>
      </c>
      <c r="Z484" s="10">
        <f t="shared" si="146"/>
        <v>36161.097000000002</v>
      </c>
      <c r="AA484" s="10">
        <f t="shared" si="147"/>
        <v>19298.399999999998</v>
      </c>
      <c r="AB484" s="10">
        <f t="shared" si="148"/>
        <v>16862.697000000004</v>
      </c>
      <c r="AC484" s="10">
        <f t="shared" si="136"/>
        <v>606.37750000000005</v>
      </c>
      <c r="AD484" s="10">
        <f t="shared" si="137"/>
        <v>1193.865</v>
      </c>
      <c r="AE484" s="10">
        <f t="shared" si="138"/>
        <v>1912.0450000000001</v>
      </c>
      <c r="AF484" s="10" t="str">
        <f t="shared" si="139"/>
        <v>Low</v>
      </c>
      <c r="AG484" s="6">
        <f t="shared" si="149"/>
        <v>0.46632150014696744</v>
      </c>
      <c r="AH484" s="4">
        <f t="shared" si="150"/>
        <v>44955</v>
      </c>
      <c r="AI484" t="str">
        <f t="shared" si="151"/>
        <v>Jan-2023</v>
      </c>
    </row>
    <row r="485" spans="1:35" x14ac:dyDescent="0.25">
      <c r="A485" t="s">
        <v>497</v>
      </c>
      <c r="B485" s="4">
        <v>45775</v>
      </c>
      <c r="C485" s="4" t="str">
        <f t="shared" si="140"/>
        <v>Q2-2025</v>
      </c>
      <c r="D485" s="4" t="str">
        <f t="shared" si="141"/>
        <v>Apr-2025</v>
      </c>
      <c r="E485" s="4">
        <v>45796</v>
      </c>
      <c r="F485" s="12">
        <f t="shared" si="142"/>
        <v>21</v>
      </c>
      <c r="G485" s="12">
        <f t="shared" si="133"/>
        <v>0</v>
      </c>
      <c r="H485" s="4">
        <f t="shared" si="143"/>
        <v>45796</v>
      </c>
      <c r="I485" t="s">
        <v>649</v>
      </c>
      <c r="J485" t="s">
        <v>656</v>
      </c>
      <c r="K485" t="s">
        <v>671</v>
      </c>
      <c r="L485" t="s">
        <v>701</v>
      </c>
      <c r="M485" t="s">
        <v>710</v>
      </c>
      <c r="N485" t="s">
        <v>717</v>
      </c>
      <c r="O485" t="s">
        <v>730</v>
      </c>
      <c r="P485" t="str" cm="1">
        <f t="array" ref="P485">_xlfn.IFS(S485&lt;=PERCENTILE($S$2:$S$1000, 0.33), "Low", S485&lt;=PERCENTILE($S$2:$S$1000, 0.66), "Medium", TRUE, "High")</f>
        <v>Low</v>
      </c>
      <c r="Q485" t="s">
        <v>1216</v>
      </c>
      <c r="R485" s="10">
        <v>350.76</v>
      </c>
      <c r="S485" s="10">
        <v>492.18</v>
      </c>
      <c r="T485" s="8">
        <v>5.2999999999999999E-2</v>
      </c>
      <c r="U485" s="12">
        <f t="shared" si="144"/>
        <v>0</v>
      </c>
      <c r="V485" s="6">
        <v>11</v>
      </c>
      <c r="W485" t="str">
        <f t="shared" si="134"/>
        <v>ok</v>
      </c>
      <c r="X485">
        <f t="shared" si="135"/>
        <v>21</v>
      </c>
      <c r="Y485">
        <f t="shared" si="145"/>
        <v>21</v>
      </c>
      <c r="Z485" s="10">
        <f t="shared" si="146"/>
        <v>5127.0390600000001</v>
      </c>
      <c r="AA485" s="10">
        <f t="shared" si="147"/>
        <v>3858.3599999999997</v>
      </c>
      <c r="AB485" s="10">
        <f t="shared" si="148"/>
        <v>1268.6790600000004</v>
      </c>
      <c r="AC485" s="10">
        <f t="shared" si="136"/>
        <v>606.37750000000005</v>
      </c>
      <c r="AD485" s="10">
        <f t="shared" si="137"/>
        <v>1193.865</v>
      </c>
      <c r="AE485" s="10">
        <f t="shared" si="138"/>
        <v>1912.0450000000001</v>
      </c>
      <c r="AF485" s="10" t="str">
        <f t="shared" si="139"/>
        <v>High</v>
      </c>
      <c r="AG485" s="6">
        <f t="shared" si="149"/>
        <v>0.24744868239798437</v>
      </c>
      <c r="AH485" s="4">
        <f t="shared" si="150"/>
        <v>44945</v>
      </c>
      <c r="AI485" t="str">
        <f t="shared" si="151"/>
        <v>Jan-2023</v>
      </c>
    </row>
    <row r="486" spans="1:35" x14ac:dyDescent="0.25">
      <c r="A486" t="s">
        <v>498</v>
      </c>
      <c r="B486" s="4">
        <v>45148</v>
      </c>
      <c r="C486" s="4" t="str">
        <f t="shared" si="140"/>
        <v>Q3-2023</v>
      </c>
      <c r="D486" s="4" t="str">
        <f t="shared" si="141"/>
        <v>Aug-2023</v>
      </c>
      <c r="E486" s="4">
        <v>45153</v>
      </c>
      <c r="F486" s="12">
        <f t="shared" si="142"/>
        <v>5</v>
      </c>
      <c r="G486" s="12">
        <f t="shared" si="133"/>
        <v>1</v>
      </c>
      <c r="H486" s="4">
        <f t="shared" si="143"/>
        <v>45153</v>
      </c>
      <c r="I486" t="s">
        <v>648</v>
      </c>
      <c r="J486" t="s">
        <v>655</v>
      </c>
      <c r="K486" t="s">
        <v>670</v>
      </c>
      <c r="L486" t="s">
        <v>702</v>
      </c>
      <c r="M486" t="s">
        <v>711</v>
      </c>
      <c r="N486" t="s">
        <v>715</v>
      </c>
      <c r="O486" t="s">
        <v>729</v>
      </c>
      <c r="P486" t="str" cm="1">
        <f t="array" ref="P486">_xlfn.IFS(S486&lt;=PERCENTILE($S$2:$S$1000, 0.33), "Low", S486&lt;=PERCENTILE($S$2:$S$1000, 0.66), "Medium", TRUE, "High")</f>
        <v>High</v>
      </c>
      <c r="Q486" t="s">
        <v>1217</v>
      </c>
      <c r="R486" s="10">
        <v>1307.52</v>
      </c>
      <c r="S486" s="10">
        <v>1921.65</v>
      </c>
      <c r="T486" s="8">
        <v>0.123</v>
      </c>
      <c r="U486" s="12">
        <f t="shared" si="144"/>
        <v>0</v>
      </c>
      <c r="V486" s="6">
        <v>13</v>
      </c>
      <c r="W486" t="str">
        <f t="shared" si="134"/>
        <v>ok</v>
      </c>
      <c r="X486">
        <f t="shared" si="135"/>
        <v>5</v>
      </c>
      <c r="Y486">
        <f t="shared" si="145"/>
        <v>5</v>
      </c>
      <c r="Z486" s="10">
        <f t="shared" si="146"/>
        <v>21908.731650000002</v>
      </c>
      <c r="AA486" s="10">
        <f t="shared" si="147"/>
        <v>16997.759999999998</v>
      </c>
      <c r="AB486" s="10">
        <f t="shared" si="148"/>
        <v>4910.9716500000031</v>
      </c>
      <c r="AC486" s="10">
        <f t="shared" si="136"/>
        <v>606.37750000000005</v>
      </c>
      <c r="AD486" s="10">
        <f t="shared" si="137"/>
        <v>1193.865</v>
      </c>
      <c r="AE486" s="10">
        <f t="shared" si="138"/>
        <v>1912.0450000000001</v>
      </c>
      <c r="AF486" s="10" t="str">
        <f t="shared" si="139"/>
        <v>Low</v>
      </c>
      <c r="AG486" s="6">
        <f t="shared" si="149"/>
        <v>0.22415590863289445</v>
      </c>
      <c r="AH486" s="4">
        <f t="shared" si="150"/>
        <v>44955</v>
      </c>
      <c r="AI486" t="str">
        <f t="shared" si="151"/>
        <v>Jan-2023</v>
      </c>
    </row>
    <row r="487" spans="1:35" x14ac:dyDescent="0.25">
      <c r="A487" t="s">
        <v>499</v>
      </c>
      <c r="B487" s="4">
        <v>45634</v>
      </c>
      <c r="C487" s="4" t="str">
        <f t="shared" si="140"/>
        <v>Q4-2024</v>
      </c>
      <c r="D487" s="4" t="str">
        <f t="shared" si="141"/>
        <v>Dec-2024</v>
      </c>
      <c r="E487" s="4">
        <v>45634</v>
      </c>
      <c r="F487" s="12">
        <f t="shared" si="142"/>
        <v>0</v>
      </c>
      <c r="G487" s="12">
        <f t="shared" si="133"/>
        <v>1</v>
      </c>
      <c r="H487" s="4">
        <f t="shared" si="143"/>
        <v>45634</v>
      </c>
      <c r="I487" t="s">
        <v>649</v>
      </c>
      <c r="J487" t="s">
        <v>657</v>
      </c>
      <c r="K487" t="s">
        <v>679</v>
      </c>
      <c r="L487" t="s">
        <v>706</v>
      </c>
      <c r="M487" t="s">
        <v>707</v>
      </c>
      <c r="N487" t="s">
        <v>722</v>
      </c>
      <c r="O487" t="s">
        <v>727</v>
      </c>
      <c r="P487" t="str" cm="1">
        <f t="array" ref="P487">_xlfn.IFS(S487&lt;=PERCENTILE($S$2:$S$1000, 0.33), "Low", S487&lt;=PERCENTILE($S$2:$S$1000, 0.66), "Medium", TRUE, "High")</f>
        <v>Low</v>
      </c>
      <c r="Q487" t="s">
        <v>1218</v>
      </c>
      <c r="R487" s="10">
        <v>257.44</v>
      </c>
      <c r="S487" s="10">
        <v>290.33</v>
      </c>
      <c r="T487" s="8">
        <v>9.1999999999999998E-2</v>
      </c>
      <c r="U487" s="12">
        <f t="shared" si="144"/>
        <v>0</v>
      </c>
      <c r="V487" s="6">
        <v>23</v>
      </c>
      <c r="W487" t="str">
        <f t="shared" si="134"/>
        <v>sus</v>
      </c>
      <c r="X487">
        <f t="shared" si="135"/>
        <v>0</v>
      </c>
      <c r="Y487">
        <f t="shared" si="145"/>
        <v>0</v>
      </c>
      <c r="Z487" s="10">
        <f t="shared" si="146"/>
        <v>6063.2517199999993</v>
      </c>
      <c r="AA487" s="10">
        <f t="shared" si="147"/>
        <v>5921.12</v>
      </c>
      <c r="AB487" s="10">
        <f t="shared" si="148"/>
        <v>142.1317199999994</v>
      </c>
      <c r="AC487" s="10">
        <f t="shared" si="136"/>
        <v>606.37750000000005</v>
      </c>
      <c r="AD487" s="10">
        <f t="shared" si="137"/>
        <v>1193.865</v>
      </c>
      <c r="AE487" s="10">
        <f t="shared" si="138"/>
        <v>1912.0450000000001</v>
      </c>
      <c r="AF487" s="10" t="str">
        <f t="shared" si="139"/>
        <v>High</v>
      </c>
      <c r="AG487" s="6">
        <f t="shared" si="149"/>
        <v>2.3441500792581216E-2</v>
      </c>
      <c r="AH487" s="4">
        <f t="shared" si="150"/>
        <v>44955</v>
      </c>
      <c r="AI487" t="str">
        <f t="shared" si="151"/>
        <v>Jan-2023</v>
      </c>
    </row>
    <row r="488" spans="1:35" x14ac:dyDescent="0.25">
      <c r="A488" t="s">
        <v>500</v>
      </c>
      <c r="B488" s="4">
        <v>45224</v>
      </c>
      <c r="C488" s="4" t="str">
        <f t="shared" si="140"/>
        <v>Q4-2023</v>
      </c>
      <c r="D488" s="4" t="str">
        <f t="shared" si="141"/>
        <v>Oct-2023</v>
      </c>
      <c r="E488" s="4">
        <v>45254</v>
      </c>
      <c r="F488" s="12">
        <f t="shared" si="142"/>
        <v>30</v>
      </c>
      <c r="G488" s="12">
        <f t="shared" si="133"/>
        <v>0</v>
      </c>
      <c r="H488" s="4">
        <f t="shared" si="143"/>
        <v>45254</v>
      </c>
      <c r="I488" t="s">
        <v>649</v>
      </c>
      <c r="J488" t="s">
        <v>657</v>
      </c>
      <c r="K488" t="s">
        <v>690</v>
      </c>
      <c r="L488" t="s">
        <v>706</v>
      </c>
      <c r="M488" t="s">
        <v>710</v>
      </c>
      <c r="N488" t="s">
        <v>712</v>
      </c>
      <c r="O488" t="s">
        <v>730</v>
      </c>
      <c r="P488" t="str" cm="1">
        <f t="array" ref="P488">_xlfn.IFS(S488&lt;=PERCENTILE($S$2:$S$1000, 0.33), "Low", S488&lt;=PERCENTILE($S$2:$S$1000, 0.66), "Medium", TRUE, "High")</f>
        <v>Low</v>
      </c>
      <c r="Q488" t="s">
        <v>1219</v>
      </c>
      <c r="R488" s="10">
        <v>287.85000000000002</v>
      </c>
      <c r="S488" s="10">
        <v>602.91999999999996</v>
      </c>
      <c r="T488" s="8">
        <v>0.222</v>
      </c>
      <c r="U488" s="12">
        <f t="shared" si="144"/>
        <v>1</v>
      </c>
      <c r="V488" s="6">
        <v>11</v>
      </c>
      <c r="W488" t="str">
        <f t="shared" si="134"/>
        <v>ok</v>
      </c>
      <c r="X488">
        <f t="shared" si="135"/>
        <v>30</v>
      </c>
      <c r="Y488">
        <f t="shared" si="145"/>
        <v>30</v>
      </c>
      <c r="Z488" s="10">
        <f t="shared" si="146"/>
        <v>5159.7893599999998</v>
      </c>
      <c r="AA488" s="10">
        <f t="shared" si="147"/>
        <v>3166.3500000000004</v>
      </c>
      <c r="AB488" s="10">
        <f t="shared" si="148"/>
        <v>1993.4393599999994</v>
      </c>
      <c r="AC488" s="10">
        <f t="shared" si="136"/>
        <v>606.37750000000005</v>
      </c>
      <c r="AD488" s="10">
        <f t="shared" si="137"/>
        <v>1193.865</v>
      </c>
      <c r="AE488" s="10">
        <f t="shared" si="138"/>
        <v>1912.0450000000001</v>
      </c>
      <c r="AF488" s="10" t="str">
        <f t="shared" si="139"/>
        <v>Low</v>
      </c>
      <c r="AG488" s="6">
        <f t="shared" si="149"/>
        <v>0.38634122847216373</v>
      </c>
      <c r="AH488" s="4">
        <f t="shared" si="150"/>
        <v>44938</v>
      </c>
      <c r="AI488" t="str">
        <f t="shared" si="151"/>
        <v>Jan-2023</v>
      </c>
    </row>
    <row r="489" spans="1:35" x14ac:dyDescent="0.25">
      <c r="A489" t="s">
        <v>501</v>
      </c>
      <c r="B489" s="4">
        <v>45613</v>
      </c>
      <c r="C489" s="4" t="str">
        <f t="shared" si="140"/>
        <v>Q4-2024</v>
      </c>
      <c r="D489" s="4" t="str">
        <f t="shared" si="141"/>
        <v>Nov-2024</v>
      </c>
      <c r="E489" s="4">
        <v>45624</v>
      </c>
      <c r="F489" s="12">
        <f t="shared" si="142"/>
        <v>11</v>
      </c>
      <c r="G489" s="12">
        <f t="shared" si="133"/>
        <v>0</v>
      </c>
      <c r="H489" s="4">
        <f t="shared" si="143"/>
        <v>45624</v>
      </c>
      <c r="I489" t="s">
        <v>648</v>
      </c>
      <c r="J489" t="s">
        <v>653</v>
      </c>
      <c r="K489" t="s">
        <v>1418</v>
      </c>
      <c r="L489" t="s">
        <v>704</v>
      </c>
      <c r="M489" t="s">
        <v>710</v>
      </c>
      <c r="N489" t="s">
        <v>720</v>
      </c>
      <c r="O489" t="s">
        <v>728</v>
      </c>
      <c r="P489" t="str" cm="1">
        <f t="array" ref="P489">_xlfn.IFS(S489&lt;=PERCENTILE($S$2:$S$1000, 0.33), "Low", S489&lt;=PERCENTILE($S$2:$S$1000, 0.66), "Medium", TRUE, "High")</f>
        <v>High</v>
      </c>
      <c r="Q489" t="s">
        <v>1220</v>
      </c>
      <c r="R489" s="10">
        <v>1008.16</v>
      </c>
      <c r="S489" s="10">
        <v>2077.5</v>
      </c>
      <c r="T489" s="8">
        <v>7.3999999999999996E-2</v>
      </c>
      <c r="U489" s="12">
        <f t="shared" si="144"/>
        <v>0</v>
      </c>
      <c r="V489" s="6">
        <v>15</v>
      </c>
      <c r="W489" t="str">
        <f t="shared" si="134"/>
        <v>ok</v>
      </c>
      <c r="X489">
        <f t="shared" si="135"/>
        <v>11</v>
      </c>
      <c r="Y489">
        <f t="shared" si="145"/>
        <v>11</v>
      </c>
      <c r="Z489" s="10">
        <f t="shared" si="146"/>
        <v>28856.475000000002</v>
      </c>
      <c r="AA489" s="10">
        <f t="shared" si="147"/>
        <v>15122.4</v>
      </c>
      <c r="AB489" s="10">
        <f t="shared" si="148"/>
        <v>13734.075000000003</v>
      </c>
      <c r="AC489" s="10">
        <f t="shared" si="136"/>
        <v>606.37750000000005</v>
      </c>
      <c r="AD489" s="10">
        <f t="shared" si="137"/>
        <v>1193.865</v>
      </c>
      <c r="AE489" s="10">
        <f t="shared" si="138"/>
        <v>1912.0450000000001</v>
      </c>
      <c r="AF489" s="10" t="str">
        <f t="shared" si="139"/>
        <v>Low</v>
      </c>
      <c r="AG489" s="6">
        <f t="shared" si="149"/>
        <v>0.47594430712691005</v>
      </c>
      <c r="AH489" s="4">
        <f t="shared" si="150"/>
        <v>44933</v>
      </c>
      <c r="AI489" t="str">
        <f t="shared" si="151"/>
        <v>Jan-2023</v>
      </c>
    </row>
    <row r="490" spans="1:35" x14ac:dyDescent="0.25">
      <c r="A490" t="s">
        <v>502</v>
      </c>
      <c r="B490" s="4">
        <v>45424</v>
      </c>
      <c r="C490" s="4" t="str">
        <f t="shared" si="140"/>
        <v>Q2-2024</v>
      </c>
      <c r="D490" s="4" t="str">
        <f t="shared" si="141"/>
        <v>May-2024</v>
      </c>
      <c r="E490" s="4">
        <v>45436</v>
      </c>
      <c r="F490" s="12">
        <f t="shared" si="142"/>
        <v>12</v>
      </c>
      <c r="G490" s="12">
        <f t="shared" si="133"/>
        <v>0</v>
      </c>
      <c r="H490" s="4">
        <f t="shared" si="143"/>
        <v>45436</v>
      </c>
      <c r="I490" t="s">
        <v>649</v>
      </c>
      <c r="J490" t="s">
        <v>658</v>
      </c>
      <c r="K490" t="s">
        <v>693</v>
      </c>
      <c r="L490" t="s">
        <v>702</v>
      </c>
      <c r="M490" t="s">
        <v>709</v>
      </c>
      <c r="N490" t="s">
        <v>723</v>
      </c>
      <c r="O490" t="s">
        <v>728</v>
      </c>
      <c r="P490" t="str" cm="1">
        <f t="array" ref="P490">_xlfn.IFS(S490&lt;=PERCENTILE($S$2:$S$1000, 0.33), "Low", S490&lt;=PERCENTILE($S$2:$S$1000, 0.66), "Medium", TRUE, "High")</f>
        <v>Low</v>
      </c>
      <c r="Q490" t="s">
        <v>1221</v>
      </c>
      <c r="R490" s="10">
        <v>111.02</v>
      </c>
      <c r="S490" s="10">
        <v>172.88</v>
      </c>
      <c r="T490" s="8">
        <v>0.19700000000000001</v>
      </c>
      <c r="U490" s="12">
        <f t="shared" si="144"/>
        <v>0</v>
      </c>
      <c r="V490" s="6">
        <v>29</v>
      </c>
      <c r="W490" t="str">
        <f t="shared" si="134"/>
        <v>ok</v>
      </c>
      <c r="X490">
        <f t="shared" si="135"/>
        <v>12</v>
      </c>
      <c r="Y490">
        <f t="shared" si="145"/>
        <v>12</v>
      </c>
      <c r="Z490" s="10">
        <f t="shared" si="146"/>
        <v>4025.8565599999993</v>
      </c>
      <c r="AA490" s="10">
        <f t="shared" si="147"/>
        <v>3219.58</v>
      </c>
      <c r="AB490" s="10">
        <f t="shared" si="148"/>
        <v>806.27655999999934</v>
      </c>
      <c r="AC490" s="10">
        <f t="shared" si="136"/>
        <v>606.37750000000005</v>
      </c>
      <c r="AD490" s="10">
        <f t="shared" si="137"/>
        <v>1193.865</v>
      </c>
      <c r="AE490" s="10">
        <f t="shared" si="138"/>
        <v>1912.0450000000001</v>
      </c>
      <c r="AF490" s="10" t="str">
        <f t="shared" si="139"/>
        <v>High</v>
      </c>
      <c r="AG490" s="6">
        <f t="shared" si="149"/>
        <v>0.20027453735212053</v>
      </c>
      <c r="AH490" s="4">
        <f t="shared" si="150"/>
        <v>44945</v>
      </c>
      <c r="AI490" t="str">
        <f t="shared" si="151"/>
        <v>Jan-2023</v>
      </c>
    </row>
    <row r="491" spans="1:35" x14ac:dyDescent="0.25">
      <c r="A491" t="s">
        <v>503</v>
      </c>
      <c r="B491" s="4">
        <v>45792</v>
      </c>
      <c r="C491" s="4" t="str">
        <f t="shared" si="140"/>
        <v>Q2-2025</v>
      </c>
      <c r="D491" s="4" t="str">
        <f t="shared" si="141"/>
        <v>May-2025</v>
      </c>
      <c r="E491" s="4">
        <v>45813</v>
      </c>
      <c r="F491" s="12">
        <f t="shared" si="142"/>
        <v>21</v>
      </c>
      <c r="G491" s="12">
        <f t="shared" si="133"/>
        <v>0</v>
      </c>
      <c r="H491" s="4">
        <f t="shared" si="143"/>
        <v>45813</v>
      </c>
      <c r="I491" t="s">
        <v>647</v>
      </c>
      <c r="J491" t="s">
        <v>652</v>
      </c>
      <c r="K491" t="s">
        <v>666</v>
      </c>
      <c r="L491" t="s">
        <v>706</v>
      </c>
      <c r="M491" t="s">
        <v>711</v>
      </c>
      <c r="N491" t="s">
        <v>722</v>
      </c>
      <c r="O491" t="s">
        <v>730</v>
      </c>
      <c r="P491" t="str" cm="1">
        <f t="array" ref="P491">_xlfn.IFS(S491&lt;=PERCENTILE($S$2:$S$1000, 0.33), "Low", S491&lt;=PERCENTILE($S$2:$S$1000, 0.66), "Medium", TRUE, "High")</f>
        <v>High</v>
      </c>
      <c r="Q491" t="s">
        <v>1222</v>
      </c>
      <c r="R491" s="10">
        <v>1466.5</v>
      </c>
      <c r="S491" s="10">
        <v>2778.74</v>
      </c>
      <c r="T491" s="8">
        <v>0.13500000000000001</v>
      </c>
      <c r="U491" s="12">
        <f t="shared" si="144"/>
        <v>0</v>
      </c>
      <c r="V491" s="6">
        <v>4</v>
      </c>
      <c r="W491" t="str">
        <f t="shared" si="134"/>
        <v>ok</v>
      </c>
      <c r="X491">
        <f t="shared" si="135"/>
        <v>21</v>
      </c>
      <c r="Y491">
        <f t="shared" si="145"/>
        <v>21</v>
      </c>
      <c r="Z491" s="10">
        <f t="shared" si="146"/>
        <v>9614.4403999999995</v>
      </c>
      <c r="AA491" s="10">
        <f t="shared" si="147"/>
        <v>5866</v>
      </c>
      <c r="AB491" s="10">
        <f t="shared" si="148"/>
        <v>3748.4403999999995</v>
      </c>
      <c r="AC491" s="10">
        <f t="shared" si="136"/>
        <v>606.37750000000005</v>
      </c>
      <c r="AD491" s="10">
        <f t="shared" si="137"/>
        <v>1193.865</v>
      </c>
      <c r="AE491" s="10">
        <f t="shared" si="138"/>
        <v>1912.0450000000001</v>
      </c>
      <c r="AF491" s="10" t="str">
        <f t="shared" si="139"/>
        <v>Low</v>
      </c>
      <c r="AG491" s="6">
        <f t="shared" si="149"/>
        <v>0.38987608680792279</v>
      </c>
      <c r="AH491" s="4">
        <f t="shared" si="150"/>
        <v>44945</v>
      </c>
      <c r="AI491" t="str">
        <f t="shared" si="151"/>
        <v>Jan-2023</v>
      </c>
    </row>
    <row r="492" spans="1:35" x14ac:dyDescent="0.25">
      <c r="A492" t="s">
        <v>504</v>
      </c>
      <c r="B492" s="4">
        <v>45403</v>
      </c>
      <c r="C492" s="4" t="str">
        <f t="shared" si="140"/>
        <v>Q2-2024</v>
      </c>
      <c r="D492" s="4" t="str">
        <f t="shared" si="141"/>
        <v>Apr-2024</v>
      </c>
      <c r="E492" s="4">
        <v>45431</v>
      </c>
      <c r="F492" s="12">
        <f t="shared" si="142"/>
        <v>28</v>
      </c>
      <c r="G492" s="12">
        <f t="shared" si="133"/>
        <v>0</v>
      </c>
      <c r="H492" s="4">
        <f t="shared" si="143"/>
        <v>45431</v>
      </c>
      <c r="I492" t="s">
        <v>646</v>
      </c>
      <c r="J492" t="s">
        <v>651</v>
      </c>
      <c r="K492" t="s">
        <v>665</v>
      </c>
      <c r="L492" t="s">
        <v>701</v>
      </c>
      <c r="M492" t="s">
        <v>710</v>
      </c>
      <c r="N492" t="s">
        <v>720</v>
      </c>
      <c r="O492" t="s">
        <v>733</v>
      </c>
      <c r="P492" t="str" cm="1">
        <f t="array" ref="P492">_xlfn.IFS(S492&lt;=PERCENTILE($S$2:$S$1000, 0.33), "Low", S492&lt;=PERCENTILE($S$2:$S$1000, 0.66), "Medium", TRUE, "High")</f>
        <v>Low</v>
      </c>
      <c r="Q492" t="s">
        <v>1223</v>
      </c>
      <c r="R492" s="10">
        <v>187.22</v>
      </c>
      <c r="S492" s="10">
        <v>309.47000000000003</v>
      </c>
      <c r="T492" s="8">
        <v>0</v>
      </c>
      <c r="U492" s="12">
        <f t="shared" si="144"/>
        <v>0</v>
      </c>
      <c r="V492" s="6">
        <v>5</v>
      </c>
      <c r="W492" t="str">
        <f t="shared" si="134"/>
        <v>ok</v>
      </c>
      <c r="X492">
        <f t="shared" si="135"/>
        <v>28</v>
      </c>
      <c r="Y492">
        <f t="shared" si="145"/>
        <v>28</v>
      </c>
      <c r="Z492" s="10">
        <f t="shared" si="146"/>
        <v>1547.3500000000001</v>
      </c>
      <c r="AA492" s="10">
        <f t="shared" si="147"/>
        <v>936.1</v>
      </c>
      <c r="AB492" s="10">
        <f t="shared" si="148"/>
        <v>611.25000000000011</v>
      </c>
      <c r="AC492" s="10">
        <f t="shared" si="136"/>
        <v>606.37750000000005</v>
      </c>
      <c r="AD492" s="10">
        <f t="shared" si="137"/>
        <v>1193.865</v>
      </c>
      <c r="AE492" s="10">
        <f t="shared" si="138"/>
        <v>1912.0450000000001</v>
      </c>
      <c r="AF492" s="10" t="str">
        <f t="shared" si="139"/>
        <v>High</v>
      </c>
      <c r="AG492" s="6">
        <f t="shared" si="149"/>
        <v>0.39503021294471197</v>
      </c>
      <c r="AH492" s="4">
        <f t="shared" si="150"/>
        <v>44941</v>
      </c>
      <c r="AI492" t="str">
        <f t="shared" si="151"/>
        <v>Jan-2023</v>
      </c>
    </row>
    <row r="493" spans="1:35" x14ac:dyDescent="0.25">
      <c r="A493" t="s">
        <v>505</v>
      </c>
      <c r="B493" s="4">
        <v>45523</v>
      </c>
      <c r="C493" s="4" t="str">
        <f t="shared" si="140"/>
        <v>Q3-2024</v>
      </c>
      <c r="D493" s="4" t="str">
        <f t="shared" si="141"/>
        <v>Aug-2024</v>
      </c>
      <c r="E493" s="4">
        <v>45542</v>
      </c>
      <c r="F493" s="12">
        <f t="shared" si="142"/>
        <v>19</v>
      </c>
      <c r="G493" s="12">
        <f t="shared" si="133"/>
        <v>0</v>
      </c>
      <c r="H493" s="4">
        <f t="shared" si="143"/>
        <v>45542</v>
      </c>
      <c r="I493" t="s">
        <v>649</v>
      </c>
      <c r="J493" t="s">
        <v>657</v>
      </c>
      <c r="K493" t="s">
        <v>679</v>
      </c>
      <c r="L493" t="s">
        <v>701</v>
      </c>
      <c r="M493" t="s">
        <v>711</v>
      </c>
      <c r="N493" t="s">
        <v>713</v>
      </c>
      <c r="O493" t="s">
        <v>727</v>
      </c>
      <c r="P493" t="str" cm="1">
        <f t="array" ref="P493">_xlfn.IFS(S493&lt;=PERCENTILE($S$2:$S$1000, 0.33), "Low", S493&lt;=PERCENTILE($S$2:$S$1000, 0.66), "Medium", TRUE, "High")</f>
        <v>Low</v>
      </c>
      <c r="Q493" t="s">
        <v>1224</v>
      </c>
      <c r="R493" s="10">
        <v>297.58999999999997</v>
      </c>
      <c r="S493" s="10">
        <v>666.41</v>
      </c>
      <c r="T493" s="8">
        <v>0</v>
      </c>
      <c r="U493" s="12">
        <f t="shared" si="144"/>
        <v>0</v>
      </c>
      <c r="V493" s="6">
        <v>10</v>
      </c>
      <c r="W493" t="str">
        <f t="shared" si="134"/>
        <v>ok</v>
      </c>
      <c r="X493">
        <f t="shared" si="135"/>
        <v>19</v>
      </c>
      <c r="Y493">
        <f t="shared" si="145"/>
        <v>19</v>
      </c>
      <c r="Z493" s="10">
        <f t="shared" si="146"/>
        <v>6664.0999999999995</v>
      </c>
      <c r="AA493" s="10">
        <f t="shared" si="147"/>
        <v>2975.8999999999996</v>
      </c>
      <c r="AB493" s="10">
        <f t="shared" si="148"/>
        <v>3688.2</v>
      </c>
      <c r="AC493" s="10">
        <f t="shared" si="136"/>
        <v>606.37750000000005</v>
      </c>
      <c r="AD493" s="10">
        <f t="shared" si="137"/>
        <v>1193.865</v>
      </c>
      <c r="AE493" s="10">
        <f t="shared" si="138"/>
        <v>1912.0450000000001</v>
      </c>
      <c r="AF493" s="10" t="str">
        <f t="shared" si="139"/>
        <v>Low</v>
      </c>
      <c r="AG493" s="6">
        <f t="shared" si="149"/>
        <v>0.55344307558409989</v>
      </c>
      <c r="AH493" s="4">
        <f t="shared" si="150"/>
        <v>44938</v>
      </c>
      <c r="AI493" t="str">
        <f t="shared" si="151"/>
        <v>Jan-2023</v>
      </c>
    </row>
    <row r="494" spans="1:35" x14ac:dyDescent="0.25">
      <c r="A494" t="s">
        <v>506</v>
      </c>
      <c r="B494" s="4">
        <v>45861</v>
      </c>
      <c r="C494" s="4" t="str">
        <f t="shared" si="140"/>
        <v>Q3-2025</v>
      </c>
      <c r="D494" s="4" t="str">
        <f t="shared" si="141"/>
        <v>Jul-2025</v>
      </c>
      <c r="E494" s="4">
        <v>45888</v>
      </c>
      <c r="F494" s="12">
        <f t="shared" si="142"/>
        <v>27</v>
      </c>
      <c r="G494" s="12">
        <f t="shared" si="133"/>
        <v>0</v>
      </c>
      <c r="H494" s="4">
        <f t="shared" si="143"/>
        <v>45888</v>
      </c>
      <c r="I494" t="s">
        <v>647</v>
      </c>
      <c r="J494" t="s">
        <v>652</v>
      </c>
      <c r="K494" t="s">
        <v>694</v>
      </c>
      <c r="L494" t="s">
        <v>704</v>
      </c>
      <c r="M494" t="s">
        <v>709</v>
      </c>
      <c r="N494" t="s">
        <v>717</v>
      </c>
      <c r="O494" t="s">
        <v>733</v>
      </c>
      <c r="P494" t="str" cm="1">
        <f t="array" ref="P494">_xlfn.IFS(S494&lt;=PERCENTILE($S$2:$S$1000, 0.33), "Low", S494&lt;=PERCENTILE($S$2:$S$1000, 0.66), "Medium", TRUE, "High")</f>
        <v>Low</v>
      </c>
      <c r="Q494" t="s">
        <v>1225</v>
      </c>
      <c r="R494" s="10">
        <v>896.09</v>
      </c>
      <c r="S494" s="10">
        <v>744.27</v>
      </c>
      <c r="T494" s="8">
        <v>8.3000000000000004E-2</v>
      </c>
      <c r="U494" s="12">
        <f t="shared" si="144"/>
        <v>0</v>
      </c>
      <c r="V494" s="6">
        <v>11</v>
      </c>
      <c r="W494" t="str">
        <f t="shared" si="134"/>
        <v>ok</v>
      </c>
      <c r="X494">
        <f t="shared" si="135"/>
        <v>27</v>
      </c>
      <c r="Y494">
        <f t="shared" si="145"/>
        <v>27</v>
      </c>
      <c r="Z494" s="10">
        <f t="shared" si="146"/>
        <v>7507.4514899999995</v>
      </c>
      <c r="AA494" s="10">
        <f t="shared" si="147"/>
        <v>9856.99</v>
      </c>
      <c r="AB494" s="10">
        <f t="shared" si="148"/>
        <v>-2349.5385100000003</v>
      </c>
      <c r="AC494" s="10">
        <f t="shared" si="136"/>
        <v>606.37750000000005</v>
      </c>
      <c r="AD494" s="10">
        <f t="shared" si="137"/>
        <v>1193.865</v>
      </c>
      <c r="AE494" s="10">
        <f t="shared" si="138"/>
        <v>1912.0450000000001</v>
      </c>
      <c r="AF494" s="10" t="str">
        <f t="shared" si="139"/>
        <v>Medium</v>
      </c>
      <c r="AG494" s="6">
        <f t="shared" si="149"/>
        <v>-0.31296086469950679</v>
      </c>
      <c r="AH494" s="4">
        <f t="shared" si="150"/>
        <v>44945</v>
      </c>
      <c r="AI494" t="str">
        <f t="shared" si="151"/>
        <v>Jan-2023</v>
      </c>
    </row>
    <row r="495" spans="1:35" x14ac:dyDescent="0.25">
      <c r="A495" t="s">
        <v>507</v>
      </c>
      <c r="B495" s="4">
        <v>45352</v>
      </c>
      <c r="C495" s="4" t="str">
        <f t="shared" si="140"/>
        <v>Q1-2024</v>
      </c>
      <c r="D495" s="4" t="str">
        <f t="shared" si="141"/>
        <v>Mar-2024</v>
      </c>
      <c r="E495" s="4">
        <v>45351</v>
      </c>
      <c r="F495" s="12">
        <f t="shared" si="142"/>
        <v>14</v>
      </c>
      <c r="G495" s="12">
        <f t="shared" si="133"/>
        <v>0</v>
      </c>
      <c r="H495" s="4">
        <f t="shared" si="143"/>
        <v>45366</v>
      </c>
      <c r="I495" t="s">
        <v>648</v>
      </c>
      <c r="J495" t="s">
        <v>655</v>
      </c>
      <c r="K495" t="s">
        <v>670</v>
      </c>
      <c r="L495" t="s">
        <v>703</v>
      </c>
      <c r="M495" t="s">
        <v>711</v>
      </c>
      <c r="N495" t="s">
        <v>714</v>
      </c>
      <c r="O495" t="s">
        <v>730</v>
      </c>
      <c r="P495" t="str" cm="1">
        <f t="array" ref="P495">_xlfn.IFS(S495&lt;=PERCENTILE($S$2:$S$1000, 0.33), "Low", S495&lt;=PERCENTILE($S$2:$S$1000, 0.66), "Medium", TRUE, "High")</f>
        <v>Low</v>
      </c>
      <c r="Q495" t="s">
        <v>1226</v>
      </c>
      <c r="R495" s="10">
        <v>5.34</v>
      </c>
      <c r="S495" s="10">
        <v>12.69</v>
      </c>
      <c r="T495" s="8">
        <v>0.13200000000000001</v>
      </c>
      <c r="U495" s="12">
        <f t="shared" si="144"/>
        <v>0</v>
      </c>
      <c r="V495" s="6">
        <v>10</v>
      </c>
      <c r="W495" t="str">
        <f t="shared" si="134"/>
        <v>sus</v>
      </c>
      <c r="X495">
        <f t="shared" si="135"/>
        <v>-1</v>
      </c>
      <c r="Y495">
        <f t="shared" si="145"/>
        <v>1</v>
      </c>
      <c r="Z495" s="10">
        <f t="shared" si="146"/>
        <v>110.14919999999999</v>
      </c>
      <c r="AA495" s="10">
        <f t="shared" si="147"/>
        <v>53.4</v>
      </c>
      <c r="AB495" s="10">
        <f t="shared" si="148"/>
        <v>56.749199999999995</v>
      </c>
      <c r="AC495" s="10">
        <f t="shared" si="136"/>
        <v>606.37750000000005</v>
      </c>
      <c r="AD495" s="10">
        <f t="shared" si="137"/>
        <v>1193.865</v>
      </c>
      <c r="AE495" s="10">
        <f t="shared" si="138"/>
        <v>1912.0450000000001</v>
      </c>
      <c r="AF495" s="10" t="str">
        <f t="shared" si="139"/>
        <v>Medium</v>
      </c>
      <c r="AG495" s="6">
        <f t="shared" si="149"/>
        <v>0.51520301554618642</v>
      </c>
      <c r="AH495" s="4">
        <f t="shared" si="150"/>
        <v>44988</v>
      </c>
      <c r="AI495" t="str">
        <f t="shared" si="151"/>
        <v>Mar-2023</v>
      </c>
    </row>
    <row r="496" spans="1:35" x14ac:dyDescent="0.25">
      <c r="A496" t="s">
        <v>508</v>
      </c>
      <c r="B496" s="4">
        <v>45439</v>
      </c>
      <c r="C496" s="4" t="str">
        <f t="shared" si="140"/>
        <v>Q2-2024</v>
      </c>
      <c r="D496" s="4" t="str">
        <f t="shared" si="141"/>
        <v>May-2024</v>
      </c>
      <c r="E496" s="4">
        <v>45460</v>
      </c>
      <c r="F496" s="12">
        <f t="shared" si="142"/>
        <v>21</v>
      </c>
      <c r="G496" s="12">
        <f t="shared" si="133"/>
        <v>0</v>
      </c>
      <c r="H496" s="4">
        <f t="shared" si="143"/>
        <v>45460</v>
      </c>
      <c r="I496" t="s">
        <v>647</v>
      </c>
      <c r="J496" t="s">
        <v>654</v>
      </c>
      <c r="K496" t="s">
        <v>680</v>
      </c>
      <c r="L496" t="s">
        <v>705</v>
      </c>
      <c r="M496" t="s">
        <v>708</v>
      </c>
      <c r="N496" t="s">
        <v>722</v>
      </c>
      <c r="O496" t="s">
        <v>733</v>
      </c>
      <c r="P496" t="str" cm="1">
        <f t="array" ref="P496">_xlfn.IFS(S496&lt;=PERCENTILE($S$2:$S$1000, 0.33), "Low", S496&lt;=PERCENTILE($S$2:$S$1000, 0.66), "Medium", TRUE, "High")</f>
        <v>Low</v>
      </c>
      <c r="Q496" t="s">
        <v>1227</v>
      </c>
      <c r="R496" s="10">
        <v>465.02</v>
      </c>
      <c r="S496" s="10">
        <v>651.55999999999995</v>
      </c>
      <c r="T496" s="8">
        <v>4.2000000000000003E-2</v>
      </c>
      <c r="U496" s="12">
        <f t="shared" si="144"/>
        <v>0</v>
      </c>
      <c r="V496" s="6">
        <v>19</v>
      </c>
      <c r="W496" t="str">
        <f t="shared" si="134"/>
        <v>ok</v>
      </c>
      <c r="X496">
        <f t="shared" si="135"/>
        <v>21</v>
      </c>
      <c r="Y496">
        <f t="shared" si="145"/>
        <v>21</v>
      </c>
      <c r="Z496" s="10">
        <f t="shared" si="146"/>
        <v>11859.695119999998</v>
      </c>
      <c r="AA496" s="10">
        <f t="shared" si="147"/>
        <v>8835.3799999999992</v>
      </c>
      <c r="AB496" s="10">
        <f t="shared" si="148"/>
        <v>3024.3151199999993</v>
      </c>
      <c r="AC496" s="10">
        <f t="shared" si="136"/>
        <v>606.37750000000005</v>
      </c>
      <c r="AD496" s="10">
        <f t="shared" si="137"/>
        <v>1193.865</v>
      </c>
      <c r="AE496" s="10">
        <f t="shared" si="138"/>
        <v>1912.0450000000001</v>
      </c>
      <c r="AF496" s="10" t="str">
        <f t="shared" si="139"/>
        <v>Low</v>
      </c>
      <c r="AG496" s="6">
        <f t="shared" si="149"/>
        <v>0.25500783025187918</v>
      </c>
      <c r="AH496" s="4">
        <f t="shared" si="150"/>
        <v>44946</v>
      </c>
      <c r="AI496" t="str">
        <f t="shared" si="151"/>
        <v>Jan-2023</v>
      </c>
    </row>
    <row r="497" spans="1:35" x14ac:dyDescent="0.25">
      <c r="A497" t="s">
        <v>509</v>
      </c>
      <c r="B497" s="4">
        <v>45508</v>
      </c>
      <c r="C497" s="4" t="str">
        <f t="shared" si="140"/>
        <v>Q3-2024</v>
      </c>
      <c r="D497" s="4" t="str">
        <f t="shared" si="141"/>
        <v>Aug-2024</v>
      </c>
      <c r="E497" s="4">
        <v>45521</v>
      </c>
      <c r="F497" s="12">
        <f t="shared" si="142"/>
        <v>13</v>
      </c>
      <c r="G497" s="12">
        <f t="shared" si="133"/>
        <v>0</v>
      </c>
      <c r="H497" s="4">
        <f t="shared" si="143"/>
        <v>45521</v>
      </c>
      <c r="I497" t="s">
        <v>648</v>
      </c>
      <c r="J497" t="s">
        <v>660</v>
      </c>
      <c r="K497" t="s">
        <v>697</v>
      </c>
      <c r="L497" t="s">
        <v>704</v>
      </c>
      <c r="M497" t="s">
        <v>707</v>
      </c>
      <c r="N497" t="s">
        <v>726</v>
      </c>
      <c r="O497" t="s">
        <v>732</v>
      </c>
      <c r="P497" t="str" cm="1">
        <f t="array" ref="P497">_xlfn.IFS(S497&lt;=PERCENTILE($S$2:$S$1000, 0.33), "Low", S497&lt;=PERCENTILE($S$2:$S$1000, 0.66), "Medium", TRUE, "High")</f>
        <v>Low</v>
      </c>
      <c r="Q497" t="s">
        <v>1228</v>
      </c>
      <c r="R497" s="10">
        <v>352.79</v>
      </c>
      <c r="S497" s="10">
        <v>754.22</v>
      </c>
      <c r="T497" s="8">
        <v>0.113</v>
      </c>
      <c r="U497" s="12">
        <f t="shared" si="144"/>
        <v>0</v>
      </c>
      <c r="V497" s="6">
        <v>7</v>
      </c>
      <c r="W497" t="str">
        <f t="shared" si="134"/>
        <v>ok</v>
      </c>
      <c r="X497">
        <f t="shared" si="135"/>
        <v>13</v>
      </c>
      <c r="Y497">
        <f t="shared" si="145"/>
        <v>13</v>
      </c>
      <c r="Z497" s="10">
        <f t="shared" si="146"/>
        <v>4682.9519799999998</v>
      </c>
      <c r="AA497" s="10">
        <f t="shared" si="147"/>
        <v>2469.5300000000002</v>
      </c>
      <c r="AB497" s="10">
        <f t="shared" si="148"/>
        <v>2213.4219799999996</v>
      </c>
      <c r="AC497" s="10">
        <f t="shared" si="136"/>
        <v>606.37750000000005</v>
      </c>
      <c r="AD497" s="10">
        <f t="shared" si="137"/>
        <v>1193.865</v>
      </c>
      <c r="AE497" s="10">
        <f t="shared" si="138"/>
        <v>1912.0450000000001</v>
      </c>
      <c r="AF497" s="10" t="str">
        <f t="shared" si="139"/>
        <v>Medium</v>
      </c>
      <c r="AG497" s="6">
        <f t="shared" si="149"/>
        <v>0.47265528014233443</v>
      </c>
      <c r="AH497" s="4">
        <f t="shared" si="150"/>
        <v>44955</v>
      </c>
      <c r="AI497" t="str">
        <f t="shared" si="151"/>
        <v>Jan-2023</v>
      </c>
    </row>
    <row r="498" spans="1:35" x14ac:dyDescent="0.25">
      <c r="A498" t="s">
        <v>510</v>
      </c>
      <c r="B498" s="4">
        <v>45097</v>
      </c>
      <c r="C498" s="4" t="str">
        <f t="shared" si="140"/>
        <v>Q2-2023</v>
      </c>
      <c r="D498" s="4" t="str">
        <f t="shared" si="141"/>
        <v>Jun-2023</v>
      </c>
      <c r="E498" s="4">
        <v>45111</v>
      </c>
      <c r="F498" s="12">
        <f t="shared" si="142"/>
        <v>14</v>
      </c>
      <c r="G498" s="12">
        <f t="shared" si="133"/>
        <v>0</v>
      </c>
      <c r="H498" s="4">
        <f t="shared" si="143"/>
        <v>45111</v>
      </c>
      <c r="I498" t="s">
        <v>648</v>
      </c>
      <c r="J498" t="s">
        <v>655</v>
      </c>
      <c r="K498" t="s">
        <v>672</v>
      </c>
      <c r="L498" t="s">
        <v>703</v>
      </c>
      <c r="M498" t="s">
        <v>711</v>
      </c>
      <c r="N498" t="s">
        <v>712</v>
      </c>
      <c r="O498" t="s">
        <v>729</v>
      </c>
      <c r="P498" t="str" cm="1">
        <f t="array" ref="P498">_xlfn.IFS(S498&lt;=PERCENTILE($S$2:$S$1000, 0.33), "Low", S498&lt;=PERCENTILE($S$2:$S$1000, 0.66), "Medium", TRUE, "High")</f>
        <v>High</v>
      </c>
      <c r="Q498" t="s">
        <v>1229</v>
      </c>
      <c r="R498" s="10">
        <v>1292.8599999999999</v>
      </c>
      <c r="S498" s="10">
        <v>2981.01</v>
      </c>
      <c r="T498" s="8">
        <v>0.14199999999999999</v>
      </c>
      <c r="U498" s="12">
        <f t="shared" si="144"/>
        <v>0</v>
      </c>
      <c r="V498" s="6">
        <v>12</v>
      </c>
      <c r="W498" t="str">
        <f t="shared" si="134"/>
        <v>ok</v>
      </c>
      <c r="X498">
        <f t="shared" si="135"/>
        <v>14</v>
      </c>
      <c r="Y498">
        <f t="shared" si="145"/>
        <v>14</v>
      </c>
      <c r="Z498" s="10">
        <f t="shared" si="146"/>
        <v>30692.47896</v>
      </c>
      <c r="AA498" s="10">
        <f t="shared" si="147"/>
        <v>15514.32</v>
      </c>
      <c r="AB498" s="10">
        <f t="shared" si="148"/>
        <v>15178.158960000001</v>
      </c>
      <c r="AC498" s="10">
        <f t="shared" si="136"/>
        <v>606.37750000000005</v>
      </c>
      <c r="AD498" s="10">
        <f t="shared" si="137"/>
        <v>1193.865</v>
      </c>
      <c r="AE498" s="10">
        <f t="shared" si="138"/>
        <v>1912.0450000000001</v>
      </c>
      <c r="AF498" s="10" t="str">
        <f t="shared" si="139"/>
        <v>Medium</v>
      </c>
      <c r="AG498" s="6">
        <f t="shared" si="149"/>
        <v>0.49452372288927687</v>
      </c>
      <c r="AH498" s="4">
        <f t="shared" si="150"/>
        <v>44939</v>
      </c>
      <c r="AI498" t="str">
        <f t="shared" si="151"/>
        <v>Jan-2023</v>
      </c>
    </row>
    <row r="499" spans="1:35" x14ac:dyDescent="0.25">
      <c r="A499" t="s">
        <v>511</v>
      </c>
      <c r="B499" s="4">
        <v>45544</v>
      </c>
      <c r="C499" s="4" t="str">
        <f t="shared" si="140"/>
        <v>Q3-2024</v>
      </c>
      <c r="D499" s="4" t="str">
        <f t="shared" si="141"/>
        <v>Sept-2024</v>
      </c>
      <c r="E499" s="4">
        <v>45548</v>
      </c>
      <c r="F499" s="12">
        <f t="shared" si="142"/>
        <v>4</v>
      </c>
      <c r="G499" s="12">
        <f t="shared" si="133"/>
        <v>1</v>
      </c>
      <c r="H499" s="4">
        <f t="shared" si="143"/>
        <v>45548</v>
      </c>
      <c r="I499" t="s">
        <v>649</v>
      </c>
      <c r="J499" t="s">
        <v>658</v>
      </c>
      <c r="K499" t="s">
        <v>683</v>
      </c>
      <c r="L499" t="s">
        <v>704</v>
      </c>
      <c r="M499" t="s">
        <v>709</v>
      </c>
      <c r="N499" t="s">
        <v>721</v>
      </c>
      <c r="O499" t="s">
        <v>729</v>
      </c>
      <c r="P499" t="str" cm="1">
        <f t="array" ref="P499">_xlfn.IFS(S499&lt;=PERCENTILE($S$2:$S$1000, 0.33), "Low", S499&lt;=PERCENTILE($S$2:$S$1000, 0.66), "Medium", TRUE, "High")</f>
        <v>Medium</v>
      </c>
      <c r="Q499" t="s">
        <v>1230</v>
      </c>
      <c r="R499" s="10">
        <v>1133.08</v>
      </c>
      <c r="S499" s="10">
        <v>976.17</v>
      </c>
      <c r="T499" s="8">
        <v>4.2000000000000003E-2</v>
      </c>
      <c r="U499" s="12">
        <f t="shared" si="144"/>
        <v>0</v>
      </c>
      <c r="V499" s="6">
        <v>27</v>
      </c>
      <c r="W499" t="str">
        <f t="shared" si="134"/>
        <v>ok</v>
      </c>
      <c r="X499">
        <f t="shared" si="135"/>
        <v>4</v>
      </c>
      <c r="Y499">
        <f t="shared" si="145"/>
        <v>4</v>
      </c>
      <c r="Z499" s="10">
        <f t="shared" si="146"/>
        <v>25249.613219999999</v>
      </c>
      <c r="AA499" s="10">
        <f t="shared" si="147"/>
        <v>30593.159999999996</v>
      </c>
      <c r="AB499" s="10">
        <f t="shared" si="148"/>
        <v>-5343.5467799999969</v>
      </c>
      <c r="AC499" s="10">
        <f t="shared" si="136"/>
        <v>606.37750000000005</v>
      </c>
      <c r="AD499" s="10">
        <f t="shared" si="137"/>
        <v>1193.865</v>
      </c>
      <c r="AE499" s="10">
        <f t="shared" si="138"/>
        <v>1912.0450000000001</v>
      </c>
      <c r="AF499" s="10" t="str">
        <f t="shared" si="139"/>
        <v>High</v>
      </c>
      <c r="AG499" s="6">
        <f t="shared" si="149"/>
        <v>-0.21162885678452373</v>
      </c>
      <c r="AH499" s="4">
        <f t="shared" si="150"/>
        <v>44928</v>
      </c>
      <c r="AI499" t="str">
        <f t="shared" si="151"/>
        <v>Jan-2023</v>
      </c>
    </row>
    <row r="500" spans="1:35" x14ac:dyDescent="0.25">
      <c r="A500" t="s">
        <v>512</v>
      </c>
      <c r="B500" s="4">
        <v>45224</v>
      </c>
      <c r="C500" s="4" t="str">
        <f t="shared" si="140"/>
        <v>Q4-2023</v>
      </c>
      <c r="D500" s="4" t="str">
        <f t="shared" si="141"/>
        <v>Oct-2023</v>
      </c>
      <c r="E500" s="4">
        <v>45227</v>
      </c>
      <c r="F500" s="12">
        <f t="shared" si="142"/>
        <v>3</v>
      </c>
      <c r="G500" s="12">
        <f t="shared" si="133"/>
        <v>1</v>
      </c>
      <c r="H500" s="4">
        <f t="shared" si="143"/>
        <v>45227</v>
      </c>
      <c r="I500" t="s">
        <v>648</v>
      </c>
      <c r="J500" t="s">
        <v>655</v>
      </c>
      <c r="K500" t="s">
        <v>672</v>
      </c>
      <c r="L500" t="s">
        <v>701</v>
      </c>
      <c r="M500" t="s">
        <v>710</v>
      </c>
      <c r="N500" t="s">
        <v>716</v>
      </c>
      <c r="O500" t="s">
        <v>733</v>
      </c>
      <c r="P500" t="str" cm="1">
        <f t="array" ref="P500">_xlfn.IFS(S500&lt;=PERCENTILE($S$2:$S$1000, 0.33), "Low", S500&lt;=PERCENTILE($S$2:$S$1000, 0.66), "Medium", TRUE, "High")</f>
        <v>Medium</v>
      </c>
      <c r="Q500" t="s">
        <v>1231</v>
      </c>
      <c r="R500" s="10">
        <v>509.31</v>
      </c>
      <c r="S500" s="10">
        <v>1145.9000000000001</v>
      </c>
      <c r="T500" s="8">
        <v>5.7000000000000002E-2</v>
      </c>
      <c r="U500" s="12">
        <f t="shared" si="144"/>
        <v>0</v>
      </c>
      <c r="V500" s="6">
        <v>8</v>
      </c>
      <c r="W500" t="str">
        <f t="shared" si="134"/>
        <v>ok</v>
      </c>
      <c r="X500">
        <f t="shared" si="135"/>
        <v>3</v>
      </c>
      <c r="Y500">
        <f t="shared" si="145"/>
        <v>3</v>
      </c>
      <c r="Z500" s="10">
        <f t="shared" si="146"/>
        <v>8644.6696000000011</v>
      </c>
      <c r="AA500" s="10">
        <f t="shared" si="147"/>
        <v>4074.48</v>
      </c>
      <c r="AB500" s="10">
        <f t="shared" si="148"/>
        <v>4570.1896000000015</v>
      </c>
      <c r="AC500" s="10">
        <f t="shared" si="136"/>
        <v>606.37750000000005</v>
      </c>
      <c r="AD500" s="10">
        <f t="shared" si="137"/>
        <v>1193.865</v>
      </c>
      <c r="AE500" s="10">
        <f t="shared" si="138"/>
        <v>1912.0450000000001</v>
      </c>
      <c r="AF500" s="10" t="str">
        <f t="shared" si="139"/>
        <v>Medium</v>
      </c>
      <c r="AG500" s="6">
        <f t="shared" si="149"/>
        <v>0.52867140231709964</v>
      </c>
      <c r="AH500" s="4">
        <f t="shared" si="150"/>
        <v>44936</v>
      </c>
      <c r="AI500" t="str">
        <f t="shared" si="151"/>
        <v>Jan-2023</v>
      </c>
    </row>
    <row r="501" spans="1:35" x14ac:dyDescent="0.25">
      <c r="A501" t="s">
        <v>513</v>
      </c>
      <c r="B501" s="4">
        <v>45908</v>
      </c>
      <c r="C501" s="4" t="str">
        <f t="shared" si="140"/>
        <v>Q3-2025</v>
      </c>
      <c r="D501" s="4" t="str">
        <f t="shared" si="141"/>
        <v>Sept-2025</v>
      </c>
      <c r="E501" s="4">
        <v>45935</v>
      </c>
      <c r="F501" s="12">
        <f t="shared" si="142"/>
        <v>27</v>
      </c>
      <c r="G501" s="12">
        <f t="shared" si="133"/>
        <v>0</v>
      </c>
      <c r="H501" s="4">
        <f t="shared" si="143"/>
        <v>45935</v>
      </c>
      <c r="I501" t="s">
        <v>648</v>
      </c>
      <c r="J501" t="s">
        <v>655</v>
      </c>
      <c r="K501" t="s">
        <v>692</v>
      </c>
      <c r="L501" t="s">
        <v>702</v>
      </c>
      <c r="M501" t="s">
        <v>708</v>
      </c>
      <c r="N501" t="s">
        <v>712</v>
      </c>
      <c r="O501" t="s">
        <v>732</v>
      </c>
      <c r="P501" t="str" cm="1">
        <f t="array" ref="P501">_xlfn.IFS(S501&lt;=PERCENTILE($S$2:$S$1000, 0.33), "Low", S501&lt;=PERCENTILE($S$2:$S$1000, 0.66), "Medium", TRUE, "High")</f>
        <v>High</v>
      </c>
      <c r="Q501" t="s">
        <v>1232</v>
      </c>
      <c r="R501" s="10">
        <v>660.78</v>
      </c>
      <c r="S501" s="10">
        <v>1630.39</v>
      </c>
      <c r="T501" s="8">
        <v>0.218</v>
      </c>
      <c r="U501" s="12">
        <f t="shared" si="144"/>
        <v>1</v>
      </c>
      <c r="V501" s="6">
        <v>13</v>
      </c>
      <c r="W501" t="str">
        <f t="shared" si="134"/>
        <v>ok</v>
      </c>
      <c r="X501">
        <f t="shared" si="135"/>
        <v>27</v>
      </c>
      <c r="Y501">
        <f t="shared" si="145"/>
        <v>27</v>
      </c>
      <c r="Z501" s="10">
        <f t="shared" si="146"/>
        <v>16574.544740000001</v>
      </c>
      <c r="AA501" s="10">
        <f t="shared" si="147"/>
        <v>8590.14</v>
      </c>
      <c r="AB501" s="10">
        <f t="shared" si="148"/>
        <v>7984.4047400000018</v>
      </c>
      <c r="AC501" s="10">
        <f t="shared" si="136"/>
        <v>606.37750000000005</v>
      </c>
      <c r="AD501" s="10">
        <f t="shared" si="137"/>
        <v>1193.865</v>
      </c>
      <c r="AE501" s="10">
        <f t="shared" si="138"/>
        <v>1912.0450000000001</v>
      </c>
      <c r="AF501" s="10" t="str">
        <f t="shared" si="139"/>
        <v>Medium</v>
      </c>
      <c r="AG501" s="6">
        <f t="shared" si="149"/>
        <v>0.48172694123724097</v>
      </c>
      <c r="AH501" s="4">
        <f t="shared" si="150"/>
        <v>44939</v>
      </c>
      <c r="AI501" t="str">
        <f t="shared" si="151"/>
        <v>Jan-2023</v>
      </c>
    </row>
    <row r="502" spans="1:35" x14ac:dyDescent="0.25">
      <c r="A502" t="s">
        <v>514</v>
      </c>
      <c r="B502" s="4">
        <v>45048</v>
      </c>
      <c r="C502" s="4" t="str">
        <f t="shared" si="140"/>
        <v>Q2-2023</v>
      </c>
      <c r="D502" s="4" t="str">
        <f t="shared" si="141"/>
        <v>May-2023</v>
      </c>
      <c r="E502" s="4">
        <v>45062</v>
      </c>
      <c r="F502" s="12">
        <f t="shared" si="142"/>
        <v>14</v>
      </c>
      <c r="G502" s="12">
        <f t="shared" si="133"/>
        <v>0</v>
      </c>
      <c r="H502" s="4">
        <f t="shared" si="143"/>
        <v>45062</v>
      </c>
      <c r="I502" t="s">
        <v>647</v>
      </c>
      <c r="J502" t="s">
        <v>654</v>
      </c>
      <c r="K502" t="s">
        <v>668</v>
      </c>
      <c r="L502" t="s">
        <v>703</v>
      </c>
      <c r="M502" t="s">
        <v>707</v>
      </c>
      <c r="N502" t="s">
        <v>716</v>
      </c>
      <c r="O502" t="s">
        <v>732</v>
      </c>
      <c r="P502" t="str" cm="1">
        <f t="array" ref="P502">_xlfn.IFS(S502&lt;=PERCENTILE($S$2:$S$1000, 0.33), "Low", S502&lt;=PERCENTILE($S$2:$S$1000, 0.66), "Medium", TRUE, "High")</f>
        <v>Medium</v>
      </c>
      <c r="Q502" t="s">
        <v>1233</v>
      </c>
      <c r="R502" s="10">
        <v>475.37</v>
      </c>
      <c r="S502" s="10">
        <v>963.73</v>
      </c>
      <c r="T502" s="8">
        <v>4.1000000000000002E-2</v>
      </c>
      <c r="U502" s="12">
        <f t="shared" si="144"/>
        <v>0</v>
      </c>
      <c r="V502" s="6">
        <v>22</v>
      </c>
      <c r="W502" t="str">
        <f t="shared" si="134"/>
        <v>ok</v>
      </c>
      <c r="X502">
        <f t="shared" si="135"/>
        <v>14</v>
      </c>
      <c r="Y502">
        <f t="shared" si="145"/>
        <v>14</v>
      </c>
      <c r="Z502" s="10">
        <f t="shared" si="146"/>
        <v>20332.775539999999</v>
      </c>
      <c r="AA502" s="10">
        <f t="shared" si="147"/>
        <v>10458.14</v>
      </c>
      <c r="AB502" s="10">
        <f t="shared" si="148"/>
        <v>9874.6355399999993</v>
      </c>
      <c r="AC502" s="10">
        <f t="shared" si="136"/>
        <v>606.37750000000005</v>
      </c>
      <c r="AD502" s="10">
        <f t="shared" si="137"/>
        <v>1193.865</v>
      </c>
      <c r="AE502" s="10">
        <f t="shared" si="138"/>
        <v>1912.0450000000001</v>
      </c>
      <c r="AF502" s="10" t="str">
        <f t="shared" si="139"/>
        <v>Medium</v>
      </c>
      <c r="AG502" s="6">
        <f t="shared" si="149"/>
        <v>0.48565113604750881</v>
      </c>
      <c r="AH502" s="4">
        <f t="shared" si="150"/>
        <v>44941</v>
      </c>
      <c r="AI502" t="str">
        <f t="shared" si="151"/>
        <v>Jan-2023</v>
      </c>
    </row>
    <row r="503" spans="1:35" x14ac:dyDescent="0.25">
      <c r="A503" t="s">
        <v>515</v>
      </c>
      <c r="B503" s="4">
        <v>45408</v>
      </c>
      <c r="C503" s="4" t="str">
        <f t="shared" si="140"/>
        <v>Q2-2024</v>
      </c>
      <c r="D503" s="4" t="str">
        <f t="shared" si="141"/>
        <v>Apr-2024</v>
      </c>
      <c r="E503" s="4">
        <v>45406</v>
      </c>
      <c r="F503" s="12">
        <f t="shared" si="142"/>
        <v>14</v>
      </c>
      <c r="G503" s="12">
        <f t="shared" si="133"/>
        <v>0</v>
      </c>
      <c r="H503" s="4">
        <f t="shared" si="143"/>
        <v>45422</v>
      </c>
      <c r="I503" t="s">
        <v>649</v>
      </c>
      <c r="J503" t="s">
        <v>658</v>
      </c>
      <c r="K503" t="s">
        <v>683</v>
      </c>
      <c r="L503" t="s">
        <v>703</v>
      </c>
      <c r="M503" t="s">
        <v>710</v>
      </c>
      <c r="N503" t="s">
        <v>725</v>
      </c>
      <c r="O503" t="s">
        <v>730</v>
      </c>
      <c r="P503" t="str" cm="1">
        <f t="array" ref="P503">_xlfn.IFS(S503&lt;=PERCENTILE($S$2:$S$1000, 0.33), "Low", S503&lt;=PERCENTILE($S$2:$S$1000, 0.66), "Medium", TRUE, "High")</f>
        <v>Medium</v>
      </c>
      <c r="Q503" t="s">
        <v>1234</v>
      </c>
      <c r="R503" s="10">
        <v>1232.77</v>
      </c>
      <c r="S503" s="10">
        <v>891.73</v>
      </c>
      <c r="T503" s="8">
        <v>0.16700000000000001</v>
      </c>
      <c r="U503" s="12">
        <f t="shared" si="144"/>
        <v>0</v>
      </c>
      <c r="V503" s="6">
        <v>10</v>
      </c>
      <c r="W503" t="str">
        <f t="shared" si="134"/>
        <v>sus</v>
      </c>
      <c r="X503">
        <f t="shared" si="135"/>
        <v>-2</v>
      </c>
      <c r="Y503">
        <f t="shared" si="145"/>
        <v>2</v>
      </c>
      <c r="Z503" s="10">
        <f t="shared" si="146"/>
        <v>7428.1108999999988</v>
      </c>
      <c r="AA503" s="10">
        <f t="shared" si="147"/>
        <v>12327.7</v>
      </c>
      <c r="AB503" s="10">
        <f t="shared" si="148"/>
        <v>-4899.589100000002</v>
      </c>
      <c r="AC503" s="10">
        <f t="shared" si="136"/>
        <v>606.37750000000005</v>
      </c>
      <c r="AD503" s="10">
        <f t="shared" si="137"/>
        <v>1193.865</v>
      </c>
      <c r="AE503" s="10">
        <f t="shared" si="138"/>
        <v>1912.0450000000001</v>
      </c>
      <c r="AF503" s="10" t="str">
        <f t="shared" si="139"/>
        <v>Medium</v>
      </c>
      <c r="AG503" s="6">
        <f t="shared" si="149"/>
        <v>-0.65960096260813805</v>
      </c>
      <c r="AH503" s="4">
        <f t="shared" si="150"/>
        <v>44945</v>
      </c>
      <c r="AI503" t="str">
        <f t="shared" si="151"/>
        <v>Jan-2023</v>
      </c>
    </row>
    <row r="504" spans="1:35" x14ac:dyDescent="0.25">
      <c r="A504" t="s">
        <v>516</v>
      </c>
      <c r="B504" s="4">
        <v>44980</v>
      </c>
      <c r="C504" s="4" t="str">
        <f t="shared" si="140"/>
        <v>Q1-2023</v>
      </c>
      <c r="D504" s="4" t="str">
        <f t="shared" si="141"/>
        <v>Feb-2023</v>
      </c>
      <c r="E504" s="4">
        <v>45003</v>
      </c>
      <c r="F504" s="12">
        <f t="shared" si="142"/>
        <v>23</v>
      </c>
      <c r="G504" s="12">
        <f t="shared" si="133"/>
        <v>0</v>
      </c>
      <c r="H504" s="4">
        <f t="shared" si="143"/>
        <v>45003</v>
      </c>
      <c r="I504" t="s">
        <v>647</v>
      </c>
      <c r="J504" t="s">
        <v>659</v>
      </c>
      <c r="K504" t="s">
        <v>699</v>
      </c>
      <c r="L504" t="s">
        <v>702</v>
      </c>
      <c r="M504" t="s">
        <v>710</v>
      </c>
      <c r="N504" t="s">
        <v>723</v>
      </c>
      <c r="O504" t="s">
        <v>728</v>
      </c>
      <c r="P504" t="str" cm="1">
        <f t="array" ref="P504">_xlfn.IFS(S504&lt;=PERCENTILE($S$2:$S$1000, 0.33), "Low", S504&lt;=PERCENTILE($S$2:$S$1000, 0.66), "Medium", TRUE, "High")</f>
        <v>High</v>
      </c>
      <c r="Q504" t="s">
        <v>1235</v>
      </c>
      <c r="R504" s="10">
        <v>770.11</v>
      </c>
      <c r="S504" s="10">
        <v>1667.82</v>
      </c>
      <c r="T504" s="8">
        <v>6.9000000000000006E-2</v>
      </c>
      <c r="U504" s="12">
        <f t="shared" si="144"/>
        <v>0</v>
      </c>
      <c r="V504" s="6">
        <v>7</v>
      </c>
      <c r="W504" t="str">
        <f t="shared" si="134"/>
        <v>ok</v>
      </c>
      <c r="X504">
        <f t="shared" si="135"/>
        <v>23</v>
      </c>
      <c r="Y504">
        <f t="shared" si="145"/>
        <v>23</v>
      </c>
      <c r="Z504" s="10">
        <f t="shared" si="146"/>
        <v>10869.182940000001</v>
      </c>
      <c r="AA504" s="10">
        <f t="shared" si="147"/>
        <v>5390.77</v>
      </c>
      <c r="AB504" s="10">
        <f t="shared" si="148"/>
        <v>5478.4129400000002</v>
      </c>
      <c r="AC504" s="10">
        <f t="shared" si="136"/>
        <v>606.37750000000005</v>
      </c>
      <c r="AD504" s="10">
        <f t="shared" si="137"/>
        <v>1193.865</v>
      </c>
      <c r="AE504" s="10">
        <f t="shared" si="138"/>
        <v>1912.0450000000001</v>
      </c>
      <c r="AF504" s="10" t="str">
        <f t="shared" si="139"/>
        <v>Medium</v>
      </c>
      <c r="AG504" s="6">
        <f t="shared" si="149"/>
        <v>0.50403171703355287</v>
      </c>
      <c r="AH504" s="4">
        <f t="shared" si="150"/>
        <v>44939</v>
      </c>
      <c r="AI504" t="str">
        <f t="shared" si="151"/>
        <v>Jan-2023</v>
      </c>
    </row>
    <row r="505" spans="1:35" x14ac:dyDescent="0.25">
      <c r="A505" t="s">
        <v>517</v>
      </c>
      <c r="B505" s="4">
        <v>45740</v>
      </c>
      <c r="C505" s="4" t="str">
        <f t="shared" si="140"/>
        <v>Q1-2025</v>
      </c>
      <c r="D505" s="4" t="str">
        <f t="shared" si="141"/>
        <v>Mar-2025</v>
      </c>
      <c r="E505" s="4">
        <v>45741</v>
      </c>
      <c r="F505" s="12">
        <f t="shared" si="142"/>
        <v>1</v>
      </c>
      <c r="G505" s="12">
        <f t="shared" si="133"/>
        <v>1</v>
      </c>
      <c r="H505" s="4">
        <f t="shared" si="143"/>
        <v>45741</v>
      </c>
      <c r="I505" t="s">
        <v>647</v>
      </c>
      <c r="J505" t="s">
        <v>659</v>
      </c>
      <c r="K505" t="s">
        <v>699</v>
      </c>
      <c r="L505" t="s">
        <v>703</v>
      </c>
      <c r="M505" t="s">
        <v>708</v>
      </c>
      <c r="N505" t="s">
        <v>715</v>
      </c>
      <c r="O505" t="s">
        <v>729</v>
      </c>
      <c r="P505" t="str" cm="1">
        <f t="array" ref="P505">_xlfn.IFS(S505&lt;=PERCENTILE($S$2:$S$1000, 0.33), "Low", S505&lt;=PERCENTILE($S$2:$S$1000, 0.66), "Medium", TRUE, "High")</f>
        <v>High</v>
      </c>
      <c r="Q505" t="s">
        <v>1236</v>
      </c>
      <c r="R505" s="10">
        <v>1133.03</v>
      </c>
      <c r="S505" s="10">
        <v>1921.51</v>
      </c>
      <c r="T505" s="8">
        <v>0.10100000000000001</v>
      </c>
      <c r="U505" s="12">
        <f t="shared" si="144"/>
        <v>0</v>
      </c>
      <c r="V505" s="6">
        <v>5</v>
      </c>
      <c r="W505" t="str">
        <f t="shared" si="134"/>
        <v>ok</v>
      </c>
      <c r="X505">
        <f t="shared" si="135"/>
        <v>1</v>
      </c>
      <c r="Y505">
        <f t="shared" si="145"/>
        <v>1</v>
      </c>
      <c r="Z505" s="10">
        <f t="shared" si="146"/>
        <v>8637.1874499999994</v>
      </c>
      <c r="AA505" s="10">
        <f t="shared" si="147"/>
        <v>5665.15</v>
      </c>
      <c r="AB505" s="10">
        <f t="shared" si="148"/>
        <v>2972.0374499999998</v>
      </c>
      <c r="AC505" s="10">
        <f t="shared" si="136"/>
        <v>606.37750000000005</v>
      </c>
      <c r="AD505" s="10">
        <f t="shared" si="137"/>
        <v>1193.865</v>
      </c>
      <c r="AE505" s="10">
        <f t="shared" si="138"/>
        <v>1912.0450000000001</v>
      </c>
      <c r="AF505" s="10" t="str">
        <f t="shared" si="139"/>
        <v>Medium</v>
      </c>
      <c r="AG505" s="6">
        <f t="shared" si="149"/>
        <v>0.3440978289755654</v>
      </c>
      <c r="AH505" s="4">
        <f t="shared" si="150"/>
        <v>44938</v>
      </c>
      <c r="AI505" t="str">
        <f t="shared" si="151"/>
        <v>Jan-2023</v>
      </c>
    </row>
    <row r="506" spans="1:35" x14ac:dyDescent="0.25">
      <c r="A506" t="s">
        <v>518</v>
      </c>
      <c r="B506" s="4">
        <v>45726</v>
      </c>
      <c r="C506" s="4" t="str">
        <f t="shared" si="140"/>
        <v>Q1-2025</v>
      </c>
      <c r="D506" s="4" t="str">
        <f t="shared" si="141"/>
        <v>Mar-2025</v>
      </c>
      <c r="E506" s="4">
        <v>45743</v>
      </c>
      <c r="F506" s="12">
        <f t="shared" si="142"/>
        <v>17</v>
      </c>
      <c r="G506" s="12">
        <f t="shared" si="133"/>
        <v>0</v>
      </c>
      <c r="H506" s="4">
        <f t="shared" si="143"/>
        <v>45743</v>
      </c>
      <c r="I506" t="s">
        <v>648</v>
      </c>
      <c r="J506" t="s">
        <v>655</v>
      </c>
      <c r="K506" t="s">
        <v>692</v>
      </c>
      <c r="L506" t="s">
        <v>706</v>
      </c>
      <c r="M506" t="s">
        <v>711</v>
      </c>
      <c r="N506" t="s">
        <v>721</v>
      </c>
      <c r="O506" t="s">
        <v>729</v>
      </c>
      <c r="P506" t="str" cm="1">
        <f t="array" ref="P506">_xlfn.IFS(S506&lt;=PERCENTILE($S$2:$S$1000, 0.33), "Low", S506&lt;=PERCENTILE($S$2:$S$1000, 0.66), "Medium", TRUE, "High")</f>
        <v>Medium</v>
      </c>
      <c r="Q506" t="s">
        <v>1237</v>
      </c>
      <c r="R506" s="10">
        <v>996.73</v>
      </c>
      <c r="S506" s="10">
        <v>1217.43</v>
      </c>
      <c r="T506" s="8">
        <v>7.0000000000000007E-2</v>
      </c>
      <c r="U506" s="12">
        <f t="shared" si="144"/>
        <v>0</v>
      </c>
      <c r="V506" s="6">
        <v>9</v>
      </c>
      <c r="W506" t="str">
        <f t="shared" si="134"/>
        <v>ok</v>
      </c>
      <c r="X506">
        <f t="shared" si="135"/>
        <v>17</v>
      </c>
      <c r="Y506">
        <f t="shared" si="145"/>
        <v>17</v>
      </c>
      <c r="Z506" s="10">
        <f t="shared" si="146"/>
        <v>10189.8891</v>
      </c>
      <c r="AA506" s="10">
        <f t="shared" si="147"/>
        <v>8970.57</v>
      </c>
      <c r="AB506" s="10">
        <f t="shared" si="148"/>
        <v>1219.3191000000006</v>
      </c>
      <c r="AC506" s="10">
        <f t="shared" si="136"/>
        <v>606.37750000000005</v>
      </c>
      <c r="AD506" s="10">
        <f t="shared" si="137"/>
        <v>1193.865</v>
      </c>
      <c r="AE506" s="10">
        <f t="shared" si="138"/>
        <v>1912.0450000000001</v>
      </c>
      <c r="AF506" s="10" t="str">
        <f t="shared" si="139"/>
        <v>High</v>
      </c>
      <c r="AG506" s="6">
        <f t="shared" si="149"/>
        <v>0.11965970267527255</v>
      </c>
      <c r="AH506" s="4">
        <f t="shared" si="150"/>
        <v>44938</v>
      </c>
      <c r="AI506" t="str">
        <f t="shared" si="151"/>
        <v>Jan-2023</v>
      </c>
    </row>
    <row r="507" spans="1:35" x14ac:dyDescent="0.25">
      <c r="A507" t="s">
        <v>519</v>
      </c>
      <c r="B507" s="4">
        <v>45387</v>
      </c>
      <c r="C507" s="4" t="str">
        <f t="shared" si="140"/>
        <v>Q2-2024</v>
      </c>
      <c r="D507" s="4" t="str">
        <f t="shared" si="141"/>
        <v>Apr-2024</v>
      </c>
      <c r="E507" s="4">
        <v>45391</v>
      </c>
      <c r="F507" s="12">
        <f t="shared" si="142"/>
        <v>4</v>
      </c>
      <c r="G507" s="12">
        <f t="shared" si="133"/>
        <v>1</v>
      </c>
      <c r="H507" s="4">
        <f t="shared" si="143"/>
        <v>45391</v>
      </c>
      <c r="I507" t="s">
        <v>646</v>
      </c>
      <c r="J507" t="s">
        <v>651</v>
      </c>
      <c r="K507" t="s">
        <v>665</v>
      </c>
      <c r="L507" t="s">
        <v>703</v>
      </c>
      <c r="M507" t="s">
        <v>711</v>
      </c>
      <c r="N507" t="s">
        <v>723</v>
      </c>
      <c r="O507" t="s">
        <v>727</v>
      </c>
      <c r="P507" t="str" cm="1">
        <f t="array" ref="P507">_xlfn.IFS(S507&lt;=PERCENTILE($S$2:$S$1000, 0.33), "Low", S507&lt;=PERCENTILE($S$2:$S$1000, 0.66), "Medium", TRUE, "High")</f>
        <v>Medium</v>
      </c>
      <c r="Q507" t="s">
        <v>1238</v>
      </c>
      <c r="R507" s="10">
        <v>395.07</v>
      </c>
      <c r="S507" s="10">
        <v>970.27</v>
      </c>
      <c r="T507" s="8">
        <v>0.123</v>
      </c>
      <c r="U507" s="12">
        <f t="shared" si="144"/>
        <v>0</v>
      </c>
      <c r="V507" s="6">
        <v>38</v>
      </c>
      <c r="W507" t="str">
        <f t="shared" si="134"/>
        <v>ok</v>
      </c>
      <c r="X507">
        <f t="shared" si="135"/>
        <v>4</v>
      </c>
      <c r="Y507">
        <f t="shared" si="145"/>
        <v>4</v>
      </c>
      <c r="Z507" s="10">
        <f t="shared" si="146"/>
        <v>32335.21802</v>
      </c>
      <c r="AA507" s="10">
        <f t="shared" si="147"/>
        <v>15012.66</v>
      </c>
      <c r="AB507" s="10">
        <f t="shared" si="148"/>
        <v>17322.55802</v>
      </c>
      <c r="AC507" s="10">
        <f t="shared" si="136"/>
        <v>606.37750000000005</v>
      </c>
      <c r="AD507" s="10">
        <f t="shared" si="137"/>
        <v>1193.865</v>
      </c>
      <c r="AE507" s="10">
        <f t="shared" si="138"/>
        <v>1912.0450000000001</v>
      </c>
      <c r="AF507" s="10" t="str">
        <f t="shared" si="139"/>
        <v>Medium</v>
      </c>
      <c r="AG507" s="6">
        <f t="shared" si="149"/>
        <v>0.53571799049833657</v>
      </c>
      <c r="AH507" s="4">
        <f t="shared" si="150"/>
        <v>44933</v>
      </c>
      <c r="AI507" t="str">
        <f t="shared" si="151"/>
        <v>Jan-2023</v>
      </c>
    </row>
    <row r="508" spans="1:35" x14ac:dyDescent="0.25">
      <c r="A508" t="s">
        <v>520</v>
      </c>
      <c r="B508" s="4">
        <v>45774</v>
      </c>
      <c r="C508" s="4" t="str">
        <f t="shared" si="140"/>
        <v>Q2-2025</v>
      </c>
      <c r="D508" s="4" t="str">
        <f t="shared" si="141"/>
        <v>Apr-2025</v>
      </c>
      <c r="E508" s="4">
        <v>45794</v>
      </c>
      <c r="F508" s="12">
        <f t="shared" si="142"/>
        <v>20</v>
      </c>
      <c r="G508" s="12">
        <f t="shared" si="133"/>
        <v>0</v>
      </c>
      <c r="H508" s="4">
        <f t="shared" si="143"/>
        <v>45794</v>
      </c>
      <c r="I508" t="s">
        <v>648</v>
      </c>
      <c r="J508" t="s">
        <v>660</v>
      </c>
      <c r="K508" t="s">
        <v>697</v>
      </c>
      <c r="L508" t="s">
        <v>701</v>
      </c>
      <c r="M508" t="s">
        <v>711</v>
      </c>
      <c r="N508" t="s">
        <v>725</v>
      </c>
      <c r="O508" t="s">
        <v>730</v>
      </c>
      <c r="P508" t="str" cm="1">
        <f t="array" ref="P508">_xlfn.IFS(S508&lt;=PERCENTILE($S$2:$S$1000, 0.33), "Low", S508&lt;=PERCENTILE($S$2:$S$1000, 0.66), "Medium", TRUE, "High")</f>
        <v>High</v>
      </c>
      <c r="Q508" t="s">
        <v>1239</v>
      </c>
      <c r="R508" s="10">
        <v>932.26</v>
      </c>
      <c r="S508" s="10">
        <v>1624.67</v>
      </c>
      <c r="T508" s="8">
        <v>0.23499999999999999</v>
      </c>
      <c r="U508" s="12">
        <f t="shared" si="144"/>
        <v>1</v>
      </c>
      <c r="V508" s="6">
        <v>28</v>
      </c>
      <c r="W508" t="str">
        <f t="shared" si="134"/>
        <v>ok</v>
      </c>
      <c r="X508">
        <f t="shared" si="135"/>
        <v>20</v>
      </c>
      <c r="Y508">
        <f t="shared" si="145"/>
        <v>20</v>
      </c>
      <c r="Z508" s="10">
        <f t="shared" si="146"/>
        <v>34800.431400000001</v>
      </c>
      <c r="AA508" s="10">
        <f t="shared" si="147"/>
        <v>26103.279999999999</v>
      </c>
      <c r="AB508" s="10">
        <f t="shared" si="148"/>
        <v>8697.1514000000025</v>
      </c>
      <c r="AC508" s="10">
        <f t="shared" si="136"/>
        <v>606.37750000000005</v>
      </c>
      <c r="AD508" s="10">
        <f t="shared" si="137"/>
        <v>1193.865</v>
      </c>
      <c r="AE508" s="10">
        <f t="shared" si="138"/>
        <v>1912.0450000000001</v>
      </c>
      <c r="AF508" s="10" t="str">
        <f t="shared" si="139"/>
        <v>Medium</v>
      </c>
      <c r="AG508" s="6">
        <f t="shared" si="149"/>
        <v>0.24991504559337163</v>
      </c>
      <c r="AH508" s="4">
        <f t="shared" si="150"/>
        <v>44933</v>
      </c>
      <c r="AI508" t="str">
        <f t="shared" si="151"/>
        <v>Jan-2023</v>
      </c>
    </row>
    <row r="509" spans="1:35" x14ac:dyDescent="0.25">
      <c r="A509" t="s">
        <v>521</v>
      </c>
      <c r="B509" s="4">
        <v>45589</v>
      </c>
      <c r="C509" s="4" t="str">
        <f t="shared" si="140"/>
        <v>Q4-2024</v>
      </c>
      <c r="D509" s="4" t="str">
        <f t="shared" si="141"/>
        <v>Oct-2024</v>
      </c>
      <c r="E509" s="4">
        <v>45593</v>
      </c>
      <c r="F509" s="12">
        <f t="shared" si="142"/>
        <v>4</v>
      </c>
      <c r="G509" s="12">
        <f t="shared" si="133"/>
        <v>1</v>
      </c>
      <c r="H509" s="4">
        <f t="shared" si="143"/>
        <v>45593</v>
      </c>
      <c r="I509" t="s">
        <v>647</v>
      </c>
      <c r="J509" t="s">
        <v>659</v>
      </c>
      <c r="K509" t="s">
        <v>685</v>
      </c>
      <c r="L509" t="s">
        <v>705</v>
      </c>
      <c r="M509" t="s">
        <v>710</v>
      </c>
      <c r="N509" t="s">
        <v>714</v>
      </c>
      <c r="O509" t="s">
        <v>729</v>
      </c>
      <c r="P509" t="str" cm="1">
        <f t="array" ref="P509">_xlfn.IFS(S509&lt;=PERCENTILE($S$2:$S$1000, 0.33), "Low", S509&lt;=PERCENTILE($S$2:$S$1000, 0.66), "Medium", TRUE, "High")</f>
        <v>High</v>
      </c>
      <c r="Q509" t="s">
        <v>1240</v>
      </c>
      <c r="R509" s="10">
        <v>1331.77</v>
      </c>
      <c r="S509" s="10">
        <v>2606.11</v>
      </c>
      <c r="T509" s="8">
        <v>0.02</v>
      </c>
      <c r="U509" s="12">
        <f t="shared" si="144"/>
        <v>0</v>
      </c>
      <c r="V509" s="6">
        <v>6</v>
      </c>
      <c r="W509" t="str">
        <f t="shared" si="134"/>
        <v>ok</v>
      </c>
      <c r="X509">
        <f t="shared" si="135"/>
        <v>4</v>
      </c>
      <c r="Y509">
        <f t="shared" si="145"/>
        <v>4</v>
      </c>
      <c r="Z509" s="10">
        <f t="shared" si="146"/>
        <v>15323.926799999999</v>
      </c>
      <c r="AA509" s="10">
        <f t="shared" si="147"/>
        <v>7990.62</v>
      </c>
      <c r="AB509" s="10">
        <f t="shared" si="148"/>
        <v>7333.3067999999994</v>
      </c>
      <c r="AC509" s="10">
        <f t="shared" si="136"/>
        <v>606.37750000000005</v>
      </c>
      <c r="AD509" s="10">
        <f t="shared" si="137"/>
        <v>1193.865</v>
      </c>
      <c r="AE509" s="10">
        <f t="shared" si="138"/>
        <v>1912.0450000000001</v>
      </c>
      <c r="AF509" s="10" t="str">
        <f t="shared" si="139"/>
        <v>Medium</v>
      </c>
      <c r="AG509" s="6">
        <f t="shared" si="149"/>
        <v>0.47855271665745619</v>
      </c>
      <c r="AH509" s="4">
        <f t="shared" si="150"/>
        <v>44955</v>
      </c>
      <c r="AI509" t="str">
        <f t="shared" si="151"/>
        <v>Jan-2023</v>
      </c>
    </row>
    <row r="510" spans="1:35" x14ac:dyDescent="0.25">
      <c r="A510" t="s">
        <v>522</v>
      </c>
      <c r="B510" s="4">
        <v>45029</v>
      </c>
      <c r="C510" s="4" t="str">
        <f t="shared" si="140"/>
        <v>Q2-2023</v>
      </c>
      <c r="D510" s="4" t="str">
        <f t="shared" si="141"/>
        <v>Apr-2023</v>
      </c>
      <c r="E510" s="4">
        <v>45036</v>
      </c>
      <c r="F510" s="12">
        <f t="shared" si="142"/>
        <v>7</v>
      </c>
      <c r="G510" s="12">
        <f t="shared" si="133"/>
        <v>1</v>
      </c>
      <c r="H510" s="4">
        <f t="shared" si="143"/>
        <v>45036</v>
      </c>
      <c r="I510" t="s">
        <v>649</v>
      </c>
      <c r="J510" t="s">
        <v>657</v>
      </c>
      <c r="K510" t="s">
        <v>679</v>
      </c>
      <c r="L510" t="s">
        <v>705</v>
      </c>
      <c r="M510" t="s">
        <v>708</v>
      </c>
      <c r="N510" t="s">
        <v>720</v>
      </c>
      <c r="O510" t="s">
        <v>731</v>
      </c>
      <c r="P510" t="str" cm="1">
        <f t="array" ref="P510">_xlfn.IFS(S510&lt;=PERCENTILE($S$2:$S$1000, 0.33), "Low", S510&lt;=PERCENTILE($S$2:$S$1000, 0.66), "Medium", TRUE, "High")</f>
        <v>Low</v>
      </c>
      <c r="Q510" t="s">
        <v>1241</v>
      </c>
      <c r="R510" s="10">
        <v>227.02</v>
      </c>
      <c r="S510" s="10">
        <v>434.72</v>
      </c>
      <c r="T510" s="8">
        <v>9.8000000000000004E-2</v>
      </c>
      <c r="U510" s="12">
        <f t="shared" si="144"/>
        <v>0</v>
      </c>
      <c r="V510" s="6">
        <v>10</v>
      </c>
      <c r="W510" t="str">
        <f t="shared" si="134"/>
        <v>ok</v>
      </c>
      <c r="X510">
        <f t="shared" si="135"/>
        <v>7</v>
      </c>
      <c r="Y510">
        <f t="shared" si="145"/>
        <v>7</v>
      </c>
      <c r="Z510" s="10">
        <f t="shared" si="146"/>
        <v>3921.1744000000008</v>
      </c>
      <c r="AA510" s="10">
        <f t="shared" si="147"/>
        <v>2270.2000000000003</v>
      </c>
      <c r="AB510" s="10">
        <f t="shared" si="148"/>
        <v>1650.9744000000005</v>
      </c>
      <c r="AC510" s="10">
        <f t="shared" si="136"/>
        <v>606.37750000000005</v>
      </c>
      <c r="AD510" s="10">
        <f t="shared" si="137"/>
        <v>1193.865</v>
      </c>
      <c r="AE510" s="10">
        <f t="shared" si="138"/>
        <v>1912.0450000000001</v>
      </c>
      <c r="AF510" s="10" t="str">
        <f t="shared" si="139"/>
        <v>High</v>
      </c>
      <c r="AG510" s="6">
        <f t="shared" si="149"/>
        <v>0.42104079838938052</v>
      </c>
      <c r="AH510" s="4">
        <f t="shared" si="150"/>
        <v>44945</v>
      </c>
      <c r="AI510" t="str">
        <f t="shared" si="151"/>
        <v>Jan-2023</v>
      </c>
    </row>
    <row r="511" spans="1:35" x14ac:dyDescent="0.25">
      <c r="A511" t="s">
        <v>523</v>
      </c>
      <c r="B511" s="4">
        <v>45608</v>
      </c>
      <c r="C511" s="4" t="str">
        <f t="shared" si="140"/>
        <v>Q4-2024</v>
      </c>
      <c r="D511" s="4" t="str">
        <f t="shared" si="141"/>
        <v>Nov-2024</v>
      </c>
      <c r="E511" s="4">
        <v>45617</v>
      </c>
      <c r="F511" s="12">
        <f t="shared" si="142"/>
        <v>9</v>
      </c>
      <c r="G511" s="12">
        <f t="shared" si="133"/>
        <v>0</v>
      </c>
      <c r="H511" s="4">
        <f t="shared" si="143"/>
        <v>45617</v>
      </c>
      <c r="I511" t="s">
        <v>647</v>
      </c>
      <c r="J511" t="s">
        <v>654</v>
      </c>
      <c r="K511" t="s">
        <v>691</v>
      </c>
      <c r="L511" t="s">
        <v>701</v>
      </c>
      <c r="M511" t="s">
        <v>711</v>
      </c>
      <c r="N511" t="s">
        <v>722</v>
      </c>
      <c r="O511" t="s">
        <v>731</v>
      </c>
      <c r="P511" t="str" cm="1">
        <f t="array" ref="P511">_xlfn.IFS(S511&lt;=PERCENTILE($S$2:$S$1000, 0.33), "Low", S511&lt;=PERCENTILE($S$2:$S$1000, 0.66), "Medium", TRUE, "High")</f>
        <v>High</v>
      </c>
      <c r="Q511" t="s">
        <v>1242</v>
      </c>
      <c r="R511" s="10">
        <v>903.41</v>
      </c>
      <c r="S511" s="10">
        <v>1860.41</v>
      </c>
      <c r="T511" s="8">
        <v>0.108</v>
      </c>
      <c r="U511" s="12">
        <f t="shared" si="144"/>
        <v>0</v>
      </c>
      <c r="V511" s="6">
        <v>5</v>
      </c>
      <c r="W511" t="str">
        <f t="shared" si="134"/>
        <v>ok</v>
      </c>
      <c r="X511">
        <f t="shared" si="135"/>
        <v>9</v>
      </c>
      <c r="Y511">
        <f t="shared" si="145"/>
        <v>9</v>
      </c>
      <c r="Z511" s="10">
        <f t="shared" si="146"/>
        <v>8297.4286000000011</v>
      </c>
      <c r="AA511" s="10">
        <f t="shared" si="147"/>
        <v>4517.05</v>
      </c>
      <c r="AB511" s="10">
        <f t="shared" si="148"/>
        <v>3780.3786000000009</v>
      </c>
      <c r="AC511" s="10">
        <f t="shared" si="136"/>
        <v>606.37750000000005</v>
      </c>
      <c r="AD511" s="10">
        <f t="shared" si="137"/>
        <v>1193.865</v>
      </c>
      <c r="AE511" s="10">
        <f t="shared" si="138"/>
        <v>1912.0450000000001</v>
      </c>
      <c r="AF511" s="10" t="str">
        <f t="shared" si="139"/>
        <v>Low</v>
      </c>
      <c r="AG511" s="6">
        <f t="shared" si="149"/>
        <v>0.455608451996803</v>
      </c>
      <c r="AH511" s="4">
        <f t="shared" si="150"/>
        <v>44928</v>
      </c>
      <c r="AI511" t="str">
        <f t="shared" si="151"/>
        <v>Jan-2023</v>
      </c>
    </row>
    <row r="512" spans="1:35" x14ac:dyDescent="0.25">
      <c r="A512" t="s">
        <v>524</v>
      </c>
      <c r="B512" s="4">
        <v>45056</v>
      </c>
      <c r="C512" s="4" t="str">
        <f t="shared" si="140"/>
        <v>Q2-2023</v>
      </c>
      <c r="D512" s="4" t="str">
        <f t="shared" si="141"/>
        <v>May-2023</v>
      </c>
      <c r="E512" s="4">
        <v>45060</v>
      </c>
      <c r="F512" s="12">
        <f t="shared" si="142"/>
        <v>4</v>
      </c>
      <c r="G512" s="12">
        <f t="shared" si="133"/>
        <v>1</v>
      </c>
      <c r="H512" s="4">
        <f t="shared" si="143"/>
        <v>45060</v>
      </c>
      <c r="I512" t="s">
        <v>647</v>
      </c>
      <c r="J512" t="s">
        <v>654</v>
      </c>
      <c r="K512" t="s">
        <v>680</v>
      </c>
      <c r="L512" t="s">
        <v>703</v>
      </c>
      <c r="M512" t="s">
        <v>710</v>
      </c>
      <c r="N512" t="s">
        <v>712</v>
      </c>
      <c r="O512" t="s">
        <v>732</v>
      </c>
      <c r="P512" t="str" cm="1">
        <f t="array" ref="P512">_xlfn.IFS(S512&lt;=PERCENTILE($S$2:$S$1000, 0.33), "Low", S512&lt;=PERCENTILE($S$2:$S$1000, 0.66), "Medium", TRUE, "High")</f>
        <v>Medium</v>
      </c>
      <c r="Q512" t="s">
        <v>1243</v>
      </c>
      <c r="R512" s="10">
        <v>622.6</v>
      </c>
      <c r="S512" s="10">
        <v>833.69</v>
      </c>
      <c r="T512" s="8">
        <v>0.20899999999999999</v>
      </c>
      <c r="U512" s="12">
        <f t="shared" si="144"/>
        <v>1</v>
      </c>
      <c r="V512" s="6">
        <v>14</v>
      </c>
      <c r="W512" t="str">
        <f t="shared" si="134"/>
        <v>ok</v>
      </c>
      <c r="X512">
        <f t="shared" si="135"/>
        <v>4</v>
      </c>
      <c r="Y512">
        <f t="shared" si="145"/>
        <v>4</v>
      </c>
      <c r="Z512" s="10">
        <f t="shared" si="146"/>
        <v>9232.2830599999998</v>
      </c>
      <c r="AA512" s="10">
        <f t="shared" si="147"/>
        <v>8716.4</v>
      </c>
      <c r="AB512" s="10">
        <f t="shared" si="148"/>
        <v>515.88306000000011</v>
      </c>
      <c r="AC512" s="10">
        <f t="shared" si="136"/>
        <v>606.37750000000005</v>
      </c>
      <c r="AD512" s="10">
        <f t="shared" si="137"/>
        <v>1193.865</v>
      </c>
      <c r="AE512" s="10">
        <f t="shared" si="138"/>
        <v>1912.0450000000001</v>
      </c>
      <c r="AF512" s="10" t="str">
        <f t="shared" si="139"/>
        <v>Medium</v>
      </c>
      <c r="AG512" s="6">
        <f t="shared" si="149"/>
        <v>5.5878167582959715E-2</v>
      </c>
      <c r="AH512" s="4">
        <f t="shared" si="150"/>
        <v>44945</v>
      </c>
      <c r="AI512" t="str">
        <f t="shared" si="151"/>
        <v>Jan-2023</v>
      </c>
    </row>
    <row r="513" spans="1:35" x14ac:dyDescent="0.25">
      <c r="A513" t="s">
        <v>525</v>
      </c>
      <c r="B513" s="4">
        <v>45353</v>
      </c>
      <c r="C513" s="4" t="str">
        <f t="shared" si="140"/>
        <v>Q1-2024</v>
      </c>
      <c r="D513" s="4" t="str">
        <f t="shared" si="141"/>
        <v>Mar-2024</v>
      </c>
      <c r="E513" s="4">
        <v>45374</v>
      </c>
      <c r="F513" s="12">
        <f t="shared" si="142"/>
        <v>21</v>
      </c>
      <c r="G513" s="12">
        <f t="shared" si="133"/>
        <v>0</v>
      </c>
      <c r="H513" s="4">
        <f t="shared" si="143"/>
        <v>45374</v>
      </c>
      <c r="I513" t="s">
        <v>648</v>
      </c>
      <c r="J513" t="s">
        <v>660</v>
      </c>
      <c r="K513" t="s">
        <v>677</v>
      </c>
      <c r="L513" t="s">
        <v>705</v>
      </c>
      <c r="M513" t="s">
        <v>708</v>
      </c>
      <c r="N513" t="s">
        <v>721</v>
      </c>
      <c r="O513" t="s">
        <v>727</v>
      </c>
      <c r="P513" t="str" cm="1">
        <f t="array" ref="P513">_xlfn.IFS(S513&lt;=PERCENTILE($S$2:$S$1000, 0.33), "Low", S513&lt;=PERCENTILE($S$2:$S$1000, 0.66), "Medium", TRUE, "High")</f>
        <v>Low</v>
      </c>
      <c r="Q513" t="s">
        <v>1244</v>
      </c>
      <c r="R513" s="10">
        <v>225.01</v>
      </c>
      <c r="S513" s="10">
        <v>333.48</v>
      </c>
      <c r="T513" s="8">
        <v>0.11899999999999999</v>
      </c>
      <c r="U513" s="12">
        <f t="shared" si="144"/>
        <v>0</v>
      </c>
      <c r="V513" s="6">
        <v>12</v>
      </c>
      <c r="W513" t="str">
        <f t="shared" si="134"/>
        <v>ok</v>
      </c>
      <c r="X513">
        <f t="shared" si="135"/>
        <v>21</v>
      </c>
      <c r="Y513">
        <f t="shared" si="145"/>
        <v>21</v>
      </c>
      <c r="Z513" s="10">
        <f t="shared" si="146"/>
        <v>3525.5505600000001</v>
      </c>
      <c r="AA513" s="10">
        <f t="shared" si="147"/>
        <v>2700.12</v>
      </c>
      <c r="AB513" s="10">
        <f t="shared" si="148"/>
        <v>825.43056000000024</v>
      </c>
      <c r="AC513" s="10">
        <f t="shared" si="136"/>
        <v>606.37750000000005</v>
      </c>
      <c r="AD513" s="10">
        <f t="shared" si="137"/>
        <v>1193.865</v>
      </c>
      <c r="AE513" s="10">
        <f t="shared" si="138"/>
        <v>1912.0450000000001</v>
      </c>
      <c r="AF513" s="10" t="str">
        <f t="shared" si="139"/>
        <v>Medium</v>
      </c>
      <c r="AG513" s="6">
        <f t="shared" si="149"/>
        <v>0.23412813004729685</v>
      </c>
      <c r="AH513" s="4">
        <f t="shared" si="150"/>
        <v>44939</v>
      </c>
      <c r="AI513" t="str">
        <f t="shared" si="151"/>
        <v>Jan-2023</v>
      </c>
    </row>
    <row r="514" spans="1:35" x14ac:dyDescent="0.25">
      <c r="A514" t="s">
        <v>526</v>
      </c>
      <c r="B514" s="4">
        <v>45575</v>
      </c>
      <c r="C514" s="4" t="str">
        <f t="shared" si="140"/>
        <v>Q4-2024</v>
      </c>
      <c r="D514" s="4" t="str">
        <f t="shared" si="141"/>
        <v>Oct-2024</v>
      </c>
      <c r="E514" s="4">
        <v>45576</v>
      </c>
      <c r="F514" s="12">
        <f t="shared" si="142"/>
        <v>1</v>
      </c>
      <c r="G514" s="12">
        <f t="shared" ref="G514:G577" si="152">IF(F514&lt;=7, 1, 0)</f>
        <v>1</v>
      </c>
      <c r="H514" s="4">
        <f t="shared" si="143"/>
        <v>45576</v>
      </c>
      <c r="I514" t="s">
        <v>649</v>
      </c>
      <c r="J514" t="s">
        <v>658</v>
      </c>
      <c r="K514" t="s">
        <v>693</v>
      </c>
      <c r="L514" t="s">
        <v>703</v>
      </c>
      <c r="M514" t="s">
        <v>710</v>
      </c>
      <c r="N514" t="s">
        <v>716</v>
      </c>
      <c r="O514" t="s">
        <v>727</v>
      </c>
      <c r="P514" t="str" cm="1">
        <f t="array" ref="P514">_xlfn.IFS(S514&lt;=PERCENTILE($S$2:$S$1000, 0.33), "Low", S514&lt;=PERCENTILE($S$2:$S$1000, 0.66), "Medium", TRUE, "High")</f>
        <v>High</v>
      </c>
      <c r="Q514" t="s">
        <v>1245</v>
      </c>
      <c r="R514" s="10">
        <v>1389.46</v>
      </c>
      <c r="S514" s="10">
        <v>1784.7</v>
      </c>
      <c r="T514" s="8">
        <v>0.14599999999999999</v>
      </c>
      <c r="U514" s="12">
        <f t="shared" si="144"/>
        <v>0</v>
      </c>
      <c r="V514" s="6">
        <v>33</v>
      </c>
      <c r="W514" t="str">
        <f t="shared" ref="W514:W577" si="153">IF(E514&gt;B514, "ok", "sus")</f>
        <v>ok</v>
      </c>
      <c r="X514">
        <f t="shared" ref="X514:X577" si="154">E514-B514</f>
        <v>1</v>
      </c>
      <c r="Y514">
        <f t="shared" si="145"/>
        <v>1</v>
      </c>
      <c r="Z514" s="10">
        <f t="shared" si="146"/>
        <v>50296.415399999998</v>
      </c>
      <c r="AA514" s="10">
        <f t="shared" si="147"/>
        <v>45852.18</v>
      </c>
      <c r="AB514" s="10">
        <f t="shared" si="148"/>
        <v>4444.2353999999978</v>
      </c>
      <c r="AC514" s="10">
        <f t="shared" ref="AC514:AC577" si="155">_xlfn.QUARTILE.INC(S:S,1)</f>
        <v>606.37750000000005</v>
      </c>
      <c r="AD514" s="10">
        <f t="shared" ref="AD514:AD577" si="156">_xlfn.QUARTILE.INC(S:S,2)</f>
        <v>1193.865</v>
      </c>
      <c r="AE514" s="10">
        <f t="shared" ref="AE514:AE577" si="157">_xlfn.QUARTILE.INC(S:S,3)</f>
        <v>1912.0450000000001</v>
      </c>
      <c r="AF514" s="10" t="str">
        <f t="shared" ref="AF514:AF577" si="158">IF(S513&lt;=$AC$2,"Low",
 IF(S513&lt;=$AE$3,"Medium",
 "High"))</f>
        <v>Low</v>
      </c>
      <c r="AG514" s="6">
        <f t="shared" si="149"/>
        <v>8.8360877503011831E-2</v>
      </c>
      <c r="AH514" s="4">
        <f t="shared" si="150"/>
        <v>44936</v>
      </c>
      <c r="AI514" t="str">
        <f t="shared" si="151"/>
        <v>Jan-2023</v>
      </c>
    </row>
    <row r="515" spans="1:35" x14ac:dyDescent="0.25">
      <c r="A515" t="s">
        <v>527</v>
      </c>
      <c r="B515" s="4">
        <v>45078</v>
      </c>
      <c r="C515" s="4" t="str">
        <f t="shared" ref="C515:C578" si="159">"Q" &amp; ROUNDUP(MONTH(B515)/3,0) &amp; "-" &amp; YEAR(B515)</f>
        <v>Q2-2023</v>
      </c>
      <c r="D515" s="4" t="str">
        <f t="shared" ref="D515:D578" si="160">TEXT(B515,"MMM-YYYY")</f>
        <v>Jun-2023</v>
      </c>
      <c r="E515" s="4">
        <v>45085</v>
      </c>
      <c r="F515" s="12">
        <f t="shared" ref="F515:F578" si="161">H515-B515</f>
        <v>7</v>
      </c>
      <c r="G515" s="12">
        <f t="shared" si="152"/>
        <v>1</v>
      </c>
      <c r="H515" s="4">
        <f t="shared" ref="H515:H578" si="162">IF(E515&lt;B515,B515+14,E515)</f>
        <v>45085</v>
      </c>
      <c r="I515" t="s">
        <v>649</v>
      </c>
      <c r="J515" t="s">
        <v>656</v>
      </c>
      <c r="K515" t="s">
        <v>698</v>
      </c>
      <c r="L515" t="s">
        <v>704</v>
      </c>
      <c r="M515" t="s">
        <v>708</v>
      </c>
      <c r="N515" t="s">
        <v>720</v>
      </c>
      <c r="O515" t="s">
        <v>730</v>
      </c>
      <c r="P515" t="str" cm="1">
        <f t="array" ref="P515">_xlfn.IFS(S515&lt;=PERCENTILE($S$2:$S$1000, 0.33), "Low", S515&lt;=PERCENTILE($S$2:$S$1000, 0.66), "Medium", TRUE, "High")</f>
        <v>Medium</v>
      </c>
      <c r="Q515" t="s">
        <v>1246</v>
      </c>
      <c r="R515" s="10">
        <v>804.17</v>
      </c>
      <c r="S515" s="10">
        <v>1072.29</v>
      </c>
      <c r="T515" s="8">
        <v>3.2000000000000001E-2</v>
      </c>
      <c r="U515" s="12">
        <f t="shared" ref="U515:U578" si="163">IF(T515&gt;0.2,1,0)</f>
        <v>0</v>
      </c>
      <c r="V515" s="6">
        <v>5</v>
      </c>
      <c r="W515" t="str">
        <f t="shared" si="153"/>
        <v>ok</v>
      </c>
      <c r="X515">
        <f t="shared" si="154"/>
        <v>7</v>
      </c>
      <c r="Y515">
        <f t="shared" ref="Y515:Y578" si="164">ABS(X515)</f>
        <v>7</v>
      </c>
      <c r="Z515" s="10">
        <f t="shared" ref="Z515:Z578" si="165">S515*V515*(1-T515)</f>
        <v>5189.8836000000001</v>
      </c>
      <c r="AA515" s="10">
        <f t="shared" ref="AA515:AA578" si="166">R515*V515</f>
        <v>4020.85</v>
      </c>
      <c r="AB515" s="10">
        <f t="shared" ref="AB515:AB578" si="167">Z515-AA515</f>
        <v>1169.0336000000002</v>
      </c>
      <c r="AC515" s="10">
        <f t="shared" si="155"/>
        <v>606.37750000000005</v>
      </c>
      <c r="AD515" s="10">
        <f t="shared" si="156"/>
        <v>1193.865</v>
      </c>
      <c r="AE515" s="10">
        <f t="shared" si="157"/>
        <v>1912.0450000000001</v>
      </c>
      <c r="AF515" s="10" t="str">
        <f t="shared" si="158"/>
        <v>Medium</v>
      </c>
      <c r="AG515" s="6">
        <f t="shared" ref="AG515:AG578" si="168">IF(Z515=0,0,AB515/Z515)</f>
        <v>0.2252523736755869</v>
      </c>
      <c r="AH515" s="4">
        <f t="shared" ref="AH515:AH578" si="169">_xlfn.MINIFS($B:$B,$J:$J,J387)</f>
        <v>44955</v>
      </c>
      <c r="AI515" t="str">
        <f t="shared" ref="AI515:AI578" si="170">TEXT(AH515,"MMM-YYYY")</f>
        <v>Jan-2023</v>
      </c>
    </row>
    <row r="516" spans="1:35" x14ac:dyDescent="0.25">
      <c r="A516" t="s">
        <v>528</v>
      </c>
      <c r="B516" s="4">
        <v>45661</v>
      </c>
      <c r="C516" s="4" t="str">
        <f t="shared" si="159"/>
        <v>Q1-2025</v>
      </c>
      <c r="D516" s="4" t="str">
        <f t="shared" si="160"/>
        <v>Jan-2025</v>
      </c>
      <c r="E516" s="4">
        <v>45662</v>
      </c>
      <c r="F516" s="12">
        <f t="shared" si="161"/>
        <v>1</v>
      </c>
      <c r="G516" s="12">
        <f t="shared" si="152"/>
        <v>1</v>
      </c>
      <c r="H516" s="4">
        <f t="shared" si="162"/>
        <v>45662</v>
      </c>
      <c r="I516" t="s">
        <v>647</v>
      </c>
      <c r="J516" t="s">
        <v>654</v>
      </c>
      <c r="K516" t="s">
        <v>680</v>
      </c>
      <c r="L516" t="s">
        <v>702</v>
      </c>
      <c r="M516" t="s">
        <v>707</v>
      </c>
      <c r="N516" t="s">
        <v>714</v>
      </c>
      <c r="O516" t="s">
        <v>727</v>
      </c>
      <c r="P516" t="str" cm="1">
        <f t="array" ref="P516">_xlfn.IFS(S516&lt;=PERCENTILE($S$2:$S$1000, 0.33), "Low", S516&lt;=PERCENTILE($S$2:$S$1000, 0.66), "Medium", TRUE, "High")</f>
        <v>High</v>
      </c>
      <c r="Q516" t="s">
        <v>1247</v>
      </c>
      <c r="R516" s="10">
        <v>1428.33</v>
      </c>
      <c r="S516" s="10">
        <v>3028.05</v>
      </c>
      <c r="T516" s="8">
        <v>0</v>
      </c>
      <c r="U516" s="12">
        <f t="shared" si="163"/>
        <v>0</v>
      </c>
      <c r="V516" s="6">
        <v>11</v>
      </c>
      <c r="W516" t="str">
        <f t="shared" si="153"/>
        <v>ok</v>
      </c>
      <c r="X516">
        <f t="shared" si="154"/>
        <v>1</v>
      </c>
      <c r="Y516">
        <f t="shared" si="164"/>
        <v>1</v>
      </c>
      <c r="Z516" s="10">
        <f t="shared" si="165"/>
        <v>33308.550000000003</v>
      </c>
      <c r="AA516" s="10">
        <f t="shared" si="166"/>
        <v>15711.63</v>
      </c>
      <c r="AB516" s="10">
        <f t="shared" si="167"/>
        <v>17596.920000000006</v>
      </c>
      <c r="AC516" s="10">
        <f t="shared" si="155"/>
        <v>606.37750000000005</v>
      </c>
      <c r="AD516" s="10">
        <f t="shared" si="156"/>
        <v>1193.865</v>
      </c>
      <c r="AE516" s="10">
        <f t="shared" si="157"/>
        <v>1912.0450000000001</v>
      </c>
      <c r="AF516" s="10" t="str">
        <f t="shared" si="158"/>
        <v>Medium</v>
      </c>
      <c r="AG516" s="6">
        <f t="shared" si="168"/>
        <v>0.52830039134096207</v>
      </c>
      <c r="AH516" s="4">
        <f t="shared" si="169"/>
        <v>44955</v>
      </c>
      <c r="AI516" t="str">
        <f t="shared" si="170"/>
        <v>Jan-2023</v>
      </c>
    </row>
    <row r="517" spans="1:35" x14ac:dyDescent="0.25">
      <c r="A517" t="s">
        <v>529</v>
      </c>
      <c r="B517" s="4">
        <v>45874</v>
      </c>
      <c r="C517" s="4" t="str">
        <f t="shared" si="159"/>
        <v>Q3-2025</v>
      </c>
      <c r="D517" s="4" t="str">
        <f t="shared" si="160"/>
        <v>Aug-2025</v>
      </c>
      <c r="E517" s="4">
        <v>45897</v>
      </c>
      <c r="F517" s="12">
        <f t="shared" si="161"/>
        <v>23</v>
      </c>
      <c r="G517" s="12">
        <f t="shared" si="152"/>
        <v>0</v>
      </c>
      <c r="H517" s="4">
        <f t="shared" si="162"/>
        <v>45897</v>
      </c>
      <c r="I517" t="s">
        <v>647</v>
      </c>
      <c r="J517" t="s">
        <v>654</v>
      </c>
      <c r="K517" t="s">
        <v>691</v>
      </c>
      <c r="L517" t="s">
        <v>703</v>
      </c>
      <c r="M517" t="s">
        <v>710</v>
      </c>
      <c r="N517" t="s">
        <v>725</v>
      </c>
      <c r="O517" t="s">
        <v>731</v>
      </c>
      <c r="P517" t="str" cm="1">
        <f t="array" ref="P517">_xlfn.IFS(S517&lt;=PERCENTILE($S$2:$S$1000, 0.33), "Low", S517&lt;=PERCENTILE($S$2:$S$1000, 0.66), "Medium", TRUE, "High")</f>
        <v>Medium</v>
      </c>
      <c r="Q517" t="s">
        <v>1248</v>
      </c>
      <c r="R517" s="10">
        <v>638.54</v>
      </c>
      <c r="S517" s="10">
        <v>987.24</v>
      </c>
      <c r="T517" s="8">
        <v>0</v>
      </c>
      <c r="U517" s="12">
        <f t="shared" si="163"/>
        <v>0</v>
      </c>
      <c r="V517" s="6">
        <v>11</v>
      </c>
      <c r="W517" t="str">
        <f t="shared" si="153"/>
        <v>ok</v>
      </c>
      <c r="X517">
        <f t="shared" si="154"/>
        <v>23</v>
      </c>
      <c r="Y517">
        <f t="shared" si="164"/>
        <v>23</v>
      </c>
      <c r="Z517" s="10">
        <f t="shared" si="165"/>
        <v>10859.64</v>
      </c>
      <c r="AA517" s="10">
        <f t="shared" si="166"/>
        <v>7023.94</v>
      </c>
      <c r="AB517" s="10">
        <f t="shared" si="167"/>
        <v>3835.7</v>
      </c>
      <c r="AC517" s="10">
        <f t="shared" si="155"/>
        <v>606.37750000000005</v>
      </c>
      <c r="AD517" s="10">
        <f t="shared" si="156"/>
        <v>1193.865</v>
      </c>
      <c r="AE517" s="10">
        <f t="shared" si="157"/>
        <v>1912.0450000000001</v>
      </c>
      <c r="AF517" s="10" t="str">
        <f t="shared" si="158"/>
        <v>High</v>
      </c>
      <c r="AG517" s="6">
        <f t="shared" si="168"/>
        <v>0.35320692030306716</v>
      </c>
      <c r="AH517" s="4">
        <f t="shared" si="169"/>
        <v>44941</v>
      </c>
      <c r="AI517" t="str">
        <f t="shared" si="170"/>
        <v>Jan-2023</v>
      </c>
    </row>
    <row r="518" spans="1:35" x14ac:dyDescent="0.25">
      <c r="A518" t="s">
        <v>530</v>
      </c>
      <c r="B518" s="4">
        <v>45199</v>
      </c>
      <c r="C518" s="4" t="str">
        <f t="shared" si="159"/>
        <v>Q3-2023</v>
      </c>
      <c r="D518" s="4" t="str">
        <f t="shared" si="160"/>
        <v>Sept-2023</v>
      </c>
      <c r="E518" s="4">
        <v>45229</v>
      </c>
      <c r="F518" s="12">
        <f t="shared" si="161"/>
        <v>30</v>
      </c>
      <c r="G518" s="12">
        <f t="shared" si="152"/>
        <v>0</v>
      </c>
      <c r="H518" s="4">
        <f t="shared" si="162"/>
        <v>45229</v>
      </c>
      <c r="I518" t="s">
        <v>647</v>
      </c>
      <c r="J518" t="s">
        <v>652</v>
      </c>
      <c r="K518" t="s">
        <v>689</v>
      </c>
      <c r="L518" t="s">
        <v>706</v>
      </c>
      <c r="M518" t="s">
        <v>708</v>
      </c>
      <c r="N518" t="s">
        <v>726</v>
      </c>
      <c r="O518" t="s">
        <v>728</v>
      </c>
      <c r="P518" t="str" cm="1">
        <f t="array" ref="P518">_xlfn.IFS(S518&lt;=PERCENTILE($S$2:$S$1000, 0.33), "Low", S518&lt;=PERCENTILE($S$2:$S$1000, 0.66), "Medium", TRUE, "High")</f>
        <v>Medium</v>
      </c>
      <c r="Q518" t="s">
        <v>1249</v>
      </c>
      <c r="R518" s="10">
        <v>649.13</v>
      </c>
      <c r="S518" s="10">
        <v>975.43</v>
      </c>
      <c r="T518" s="8">
        <v>0.157</v>
      </c>
      <c r="U518" s="12">
        <f t="shared" si="163"/>
        <v>0</v>
      </c>
      <c r="V518" s="6">
        <v>27</v>
      </c>
      <c r="W518" t="str">
        <f t="shared" si="153"/>
        <v>ok</v>
      </c>
      <c r="X518">
        <f t="shared" si="154"/>
        <v>30</v>
      </c>
      <c r="Y518">
        <f t="shared" si="164"/>
        <v>30</v>
      </c>
      <c r="Z518" s="10">
        <f t="shared" si="165"/>
        <v>22201.762229999997</v>
      </c>
      <c r="AA518" s="10">
        <f t="shared" si="166"/>
        <v>17526.509999999998</v>
      </c>
      <c r="AB518" s="10">
        <f t="shared" si="167"/>
        <v>4675.2522299999982</v>
      </c>
      <c r="AC518" s="10">
        <f t="shared" si="155"/>
        <v>606.37750000000005</v>
      </c>
      <c r="AD518" s="10">
        <f t="shared" si="156"/>
        <v>1193.865</v>
      </c>
      <c r="AE518" s="10">
        <f t="shared" si="157"/>
        <v>1912.0450000000001</v>
      </c>
      <c r="AF518" s="10" t="str">
        <f t="shared" si="158"/>
        <v>Medium</v>
      </c>
      <c r="AG518" s="6">
        <f t="shared" si="168"/>
        <v>0.21058023149543473</v>
      </c>
      <c r="AH518" s="4">
        <f t="shared" si="169"/>
        <v>44938</v>
      </c>
      <c r="AI518" t="str">
        <f t="shared" si="170"/>
        <v>Jan-2023</v>
      </c>
    </row>
    <row r="519" spans="1:35" x14ac:dyDescent="0.25">
      <c r="A519" t="s">
        <v>531</v>
      </c>
      <c r="B519" s="4">
        <v>45794</v>
      </c>
      <c r="C519" s="4" t="str">
        <f t="shared" si="159"/>
        <v>Q2-2025</v>
      </c>
      <c r="D519" s="4" t="str">
        <f t="shared" si="160"/>
        <v>May-2025</v>
      </c>
      <c r="E519" s="4">
        <v>45807</v>
      </c>
      <c r="F519" s="12">
        <f t="shared" si="161"/>
        <v>13</v>
      </c>
      <c r="G519" s="12">
        <f t="shared" si="152"/>
        <v>0</v>
      </c>
      <c r="H519" s="4">
        <f t="shared" si="162"/>
        <v>45807</v>
      </c>
      <c r="I519" t="s">
        <v>646</v>
      </c>
      <c r="J519" t="s">
        <v>651</v>
      </c>
      <c r="K519" t="s">
        <v>665</v>
      </c>
      <c r="L519" t="s">
        <v>704</v>
      </c>
      <c r="M519" t="s">
        <v>710</v>
      </c>
      <c r="N519" t="s">
        <v>721</v>
      </c>
      <c r="O519" t="s">
        <v>733</v>
      </c>
      <c r="P519" t="str" cm="1">
        <f t="array" ref="P519">_xlfn.IFS(S519&lt;=PERCENTILE($S$2:$S$1000, 0.33), "Low", S519&lt;=PERCENTILE($S$2:$S$1000, 0.66), "Medium", TRUE, "High")</f>
        <v>Low</v>
      </c>
      <c r="Q519" t="s">
        <v>1250</v>
      </c>
      <c r="R519" s="10">
        <v>66.400000000000006</v>
      </c>
      <c r="S519" s="10">
        <v>141.43</v>
      </c>
      <c r="T519" s="8">
        <v>0.107</v>
      </c>
      <c r="U519" s="12">
        <f t="shared" si="163"/>
        <v>0</v>
      </c>
      <c r="V519" s="6">
        <v>8</v>
      </c>
      <c r="W519" t="str">
        <f t="shared" si="153"/>
        <v>ok</v>
      </c>
      <c r="X519">
        <f t="shared" si="154"/>
        <v>13</v>
      </c>
      <c r="Y519">
        <f t="shared" si="164"/>
        <v>13</v>
      </c>
      <c r="Z519" s="10">
        <f t="shared" si="165"/>
        <v>1010.3759200000001</v>
      </c>
      <c r="AA519" s="10">
        <f t="shared" si="166"/>
        <v>531.20000000000005</v>
      </c>
      <c r="AB519" s="10">
        <f t="shared" si="167"/>
        <v>479.17592000000002</v>
      </c>
      <c r="AC519" s="10">
        <f t="shared" si="155"/>
        <v>606.37750000000005</v>
      </c>
      <c r="AD519" s="10">
        <f t="shared" si="156"/>
        <v>1193.865</v>
      </c>
      <c r="AE519" s="10">
        <f t="shared" si="157"/>
        <v>1912.0450000000001</v>
      </c>
      <c r="AF519" s="10" t="str">
        <f t="shared" si="158"/>
        <v>Medium</v>
      </c>
      <c r="AG519" s="6">
        <f t="shared" si="168"/>
        <v>0.47425508715607551</v>
      </c>
      <c r="AH519" s="4">
        <f t="shared" si="169"/>
        <v>44933</v>
      </c>
      <c r="AI519" t="str">
        <f t="shared" si="170"/>
        <v>Jan-2023</v>
      </c>
    </row>
    <row r="520" spans="1:35" x14ac:dyDescent="0.25">
      <c r="A520" t="s">
        <v>532</v>
      </c>
      <c r="B520" s="4">
        <v>45413</v>
      </c>
      <c r="C520" s="4" t="str">
        <f t="shared" si="159"/>
        <v>Q2-2024</v>
      </c>
      <c r="D520" s="4" t="str">
        <f t="shared" si="160"/>
        <v>May-2024</v>
      </c>
      <c r="E520" s="4">
        <v>45438</v>
      </c>
      <c r="F520" s="12">
        <f t="shared" si="161"/>
        <v>25</v>
      </c>
      <c r="G520" s="12">
        <f t="shared" si="152"/>
        <v>0</v>
      </c>
      <c r="H520" s="4">
        <f t="shared" si="162"/>
        <v>45438</v>
      </c>
      <c r="I520" t="s">
        <v>649</v>
      </c>
      <c r="J520" t="s">
        <v>656</v>
      </c>
      <c r="K520" t="s">
        <v>671</v>
      </c>
      <c r="L520" t="s">
        <v>703</v>
      </c>
      <c r="M520" t="s">
        <v>707</v>
      </c>
      <c r="N520" t="s">
        <v>717</v>
      </c>
      <c r="O520" t="s">
        <v>729</v>
      </c>
      <c r="P520" t="str" cm="1">
        <f t="array" ref="P520">_xlfn.IFS(S520&lt;=PERCENTILE($S$2:$S$1000, 0.33), "Low", S520&lt;=PERCENTILE($S$2:$S$1000, 0.66), "Medium", TRUE, "High")</f>
        <v>High</v>
      </c>
      <c r="Q520" t="s">
        <v>1251</v>
      </c>
      <c r="R520" s="10">
        <v>930.71</v>
      </c>
      <c r="S520" s="10">
        <v>1625.42</v>
      </c>
      <c r="T520" s="8">
        <v>0.13800000000000001</v>
      </c>
      <c r="U520" s="12">
        <f t="shared" si="163"/>
        <v>0</v>
      </c>
      <c r="V520" s="6">
        <v>7</v>
      </c>
      <c r="W520" t="str">
        <f t="shared" si="153"/>
        <v>ok</v>
      </c>
      <c r="X520">
        <f t="shared" si="154"/>
        <v>25</v>
      </c>
      <c r="Y520">
        <f t="shared" si="164"/>
        <v>25</v>
      </c>
      <c r="Z520" s="10">
        <f t="shared" si="165"/>
        <v>9807.7842799999999</v>
      </c>
      <c r="AA520" s="10">
        <f t="shared" si="166"/>
        <v>6514.97</v>
      </c>
      <c r="AB520" s="10">
        <f t="shared" si="167"/>
        <v>3292.8142799999996</v>
      </c>
      <c r="AC520" s="10">
        <f t="shared" si="155"/>
        <v>606.37750000000005</v>
      </c>
      <c r="AD520" s="10">
        <f t="shared" si="156"/>
        <v>1193.865</v>
      </c>
      <c r="AE520" s="10">
        <f t="shared" si="157"/>
        <v>1912.0450000000001</v>
      </c>
      <c r="AF520" s="10" t="str">
        <f t="shared" si="158"/>
        <v>Low</v>
      </c>
      <c r="AG520" s="6">
        <f t="shared" si="168"/>
        <v>0.33573477821231196</v>
      </c>
      <c r="AH520" s="4">
        <f t="shared" si="169"/>
        <v>44933</v>
      </c>
      <c r="AI520" t="str">
        <f t="shared" si="170"/>
        <v>Jan-2023</v>
      </c>
    </row>
    <row r="521" spans="1:35" x14ac:dyDescent="0.25">
      <c r="A521" t="s">
        <v>533</v>
      </c>
      <c r="B521" s="4">
        <v>45047</v>
      </c>
      <c r="C521" s="4" t="str">
        <f t="shared" si="159"/>
        <v>Q2-2023</v>
      </c>
      <c r="D521" s="4" t="str">
        <f t="shared" si="160"/>
        <v>May-2023</v>
      </c>
      <c r="E521" s="4">
        <v>45064</v>
      </c>
      <c r="F521" s="12">
        <f t="shared" si="161"/>
        <v>17</v>
      </c>
      <c r="G521" s="12">
        <f t="shared" si="152"/>
        <v>0</v>
      </c>
      <c r="H521" s="4">
        <f t="shared" si="162"/>
        <v>45064</v>
      </c>
      <c r="I521" t="s">
        <v>646</v>
      </c>
      <c r="J521" t="s">
        <v>651</v>
      </c>
      <c r="K521" t="s">
        <v>663</v>
      </c>
      <c r="L521" t="s">
        <v>701</v>
      </c>
      <c r="M521" t="s">
        <v>711</v>
      </c>
      <c r="N521" t="s">
        <v>721</v>
      </c>
      <c r="O521" t="s">
        <v>727</v>
      </c>
      <c r="P521" t="str" cm="1">
        <f t="array" ref="P521">_xlfn.IFS(S521&lt;=PERCENTILE($S$2:$S$1000, 0.33), "Low", S521&lt;=PERCENTILE($S$2:$S$1000, 0.66), "Medium", TRUE, "High")</f>
        <v>Low</v>
      </c>
      <c r="Q521" t="s">
        <v>1252</v>
      </c>
      <c r="R521" s="10">
        <v>327.97</v>
      </c>
      <c r="S521" s="10">
        <v>299.94</v>
      </c>
      <c r="T521" s="8">
        <v>4.9000000000000002E-2</v>
      </c>
      <c r="U521" s="12">
        <f t="shared" si="163"/>
        <v>0</v>
      </c>
      <c r="V521" s="6">
        <v>3</v>
      </c>
      <c r="W521" t="str">
        <f t="shared" si="153"/>
        <v>ok</v>
      </c>
      <c r="X521">
        <f t="shared" si="154"/>
        <v>17</v>
      </c>
      <c r="Y521">
        <f t="shared" si="164"/>
        <v>17</v>
      </c>
      <c r="Z521" s="10">
        <f t="shared" si="165"/>
        <v>855.72881999999993</v>
      </c>
      <c r="AA521" s="10">
        <f t="shared" si="166"/>
        <v>983.91000000000008</v>
      </c>
      <c r="AB521" s="10">
        <f t="shared" si="167"/>
        <v>-128.18118000000015</v>
      </c>
      <c r="AC521" s="10">
        <f t="shared" si="155"/>
        <v>606.37750000000005</v>
      </c>
      <c r="AD521" s="10">
        <f t="shared" si="156"/>
        <v>1193.865</v>
      </c>
      <c r="AE521" s="10">
        <f t="shared" si="157"/>
        <v>1912.0450000000001</v>
      </c>
      <c r="AF521" s="10" t="str">
        <f t="shared" si="158"/>
        <v>Medium</v>
      </c>
      <c r="AG521" s="6">
        <f t="shared" si="168"/>
        <v>-0.14979182306843442</v>
      </c>
      <c r="AH521" s="4">
        <f t="shared" si="169"/>
        <v>44936</v>
      </c>
      <c r="AI521" t="str">
        <f t="shared" si="170"/>
        <v>Jan-2023</v>
      </c>
    </row>
    <row r="522" spans="1:35" x14ac:dyDescent="0.25">
      <c r="A522" t="s">
        <v>534</v>
      </c>
      <c r="B522" s="4">
        <v>45482</v>
      </c>
      <c r="C522" s="4" t="str">
        <f t="shared" si="159"/>
        <v>Q3-2024</v>
      </c>
      <c r="D522" s="4" t="str">
        <f t="shared" si="160"/>
        <v>Jul-2024</v>
      </c>
      <c r="E522" s="4">
        <v>45512</v>
      </c>
      <c r="F522" s="12">
        <f t="shared" si="161"/>
        <v>30</v>
      </c>
      <c r="G522" s="12">
        <f t="shared" si="152"/>
        <v>0</v>
      </c>
      <c r="H522" s="4">
        <f t="shared" si="162"/>
        <v>45512</v>
      </c>
      <c r="I522" t="s">
        <v>649</v>
      </c>
      <c r="J522" t="s">
        <v>657</v>
      </c>
      <c r="K522" t="s">
        <v>673</v>
      </c>
      <c r="L522" t="s">
        <v>701</v>
      </c>
      <c r="M522" t="s">
        <v>711</v>
      </c>
      <c r="N522" t="s">
        <v>713</v>
      </c>
      <c r="O522" t="s">
        <v>727</v>
      </c>
      <c r="P522" t="str" cm="1">
        <f t="array" ref="P522">_xlfn.IFS(S522&lt;=PERCENTILE($S$2:$S$1000, 0.33), "Low", S522&lt;=PERCENTILE($S$2:$S$1000, 0.66), "Medium", TRUE, "High")</f>
        <v>Medium</v>
      </c>
      <c r="Q522" t="s">
        <v>1253</v>
      </c>
      <c r="R522" s="10">
        <v>1062.3800000000001</v>
      </c>
      <c r="S522" s="10">
        <v>1503.96</v>
      </c>
      <c r="T522" s="8">
        <v>0.18</v>
      </c>
      <c r="U522" s="12">
        <f t="shared" si="163"/>
        <v>0</v>
      </c>
      <c r="V522" s="6">
        <v>6</v>
      </c>
      <c r="W522" t="str">
        <f t="shared" si="153"/>
        <v>ok</v>
      </c>
      <c r="X522">
        <f t="shared" si="154"/>
        <v>30</v>
      </c>
      <c r="Y522">
        <f t="shared" si="164"/>
        <v>30</v>
      </c>
      <c r="Z522" s="10">
        <f t="shared" si="165"/>
        <v>7399.4832000000006</v>
      </c>
      <c r="AA522" s="10">
        <f t="shared" si="166"/>
        <v>6374.2800000000007</v>
      </c>
      <c r="AB522" s="10">
        <f t="shared" si="167"/>
        <v>1025.2031999999999</v>
      </c>
      <c r="AC522" s="10">
        <f t="shared" si="155"/>
        <v>606.37750000000005</v>
      </c>
      <c r="AD522" s="10">
        <f t="shared" si="156"/>
        <v>1193.865</v>
      </c>
      <c r="AE522" s="10">
        <f t="shared" si="157"/>
        <v>1912.0450000000001</v>
      </c>
      <c r="AF522" s="10" t="str">
        <f t="shared" si="158"/>
        <v>Low</v>
      </c>
      <c r="AG522" s="6">
        <f t="shared" si="168"/>
        <v>0.13855064905073369</v>
      </c>
      <c r="AH522" s="4">
        <f t="shared" si="169"/>
        <v>44938</v>
      </c>
      <c r="AI522" t="str">
        <f t="shared" si="170"/>
        <v>Jan-2023</v>
      </c>
    </row>
    <row r="523" spans="1:35" x14ac:dyDescent="0.25">
      <c r="A523" t="s">
        <v>535</v>
      </c>
      <c r="B523" s="4">
        <v>45056</v>
      </c>
      <c r="C523" s="4" t="str">
        <f t="shared" si="159"/>
        <v>Q2-2023</v>
      </c>
      <c r="D523" s="4" t="str">
        <f t="shared" si="160"/>
        <v>May-2023</v>
      </c>
      <c r="E523" s="4">
        <v>45073</v>
      </c>
      <c r="F523" s="12">
        <f t="shared" si="161"/>
        <v>17</v>
      </c>
      <c r="G523" s="12">
        <f t="shared" si="152"/>
        <v>0</v>
      </c>
      <c r="H523" s="4">
        <f t="shared" si="162"/>
        <v>45073</v>
      </c>
      <c r="I523" t="s">
        <v>647</v>
      </c>
      <c r="J523" t="s">
        <v>654</v>
      </c>
      <c r="K523" t="s">
        <v>691</v>
      </c>
      <c r="L523" t="s">
        <v>704</v>
      </c>
      <c r="M523" t="s">
        <v>707</v>
      </c>
      <c r="N523" t="s">
        <v>724</v>
      </c>
      <c r="O523" t="s">
        <v>731</v>
      </c>
      <c r="P523" t="str" cm="1">
        <f t="array" ref="P523">_xlfn.IFS(S523&lt;=PERCENTILE($S$2:$S$1000, 0.33), "Low", S523&lt;=PERCENTILE($S$2:$S$1000, 0.66), "Medium", TRUE, "High")</f>
        <v>High</v>
      </c>
      <c r="Q523" t="s">
        <v>1254</v>
      </c>
      <c r="R523" s="10">
        <v>1286.1600000000001</v>
      </c>
      <c r="S523" s="10">
        <v>3101.11</v>
      </c>
      <c r="T523" s="8">
        <v>0.1</v>
      </c>
      <c r="U523" s="12">
        <f t="shared" si="163"/>
        <v>0</v>
      </c>
      <c r="V523" s="6">
        <v>23</v>
      </c>
      <c r="W523" t="str">
        <f t="shared" si="153"/>
        <v>ok</v>
      </c>
      <c r="X523">
        <f t="shared" si="154"/>
        <v>17</v>
      </c>
      <c r="Y523">
        <f t="shared" si="164"/>
        <v>17</v>
      </c>
      <c r="Z523" s="10">
        <f t="shared" si="165"/>
        <v>64192.976999999999</v>
      </c>
      <c r="AA523" s="10">
        <f t="shared" si="166"/>
        <v>29581.68</v>
      </c>
      <c r="AB523" s="10">
        <f t="shared" si="167"/>
        <v>34611.296999999999</v>
      </c>
      <c r="AC523" s="10">
        <f t="shared" si="155"/>
        <v>606.37750000000005</v>
      </c>
      <c r="AD523" s="10">
        <f t="shared" si="156"/>
        <v>1193.865</v>
      </c>
      <c r="AE523" s="10">
        <f t="shared" si="157"/>
        <v>1912.0450000000001</v>
      </c>
      <c r="AF523" s="10" t="str">
        <f t="shared" si="158"/>
        <v>Medium</v>
      </c>
      <c r="AG523" s="6">
        <f t="shared" si="168"/>
        <v>0.53917575749758417</v>
      </c>
      <c r="AH523" s="4">
        <f t="shared" si="169"/>
        <v>44939</v>
      </c>
      <c r="AI523" t="str">
        <f t="shared" si="170"/>
        <v>Jan-2023</v>
      </c>
    </row>
    <row r="524" spans="1:35" x14ac:dyDescent="0.25">
      <c r="A524" t="s">
        <v>536</v>
      </c>
      <c r="B524" s="4">
        <v>45482</v>
      </c>
      <c r="C524" s="4" t="str">
        <f t="shared" si="159"/>
        <v>Q3-2024</v>
      </c>
      <c r="D524" s="4" t="str">
        <f t="shared" si="160"/>
        <v>Jul-2024</v>
      </c>
      <c r="E524" s="4">
        <v>45485</v>
      </c>
      <c r="F524" s="12">
        <f t="shared" si="161"/>
        <v>3</v>
      </c>
      <c r="G524" s="12">
        <f t="shared" si="152"/>
        <v>1</v>
      </c>
      <c r="H524" s="4">
        <f t="shared" si="162"/>
        <v>45485</v>
      </c>
      <c r="I524" t="s">
        <v>647</v>
      </c>
      <c r="J524" t="s">
        <v>659</v>
      </c>
      <c r="K524" t="s">
        <v>685</v>
      </c>
      <c r="L524" t="s">
        <v>705</v>
      </c>
      <c r="M524" t="s">
        <v>707</v>
      </c>
      <c r="N524" t="s">
        <v>726</v>
      </c>
      <c r="O524" t="s">
        <v>733</v>
      </c>
      <c r="P524" t="str" cm="1">
        <f t="array" ref="P524">_xlfn.IFS(S524&lt;=PERCENTILE($S$2:$S$1000, 0.33), "Low", S524&lt;=PERCENTILE($S$2:$S$1000, 0.66), "Medium", TRUE, "High")</f>
        <v>Medium</v>
      </c>
      <c r="Q524" t="s">
        <v>1255</v>
      </c>
      <c r="R524" s="10">
        <v>748.39</v>
      </c>
      <c r="S524" s="10">
        <v>979.42</v>
      </c>
      <c r="T524" s="8">
        <v>0</v>
      </c>
      <c r="U524" s="12">
        <f t="shared" si="163"/>
        <v>0</v>
      </c>
      <c r="V524" s="6">
        <v>23</v>
      </c>
      <c r="W524" t="str">
        <f t="shared" si="153"/>
        <v>ok</v>
      </c>
      <c r="X524">
        <f t="shared" si="154"/>
        <v>3</v>
      </c>
      <c r="Y524">
        <f t="shared" si="164"/>
        <v>3</v>
      </c>
      <c r="Z524" s="10">
        <f t="shared" si="165"/>
        <v>22526.66</v>
      </c>
      <c r="AA524" s="10">
        <f t="shared" si="166"/>
        <v>17212.97</v>
      </c>
      <c r="AB524" s="10">
        <f t="shared" si="167"/>
        <v>5313.6899999999987</v>
      </c>
      <c r="AC524" s="10">
        <f t="shared" si="155"/>
        <v>606.37750000000005</v>
      </c>
      <c r="AD524" s="10">
        <f t="shared" si="156"/>
        <v>1193.865</v>
      </c>
      <c r="AE524" s="10">
        <f t="shared" si="157"/>
        <v>1912.0450000000001</v>
      </c>
      <c r="AF524" s="10" t="str">
        <f t="shared" si="158"/>
        <v>High</v>
      </c>
      <c r="AG524" s="6">
        <f t="shared" si="168"/>
        <v>0.23588450307324738</v>
      </c>
      <c r="AH524" s="4">
        <f t="shared" si="169"/>
        <v>44945</v>
      </c>
      <c r="AI524" t="str">
        <f t="shared" si="170"/>
        <v>Jan-2023</v>
      </c>
    </row>
    <row r="525" spans="1:35" x14ac:dyDescent="0.25">
      <c r="A525" t="s">
        <v>537</v>
      </c>
      <c r="B525" s="4">
        <v>45406</v>
      </c>
      <c r="C525" s="4" t="str">
        <f t="shared" si="159"/>
        <v>Q2-2024</v>
      </c>
      <c r="D525" s="4" t="str">
        <f t="shared" si="160"/>
        <v>Apr-2024</v>
      </c>
      <c r="E525" s="4">
        <v>45422</v>
      </c>
      <c r="F525" s="12">
        <f t="shared" si="161"/>
        <v>16</v>
      </c>
      <c r="G525" s="12">
        <f t="shared" si="152"/>
        <v>0</v>
      </c>
      <c r="H525" s="4">
        <f t="shared" si="162"/>
        <v>45422</v>
      </c>
      <c r="I525" t="s">
        <v>646</v>
      </c>
      <c r="J525" t="s">
        <v>650</v>
      </c>
      <c r="K525" t="s">
        <v>662</v>
      </c>
      <c r="L525" t="s">
        <v>703</v>
      </c>
      <c r="M525" t="s">
        <v>708</v>
      </c>
      <c r="N525" t="s">
        <v>725</v>
      </c>
      <c r="O525" t="s">
        <v>732</v>
      </c>
      <c r="P525" t="str" cm="1">
        <f t="array" ref="P525">_xlfn.IFS(S525&lt;=PERCENTILE($S$2:$S$1000, 0.33), "Low", S525&lt;=PERCENTILE($S$2:$S$1000, 0.66), "Medium", TRUE, "High")</f>
        <v>Medium</v>
      </c>
      <c r="Q525" t="s">
        <v>1256</v>
      </c>
      <c r="R525" s="10">
        <v>513.30999999999995</v>
      </c>
      <c r="S525" s="10">
        <v>1186.26</v>
      </c>
      <c r="T525" s="8">
        <v>9.4E-2</v>
      </c>
      <c r="U525" s="12">
        <f t="shared" si="163"/>
        <v>0</v>
      </c>
      <c r="V525" s="6">
        <v>15</v>
      </c>
      <c r="W525" t="str">
        <f t="shared" si="153"/>
        <v>ok</v>
      </c>
      <c r="X525">
        <f t="shared" si="154"/>
        <v>16</v>
      </c>
      <c r="Y525">
        <f t="shared" si="164"/>
        <v>16</v>
      </c>
      <c r="Z525" s="10">
        <f t="shared" si="165"/>
        <v>16121.273400000002</v>
      </c>
      <c r="AA525" s="10">
        <f t="shared" si="166"/>
        <v>7699.65</v>
      </c>
      <c r="AB525" s="10">
        <f t="shared" si="167"/>
        <v>8421.6234000000022</v>
      </c>
      <c r="AC525" s="10">
        <f t="shared" si="155"/>
        <v>606.37750000000005</v>
      </c>
      <c r="AD525" s="10">
        <f t="shared" si="156"/>
        <v>1193.865</v>
      </c>
      <c r="AE525" s="10">
        <f t="shared" si="157"/>
        <v>1912.0450000000001</v>
      </c>
      <c r="AF525" s="10" t="str">
        <f t="shared" si="158"/>
        <v>Medium</v>
      </c>
      <c r="AG525" s="6">
        <f t="shared" si="168"/>
        <v>0.52239194702820446</v>
      </c>
      <c r="AH525" s="4">
        <f t="shared" si="169"/>
        <v>44988</v>
      </c>
      <c r="AI525" t="str">
        <f t="shared" si="170"/>
        <v>Mar-2023</v>
      </c>
    </row>
    <row r="526" spans="1:35" x14ac:dyDescent="0.25">
      <c r="A526" t="s">
        <v>538</v>
      </c>
      <c r="B526" s="4">
        <v>45304</v>
      </c>
      <c r="C526" s="4" t="str">
        <f t="shared" si="159"/>
        <v>Q1-2024</v>
      </c>
      <c r="D526" s="4" t="str">
        <f t="shared" si="160"/>
        <v>Jan-2024</v>
      </c>
      <c r="E526" s="4">
        <v>45306</v>
      </c>
      <c r="F526" s="12">
        <f t="shared" si="161"/>
        <v>2</v>
      </c>
      <c r="G526" s="12">
        <f t="shared" si="152"/>
        <v>1</v>
      </c>
      <c r="H526" s="4">
        <f t="shared" si="162"/>
        <v>45306</v>
      </c>
      <c r="I526" t="s">
        <v>648</v>
      </c>
      <c r="J526" t="s">
        <v>660</v>
      </c>
      <c r="K526" t="s">
        <v>686</v>
      </c>
      <c r="L526" t="s">
        <v>703</v>
      </c>
      <c r="M526" t="s">
        <v>711</v>
      </c>
      <c r="N526" t="s">
        <v>718</v>
      </c>
      <c r="O526" t="s">
        <v>727</v>
      </c>
      <c r="P526" t="str" cm="1">
        <f t="array" ref="P526">_xlfn.IFS(S526&lt;=PERCENTILE($S$2:$S$1000, 0.33), "Low", S526&lt;=PERCENTILE($S$2:$S$1000, 0.66), "Medium", TRUE, "High")</f>
        <v>High</v>
      </c>
      <c r="Q526" t="s">
        <v>1257</v>
      </c>
      <c r="R526" s="10">
        <v>1061.3699999999999</v>
      </c>
      <c r="S526" s="10">
        <v>1938.33</v>
      </c>
      <c r="T526" s="8">
        <v>0.17</v>
      </c>
      <c r="U526" s="12">
        <f t="shared" si="163"/>
        <v>0</v>
      </c>
      <c r="V526" s="6">
        <v>4</v>
      </c>
      <c r="W526" t="str">
        <f t="shared" si="153"/>
        <v>ok</v>
      </c>
      <c r="X526">
        <f t="shared" si="154"/>
        <v>2</v>
      </c>
      <c r="Y526">
        <f t="shared" si="164"/>
        <v>2</v>
      </c>
      <c r="Z526" s="10">
        <f t="shared" si="165"/>
        <v>6435.2555999999995</v>
      </c>
      <c r="AA526" s="10">
        <f t="shared" si="166"/>
        <v>4245.4799999999996</v>
      </c>
      <c r="AB526" s="10">
        <f t="shared" si="167"/>
        <v>2189.7755999999999</v>
      </c>
      <c r="AC526" s="10">
        <f t="shared" si="155"/>
        <v>606.37750000000005</v>
      </c>
      <c r="AD526" s="10">
        <f t="shared" si="156"/>
        <v>1193.865</v>
      </c>
      <c r="AE526" s="10">
        <f t="shared" si="157"/>
        <v>1912.0450000000001</v>
      </c>
      <c r="AF526" s="10" t="str">
        <f t="shared" si="158"/>
        <v>Medium</v>
      </c>
      <c r="AG526" s="6">
        <f t="shared" si="168"/>
        <v>0.34027795259600879</v>
      </c>
      <c r="AH526" s="4">
        <f t="shared" si="169"/>
        <v>44948</v>
      </c>
      <c r="AI526" t="str">
        <f t="shared" si="170"/>
        <v>Jan-2023</v>
      </c>
    </row>
    <row r="527" spans="1:35" x14ac:dyDescent="0.25">
      <c r="A527" t="s">
        <v>539</v>
      </c>
      <c r="B527" s="4">
        <v>45398</v>
      </c>
      <c r="C527" s="4" t="str">
        <f t="shared" si="159"/>
        <v>Q2-2024</v>
      </c>
      <c r="D527" s="4" t="str">
        <f t="shared" si="160"/>
        <v>Apr-2024</v>
      </c>
      <c r="E527" s="4">
        <v>45409</v>
      </c>
      <c r="F527" s="12">
        <f t="shared" si="161"/>
        <v>11</v>
      </c>
      <c r="G527" s="12">
        <f t="shared" si="152"/>
        <v>0</v>
      </c>
      <c r="H527" s="4">
        <f t="shared" si="162"/>
        <v>45409</v>
      </c>
      <c r="I527" t="s">
        <v>646</v>
      </c>
      <c r="J527" t="s">
        <v>650</v>
      </c>
      <c r="K527" t="s">
        <v>678</v>
      </c>
      <c r="L527" t="s">
        <v>706</v>
      </c>
      <c r="M527" t="s">
        <v>708</v>
      </c>
      <c r="N527" t="s">
        <v>726</v>
      </c>
      <c r="O527" t="s">
        <v>728</v>
      </c>
      <c r="P527" t="str" cm="1">
        <f t="array" ref="P527">_xlfn.IFS(S527&lt;=PERCENTILE($S$2:$S$1000, 0.33), "Low", S527&lt;=PERCENTILE($S$2:$S$1000, 0.66), "Medium", TRUE, "High")</f>
        <v>Medium</v>
      </c>
      <c r="Q527" t="s">
        <v>1258</v>
      </c>
      <c r="R527" s="10">
        <v>401.3</v>
      </c>
      <c r="S527" s="10">
        <v>826.47</v>
      </c>
      <c r="T527" s="8">
        <v>0.22500000000000001</v>
      </c>
      <c r="U527" s="12">
        <f t="shared" si="163"/>
        <v>1</v>
      </c>
      <c r="V527" s="6">
        <v>13</v>
      </c>
      <c r="W527" t="str">
        <f t="shared" si="153"/>
        <v>ok</v>
      </c>
      <c r="X527">
        <f t="shared" si="154"/>
        <v>11</v>
      </c>
      <c r="Y527">
        <f t="shared" si="164"/>
        <v>11</v>
      </c>
      <c r="Z527" s="10">
        <f t="shared" si="165"/>
        <v>8326.6852500000005</v>
      </c>
      <c r="AA527" s="10">
        <f t="shared" si="166"/>
        <v>5216.9000000000005</v>
      </c>
      <c r="AB527" s="10">
        <f t="shared" si="167"/>
        <v>3109.7852499999999</v>
      </c>
      <c r="AC527" s="10">
        <f t="shared" si="155"/>
        <v>606.37750000000005</v>
      </c>
      <c r="AD527" s="10">
        <f t="shared" si="156"/>
        <v>1193.865</v>
      </c>
      <c r="AE527" s="10">
        <f t="shared" si="157"/>
        <v>1912.0450000000001</v>
      </c>
      <c r="AF527" s="10" t="str">
        <f t="shared" si="158"/>
        <v>High</v>
      </c>
      <c r="AG527" s="6">
        <f t="shared" si="168"/>
        <v>0.37347217489696755</v>
      </c>
      <c r="AH527" s="4">
        <f t="shared" si="169"/>
        <v>44988</v>
      </c>
      <c r="AI527" t="str">
        <f t="shared" si="170"/>
        <v>Mar-2023</v>
      </c>
    </row>
    <row r="528" spans="1:35" x14ac:dyDescent="0.25">
      <c r="A528" t="s">
        <v>540</v>
      </c>
      <c r="B528" s="4">
        <v>45695</v>
      </c>
      <c r="C528" s="4" t="str">
        <f t="shared" si="159"/>
        <v>Q1-2025</v>
      </c>
      <c r="D528" s="4" t="str">
        <f t="shared" si="160"/>
        <v>Feb-2025</v>
      </c>
      <c r="E528" s="4">
        <v>45704</v>
      </c>
      <c r="F528" s="12">
        <f t="shared" si="161"/>
        <v>9</v>
      </c>
      <c r="G528" s="12">
        <f t="shared" si="152"/>
        <v>0</v>
      </c>
      <c r="H528" s="4">
        <f t="shared" si="162"/>
        <v>45704</v>
      </c>
      <c r="I528" t="s">
        <v>646</v>
      </c>
      <c r="J528" t="s">
        <v>651</v>
      </c>
      <c r="K528" t="s">
        <v>665</v>
      </c>
      <c r="L528" t="s">
        <v>705</v>
      </c>
      <c r="M528" t="s">
        <v>710</v>
      </c>
      <c r="N528" t="s">
        <v>712</v>
      </c>
      <c r="O528" t="s">
        <v>728</v>
      </c>
      <c r="P528" t="str" cm="1">
        <f t="array" ref="P528">_xlfn.IFS(S528&lt;=PERCENTILE($S$2:$S$1000, 0.33), "Low", S528&lt;=PERCENTILE($S$2:$S$1000, 0.66), "Medium", TRUE, "High")</f>
        <v>Low</v>
      </c>
      <c r="Q528" t="s">
        <v>1259</v>
      </c>
      <c r="R528" s="10">
        <v>90.68</v>
      </c>
      <c r="S528" s="10">
        <v>118.17</v>
      </c>
      <c r="T528" s="8">
        <v>0.13500000000000001</v>
      </c>
      <c r="U528" s="12">
        <f t="shared" si="163"/>
        <v>0</v>
      </c>
      <c r="V528" s="6">
        <v>21</v>
      </c>
      <c r="W528" t="str">
        <f t="shared" si="153"/>
        <v>ok</v>
      </c>
      <c r="X528">
        <f t="shared" si="154"/>
        <v>9</v>
      </c>
      <c r="Y528">
        <f t="shared" si="164"/>
        <v>9</v>
      </c>
      <c r="Z528" s="10">
        <f t="shared" si="165"/>
        <v>2146.5580500000001</v>
      </c>
      <c r="AA528" s="10">
        <f t="shared" si="166"/>
        <v>1904.2800000000002</v>
      </c>
      <c r="AB528" s="10">
        <f t="shared" si="167"/>
        <v>242.27804999999989</v>
      </c>
      <c r="AC528" s="10">
        <f t="shared" si="155"/>
        <v>606.37750000000005</v>
      </c>
      <c r="AD528" s="10">
        <f t="shared" si="156"/>
        <v>1193.865</v>
      </c>
      <c r="AE528" s="10">
        <f t="shared" si="157"/>
        <v>1912.0450000000001</v>
      </c>
      <c r="AF528" s="10" t="str">
        <f t="shared" si="158"/>
        <v>Medium</v>
      </c>
      <c r="AG528" s="6">
        <f t="shared" si="168"/>
        <v>0.11286815653552899</v>
      </c>
      <c r="AH528" s="4">
        <f t="shared" si="169"/>
        <v>44933</v>
      </c>
      <c r="AI528" t="str">
        <f t="shared" si="170"/>
        <v>Jan-2023</v>
      </c>
    </row>
    <row r="529" spans="1:35" x14ac:dyDescent="0.25">
      <c r="A529" t="s">
        <v>541</v>
      </c>
      <c r="B529" s="4">
        <v>44938</v>
      </c>
      <c r="C529" s="4" t="str">
        <f t="shared" si="159"/>
        <v>Q1-2023</v>
      </c>
      <c r="D529" s="4" t="str">
        <f t="shared" si="160"/>
        <v>Jan-2023</v>
      </c>
      <c r="E529" s="4">
        <v>44952</v>
      </c>
      <c r="F529" s="12">
        <f t="shared" si="161"/>
        <v>14</v>
      </c>
      <c r="G529" s="12">
        <f t="shared" si="152"/>
        <v>0</v>
      </c>
      <c r="H529" s="4">
        <f t="shared" si="162"/>
        <v>44952</v>
      </c>
      <c r="I529" t="s">
        <v>647</v>
      </c>
      <c r="J529" t="s">
        <v>659</v>
      </c>
      <c r="K529" t="s">
        <v>676</v>
      </c>
      <c r="L529" t="s">
        <v>703</v>
      </c>
      <c r="M529" t="s">
        <v>707</v>
      </c>
      <c r="N529" t="s">
        <v>724</v>
      </c>
      <c r="O529" t="s">
        <v>728</v>
      </c>
      <c r="P529" t="str" cm="1">
        <f t="array" ref="P529">_xlfn.IFS(S529&lt;=PERCENTILE($S$2:$S$1000, 0.33), "Low", S529&lt;=PERCENTILE($S$2:$S$1000, 0.66), "Medium", TRUE, "High")</f>
        <v>Medium</v>
      </c>
      <c r="Q529" t="s">
        <v>1260</v>
      </c>
      <c r="R529" s="10">
        <v>1083.0899999999999</v>
      </c>
      <c r="S529" s="10">
        <v>1425.87</v>
      </c>
      <c r="T529" s="8">
        <v>0</v>
      </c>
      <c r="U529" s="12">
        <f t="shared" si="163"/>
        <v>0</v>
      </c>
      <c r="V529" s="6">
        <v>8</v>
      </c>
      <c r="W529" t="str">
        <f t="shared" si="153"/>
        <v>ok</v>
      </c>
      <c r="X529">
        <f t="shared" si="154"/>
        <v>14</v>
      </c>
      <c r="Y529">
        <f t="shared" si="164"/>
        <v>14</v>
      </c>
      <c r="Z529" s="10">
        <f t="shared" si="165"/>
        <v>11406.96</v>
      </c>
      <c r="AA529" s="10">
        <f t="shared" si="166"/>
        <v>8664.7199999999993</v>
      </c>
      <c r="AB529" s="10">
        <f t="shared" si="167"/>
        <v>2742.24</v>
      </c>
      <c r="AC529" s="10">
        <f t="shared" si="155"/>
        <v>606.37750000000005</v>
      </c>
      <c r="AD529" s="10">
        <f t="shared" si="156"/>
        <v>1193.865</v>
      </c>
      <c r="AE529" s="10">
        <f t="shared" si="157"/>
        <v>1912.0450000000001</v>
      </c>
      <c r="AF529" s="10" t="str">
        <f t="shared" si="158"/>
        <v>Low</v>
      </c>
      <c r="AG529" s="6">
        <f t="shared" si="168"/>
        <v>0.24040059752992909</v>
      </c>
      <c r="AH529" s="4">
        <f t="shared" si="169"/>
        <v>44933</v>
      </c>
      <c r="AI529" t="str">
        <f t="shared" si="170"/>
        <v>Jan-2023</v>
      </c>
    </row>
    <row r="530" spans="1:35" x14ac:dyDescent="0.25">
      <c r="A530" t="s">
        <v>542</v>
      </c>
      <c r="B530" s="4">
        <v>45448</v>
      </c>
      <c r="C530" s="4" t="str">
        <f t="shared" si="159"/>
        <v>Q2-2024</v>
      </c>
      <c r="D530" s="4" t="str">
        <f t="shared" si="160"/>
        <v>Jun-2024</v>
      </c>
      <c r="E530" s="4">
        <v>45466</v>
      </c>
      <c r="F530" s="12">
        <f t="shared" si="161"/>
        <v>18</v>
      </c>
      <c r="G530" s="12">
        <f t="shared" si="152"/>
        <v>0</v>
      </c>
      <c r="H530" s="4">
        <f t="shared" si="162"/>
        <v>45466</v>
      </c>
      <c r="I530" t="s">
        <v>646</v>
      </c>
      <c r="J530" t="s">
        <v>650</v>
      </c>
      <c r="K530" t="s">
        <v>664</v>
      </c>
      <c r="L530" t="s">
        <v>704</v>
      </c>
      <c r="M530" t="s">
        <v>710</v>
      </c>
      <c r="N530" t="s">
        <v>726</v>
      </c>
      <c r="O530" t="s">
        <v>731</v>
      </c>
      <c r="P530" t="str" cm="1">
        <f t="array" ref="P530">_xlfn.IFS(S530&lt;=PERCENTILE($S$2:$S$1000, 0.33), "Low", S530&lt;=PERCENTILE($S$2:$S$1000, 0.66), "Medium", TRUE, "High")</f>
        <v>Medium</v>
      </c>
      <c r="Q530" t="s">
        <v>1261</v>
      </c>
      <c r="R530" s="10">
        <v>1208.74</v>
      </c>
      <c r="S530" s="10">
        <v>1594.78</v>
      </c>
      <c r="T530" s="8">
        <v>5.8999999999999997E-2</v>
      </c>
      <c r="U530" s="12">
        <f t="shared" si="163"/>
        <v>0</v>
      </c>
      <c r="V530" s="6">
        <v>39</v>
      </c>
      <c r="W530" t="str">
        <f t="shared" si="153"/>
        <v>ok</v>
      </c>
      <c r="X530">
        <f t="shared" si="154"/>
        <v>18</v>
      </c>
      <c r="Y530">
        <f t="shared" si="164"/>
        <v>18</v>
      </c>
      <c r="Z530" s="10">
        <f t="shared" si="165"/>
        <v>58526.83122</v>
      </c>
      <c r="AA530" s="10">
        <f t="shared" si="166"/>
        <v>47140.86</v>
      </c>
      <c r="AB530" s="10">
        <f t="shared" si="167"/>
        <v>11385.971219999999</v>
      </c>
      <c r="AC530" s="10">
        <f t="shared" si="155"/>
        <v>606.37750000000005</v>
      </c>
      <c r="AD530" s="10">
        <f t="shared" si="156"/>
        <v>1193.865</v>
      </c>
      <c r="AE530" s="10">
        <f t="shared" si="157"/>
        <v>1912.0450000000001</v>
      </c>
      <c r="AF530" s="10" t="str">
        <f t="shared" si="158"/>
        <v>Medium</v>
      </c>
      <c r="AG530" s="6">
        <f t="shared" si="168"/>
        <v>0.1945427589817838</v>
      </c>
      <c r="AH530" s="4">
        <f t="shared" si="169"/>
        <v>44946</v>
      </c>
      <c r="AI530" t="str">
        <f t="shared" si="170"/>
        <v>Jan-2023</v>
      </c>
    </row>
    <row r="531" spans="1:35" x14ac:dyDescent="0.25">
      <c r="A531" t="s">
        <v>543</v>
      </c>
      <c r="B531" s="4">
        <v>45162</v>
      </c>
      <c r="C531" s="4" t="str">
        <f t="shared" si="159"/>
        <v>Q3-2023</v>
      </c>
      <c r="D531" s="4" t="str">
        <f t="shared" si="160"/>
        <v>Aug-2023</v>
      </c>
      <c r="E531" s="4">
        <v>45189</v>
      </c>
      <c r="F531" s="12">
        <f t="shared" si="161"/>
        <v>27</v>
      </c>
      <c r="G531" s="12">
        <f t="shared" si="152"/>
        <v>0</v>
      </c>
      <c r="H531" s="4">
        <f t="shared" si="162"/>
        <v>45189</v>
      </c>
      <c r="I531" t="s">
        <v>646</v>
      </c>
      <c r="J531" t="s">
        <v>661</v>
      </c>
      <c r="K531" t="s">
        <v>687</v>
      </c>
      <c r="L531" t="s">
        <v>705</v>
      </c>
      <c r="M531" t="s">
        <v>709</v>
      </c>
      <c r="N531" t="s">
        <v>724</v>
      </c>
      <c r="O531" t="s">
        <v>728</v>
      </c>
      <c r="P531" t="str" cm="1">
        <f t="array" ref="P531">_xlfn.IFS(S531&lt;=PERCENTILE($S$2:$S$1000, 0.33), "Low", S531&lt;=PERCENTILE($S$2:$S$1000, 0.66), "Medium", TRUE, "High")</f>
        <v>High</v>
      </c>
      <c r="Q531" t="s">
        <v>1262</v>
      </c>
      <c r="R531" s="10">
        <v>1399.64</v>
      </c>
      <c r="S531" s="10">
        <v>3342.11</v>
      </c>
      <c r="T531" s="8">
        <v>0</v>
      </c>
      <c r="U531" s="12">
        <f t="shared" si="163"/>
        <v>0</v>
      </c>
      <c r="V531" s="6">
        <v>10</v>
      </c>
      <c r="W531" t="str">
        <f t="shared" si="153"/>
        <v>ok</v>
      </c>
      <c r="X531">
        <f t="shared" si="154"/>
        <v>27</v>
      </c>
      <c r="Y531">
        <f t="shared" si="164"/>
        <v>27</v>
      </c>
      <c r="Z531" s="10">
        <f t="shared" si="165"/>
        <v>33421.1</v>
      </c>
      <c r="AA531" s="10">
        <f t="shared" si="166"/>
        <v>13996.400000000001</v>
      </c>
      <c r="AB531" s="10">
        <f t="shared" si="167"/>
        <v>19424.699999999997</v>
      </c>
      <c r="AC531" s="10">
        <f t="shared" si="155"/>
        <v>606.37750000000005</v>
      </c>
      <c r="AD531" s="10">
        <f t="shared" si="156"/>
        <v>1193.865</v>
      </c>
      <c r="AE531" s="10">
        <f t="shared" si="157"/>
        <v>1912.0450000000001</v>
      </c>
      <c r="AF531" s="10" t="str">
        <f t="shared" si="158"/>
        <v>Medium</v>
      </c>
      <c r="AG531" s="6">
        <f t="shared" si="168"/>
        <v>0.58121067229983447</v>
      </c>
      <c r="AH531" s="4">
        <f t="shared" si="169"/>
        <v>44939</v>
      </c>
      <c r="AI531" t="str">
        <f t="shared" si="170"/>
        <v>Jan-2023</v>
      </c>
    </row>
    <row r="532" spans="1:35" x14ac:dyDescent="0.25">
      <c r="A532" t="s">
        <v>544</v>
      </c>
      <c r="B532" s="4">
        <v>45316</v>
      </c>
      <c r="C532" s="4" t="str">
        <f t="shared" si="159"/>
        <v>Q1-2024</v>
      </c>
      <c r="D532" s="4" t="str">
        <f t="shared" si="160"/>
        <v>Jan-2024</v>
      </c>
      <c r="E532" s="4">
        <v>45330</v>
      </c>
      <c r="F532" s="12">
        <f t="shared" si="161"/>
        <v>14</v>
      </c>
      <c r="G532" s="12">
        <f t="shared" si="152"/>
        <v>0</v>
      </c>
      <c r="H532" s="4">
        <f t="shared" si="162"/>
        <v>45330</v>
      </c>
      <c r="I532" t="s">
        <v>647</v>
      </c>
      <c r="J532" t="s">
        <v>652</v>
      </c>
      <c r="K532" t="s">
        <v>666</v>
      </c>
      <c r="L532" t="s">
        <v>704</v>
      </c>
      <c r="M532" t="s">
        <v>709</v>
      </c>
      <c r="N532" t="s">
        <v>714</v>
      </c>
      <c r="O532" t="s">
        <v>729</v>
      </c>
      <c r="P532" t="str" cm="1">
        <f t="array" ref="P532">_xlfn.IFS(S532&lt;=PERCENTILE($S$2:$S$1000, 0.33), "Low", S532&lt;=PERCENTILE($S$2:$S$1000, 0.66), "Medium", TRUE, "High")</f>
        <v>Medium</v>
      </c>
      <c r="Q532" t="s">
        <v>1263</v>
      </c>
      <c r="R532" s="10">
        <v>937.16</v>
      </c>
      <c r="S532" s="10">
        <v>1069.77</v>
      </c>
      <c r="T532" s="8">
        <v>3.7999999999999999E-2</v>
      </c>
      <c r="U532" s="12">
        <f t="shared" si="163"/>
        <v>0</v>
      </c>
      <c r="V532" s="6">
        <v>9</v>
      </c>
      <c r="W532" t="str">
        <f t="shared" si="153"/>
        <v>ok</v>
      </c>
      <c r="X532">
        <f t="shared" si="154"/>
        <v>14</v>
      </c>
      <c r="Y532">
        <f t="shared" si="164"/>
        <v>14</v>
      </c>
      <c r="Z532" s="10">
        <f t="shared" si="165"/>
        <v>9262.0686600000008</v>
      </c>
      <c r="AA532" s="10">
        <f t="shared" si="166"/>
        <v>8434.44</v>
      </c>
      <c r="AB532" s="10">
        <f t="shared" si="167"/>
        <v>827.62866000000031</v>
      </c>
      <c r="AC532" s="10">
        <f t="shared" si="155"/>
        <v>606.37750000000005</v>
      </c>
      <c r="AD532" s="10">
        <f t="shared" si="156"/>
        <v>1193.865</v>
      </c>
      <c r="AE532" s="10">
        <f t="shared" si="157"/>
        <v>1912.0450000000001</v>
      </c>
      <c r="AF532" s="10" t="str">
        <f t="shared" si="158"/>
        <v>High</v>
      </c>
      <c r="AG532" s="6">
        <f t="shared" si="168"/>
        <v>8.9356783066645962E-2</v>
      </c>
      <c r="AH532" s="4">
        <f t="shared" si="169"/>
        <v>44928</v>
      </c>
      <c r="AI532" t="str">
        <f t="shared" si="170"/>
        <v>Jan-2023</v>
      </c>
    </row>
    <row r="533" spans="1:35" x14ac:dyDescent="0.25">
      <c r="A533" t="s">
        <v>545</v>
      </c>
      <c r="B533" s="4">
        <v>45727</v>
      </c>
      <c r="C533" s="4" t="str">
        <f t="shared" si="159"/>
        <v>Q1-2025</v>
      </c>
      <c r="D533" s="4" t="str">
        <f t="shared" si="160"/>
        <v>Mar-2025</v>
      </c>
      <c r="E533" s="4">
        <v>45742</v>
      </c>
      <c r="F533" s="12">
        <f t="shared" si="161"/>
        <v>15</v>
      </c>
      <c r="G533" s="12">
        <f t="shared" si="152"/>
        <v>0</v>
      </c>
      <c r="H533" s="4">
        <f t="shared" si="162"/>
        <v>45742</v>
      </c>
      <c r="I533" t="s">
        <v>649</v>
      </c>
      <c r="J533" t="s">
        <v>656</v>
      </c>
      <c r="K533" t="s">
        <v>671</v>
      </c>
      <c r="L533" t="s">
        <v>705</v>
      </c>
      <c r="M533" t="s">
        <v>708</v>
      </c>
      <c r="N533" t="s">
        <v>714</v>
      </c>
      <c r="O533" t="s">
        <v>730</v>
      </c>
      <c r="P533" t="str" cm="1">
        <f t="array" ref="P533">_xlfn.IFS(S533&lt;=PERCENTILE($S$2:$S$1000, 0.33), "Low", S533&lt;=PERCENTILE($S$2:$S$1000, 0.66), "Medium", TRUE, "High")</f>
        <v>Low</v>
      </c>
      <c r="Q533" t="s">
        <v>1264</v>
      </c>
      <c r="R533" s="10">
        <v>116.97</v>
      </c>
      <c r="S533" s="10">
        <v>140.82</v>
      </c>
      <c r="T533" s="8">
        <v>0.122</v>
      </c>
      <c r="U533" s="12">
        <f t="shared" si="163"/>
        <v>0</v>
      </c>
      <c r="V533" s="6">
        <v>5</v>
      </c>
      <c r="W533" t="str">
        <f t="shared" si="153"/>
        <v>ok</v>
      </c>
      <c r="X533">
        <f t="shared" si="154"/>
        <v>15</v>
      </c>
      <c r="Y533">
        <f t="shared" si="164"/>
        <v>15</v>
      </c>
      <c r="Z533" s="10">
        <f t="shared" si="165"/>
        <v>618.19979999999987</v>
      </c>
      <c r="AA533" s="10">
        <f t="shared" si="166"/>
        <v>584.85</v>
      </c>
      <c r="AB533" s="10">
        <f t="shared" si="167"/>
        <v>33.349799999999846</v>
      </c>
      <c r="AC533" s="10">
        <f t="shared" si="155"/>
        <v>606.37750000000005</v>
      </c>
      <c r="AD533" s="10">
        <f t="shared" si="156"/>
        <v>1193.865</v>
      </c>
      <c r="AE533" s="10">
        <f t="shared" si="157"/>
        <v>1912.0450000000001</v>
      </c>
      <c r="AF533" s="10" t="str">
        <f t="shared" si="158"/>
        <v>Medium</v>
      </c>
      <c r="AG533" s="6">
        <f t="shared" si="168"/>
        <v>5.3946636669891926E-2</v>
      </c>
      <c r="AH533" s="4">
        <f t="shared" si="169"/>
        <v>44936</v>
      </c>
      <c r="AI533" t="str">
        <f t="shared" si="170"/>
        <v>Jan-2023</v>
      </c>
    </row>
    <row r="534" spans="1:35" x14ac:dyDescent="0.25">
      <c r="A534" t="s">
        <v>546</v>
      </c>
      <c r="B534" s="4">
        <v>45769</v>
      </c>
      <c r="C534" s="4" t="str">
        <f t="shared" si="159"/>
        <v>Q2-2025</v>
      </c>
      <c r="D534" s="4" t="str">
        <f t="shared" si="160"/>
        <v>Apr-2025</v>
      </c>
      <c r="E534" s="4">
        <v>45789</v>
      </c>
      <c r="F534" s="12">
        <f t="shared" si="161"/>
        <v>20</v>
      </c>
      <c r="G534" s="12">
        <f t="shared" si="152"/>
        <v>0</v>
      </c>
      <c r="H534" s="4">
        <f t="shared" si="162"/>
        <v>45789</v>
      </c>
      <c r="I534" t="s">
        <v>649</v>
      </c>
      <c r="J534" t="s">
        <v>657</v>
      </c>
      <c r="K534" t="s">
        <v>679</v>
      </c>
      <c r="L534" t="s">
        <v>706</v>
      </c>
      <c r="M534" t="s">
        <v>709</v>
      </c>
      <c r="N534" t="s">
        <v>723</v>
      </c>
      <c r="O534" t="s">
        <v>732</v>
      </c>
      <c r="P534" t="str" cm="1">
        <f t="array" ref="P534">_xlfn.IFS(S534&lt;=PERCENTILE($S$2:$S$1000, 0.33), "Low", S534&lt;=PERCENTILE($S$2:$S$1000, 0.66), "Medium", TRUE, "High")</f>
        <v>Low</v>
      </c>
      <c r="Q534" t="s">
        <v>1265</v>
      </c>
      <c r="R534" s="10">
        <v>59.51</v>
      </c>
      <c r="S534" s="10">
        <v>67.040000000000006</v>
      </c>
      <c r="T534" s="8">
        <v>0.114</v>
      </c>
      <c r="U534" s="12">
        <f t="shared" si="163"/>
        <v>0</v>
      </c>
      <c r="V534" s="6">
        <v>9</v>
      </c>
      <c r="W534" t="str">
        <f t="shared" si="153"/>
        <v>ok</v>
      </c>
      <c r="X534">
        <f t="shared" si="154"/>
        <v>20</v>
      </c>
      <c r="Y534">
        <f t="shared" si="164"/>
        <v>20</v>
      </c>
      <c r="Z534" s="10">
        <f t="shared" si="165"/>
        <v>534.57695999999999</v>
      </c>
      <c r="AA534" s="10">
        <f t="shared" si="166"/>
        <v>535.59</v>
      </c>
      <c r="AB534" s="10">
        <f t="shared" si="167"/>
        <v>-1.0130400000000463</v>
      </c>
      <c r="AC534" s="10">
        <f t="shared" si="155"/>
        <v>606.37750000000005</v>
      </c>
      <c r="AD534" s="10">
        <f t="shared" si="156"/>
        <v>1193.865</v>
      </c>
      <c r="AE534" s="10">
        <f t="shared" si="157"/>
        <v>1912.0450000000001</v>
      </c>
      <c r="AF534" s="10" t="str">
        <f t="shared" si="158"/>
        <v>Low</v>
      </c>
      <c r="AG534" s="6">
        <f t="shared" si="168"/>
        <v>-1.8950311663264469E-3</v>
      </c>
      <c r="AH534" s="4">
        <f t="shared" si="169"/>
        <v>44955</v>
      </c>
      <c r="AI534" t="str">
        <f t="shared" si="170"/>
        <v>Jan-2023</v>
      </c>
    </row>
    <row r="535" spans="1:35" x14ac:dyDescent="0.25">
      <c r="A535" t="s">
        <v>547</v>
      </c>
      <c r="B535" s="4">
        <v>45155</v>
      </c>
      <c r="C535" s="4" t="str">
        <f t="shared" si="159"/>
        <v>Q3-2023</v>
      </c>
      <c r="D535" s="4" t="str">
        <f t="shared" si="160"/>
        <v>Aug-2023</v>
      </c>
      <c r="E535" s="4">
        <v>45172</v>
      </c>
      <c r="F535" s="12">
        <f t="shared" si="161"/>
        <v>17</v>
      </c>
      <c r="G535" s="12">
        <f t="shared" si="152"/>
        <v>0</v>
      </c>
      <c r="H535" s="4">
        <f t="shared" si="162"/>
        <v>45172</v>
      </c>
      <c r="I535" t="s">
        <v>646</v>
      </c>
      <c r="J535" t="s">
        <v>661</v>
      </c>
      <c r="K535" t="s">
        <v>687</v>
      </c>
      <c r="L535" t="s">
        <v>706</v>
      </c>
      <c r="M535" t="s">
        <v>707</v>
      </c>
      <c r="N535" t="s">
        <v>720</v>
      </c>
      <c r="O535" t="s">
        <v>730</v>
      </c>
      <c r="P535" t="str" cm="1">
        <f t="array" ref="P535">_xlfn.IFS(S535&lt;=PERCENTILE($S$2:$S$1000, 0.33), "Low", S535&lt;=PERCENTILE($S$2:$S$1000, 0.66), "Medium", TRUE, "High")</f>
        <v>Medium</v>
      </c>
      <c r="Q535" t="s">
        <v>1266</v>
      </c>
      <c r="R535" s="10">
        <v>676.37</v>
      </c>
      <c r="S535" s="10">
        <v>1276.67</v>
      </c>
      <c r="T535" s="8">
        <v>6.6000000000000003E-2</v>
      </c>
      <c r="U535" s="12">
        <f t="shared" si="163"/>
        <v>0</v>
      </c>
      <c r="V535" s="6">
        <v>10</v>
      </c>
      <c r="W535" t="str">
        <f t="shared" si="153"/>
        <v>ok</v>
      </c>
      <c r="X535">
        <f t="shared" si="154"/>
        <v>17</v>
      </c>
      <c r="Y535">
        <f t="shared" si="164"/>
        <v>17</v>
      </c>
      <c r="Z535" s="10">
        <f t="shared" si="165"/>
        <v>11924.0978</v>
      </c>
      <c r="AA535" s="10">
        <f t="shared" si="166"/>
        <v>6763.7</v>
      </c>
      <c r="AB535" s="10">
        <f t="shared" si="167"/>
        <v>5160.3977999999997</v>
      </c>
      <c r="AC535" s="10">
        <f t="shared" si="155"/>
        <v>606.37750000000005</v>
      </c>
      <c r="AD535" s="10">
        <f t="shared" si="156"/>
        <v>1193.865</v>
      </c>
      <c r="AE535" s="10">
        <f t="shared" si="157"/>
        <v>1912.0450000000001</v>
      </c>
      <c r="AF535" s="10" t="str">
        <f t="shared" si="158"/>
        <v>Low</v>
      </c>
      <c r="AG535" s="6">
        <f t="shared" si="168"/>
        <v>0.4327705027712872</v>
      </c>
      <c r="AH535" s="4">
        <f t="shared" si="169"/>
        <v>44938</v>
      </c>
      <c r="AI535" t="str">
        <f t="shared" si="170"/>
        <v>Jan-2023</v>
      </c>
    </row>
    <row r="536" spans="1:35" x14ac:dyDescent="0.25">
      <c r="A536" t="s">
        <v>548</v>
      </c>
      <c r="B536" s="4">
        <v>45832</v>
      </c>
      <c r="C536" s="4" t="str">
        <f t="shared" si="159"/>
        <v>Q2-2025</v>
      </c>
      <c r="D536" s="4" t="str">
        <f t="shared" si="160"/>
        <v>Jun-2025</v>
      </c>
      <c r="E536" s="4">
        <v>45852</v>
      </c>
      <c r="F536" s="12">
        <f t="shared" si="161"/>
        <v>20</v>
      </c>
      <c r="G536" s="12">
        <f t="shared" si="152"/>
        <v>0</v>
      </c>
      <c r="H536" s="4">
        <f t="shared" si="162"/>
        <v>45852</v>
      </c>
      <c r="I536" t="s">
        <v>646</v>
      </c>
      <c r="J536" t="s">
        <v>661</v>
      </c>
      <c r="K536" t="s">
        <v>682</v>
      </c>
      <c r="L536" t="s">
        <v>706</v>
      </c>
      <c r="M536" t="s">
        <v>709</v>
      </c>
      <c r="N536" t="s">
        <v>713</v>
      </c>
      <c r="O536" t="s">
        <v>731</v>
      </c>
      <c r="P536" t="str" cm="1">
        <f t="array" ref="P536">_xlfn.IFS(S536&lt;=PERCENTILE($S$2:$S$1000, 0.33), "Low", S536&lt;=PERCENTILE($S$2:$S$1000, 0.66), "Medium", TRUE, "High")</f>
        <v>High</v>
      </c>
      <c r="Q536" t="s">
        <v>1267</v>
      </c>
      <c r="R536" s="10">
        <v>1151.06</v>
      </c>
      <c r="S536" s="10">
        <v>2821.36</v>
      </c>
      <c r="T536" s="8">
        <v>0.248</v>
      </c>
      <c r="U536" s="12">
        <f t="shared" si="163"/>
        <v>1</v>
      </c>
      <c r="V536" s="6">
        <v>20</v>
      </c>
      <c r="W536" t="str">
        <f t="shared" si="153"/>
        <v>ok</v>
      </c>
      <c r="X536">
        <f t="shared" si="154"/>
        <v>20</v>
      </c>
      <c r="Y536">
        <f t="shared" si="164"/>
        <v>20</v>
      </c>
      <c r="Z536" s="10">
        <f t="shared" si="165"/>
        <v>42433.254400000005</v>
      </c>
      <c r="AA536" s="10">
        <f t="shared" si="166"/>
        <v>23021.199999999997</v>
      </c>
      <c r="AB536" s="10">
        <f t="shared" si="167"/>
        <v>19412.054400000008</v>
      </c>
      <c r="AC536" s="10">
        <f t="shared" si="155"/>
        <v>606.37750000000005</v>
      </c>
      <c r="AD536" s="10">
        <f t="shared" si="156"/>
        <v>1193.865</v>
      </c>
      <c r="AE536" s="10">
        <f t="shared" si="157"/>
        <v>1912.0450000000001</v>
      </c>
      <c r="AF536" s="10" t="str">
        <f t="shared" si="158"/>
        <v>Medium</v>
      </c>
      <c r="AG536" s="6">
        <f t="shared" si="168"/>
        <v>0.45747267501594235</v>
      </c>
      <c r="AH536" s="4">
        <f t="shared" si="169"/>
        <v>44955</v>
      </c>
      <c r="AI536" t="str">
        <f t="shared" si="170"/>
        <v>Jan-2023</v>
      </c>
    </row>
    <row r="537" spans="1:35" x14ac:dyDescent="0.25">
      <c r="A537" t="s">
        <v>549</v>
      </c>
      <c r="B537" s="4">
        <v>45667</v>
      </c>
      <c r="C537" s="4" t="str">
        <f t="shared" si="159"/>
        <v>Q1-2025</v>
      </c>
      <c r="D537" s="4" t="str">
        <f t="shared" si="160"/>
        <v>Jan-2025</v>
      </c>
      <c r="E537" s="4">
        <v>45694</v>
      </c>
      <c r="F537" s="12">
        <f t="shared" si="161"/>
        <v>27</v>
      </c>
      <c r="G537" s="12">
        <f t="shared" si="152"/>
        <v>0</v>
      </c>
      <c r="H537" s="4">
        <f t="shared" si="162"/>
        <v>45694</v>
      </c>
      <c r="I537" t="s">
        <v>648</v>
      </c>
      <c r="J537" t="s">
        <v>655</v>
      </c>
      <c r="K537" t="s">
        <v>672</v>
      </c>
      <c r="L537" t="s">
        <v>703</v>
      </c>
      <c r="M537" t="s">
        <v>707</v>
      </c>
      <c r="N537" t="s">
        <v>717</v>
      </c>
      <c r="O537" t="s">
        <v>731</v>
      </c>
      <c r="P537" t="str" cm="1">
        <f t="array" ref="P537">_xlfn.IFS(S537&lt;=PERCENTILE($S$2:$S$1000, 0.33), "Low", S537&lt;=PERCENTILE($S$2:$S$1000, 0.66), "Medium", TRUE, "High")</f>
        <v>Medium</v>
      </c>
      <c r="Q537" t="s">
        <v>1268</v>
      </c>
      <c r="R537" s="10">
        <v>725.62</v>
      </c>
      <c r="S537" s="10">
        <v>1559.19</v>
      </c>
      <c r="T537" s="8">
        <v>0.19</v>
      </c>
      <c r="U537" s="12">
        <f t="shared" si="163"/>
        <v>0</v>
      </c>
      <c r="V537" s="6">
        <v>12</v>
      </c>
      <c r="W537" t="str">
        <f t="shared" si="153"/>
        <v>ok</v>
      </c>
      <c r="X537">
        <f t="shared" si="154"/>
        <v>27</v>
      </c>
      <c r="Y537">
        <f t="shared" si="164"/>
        <v>27</v>
      </c>
      <c r="Z537" s="10">
        <f t="shared" si="165"/>
        <v>15155.326800000001</v>
      </c>
      <c r="AA537" s="10">
        <f t="shared" si="166"/>
        <v>8707.44</v>
      </c>
      <c r="AB537" s="10">
        <f t="shared" si="167"/>
        <v>6447.8868000000002</v>
      </c>
      <c r="AC537" s="10">
        <f t="shared" si="155"/>
        <v>606.37750000000005</v>
      </c>
      <c r="AD537" s="10">
        <f t="shared" si="156"/>
        <v>1193.865</v>
      </c>
      <c r="AE537" s="10">
        <f t="shared" si="157"/>
        <v>1912.0450000000001</v>
      </c>
      <c r="AF537" s="10" t="str">
        <f t="shared" si="158"/>
        <v>High</v>
      </c>
      <c r="AG537" s="6">
        <f t="shared" si="168"/>
        <v>0.42545349797405885</v>
      </c>
      <c r="AH537" s="4">
        <f t="shared" si="169"/>
        <v>44941</v>
      </c>
      <c r="AI537" t="str">
        <f t="shared" si="170"/>
        <v>Jan-2023</v>
      </c>
    </row>
    <row r="538" spans="1:35" x14ac:dyDescent="0.25">
      <c r="A538" t="s">
        <v>550</v>
      </c>
      <c r="B538" s="4">
        <v>45108</v>
      </c>
      <c r="C538" s="4" t="str">
        <f t="shared" si="159"/>
        <v>Q3-2023</v>
      </c>
      <c r="D538" s="4" t="str">
        <f t="shared" si="160"/>
        <v>Jul-2023</v>
      </c>
      <c r="E538" s="4">
        <v>45118</v>
      </c>
      <c r="F538" s="12">
        <f t="shared" si="161"/>
        <v>10</v>
      </c>
      <c r="G538" s="12">
        <f t="shared" si="152"/>
        <v>0</v>
      </c>
      <c r="H538" s="4">
        <f t="shared" si="162"/>
        <v>45118</v>
      </c>
      <c r="I538" t="s">
        <v>649</v>
      </c>
      <c r="J538" t="s">
        <v>657</v>
      </c>
      <c r="K538" t="s">
        <v>690</v>
      </c>
      <c r="L538" t="s">
        <v>701</v>
      </c>
      <c r="M538" t="s">
        <v>711</v>
      </c>
      <c r="N538" t="s">
        <v>721</v>
      </c>
      <c r="O538" t="s">
        <v>729</v>
      </c>
      <c r="P538" t="str" cm="1">
        <f t="array" ref="P538">_xlfn.IFS(S538&lt;=PERCENTILE($S$2:$S$1000, 0.33), "Low", S538&lt;=PERCENTILE($S$2:$S$1000, 0.66), "Medium", TRUE, "High")</f>
        <v>Low</v>
      </c>
      <c r="Q538" t="s">
        <v>1269</v>
      </c>
      <c r="R538" s="10">
        <v>479.5</v>
      </c>
      <c r="S538" s="10">
        <v>656.66</v>
      </c>
      <c r="T538" s="8">
        <v>0.14899999999999999</v>
      </c>
      <c r="U538" s="12">
        <f t="shared" si="163"/>
        <v>0</v>
      </c>
      <c r="V538" s="6">
        <v>14</v>
      </c>
      <c r="W538" t="str">
        <f t="shared" si="153"/>
        <v>ok</v>
      </c>
      <c r="X538">
        <f t="shared" si="154"/>
        <v>10</v>
      </c>
      <c r="Y538">
        <f t="shared" si="164"/>
        <v>10</v>
      </c>
      <c r="Z538" s="10">
        <f t="shared" si="165"/>
        <v>7823.4472399999995</v>
      </c>
      <c r="AA538" s="10">
        <f t="shared" si="166"/>
        <v>6713</v>
      </c>
      <c r="AB538" s="10">
        <f t="shared" si="167"/>
        <v>1110.4472399999995</v>
      </c>
      <c r="AC538" s="10">
        <f t="shared" si="155"/>
        <v>606.37750000000005</v>
      </c>
      <c r="AD538" s="10">
        <f t="shared" si="156"/>
        <v>1193.865</v>
      </c>
      <c r="AE538" s="10">
        <f t="shared" si="157"/>
        <v>1912.0450000000001</v>
      </c>
      <c r="AF538" s="10" t="str">
        <f t="shared" si="158"/>
        <v>Medium</v>
      </c>
      <c r="AG538" s="6">
        <f t="shared" si="168"/>
        <v>0.14193835606412289</v>
      </c>
      <c r="AH538" s="4">
        <f t="shared" si="169"/>
        <v>44955</v>
      </c>
      <c r="AI538" t="str">
        <f t="shared" si="170"/>
        <v>Jan-2023</v>
      </c>
    </row>
    <row r="539" spans="1:35" x14ac:dyDescent="0.25">
      <c r="A539" t="s">
        <v>551</v>
      </c>
      <c r="B539" s="4">
        <v>45520</v>
      </c>
      <c r="C539" s="4" t="str">
        <f t="shared" si="159"/>
        <v>Q3-2024</v>
      </c>
      <c r="D539" s="4" t="str">
        <f t="shared" si="160"/>
        <v>Aug-2024</v>
      </c>
      <c r="E539" s="4">
        <v>45530</v>
      </c>
      <c r="F539" s="12">
        <f t="shared" si="161"/>
        <v>10</v>
      </c>
      <c r="G539" s="12">
        <f t="shared" si="152"/>
        <v>0</v>
      </c>
      <c r="H539" s="4">
        <f t="shared" si="162"/>
        <v>45530</v>
      </c>
      <c r="I539" t="s">
        <v>648</v>
      </c>
      <c r="J539" t="s">
        <v>660</v>
      </c>
      <c r="K539" t="s">
        <v>677</v>
      </c>
      <c r="L539" t="s">
        <v>701</v>
      </c>
      <c r="M539" t="s">
        <v>710</v>
      </c>
      <c r="N539" t="s">
        <v>716</v>
      </c>
      <c r="O539" t="s">
        <v>731</v>
      </c>
      <c r="P539" t="str" cm="1">
        <f t="array" ref="P539">_xlfn.IFS(S539&lt;=PERCENTILE($S$2:$S$1000, 0.33), "Low", S539&lt;=PERCENTILE($S$2:$S$1000, 0.66), "Medium", TRUE, "High")</f>
        <v>High</v>
      </c>
      <c r="Q539" t="s">
        <v>1121</v>
      </c>
      <c r="R539" s="10">
        <v>1291.7</v>
      </c>
      <c r="S539" s="10">
        <v>2657.84</v>
      </c>
      <c r="T539" s="8">
        <v>8.6999999999999994E-2</v>
      </c>
      <c r="U539" s="12">
        <f t="shared" si="163"/>
        <v>0</v>
      </c>
      <c r="V539" s="6">
        <v>21</v>
      </c>
      <c r="W539" t="str">
        <f t="shared" si="153"/>
        <v>ok</v>
      </c>
      <c r="X539">
        <f t="shared" si="154"/>
        <v>10</v>
      </c>
      <c r="Y539">
        <f t="shared" si="164"/>
        <v>10</v>
      </c>
      <c r="Z539" s="10">
        <f t="shared" si="165"/>
        <v>50958.766320000002</v>
      </c>
      <c r="AA539" s="10">
        <f t="shared" si="166"/>
        <v>27125.7</v>
      </c>
      <c r="AB539" s="10">
        <f t="shared" si="167"/>
        <v>23833.066320000002</v>
      </c>
      <c r="AC539" s="10">
        <f t="shared" si="155"/>
        <v>606.37750000000005</v>
      </c>
      <c r="AD539" s="10">
        <f t="shared" si="156"/>
        <v>1193.865</v>
      </c>
      <c r="AE539" s="10">
        <f t="shared" si="157"/>
        <v>1912.0450000000001</v>
      </c>
      <c r="AF539" s="10" t="str">
        <f t="shared" si="158"/>
        <v>Medium</v>
      </c>
      <c r="AG539" s="6">
        <f t="shared" si="168"/>
        <v>0.46769315745083367</v>
      </c>
      <c r="AH539" s="4">
        <f t="shared" si="169"/>
        <v>44938</v>
      </c>
      <c r="AI539" t="str">
        <f t="shared" si="170"/>
        <v>Jan-2023</v>
      </c>
    </row>
    <row r="540" spans="1:35" x14ac:dyDescent="0.25">
      <c r="A540" t="s">
        <v>552</v>
      </c>
      <c r="B540" s="4">
        <v>45114</v>
      </c>
      <c r="C540" s="4" t="str">
        <f t="shared" si="159"/>
        <v>Q3-2023</v>
      </c>
      <c r="D540" s="4" t="str">
        <f t="shared" si="160"/>
        <v>Jul-2023</v>
      </c>
      <c r="E540" s="4">
        <v>45120</v>
      </c>
      <c r="F540" s="12">
        <f t="shared" si="161"/>
        <v>6</v>
      </c>
      <c r="G540" s="12">
        <f t="shared" si="152"/>
        <v>1</v>
      </c>
      <c r="H540" s="4">
        <f t="shared" si="162"/>
        <v>45120</v>
      </c>
      <c r="I540" t="s">
        <v>646</v>
      </c>
      <c r="J540" t="s">
        <v>661</v>
      </c>
      <c r="K540" t="s">
        <v>695</v>
      </c>
      <c r="L540" t="s">
        <v>705</v>
      </c>
      <c r="M540" t="s">
        <v>709</v>
      </c>
      <c r="N540" t="s">
        <v>717</v>
      </c>
      <c r="O540" t="s">
        <v>733</v>
      </c>
      <c r="P540" t="str" cm="1">
        <f t="array" ref="P540">_xlfn.IFS(S540&lt;=PERCENTILE($S$2:$S$1000, 0.33), "Low", S540&lt;=PERCENTILE($S$2:$S$1000, 0.66), "Medium", TRUE, "High")</f>
        <v>Medium</v>
      </c>
      <c r="Q540" t="s">
        <v>1270</v>
      </c>
      <c r="R540" s="10">
        <v>612.59</v>
      </c>
      <c r="S540" s="10">
        <v>1424.74</v>
      </c>
      <c r="T540" s="8">
        <v>4.3999999999999997E-2</v>
      </c>
      <c r="U540" s="12">
        <f t="shared" si="163"/>
        <v>0</v>
      </c>
      <c r="V540" s="6">
        <v>15</v>
      </c>
      <c r="W540" t="str">
        <f t="shared" si="153"/>
        <v>ok</v>
      </c>
      <c r="X540">
        <f t="shared" si="154"/>
        <v>6</v>
      </c>
      <c r="Y540">
        <f t="shared" si="164"/>
        <v>6</v>
      </c>
      <c r="Z540" s="10">
        <f t="shared" si="165"/>
        <v>20430.771599999996</v>
      </c>
      <c r="AA540" s="10">
        <f t="shared" si="166"/>
        <v>9188.85</v>
      </c>
      <c r="AB540" s="10">
        <f t="shared" si="167"/>
        <v>11241.921599999996</v>
      </c>
      <c r="AC540" s="10">
        <f t="shared" si="155"/>
        <v>606.37750000000005</v>
      </c>
      <c r="AD540" s="10">
        <f t="shared" si="156"/>
        <v>1193.865</v>
      </c>
      <c r="AE540" s="10">
        <f t="shared" si="157"/>
        <v>1912.0450000000001</v>
      </c>
      <c r="AF540" s="10" t="str">
        <f t="shared" si="158"/>
        <v>High</v>
      </c>
      <c r="AG540" s="6">
        <f t="shared" si="168"/>
        <v>0.55024459281802152</v>
      </c>
      <c r="AH540" s="4">
        <f t="shared" si="169"/>
        <v>44988</v>
      </c>
      <c r="AI540" t="str">
        <f t="shared" si="170"/>
        <v>Mar-2023</v>
      </c>
    </row>
    <row r="541" spans="1:35" x14ac:dyDescent="0.25">
      <c r="A541" t="s">
        <v>553</v>
      </c>
      <c r="B541" s="4">
        <v>45288</v>
      </c>
      <c r="C541" s="4" t="str">
        <f t="shared" si="159"/>
        <v>Q4-2023</v>
      </c>
      <c r="D541" s="4" t="str">
        <f t="shared" si="160"/>
        <v>Dec-2023</v>
      </c>
      <c r="E541" s="4">
        <v>45292</v>
      </c>
      <c r="F541" s="12">
        <f t="shared" si="161"/>
        <v>4</v>
      </c>
      <c r="G541" s="12">
        <f t="shared" si="152"/>
        <v>1</v>
      </c>
      <c r="H541" s="4">
        <f t="shared" si="162"/>
        <v>45292</v>
      </c>
      <c r="I541" t="s">
        <v>646</v>
      </c>
      <c r="J541" t="s">
        <v>661</v>
      </c>
      <c r="K541" t="s">
        <v>695</v>
      </c>
      <c r="L541" t="s">
        <v>702</v>
      </c>
      <c r="M541" t="s">
        <v>710</v>
      </c>
      <c r="N541" t="s">
        <v>720</v>
      </c>
      <c r="O541" t="s">
        <v>728</v>
      </c>
      <c r="P541" t="str" cm="1">
        <f t="array" ref="P541">_xlfn.IFS(S541&lt;=PERCENTILE($S$2:$S$1000, 0.33), "Low", S541&lt;=PERCENTILE($S$2:$S$1000, 0.66), "Medium", TRUE, "High")</f>
        <v>High</v>
      </c>
      <c r="Q541" t="s">
        <v>1271</v>
      </c>
      <c r="R541" s="10">
        <v>1141.8</v>
      </c>
      <c r="S541" s="10">
        <v>2318.7399999999998</v>
      </c>
      <c r="T541" s="8">
        <v>0.107</v>
      </c>
      <c r="U541" s="12">
        <f t="shared" si="163"/>
        <v>0</v>
      </c>
      <c r="V541" s="6">
        <v>32</v>
      </c>
      <c r="W541" t="str">
        <f t="shared" si="153"/>
        <v>ok</v>
      </c>
      <c r="X541">
        <f t="shared" si="154"/>
        <v>4</v>
      </c>
      <c r="Y541">
        <f t="shared" si="164"/>
        <v>4</v>
      </c>
      <c r="Z541" s="10">
        <f t="shared" si="165"/>
        <v>66260.314239999992</v>
      </c>
      <c r="AA541" s="10">
        <f t="shared" si="166"/>
        <v>36537.599999999999</v>
      </c>
      <c r="AB541" s="10">
        <f t="shared" si="167"/>
        <v>29722.714239999994</v>
      </c>
      <c r="AC541" s="10">
        <f t="shared" si="155"/>
        <v>606.37750000000005</v>
      </c>
      <c r="AD541" s="10">
        <f t="shared" si="156"/>
        <v>1193.865</v>
      </c>
      <c r="AE541" s="10">
        <f t="shared" si="157"/>
        <v>1912.0450000000001</v>
      </c>
      <c r="AF541" s="10" t="str">
        <f t="shared" si="158"/>
        <v>Medium</v>
      </c>
      <c r="AG541" s="6">
        <f t="shared" si="168"/>
        <v>0.44857490612468304</v>
      </c>
      <c r="AH541" s="4">
        <f t="shared" si="169"/>
        <v>44936</v>
      </c>
      <c r="AI541" t="str">
        <f t="shared" si="170"/>
        <v>Jan-2023</v>
      </c>
    </row>
    <row r="542" spans="1:35" x14ac:dyDescent="0.25">
      <c r="A542" t="s">
        <v>554</v>
      </c>
      <c r="B542" s="4">
        <v>44952</v>
      </c>
      <c r="C542" s="4" t="str">
        <f t="shared" si="159"/>
        <v>Q1-2023</v>
      </c>
      <c r="D542" s="4" t="str">
        <f t="shared" si="160"/>
        <v>Jan-2023</v>
      </c>
      <c r="E542" s="4">
        <v>44972</v>
      </c>
      <c r="F542" s="12">
        <f t="shared" si="161"/>
        <v>20</v>
      </c>
      <c r="G542" s="12">
        <f t="shared" si="152"/>
        <v>0</v>
      </c>
      <c r="H542" s="4">
        <f t="shared" si="162"/>
        <v>44972</v>
      </c>
      <c r="I542" t="s">
        <v>649</v>
      </c>
      <c r="J542" t="s">
        <v>656</v>
      </c>
      <c r="K542" t="s">
        <v>671</v>
      </c>
      <c r="L542" t="s">
        <v>705</v>
      </c>
      <c r="M542" t="s">
        <v>708</v>
      </c>
      <c r="N542" t="s">
        <v>719</v>
      </c>
      <c r="O542" t="s">
        <v>729</v>
      </c>
      <c r="P542" t="str" cm="1">
        <f t="array" ref="P542">_xlfn.IFS(S542&lt;=PERCENTILE($S$2:$S$1000, 0.33), "Low", S542&lt;=PERCENTILE($S$2:$S$1000, 0.66), "Medium", TRUE, "High")</f>
        <v>Low</v>
      </c>
      <c r="Q542" t="s">
        <v>1272</v>
      </c>
      <c r="R542" s="10">
        <v>492.62</v>
      </c>
      <c r="S542" s="10">
        <v>366.7</v>
      </c>
      <c r="T542" s="8">
        <v>8.8999999999999996E-2</v>
      </c>
      <c r="U542" s="12">
        <f t="shared" si="163"/>
        <v>0</v>
      </c>
      <c r="V542" s="6">
        <v>10</v>
      </c>
      <c r="W542" t="str">
        <f t="shared" si="153"/>
        <v>ok</v>
      </c>
      <c r="X542">
        <f t="shared" si="154"/>
        <v>20</v>
      </c>
      <c r="Y542">
        <f t="shared" si="164"/>
        <v>20</v>
      </c>
      <c r="Z542" s="10">
        <f t="shared" si="165"/>
        <v>3340.6370000000002</v>
      </c>
      <c r="AA542" s="10">
        <f t="shared" si="166"/>
        <v>4926.2</v>
      </c>
      <c r="AB542" s="10">
        <f t="shared" si="167"/>
        <v>-1585.5629999999996</v>
      </c>
      <c r="AC542" s="10">
        <f t="shared" si="155"/>
        <v>606.37750000000005</v>
      </c>
      <c r="AD542" s="10">
        <f t="shared" si="156"/>
        <v>1193.865</v>
      </c>
      <c r="AE542" s="10">
        <f t="shared" si="157"/>
        <v>1912.0450000000001</v>
      </c>
      <c r="AF542" s="10" t="str">
        <f t="shared" si="158"/>
        <v>High</v>
      </c>
      <c r="AG542" s="6">
        <f t="shared" si="168"/>
        <v>-0.47462894052840809</v>
      </c>
      <c r="AH542" s="4">
        <f t="shared" si="169"/>
        <v>44948</v>
      </c>
      <c r="AI542" t="str">
        <f t="shared" si="170"/>
        <v>Jan-2023</v>
      </c>
    </row>
    <row r="543" spans="1:35" x14ac:dyDescent="0.25">
      <c r="A543" t="s">
        <v>555</v>
      </c>
      <c r="B543" s="4">
        <v>45115</v>
      </c>
      <c r="C543" s="4" t="str">
        <f t="shared" si="159"/>
        <v>Q3-2023</v>
      </c>
      <c r="D543" s="4" t="str">
        <f t="shared" si="160"/>
        <v>Jul-2023</v>
      </c>
      <c r="E543" s="4">
        <v>45116</v>
      </c>
      <c r="F543" s="12">
        <f t="shared" si="161"/>
        <v>1</v>
      </c>
      <c r="G543" s="12">
        <f t="shared" si="152"/>
        <v>1</v>
      </c>
      <c r="H543" s="4">
        <f t="shared" si="162"/>
        <v>45116</v>
      </c>
      <c r="I543" t="s">
        <v>646</v>
      </c>
      <c r="J543" t="s">
        <v>650</v>
      </c>
      <c r="K543" t="s">
        <v>664</v>
      </c>
      <c r="L543" t="s">
        <v>704</v>
      </c>
      <c r="M543" t="s">
        <v>708</v>
      </c>
      <c r="N543" t="s">
        <v>726</v>
      </c>
      <c r="O543" t="s">
        <v>731</v>
      </c>
      <c r="P543" t="str" cm="1">
        <f t="array" ref="P543">_xlfn.IFS(S543&lt;=PERCENTILE($S$2:$S$1000, 0.33), "Low", S543&lt;=PERCENTILE($S$2:$S$1000, 0.66), "Medium", TRUE, "High")</f>
        <v>High</v>
      </c>
      <c r="Q543" t="s">
        <v>1273</v>
      </c>
      <c r="R543" s="10">
        <v>1258.72</v>
      </c>
      <c r="S543" s="10">
        <v>2797.41</v>
      </c>
      <c r="T543" s="8">
        <v>0</v>
      </c>
      <c r="U543" s="12">
        <f t="shared" si="163"/>
        <v>0</v>
      </c>
      <c r="V543" s="6">
        <v>7</v>
      </c>
      <c r="W543" t="str">
        <f t="shared" si="153"/>
        <v>ok</v>
      </c>
      <c r="X543">
        <f t="shared" si="154"/>
        <v>1</v>
      </c>
      <c r="Y543">
        <f t="shared" si="164"/>
        <v>1</v>
      </c>
      <c r="Z543" s="10">
        <f t="shared" si="165"/>
        <v>19581.87</v>
      </c>
      <c r="AA543" s="10">
        <f t="shared" si="166"/>
        <v>8811.0400000000009</v>
      </c>
      <c r="AB543" s="10">
        <f t="shared" si="167"/>
        <v>10770.829999999998</v>
      </c>
      <c r="AC543" s="10">
        <f t="shared" si="155"/>
        <v>606.37750000000005</v>
      </c>
      <c r="AD543" s="10">
        <f t="shared" si="156"/>
        <v>1193.865</v>
      </c>
      <c r="AE543" s="10">
        <f t="shared" si="157"/>
        <v>1912.0450000000001</v>
      </c>
      <c r="AF543" s="10" t="str">
        <f t="shared" si="158"/>
        <v>Low</v>
      </c>
      <c r="AG543" s="6">
        <f t="shared" si="168"/>
        <v>0.55004093071805704</v>
      </c>
      <c r="AH543" s="4">
        <f t="shared" si="169"/>
        <v>44941</v>
      </c>
      <c r="AI543" t="str">
        <f t="shared" si="170"/>
        <v>Jan-2023</v>
      </c>
    </row>
    <row r="544" spans="1:35" x14ac:dyDescent="0.25">
      <c r="A544" t="s">
        <v>556</v>
      </c>
      <c r="B544" s="4">
        <v>45450</v>
      </c>
      <c r="C544" s="4" t="str">
        <f t="shared" si="159"/>
        <v>Q2-2024</v>
      </c>
      <c r="D544" s="4" t="str">
        <f t="shared" si="160"/>
        <v>Jun-2024</v>
      </c>
      <c r="E544" s="4">
        <v>45452</v>
      </c>
      <c r="F544" s="12">
        <f t="shared" si="161"/>
        <v>2</v>
      </c>
      <c r="G544" s="12">
        <f t="shared" si="152"/>
        <v>1</v>
      </c>
      <c r="H544" s="4">
        <f t="shared" si="162"/>
        <v>45452</v>
      </c>
      <c r="I544" t="s">
        <v>647</v>
      </c>
      <c r="J544" t="s">
        <v>659</v>
      </c>
      <c r="K544" t="s">
        <v>685</v>
      </c>
      <c r="L544" t="s">
        <v>701</v>
      </c>
      <c r="M544" t="s">
        <v>707</v>
      </c>
      <c r="N544" t="s">
        <v>719</v>
      </c>
      <c r="O544" t="s">
        <v>732</v>
      </c>
      <c r="P544" t="str" cm="1">
        <f t="array" ref="P544">_xlfn.IFS(S544&lt;=PERCENTILE($S$2:$S$1000, 0.33), "Low", S544&lt;=PERCENTILE($S$2:$S$1000, 0.66), "Medium", TRUE, "High")</f>
        <v>High</v>
      </c>
      <c r="Q544" t="s">
        <v>1274</v>
      </c>
      <c r="R544" s="10">
        <v>1370.28</v>
      </c>
      <c r="S544" s="10">
        <v>2209.66</v>
      </c>
      <c r="T544" s="8">
        <v>0.13300000000000001</v>
      </c>
      <c r="U544" s="12">
        <f t="shared" si="163"/>
        <v>0</v>
      </c>
      <c r="V544" s="6">
        <v>16</v>
      </c>
      <c r="W544" t="str">
        <f t="shared" si="153"/>
        <v>ok</v>
      </c>
      <c r="X544">
        <f t="shared" si="154"/>
        <v>2</v>
      </c>
      <c r="Y544">
        <f t="shared" si="164"/>
        <v>2</v>
      </c>
      <c r="Z544" s="10">
        <f t="shared" si="165"/>
        <v>30652.403519999996</v>
      </c>
      <c r="AA544" s="10">
        <f t="shared" si="166"/>
        <v>21924.48</v>
      </c>
      <c r="AB544" s="10">
        <f t="shared" si="167"/>
        <v>8727.9235199999966</v>
      </c>
      <c r="AC544" s="10">
        <f t="shared" si="155"/>
        <v>606.37750000000005</v>
      </c>
      <c r="AD544" s="10">
        <f t="shared" si="156"/>
        <v>1193.865</v>
      </c>
      <c r="AE544" s="10">
        <f t="shared" si="157"/>
        <v>1912.0450000000001</v>
      </c>
      <c r="AF544" s="10" t="str">
        <f t="shared" si="158"/>
        <v>High</v>
      </c>
      <c r="AG544" s="6">
        <f t="shared" si="168"/>
        <v>0.28473863442079589</v>
      </c>
      <c r="AH544" s="4">
        <f t="shared" si="169"/>
        <v>44955</v>
      </c>
      <c r="AI544" t="str">
        <f t="shared" si="170"/>
        <v>Jan-2023</v>
      </c>
    </row>
    <row r="545" spans="1:35" x14ac:dyDescent="0.25">
      <c r="A545" t="s">
        <v>557</v>
      </c>
      <c r="B545" s="4">
        <v>44968</v>
      </c>
      <c r="C545" s="4" t="str">
        <f t="shared" si="159"/>
        <v>Q1-2023</v>
      </c>
      <c r="D545" s="4" t="str">
        <f t="shared" si="160"/>
        <v>Feb-2023</v>
      </c>
      <c r="E545" s="4">
        <v>44969</v>
      </c>
      <c r="F545" s="12">
        <f t="shared" si="161"/>
        <v>1</v>
      </c>
      <c r="G545" s="12">
        <f t="shared" si="152"/>
        <v>1</v>
      </c>
      <c r="H545" s="4">
        <f t="shared" si="162"/>
        <v>44969</v>
      </c>
      <c r="I545" t="s">
        <v>646</v>
      </c>
      <c r="J545" t="s">
        <v>651</v>
      </c>
      <c r="K545" t="s">
        <v>663</v>
      </c>
      <c r="L545" t="s">
        <v>703</v>
      </c>
      <c r="M545" t="s">
        <v>711</v>
      </c>
      <c r="N545" t="s">
        <v>726</v>
      </c>
      <c r="O545" t="s">
        <v>733</v>
      </c>
      <c r="P545" t="str" cm="1">
        <f t="array" ref="P545">_xlfn.IFS(S545&lt;=PERCENTILE($S$2:$S$1000, 0.33), "Low", S545&lt;=PERCENTILE($S$2:$S$1000, 0.66), "Medium", TRUE, "High")</f>
        <v>Medium</v>
      </c>
      <c r="Q545" t="s">
        <v>1275</v>
      </c>
      <c r="R545" s="10">
        <v>944.61</v>
      </c>
      <c r="S545" s="10">
        <v>839.04</v>
      </c>
      <c r="T545" s="8">
        <v>5.8999999999999997E-2</v>
      </c>
      <c r="U545" s="12">
        <f t="shared" si="163"/>
        <v>0</v>
      </c>
      <c r="V545" s="6">
        <v>6</v>
      </c>
      <c r="W545" t="str">
        <f t="shared" si="153"/>
        <v>ok</v>
      </c>
      <c r="X545">
        <f t="shared" si="154"/>
        <v>1</v>
      </c>
      <c r="Y545">
        <f t="shared" si="164"/>
        <v>1</v>
      </c>
      <c r="Z545" s="10">
        <f t="shared" si="165"/>
        <v>4737.2198399999997</v>
      </c>
      <c r="AA545" s="10">
        <f t="shared" si="166"/>
        <v>5667.66</v>
      </c>
      <c r="AB545" s="10">
        <f t="shared" si="167"/>
        <v>-930.44016000000011</v>
      </c>
      <c r="AC545" s="10">
        <f t="shared" si="155"/>
        <v>606.37750000000005</v>
      </c>
      <c r="AD545" s="10">
        <f t="shared" si="156"/>
        <v>1193.865</v>
      </c>
      <c r="AE545" s="10">
        <f t="shared" si="157"/>
        <v>1912.0450000000001</v>
      </c>
      <c r="AF545" s="10" t="str">
        <f t="shared" si="158"/>
        <v>High</v>
      </c>
      <c r="AG545" s="6">
        <f t="shared" si="168"/>
        <v>-0.19641059343363726</v>
      </c>
      <c r="AH545" s="4">
        <f t="shared" si="169"/>
        <v>44928</v>
      </c>
      <c r="AI545" t="str">
        <f t="shared" si="170"/>
        <v>Jan-2023</v>
      </c>
    </row>
    <row r="546" spans="1:35" x14ac:dyDescent="0.25">
      <c r="A546" t="s">
        <v>558</v>
      </c>
      <c r="B546" s="4">
        <v>45108</v>
      </c>
      <c r="C546" s="4" t="str">
        <f t="shared" si="159"/>
        <v>Q3-2023</v>
      </c>
      <c r="D546" s="4" t="str">
        <f t="shared" si="160"/>
        <v>Jul-2023</v>
      </c>
      <c r="E546" s="4">
        <v>45115</v>
      </c>
      <c r="F546" s="12">
        <f t="shared" si="161"/>
        <v>7</v>
      </c>
      <c r="G546" s="12">
        <f t="shared" si="152"/>
        <v>1</v>
      </c>
      <c r="H546" s="4">
        <f t="shared" si="162"/>
        <v>45115</v>
      </c>
      <c r="I546" t="s">
        <v>649</v>
      </c>
      <c r="J546" t="s">
        <v>656</v>
      </c>
      <c r="K546" t="s">
        <v>698</v>
      </c>
      <c r="L546" t="s">
        <v>705</v>
      </c>
      <c r="M546" t="s">
        <v>710</v>
      </c>
      <c r="N546" t="s">
        <v>725</v>
      </c>
      <c r="O546" t="s">
        <v>731</v>
      </c>
      <c r="P546" t="str" cm="1">
        <f t="array" ref="P546">_xlfn.IFS(S546&lt;=PERCENTILE($S$2:$S$1000, 0.33), "Low", S546&lt;=PERCENTILE($S$2:$S$1000, 0.66), "Medium", TRUE, "High")</f>
        <v>Medium</v>
      </c>
      <c r="Q546" t="s">
        <v>1276</v>
      </c>
      <c r="R546" s="10">
        <v>460.21</v>
      </c>
      <c r="S546" s="10">
        <v>1139.1500000000001</v>
      </c>
      <c r="T546" s="8">
        <v>0.115</v>
      </c>
      <c r="U546" s="12">
        <f t="shared" si="163"/>
        <v>0</v>
      </c>
      <c r="V546" s="6">
        <v>14</v>
      </c>
      <c r="W546" t="str">
        <f t="shared" si="153"/>
        <v>ok</v>
      </c>
      <c r="X546">
        <f t="shared" si="154"/>
        <v>7</v>
      </c>
      <c r="Y546">
        <f t="shared" si="164"/>
        <v>7</v>
      </c>
      <c r="Z546" s="10">
        <f t="shared" si="165"/>
        <v>14114.068500000001</v>
      </c>
      <c r="AA546" s="10">
        <f t="shared" si="166"/>
        <v>6442.94</v>
      </c>
      <c r="AB546" s="10">
        <f t="shared" si="167"/>
        <v>7671.1285000000016</v>
      </c>
      <c r="AC546" s="10">
        <f t="shared" si="155"/>
        <v>606.37750000000005</v>
      </c>
      <c r="AD546" s="10">
        <f t="shared" si="156"/>
        <v>1193.865</v>
      </c>
      <c r="AE546" s="10">
        <f t="shared" si="157"/>
        <v>1912.0450000000001</v>
      </c>
      <c r="AF546" s="10" t="str">
        <f t="shared" si="158"/>
        <v>Medium</v>
      </c>
      <c r="AG546" s="6">
        <f t="shared" si="168"/>
        <v>0.54350937151821255</v>
      </c>
      <c r="AH546" s="4">
        <f t="shared" si="169"/>
        <v>44955</v>
      </c>
      <c r="AI546" t="str">
        <f t="shared" si="170"/>
        <v>Jan-2023</v>
      </c>
    </row>
    <row r="547" spans="1:35" x14ac:dyDescent="0.25">
      <c r="A547" t="s">
        <v>559</v>
      </c>
      <c r="B547" s="4">
        <v>45889</v>
      </c>
      <c r="C547" s="4" t="str">
        <f t="shared" si="159"/>
        <v>Q3-2025</v>
      </c>
      <c r="D547" s="4" t="str">
        <f t="shared" si="160"/>
        <v>Aug-2025</v>
      </c>
      <c r="E547" s="4">
        <v>45895</v>
      </c>
      <c r="F547" s="12">
        <f t="shared" si="161"/>
        <v>6</v>
      </c>
      <c r="G547" s="12">
        <f t="shared" si="152"/>
        <v>1</v>
      </c>
      <c r="H547" s="4">
        <f t="shared" si="162"/>
        <v>45895</v>
      </c>
      <c r="I547" t="s">
        <v>648</v>
      </c>
      <c r="J547" t="s">
        <v>660</v>
      </c>
      <c r="K547" t="s">
        <v>700</v>
      </c>
      <c r="L547" t="s">
        <v>701</v>
      </c>
      <c r="M547" t="s">
        <v>707</v>
      </c>
      <c r="N547" t="s">
        <v>724</v>
      </c>
      <c r="O547" t="s">
        <v>729</v>
      </c>
      <c r="P547" t="str" cm="1">
        <f t="array" ref="P547">_xlfn.IFS(S547&lt;=PERCENTILE($S$2:$S$1000, 0.33), "Low", S547&lt;=PERCENTILE($S$2:$S$1000, 0.66), "Medium", TRUE, "High")</f>
        <v>High</v>
      </c>
      <c r="Q547" t="s">
        <v>1277</v>
      </c>
      <c r="R547" s="10">
        <v>1304.95</v>
      </c>
      <c r="S547" s="10">
        <v>1712.03</v>
      </c>
      <c r="T547" s="8">
        <v>0.21199999999999999</v>
      </c>
      <c r="U547" s="12">
        <f t="shared" si="163"/>
        <v>1</v>
      </c>
      <c r="V547" s="6">
        <v>8</v>
      </c>
      <c r="W547" t="str">
        <f t="shared" si="153"/>
        <v>ok</v>
      </c>
      <c r="X547">
        <f t="shared" si="154"/>
        <v>6</v>
      </c>
      <c r="Y547">
        <f t="shared" si="164"/>
        <v>6</v>
      </c>
      <c r="Z547" s="10">
        <f t="shared" si="165"/>
        <v>10792.637119999999</v>
      </c>
      <c r="AA547" s="10">
        <f t="shared" si="166"/>
        <v>10439.6</v>
      </c>
      <c r="AB547" s="10">
        <f t="shared" si="167"/>
        <v>353.03711999999905</v>
      </c>
      <c r="AC547" s="10">
        <f t="shared" si="155"/>
        <v>606.37750000000005</v>
      </c>
      <c r="AD547" s="10">
        <f t="shared" si="156"/>
        <v>1193.865</v>
      </c>
      <c r="AE547" s="10">
        <f t="shared" si="157"/>
        <v>1912.0450000000001</v>
      </c>
      <c r="AF547" s="10" t="str">
        <f t="shared" si="158"/>
        <v>Medium</v>
      </c>
      <c r="AG547" s="6">
        <f t="shared" si="168"/>
        <v>3.2710922833287949E-2</v>
      </c>
      <c r="AH547" s="4">
        <f t="shared" si="169"/>
        <v>44955</v>
      </c>
      <c r="AI547" t="str">
        <f t="shared" si="170"/>
        <v>Jan-2023</v>
      </c>
    </row>
    <row r="548" spans="1:35" x14ac:dyDescent="0.25">
      <c r="A548" t="s">
        <v>560</v>
      </c>
      <c r="B548" s="4">
        <v>45355</v>
      </c>
      <c r="C548" s="4" t="str">
        <f t="shared" si="159"/>
        <v>Q1-2024</v>
      </c>
      <c r="D548" s="4" t="str">
        <f t="shared" si="160"/>
        <v>Mar-2024</v>
      </c>
      <c r="E548" s="4">
        <v>45367</v>
      </c>
      <c r="F548" s="12">
        <f t="shared" si="161"/>
        <v>12</v>
      </c>
      <c r="G548" s="12">
        <f t="shared" si="152"/>
        <v>0</v>
      </c>
      <c r="H548" s="4">
        <f t="shared" si="162"/>
        <v>45367</v>
      </c>
      <c r="I548" t="s">
        <v>646</v>
      </c>
      <c r="J548" t="s">
        <v>661</v>
      </c>
      <c r="K548" t="s">
        <v>682</v>
      </c>
      <c r="L548" t="s">
        <v>706</v>
      </c>
      <c r="M548" t="s">
        <v>710</v>
      </c>
      <c r="N548" t="s">
        <v>724</v>
      </c>
      <c r="O548" t="s">
        <v>732</v>
      </c>
      <c r="P548" t="str" cm="1">
        <f t="array" ref="P548">_xlfn.IFS(S548&lt;=PERCENTILE($S$2:$S$1000, 0.33), "Low", S548&lt;=PERCENTILE($S$2:$S$1000, 0.66), "Medium", TRUE, "High")</f>
        <v>Medium</v>
      </c>
      <c r="Q548" t="s">
        <v>1278</v>
      </c>
      <c r="R548" s="10">
        <v>441.08</v>
      </c>
      <c r="S548" s="10">
        <v>1054.29</v>
      </c>
      <c r="T548" s="8">
        <v>0.23699999999999999</v>
      </c>
      <c r="U548" s="12">
        <f t="shared" si="163"/>
        <v>1</v>
      </c>
      <c r="V548" s="6">
        <v>6</v>
      </c>
      <c r="W548" t="str">
        <f t="shared" si="153"/>
        <v>ok</v>
      </c>
      <c r="X548">
        <f t="shared" si="154"/>
        <v>12</v>
      </c>
      <c r="Y548">
        <f t="shared" si="164"/>
        <v>12</v>
      </c>
      <c r="Z548" s="10">
        <f t="shared" si="165"/>
        <v>4826.5396199999996</v>
      </c>
      <c r="AA548" s="10">
        <f t="shared" si="166"/>
        <v>2646.48</v>
      </c>
      <c r="AB548" s="10">
        <f t="shared" si="167"/>
        <v>2180.0596199999995</v>
      </c>
      <c r="AC548" s="10">
        <f t="shared" si="155"/>
        <v>606.37750000000005</v>
      </c>
      <c r="AD548" s="10">
        <f t="shared" si="156"/>
        <v>1193.865</v>
      </c>
      <c r="AE548" s="10">
        <f t="shared" si="157"/>
        <v>1912.0450000000001</v>
      </c>
      <c r="AF548" s="10" t="str">
        <f t="shared" si="158"/>
        <v>Medium</v>
      </c>
      <c r="AG548" s="6">
        <f t="shared" si="168"/>
        <v>0.45168169985932899</v>
      </c>
      <c r="AH548" s="4">
        <f t="shared" si="169"/>
        <v>44938</v>
      </c>
      <c r="AI548" t="str">
        <f t="shared" si="170"/>
        <v>Jan-2023</v>
      </c>
    </row>
    <row r="549" spans="1:35" x14ac:dyDescent="0.25">
      <c r="A549" t="s">
        <v>561</v>
      </c>
      <c r="B549" s="4">
        <v>45177</v>
      </c>
      <c r="C549" s="4" t="str">
        <f t="shared" si="159"/>
        <v>Q3-2023</v>
      </c>
      <c r="D549" s="4" t="str">
        <f t="shared" si="160"/>
        <v>Sept-2023</v>
      </c>
      <c r="E549" s="4">
        <v>45201</v>
      </c>
      <c r="F549" s="12">
        <f t="shared" si="161"/>
        <v>24</v>
      </c>
      <c r="G549" s="12">
        <f t="shared" si="152"/>
        <v>0</v>
      </c>
      <c r="H549" s="4">
        <f t="shared" si="162"/>
        <v>45201</v>
      </c>
      <c r="I549" t="s">
        <v>648</v>
      </c>
      <c r="J549" t="s">
        <v>653</v>
      </c>
      <c r="K549" t="s">
        <v>667</v>
      </c>
      <c r="L549" t="s">
        <v>702</v>
      </c>
      <c r="M549" t="s">
        <v>711</v>
      </c>
      <c r="N549" t="s">
        <v>720</v>
      </c>
      <c r="O549" t="s">
        <v>733</v>
      </c>
      <c r="P549" t="str" cm="1">
        <f t="array" ref="P549">_xlfn.IFS(S549&lt;=PERCENTILE($S$2:$S$1000, 0.33), "Low", S549&lt;=PERCENTILE($S$2:$S$1000, 0.66), "Medium", TRUE, "High")</f>
        <v>High</v>
      </c>
      <c r="Q549" t="s">
        <v>1279</v>
      </c>
      <c r="R549" s="10">
        <v>1299.03</v>
      </c>
      <c r="S549" s="10">
        <v>2451.2199999999998</v>
      </c>
      <c r="T549" s="8">
        <v>0.20799999999999999</v>
      </c>
      <c r="U549" s="12">
        <f t="shared" si="163"/>
        <v>1</v>
      </c>
      <c r="V549" s="6">
        <v>8</v>
      </c>
      <c r="W549" t="str">
        <f t="shared" si="153"/>
        <v>ok</v>
      </c>
      <c r="X549">
        <f t="shared" si="154"/>
        <v>24</v>
      </c>
      <c r="Y549">
        <f t="shared" si="164"/>
        <v>24</v>
      </c>
      <c r="Z549" s="10">
        <f t="shared" si="165"/>
        <v>15530.929919999999</v>
      </c>
      <c r="AA549" s="10">
        <f t="shared" si="166"/>
        <v>10392.24</v>
      </c>
      <c r="AB549" s="10">
        <f t="shared" si="167"/>
        <v>5138.6899199999989</v>
      </c>
      <c r="AC549" s="10">
        <f t="shared" si="155"/>
        <v>606.37750000000005</v>
      </c>
      <c r="AD549" s="10">
        <f t="shared" si="156"/>
        <v>1193.865</v>
      </c>
      <c r="AE549" s="10">
        <f t="shared" si="157"/>
        <v>1912.0450000000001</v>
      </c>
      <c r="AF549" s="10" t="str">
        <f t="shared" si="158"/>
        <v>Medium</v>
      </c>
      <c r="AG549" s="6">
        <f t="shared" si="168"/>
        <v>0.3308681416032041</v>
      </c>
      <c r="AH549" s="4">
        <f t="shared" si="169"/>
        <v>44948</v>
      </c>
      <c r="AI549" t="str">
        <f t="shared" si="170"/>
        <v>Jan-2023</v>
      </c>
    </row>
    <row r="550" spans="1:35" x14ac:dyDescent="0.25">
      <c r="A550" t="s">
        <v>562</v>
      </c>
      <c r="B550" s="4">
        <v>44985</v>
      </c>
      <c r="C550" s="4" t="str">
        <f t="shared" si="159"/>
        <v>Q1-2023</v>
      </c>
      <c r="D550" s="4" t="str">
        <f t="shared" si="160"/>
        <v>Feb-2023</v>
      </c>
      <c r="E550" s="4">
        <v>44991</v>
      </c>
      <c r="F550" s="12">
        <f t="shared" si="161"/>
        <v>6</v>
      </c>
      <c r="G550" s="12">
        <f t="shared" si="152"/>
        <v>1</v>
      </c>
      <c r="H550" s="4">
        <f t="shared" si="162"/>
        <v>44991</v>
      </c>
      <c r="I550" t="s">
        <v>649</v>
      </c>
      <c r="J550" t="s">
        <v>656</v>
      </c>
      <c r="K550" t="s">
        <v>698</v>
      </c>
      <c r="L550" t="s">
        <v>705</v>
      </c>
      <c r="M550" t="s">
        <v>709</v>
      </c>
      <c r="N550" t="s">
        <v>726</v>
      </c>
      <c r="O550" t="s">
        <v>728</v>
      </c>
      <c r="P550" t="str" cm="1">
        <f t="array" ref="P550">_xlfn.IFS(S550&lt;=PERCENTILE($S$2:$S$1000, 0.33), "Low", S550&lt;=PERCENTILE($S$2:$S$1000, 0.66), "Medium", TRUE, "High")</f>
        <v>Medium</v>
      </c>
      <c r="Q550" t="s">
        <v>1280</v>
      </c>
      <c r="R550" s="10">
        <v>880.02</v>
      </c>
      <c r="S550" s="10">
        <v>1251.21</v>
      </c>
      <c r="T550" s="8">
        <v>0.123</v>
      </c>
      <c r="U550" s="12">
        <f t="shared" si="163"/>
        <v>0</v>
      </c>
      <c r="V550" s="6">
        <v>29</v>
      </c>
      <c r="W550" t="str">
        <f t="shared" si="153"/>
        <v>ok</v>
      </c>
      <c r="X550">
        <f t="shared" si="154"/>
        <v>6</v>
      </c>
      <c r="Y550">
        <f t="shared" si="164"/>
        <v>6</v>
      </c>
      <c r="Z550" s="10">
        <f t="shared" si="165"/>
        <v>31822.023930000003</v>
      </c>
      <c r="AA550" s="10">
        <f t="shared" si="166"/>
        <v>25520.579999999998</v>
      </c>
      <c r="AB550" s="10">
        <f t="shared" si="167"/>
        <v>6301.4439300000049</v>
      </c>
      <c r="AC550" s="10">
        <f t="shared" si="155"/>
        <v>606.37750000000005</v>
      </c>
      <c r="AD550" s="10">
        <f t="shared" si="156"/>
        <v>1193.865</v>
      </c>
      <c r="AE550" s="10">
        <f t="shared" si="157"/>
        <v>1912.0450000000001</v>
      </c>
      <c r="AF550" s="10" t="str">
        <f t="shared" si="158"/>
        <v>High</v>
      </c>
      <c r="AG550" s="6">
        <f t="shared" si="168"/>
        <v>0.19802146915172672</v>
      </c>
      <c r="AH550" s="4">
        <f t="shared" si="169"/>
        <v>44988</v>
      </c>
      <c r="AI550" t="str">
        <f t="shared" si="170"/>
        <v>Mar-2023</v>
      </c>
    </row>
    <row r="551" spans="1:35" x14ac:dyDescent="0.25">
      <c r="A551" t="s">
        <v>563</v>
      </c>
      <c r="B551" s="4">
        <v>45486</v>
      </c>
      <c r="C551" s="4" t="str">
        <f t="shared" si="159"/>
        <v>Q3-2024</v>
      </c>
      <c r="D551" s="4" t="str">
        <f t="shared" si="160"/>
        <v>Jul-2024</v>
      </c>
      <c r="E551" s="4">
        <v>45507</v>
      </c>
      <c r="F551" s="12">
        <f t="shared" si="161"/>
        <v>21</v>
      </c>
      <c r="G551" s="12">
        <f t="shared" si="152"/>
        <v>0</v>
      </c>
      <c r="H551" s="4">
        <f t="shared" si="162"/>
        <v>45507</v>
      </c>
      <c r="I551" t="s">
        <v>648</v>
      </c>
      <c r="J551" t="s">
        <v>655</v>
      </c>
      <c r="K551" t="s">
        <v>692</v>
      </c>
      <c r="L551" t="s">
        <v>701</v>
      </c>
      <c r="M551" t="s">
        <v>709</v>
      </c>
      <c r="N551" t="s">
        <v>724</v>
      </c>
      <c r="O551" t="s">
        <v>732</v>
      </c>
      <c r="P551" t="str" cm="1">
        <f t="array" ref="P551">_xlfn.IFS(S551&lt;=PERCENTILE($S$2:$S$1000, 0.33), "Low", S551&lt;=PERCENTILE($S$2:$S$1000, 0.66), "Medium", TRUE, "High")</f>
        <v>Medium</v>
      </c>
      <c r="Q551" t="s">
        <v>1281</v>
      </c>
      <c r="R551" s="10">
        <v>702.98</v>
      </c>
      <c r="S551" s="10">
        <v>1104.8</v>
      </c>
      <c r="T551" s="8">
        <v>0.17499999999999999</v>
      </c>
      <c r="U551" s="12">
        <f t="shared" si="163"/>
        <v>0</v>
      </c>
      <c r="V551" s="6">
        <v>12</v>
      </c>
      <c r="W551" t="str">
        <f t="shared" si="153"/>
        <v>ok</v>
      </c>
      <c r="X551">
        <f t="shared" si="154"/>
        <v>21</v>
      </c>
      <c r="Y551">
        <f t="shared" si="164"/>
        <v>21</v>
      </c>
      <c r="Z551" s="10">
        <f t="shared" si="165"/>
        <v>10937.519999999999</v>
      </c>
      <c r="AA551" s="10">
        <f t="shared" si="166"/>
        <v>8435.76</v>
      </c>
      <c r="AB551" s="10">
        <f t="shared" si="167"/>
        <v>2501.7599999999984</v>
      </c>
      <c r="AC551" s="10">
        <f t="shared" si="155"/>
        <v>606.37750000000005</v>
      </c>
      <c r="AD551" s="10">
        <f t="shared" si="156"/>
        <v>1193.865</v>
      </c>
      <c r="AE551" s="10">
        <f t="shared" si="157"/>
        <v>1912.0450000000001</v>
      </c>
      <c r="AF551" s="10" t="str">
        <f t="shared" si="158"/>
        <v>Medium</v>
      </c>
      <c r="AG551" s="6">
        <f t="shared" si="168"/>
        <v>0.22873192460448061</v>
      </c>
      <c r="AH551" s="4">
        <f t="shared" si="169"/>
        <v>44939</v>
      </c>
      <c r="AI551" t="str">
        <f t="shared" si="170"/>
        <v>Jan-2023</v>
      </c>
    </row>
    <row r="552" spans="1:35" x14ac:dyDescent="0.25">
      <c r="A552" t="s">
        <v>564</v>
      </c>
      <c r="B552" s="4">
        <v>45633</v>
      </c>
      <c r="C552" s="4" t="str">
        <f t="shared" si="159"/>
        <v>Q4-2024</v>
      </c>
      <c r="D552" s="4" t="str">
        <f t="shared" si="160"/>
        <v>Dec-2024</v>
      </c>
      <c r="E552" s="4">
        <v>45652</v>
      </c>
      <c r="F552" s="12">
        <f t="shared" si="161"/>
        <v>19</v>
      </c>
      <c r="G552" s="12">
        <f t="shared" si="152"/>
        <v>0</v>
      </c>
      <c r="H552" s="4">
        <f t="shared" si="162"/>
        <v>45652</v>
      </c>
      <c r="I552" t="s">
        <v>649</v>
      </c>
      <c r="J552" t="s">
        <v>658</v>
      </c>
      <c r="K552" t="s">
        <v>683</v>
      </c>
      <c r="L552" t="s">
        <v>706</v>
      </c>
      <c r="M552" t="s">
        <v>708</v>
      </c>
      <c r="N552" t="s">
        <v>726</v>
      </c>
      <c r="O552" t="s">
        <v>729</v>
      </c>
      <c r="P552" t="str" cm="1">
        <f t="array" ref="P552">_xlfn.IFS(S552&lt;=PERCENTILE($S$2:$S$1000, 0.33), "Low", S552&lt;=PERCENTILE($S$2:$S$1000, 0.66), "Medium", TRUE, "High")</f>
        <v>High</v>
      </c>
      <c r="Q552" t="s">
        <v>1282</v>
      </c>
      <c r="R552" s="10">
        <v>1035.24</v>
      </c>
      <c r="S552" s="10">
        <v>2383.41</v>
      </c>
      <c r="T552" s="8">
        <v>0.17</v>
      </c>
      <c r="U552" s="12">
        <f t="shared" si="163"/>
        <v>0</v>
      </c>
      <c r="V552" s="6">
        <v>15</v>
      </c>
      <c r="W552" t="str">
        <f t="shared" si="153"/>
        <v>ok</v>
      </c>
      <c r="X552">
        <f t="shared" si="154"/>
        <v>19</v>
      </c>
      <c r="Y552">
        <f t="shared" si="164"/>
        <v>19</v>
      </c>
      <c r="Z552" s="10">
        <f t="shared" si="165"/>
        <v>29673.454499999993</v>
      </c>
      <c r="AA552" s="10">
        <f t="shared" si="166"/>
        <v>15528.6</v>
      </c>
      <c r="AB552" s="10">
        <f t="shared" si="167"/>
        <v>14144.854499999992</v>
      </c>
      <c r="AC552" s="10">
        <f t="shared" si="155"/>
        <v>606.37750000000005</v>
      </c>
      <c r="AD552" s="10">
        <f t="shared" si="156"/>
        <v>1193.865</v>
      </c>
      <c r="AE552" s="10">
        <f t="shared" si="157"/>
        <v>1912.0450000000001</v>
      </c>
      <c r="AF552" s="10" t="str">
        <f t="shared" si="158"/>
        <v>Medium</v>
      </c>
      <c r="AG552" s="6">
        <f t="shared" si="168"/>
        <v>0.47668378145860962</v>
      </c>
      <c r="AH552" s="4">
        <f t="shared" si="169"/>
        <v>44941</v>
      </c>
      <c r="AI552" t="str">
        <f t="shared" si="170"/>
        <v>Jan-2023</v>
      </c>
    </row>
    <row r="553" spans="1:35" x14ac:dyDescent="0.25">
      <c r="A553" t="s">
        <v>565</v>
      </c>
      <c r="B553" s="4">
        <v>45875</v>
      </c>
      <c r="C553" s="4" t="str">
        <f t="shared" si="159"/>
        <v>Q3-2025</v>
      </c>
      <c r="D553" s="4" t="str">
        <f t="shared" si="160"/>
        <v>Aug-2025</v>
      </c>
      <c r="E553" s="4">
        <v>45892</v>
      </c>
      <c r="F553" s="12">
        <f t="shared" si="161"/>
        <v>17</v>
      </c>
      <c r="G553" s="12">
        <f t="shared" si="152"/>
        <v>0</v>
      </c>
      <c r="H553" s="4">
        <f t="shared" si="162"/>
        <v>45892</v>
      </c>
      <c r="I553" t="s">
        <v>648</v>
      </c>
      <c r="J553" t="s">
        <v>655</v>
      </c>
      <c r="K553" t="s">
        <v>672</v>
      </c>
      <c r="L553" t="s">
        <v>704</v>
      </c>
      <c r="M553" t="s">
        <v>710</v>
      </c>
      <c r="N553" t="s">
        <v>720</v>
      </c>
      <c r="O553" t="s">
        <v>732</v>
      </c>
      <c r="P553" t="str" cm="1">
        <f t="array" ref="P553">_xlfn.IFS(S553&lt;=PERCENTILE($S$2:$S$1000, 0.33), "Low", S553&lt;=PERCENTILE($S$2:$S$1000, 0.66), "Medium", TRUE, "High")</f>
        <v>Low</v>
      </c>
      <c r="Q553" t="s">
        <v>1283</v>
      </c>
      <c r="R553" s="10">
        <v>86.64</v>
      </c>
      <c r="S553" s="10">
        <v>213.06</v>
      </c>
      <c r="T553" s="8">
        <v>0.21199999999999999</v>
      </c>
      <c r="U553" s="12">
        <f t="shared" si="163"/>
        <v>1</v>
      </c>
      <c r="V553" s="6">
        <v>11</v>
      </c>
      <c r="W553" t="str">
        <f t="shared" si="153"/>
        <v>ok</v>
      </c>
      <c r="X553">
        <f t="shared" si="154"/>
        <v>17</v>
      </c>
      <c r="Y553">
        <f t="shared" si="164"/>
        <v>17</v>
      </c>
      <c r="Z553" s="10">
        <f t="shared" si="165"/>
        <v>1846.8040799999999</v>
      </c>
      <c r="AA553" s="10">
        <f t="shared" si="166"/>
        <v>953.04</v>
      </c>
      <c r="AB553" s="10">
        <f t="shared" si="167"/>
        <v>893.76407999999992</v>
      </c>
      <c r="AC553" s="10">
        <f t="shared" si="155"/>
        <v>606.37750000000005</v>
      </c>
      <c r="AD553" s="10">
        <f t="shared" si="156"/>
        <v>1193.865</v>
      </c>
      <c r="AE553" s="10">
        <f t="shared" si="157"/>
        <v>1912.0450000000001</v>
      </c>
      <c r="AF553" s="10" t="str">
        <f t="shared" si="158"/>
        <v>High</v>
      </c>
      <c r="AG553" s="6">
        <f t="shared" si="168"/>
        <v>0.48395175735154322</v>
      </c>
      <c r="AH553" s="4">
        <f t="shared" si="169"/>
        <v>44955</v>
      </c>
      <c r="AI553" t="str">
        <f t="shared" si="170"/>
        <v>Jan-2023</v>
      </c>
    </row>
    <row r="554" spans="1:35" x14ac:dyDescent="0.25">
      <c r="A554" t="s">
        <v>566</v>
      </c>
      <c r="B554" s="4">
        <v>44988</v>
      </c>
      <c r="C554" s="4" t="str">
        <f t="shared" si="159"/>
        <v>Q1-2023</v>
      </c>
      <c r="D554" s="4" t="str">
        <f t="shared" si="160"/>
        <v>Mar-2023</v>
      </c>
      <c r="E554" s="4">
        <v>45005</v>
      </c>
      <c r="F554" s="12">
        <f t="shared" si="161"/>
        <v>17</v>
      </c>
      <c r="G554" s="12">
        <f t="shared" si="152"/>
        <v>0</v>
      </c>
      <c r="H554" s="4">
        <f t="shared" si="162"/>
        <v>45005</v>
      </c>
      <c r="I554" t="s">
        <v>647</v>
      </c>
      <c r="J554" t="s">
        <v>652</v>
      </c>
      <c r="K554" t="s">
        <v>694</v>
      </c>
      <c r="L554" t="s">
        <v>705</v>
      </c>
      <c r="M554" t="s">
        <v>708</v>
      </c>
      <c r="N554" t="s">
        <v>726</v>
      </c>
      <c r="O554" t="s">
        <v>729</v>
      </c>
      <c r="P554" t="str" cm="1">
        <f t="array" ref="P554">_xlfn.IFS(S554&lt;=PERCENTILE($S$2:$S$1000, 0.33), "Low", S554&lt;=PERCENTILE($S$2:$S$1000, 0.66), "Medium", TRUE, "High")</f>
        <v>High</v>
      </c>
      <c r="Q554" t="s">
        <v>1284</v>
      </c>
      <c r="R554" s="10">
        <v>1171.17</v>
      </c>
      <c r="S554" s="10">
        <v>2030.64</v>
      </c>
      <c r="T554" s="8">
        <v>0.157</v>
      </c>
      <c r="U554" s="12">
        <f t="shared" si="163"/>
        <v>0</v>
      </c>
      <c r="V554" s="6">
        <v>11</v>
      </c>
      <c r="W554" t="str">
        <f t="shared" si="153"/>
        <v>ok</v>
      </c>
      <c r="X554">
        <f t="shared" si="154"/>
        <v>17</v>
      </c>
      <c r="Y554">
        <f t="shared" si="164"/>
        <v>17</v>
      </c>
      <c r="Z554" s="10">
        <f t="shared" si="165"/>
        <v>18830.12472</v>
      </c>
      <c r="AA554" s="10">
        <f t="shared" si="166"/>
        <v>12882.87</v>
      </c>
      <c r="AB554" s="10">
        <f t="shared" si="167"/>
        <v>5947.254719999999</v>
      </c>
      <c r="AC554" s="10">
        <f t="shared" si="155"/>
        <v>606.37750000000005</v>
      </c>
      <c r="AD554" s="10">
        <f t="shared" si="156"/>
        <v>1193.865</v>
      </c>
      <c r="AE554" s="10">
        <f t="shared" si="157"/>
        <v>1912.0450000000001</v>
      </c>
      <c r="AF554" s="10" t="str">
        <f t="shared" si="158"/>
        <v>Low</v>
      </c>
      <c r="AG554" s="6">
        <f t="shared" si="168"/>
        <v>0.31583724528830415</v>
      </c>
      <c r="AH554" s="4">
        <f t="shared" si="169"/>
        <v>44938</v>
      </c>
      <c r="AI554" t="str">
        <f t="shared" si="170"/>
        <v>Jan-2023</v>
      </c>
    </row>
    <row r="555" spans="1:35" x14ac:dyDescent="0.25">
      <c r="A555" t="s">
        <v>567</v>
      </c>
      <c r="B555" s="4">
        <v>45704</v>
      </c>
      <c r="C555" s="4" t="str">
        <f t="shared" si="159"/>
        <v>Q1-2025</v>
      </c>
      <c r="D555" s="4" t="str">
        <f t="shared" si="160"/>
        <v>Feb-2025</v>
      </c>
      <c r="E555" s="4">
        <v>45733</v>
      </c>
      <c r="F555" s="12">
        <f t="shared" si="161"/>
        <v>29</v>
      </c>
      <c r="G555" s="12">
        <f t="shared" si="152"/>
        <v>0</v>
      </c>
      <c r="H555" s="4">
        <f t="shared" si="162"/>
        <v>45733</v>
      </c>
      <c r="I555" t="s">
        <v>649</v>
      </c>
      <c r="J555" t="s">
        <v>656</v>
      </c>
      <c r="K555" t="s">
        <v>684</v>
      </c>
      <c r="L555" t="s">
        <v>704</v>
      </c>
      <c r="M555" t="s">
        <v>707</v>
      </c>
      <c r="N555" t="s">
        <v>716</v>
      </c>
      <c r="O555" t="s">
        <v>733</v>
      </c>
      <c r="P555" t="str" cm="1">
        <f t="array" ref="P555">_xlfn.IFS(S555&lt;=PERCENTILE($S$2:$S$1000, 0.33), "Low", S555&lt;=PERCENTILE($S$2:$S$1000, 0.66), "Medium", TRUE, "High")</f>
        <v>Medium</v>
      </c>
      <c r="Q555" t="s">
        <v>1285</v>
      </c>
      <c r="R555" s="10">
        <v>730.42</v>
      </c>
      <c r="S555" s="10">
        <v>956.7</v>
      </c>
      <c r="T555" s="8">
        <v>4.2000000000000003E-2</v>
      </c>
      <c r="U555" s="12">
        <f t="shared" si="163"/>
        <v>0</v>
      </c>
      <c r="V555" s="6">
        <v>22</v>
      </c>
      <c r="W555" t="str">
        <f t="shared" si="153"/>
        <v>ok</v>
      </c>
      <c r="X555">
        <f t="shared" si="154"/>
        <v>29</v>
      </c>
      <c r="Y555">
        <f t="shared" si="164"/>
        <v>29</v>
      </c>
      <c r="Z555" s="10">
        <f t="shared" si="165"/>
        <v>20163.409200000002</v>
      </c>
      <c r="AA555" s="10">
        <f t="shared" si="166"/>
        <v>16069.24</v>
      </c>
      <c r="AB555" s="10">
        <f t="shared" si="167"/>
        <v>4094.1692000000021</v>
      </c>
      <c r="AC555" s="10">
        <f t="shared" si="155"/>
        <v>606.37750000000005</v>
      </c>
      <c r="AD555" s="10">
        <f t="shared" si="156"/>
        <v>1193.865</v>
      </c>
      <c r="AE555" s="10">
        <f t="shared" si="157"/>
        <v>1912.0450000000001</v>
      </c>
      <c r="AF555" s="10" t="str">
        <f t="shared" si="158"/>
        <v>High</v>
      </c>
      <c r="AG555" s="6">
        <f t="shared" si="168"/>
        <v>0.20304945256975698</v>
      </c>
      <c r="AH555" s="4">
        <f t="shared" si="169"/>
        <v>44955</v>
      </c>
      <c r="AI555" t="str">
        <f t="shared" si="170"/>
        <v>Jan-2023</v>
      </c>
    </row>
    <row r="556" spans="1:35" x14ac:dyDescent="0.25">
      <c r="A556" t="s">
        <v>568</v>
      </c>
      <c r="B556" s="4">
        <v>45703</v>
      </c>
      <c r="C556" s="4" t="str">
        <f t="shared" si="159"/>
        <v>Q1-2025</v>
      </c>
      <c r="D556" s="4" t="str">
        <f t="shared" si="160"/>
        <v>Feb-2025</v>
      </c>
      <c r="E556" s="4">
        <v>45717</v>
      </c>
      <c r="F556" s="12">
        <f t="shared" si="161"/>
        <v>14</v>
      </c>
      <c r="G556" s="12">
        <f t="shared" si="152"/>
        <v>0</v>
      </c>
      <c r="H556" s="4">
        <f t="shared" si="162"/>
        <v>45717</v>
      </c>
      <c r="I556" t="s">
        <v>646</v>
      </c>
      <c r="J556" t="s">
        <v>650</v>
      </c>
      <c r="K556" t="s">
        <v>675</v>
      </c>
      <c r="L556" t="s">
        <v>702</v>
      </c>
      <c r="M556" t="s">
        <v>711</v>
      </c>
      <c r="N556" t="s">
        <v>716</v>
      </c>
      <c r="O556" t="s">
        <v>733</v>
      </c>
      <c r="P556" t="str" cm="1">
        <f t="array" ref="P556">_xlfn.IFS(S556&lt;=PERCENTILE($S$2:$S$1000, 0.33), "Low", S556&lt;=PERCENTILE($S$2:$S$1000, 0.66), "Medium", TRUE, "High")</f>
        <v>Medium</v>
      </c>
      <c r="Q556" t="s">
        <v>1286</v>
      </c>
      <c r="R556" s="10">
        <v>1162.8599999999999</v>
      </c>
      <c r="S556" s="10">
        <v>1447.68</v>
      </c>
      <c r="T556" s="8">
        <v>8.6999999999999994E-2</v>
      </c>
      <c r="U556" s="12">
        <f t="shared" si="163"/>
        <v>0</v>
      </c>
      <c r="V556" s="6">
        <v>12</v>
      </c>
      <c r="W556" t="str">
        <f t="shared" si="153"/>
        <v>ok</v>
      </c>
      <c r="X556">
        <f t="shared" si="154"/>
        <v>14</v>
      </c>
      <c r="Y556">
        <f t="shared" si="164"/>
        <v>14</v>
      </c>
      <c r="Z556" s="10">
        <f t="shared" si="165"/>
        <v>15860.782080000001</v>
      </c>
      <c r="AA556" s="10">
        <f t="shared" si="166"/>
        <v>13954.32</v>
      </c>
      <c r="AB556" s="10">
        <f t="shared" si="167"/>
        <v>1906.4620800000012</v>
      </c>
      <c r="AC556" s="10">
        <f t="shared" si="155"/>
        <v>606.37750000000005</v>
      </c>
      <c r="AD556" s="10">
        <f t="shared" si="156"/>
        <v>1193.865</v>
      </c>
      <c r="AE556" s="10">
        <f t="shared" si="157"/>
        <v>1912.0450000000001</v>
      </c>
      <c r="AF556" s="10" t="str">
        <f t="shared" si="158"/>
        <v>Medium</v>
      </c>
      <c r="AG556" s="6">
        <f t="shared" si="168"/>
        <v>0.12019975247021369</v>
      </c>
      <c r="AH556" s="4">
        <f t="shared" si="169"/>
        <v>44941</v>
      </c>
      <c r="AI556" t="str">
        <f t="shared" si="170"/>
        <v>Jan-2023</v>
      </c>
    </row>
    <row r="557" spans="1:35" x14ac:dyDescent="0.25">
      <c r="A557" t="s">
        <v>569</v>
      </c>
      <c r="B557" s="4">
        <v>45535</v>
      </c>
      <c r="C557" s="4" t="str">
        <f t="shared" si="159"/>
        <v>Q3-2024</v>
      </c>
      <c r="D557" s="4" t="str">
        <f t="shared" si="160"/>
        <v>Aug-2024</v>
      </c>
      <c r="E557" s="4">
        <v>45561</v>
      </c>
      <c r="F557" s="12">
        <f t="shared" si="161"/>
        <v>26</v>
      </c>
      <c r="G557" s="12">
        <f t="shared" si="152"/>
        <v>0</v>
      </c>
      <c r="H557" s="4">
        <f t="shared" si="162"/>
        <v>45561</v>
      </c>
      <c r="I557" t="s">
        <v>647</v>
      </c>
      <c r="J557" t="s">
        <v>652</v>
      </c>
      <c r="K557" t="s">
        <v>689</v>
      </c>
      <c r="L557" t="s">
        <v>702</v>
      </c>
      <c r="M557" t="s">
        <v>708</v>
      </c>
      <c r="N557" t="s">
        <v>714</v>
      </c>
      <c r="O557" t="s">
        <v>730</v>
      </c>
      <c r="P557" t="str" cm="1">
        <f t="array" ref="P557">_xlfn.IFS(S557&lt;=PERCENTILE($S$2:$S$1000, 0.33), "Low", S557&lt;=PERCENTILE($S$2:$S$1000, 0.66), "Medium", TRUE, "High")</f>
        <v>High</v>
      </c>
      <c r="Q557" t="s">
        <v>1287</v>
      </c>
      <c r="R557" s="10">
        <v>1189.03</v>
      </c>
      <c r="S557" s="10">
        <v>2949.62</v>
      </c>
      <c r="T557" s="8">
        <v>0.125</v>
      </c>
      <c r="U557" s="12">
        <f t="shared" si="163"/>
        <v>0</v>
      </c>
      <c r="V557" s="6">
        <v>13</v>
      </c>
      <c r="W557" t="str">
        <f t="shared" si="153"/>
        <v>ok</v>
      </c>
      <c r="X557">
        <f t="shared" si="154"/>
        <v>26</v>
      </c>
      <c r="Y557">
        <f t="shared" si="164"/>
        <v>26</v>
      </c>
      <c r="Z557" s="10">
        <f t="shared" si="165"/>
        <v>33551.927499999998</v>
      </c>
      <c r="AA557" s="10">
        <f t="shared" si="166"/>
        <v>15457.39</v>
      </c>
      <c r="AB557" s="10">
        <f t="shared" si="167"/>
        <v>18094.537499999999</v>
      </c>
      <c r="AC557" s="10">
        <f t="shared" si="155"/>
        <v>606.37750000000005</v>
      </c>
      <c r="AD557" s="10">
        <f t="shared" si="156"/>
        <v>1193.865</v>
      </c>
      <c r="AE557" s="10">
        <f t="shared" si="157"/>
        <v>1912.0450000000001</v>
      </c>
      <c r="AF557" s="10" t="str">
        <f t="shared" si="158"/>
        <v>Medium</v>
      </c>
      <c r="AG557" s="6">
        <f t="shared" si="168"/>
        <v>0.53929949330034765</v>
      </c>
      <c r="AH557" s="4">
        <f t="shared" si="169"/>
        <v>44955</v>
      </c>
      <c r="AI557" t="str">
        <f t="shared" si="170"/>
        <v>Jan-2023</v>
      </c>
    </row>
    <row r="558" spans="1:35" x14ac:dyDescent="0.25">
      <c r="A558" t="s">
        <v>570</v>
      </c>
      <c r="B558" s="4">
        <v>45053</v>
      </c>
      <c r="C558" s="4" t="str">
        <f t="shared" si="159"/>
        <v>Q2-2023</v>
      </c>
      <c r="D558" s="4" t="str">
        <f t="shared" si="160"/>
        <v>May-2023</v>
      </c>
      <c r="E558" s="4">
        <v>45066</v>
      </c>
      <c r="F558" s="12">
        <f t="shared" si="161"/>
        <v>13</v>
      </c>
      <c r="G558" s="12">
        <f t="shared" si="152"/>
        <v>0</v>
      </c>
      <c r="H558" s="4">
        <f t="shared" si="162"/>
        <v>45066</v>
      </c>
      <c r="I558" t="s">
        <v>647</v>
      </c>
      <c r="J558" t="s">
        <v>654</v>
      </c>
      <c r="K558" t="s">
        <v>691</v>
      </c>
      <c r="L558" t="s">
        <v>706</v>
      </c>
      <c r="M558" t="s">
        <v>707</v>
      </c>
      <c r="N558" t="s">
        <v>726</v>
      </c>
      <c r="O558" t="s">
        <v>733</v>
      </c>
      <c r="P558" t="str" cm="1">
        <f t="array" ref="P558">_xlfn.IFS(S558&lt;=PERCENTILE($S$2:$S$1000, 0.33), "Low", S558&lt;=PERCENTILE($S$2:$S$1000, 0.66), "Medium", TRUE, "High")</f>
        <v>High</v>
      </c>
      <c r="Q558" t="s">
        <v>1288</v>
      </c>
      <c r="R558" s="10">
        <v>1443.28</v>
      </c>
      <c r="S558" s="10">
        <v>2580.5700000000002</v>
      </c>
      <c r="T558" s="8">
        <v>0</v>
      </c>
      <c r="U558" s="12">
        <f t="shared" si="163"/>
        <v>0</v>
      </c>
      <c r="V558" s="6">
        <v>18</v>
      </c>
      <c r="W558" t="str">
        <f t="shared" si="153"/>
        <v>ok</v>
      </c>
      <c r="X558">
        <f t="shared" si="154"/>
        <v>13</v>
      </c>
      <c r="Y558">
        <f t="shared" si="164"/>
        <v>13</v>
      </c>
      <c r="Z558" s="10">
        <f t="shared" si="165"/>
        <v>46450.26</v>
      </c>
      <c r="AA558" s="10">
        <f t="shared" si="166"/>
        <v>25979.040000000001</v>
      </c>
      <c r="AB558" s="10">
        <f t="shared" si="167"/>
        <v>20471.22</v>
      </c>
      <c r="AC558" s="10">
        <f t="shared" si="155"/>
        <v>606.37750000000005</v>
      </c>
      <c r="AD558" s="10">
        <f t="shared" si="156"/>
        <v>1193.865</v>
      </c>
      <c r="AE558" s="10">
        <f t="shared" si="157"/>
        <v>1912.0450000000001</v>
      </c>
      <c r="AF558" s="10" t="str">
        <f t="shared" si="158"/>
        <v>High</v>
      </c>
      <c r="AG558" s="6">
        <f t="shared" si="168"/>
        <v>0.4407127107577008</v>
      </c>
      <c r="AH558" s="4">
        <f t="shared" si="169"/>
        <v>44936</v>
      </c>
      <c r="AI558" t="str">
        <f t="shared" si="170"/>
        <v>Jan-2023</v>
      </c>
    </row>
    <row r="559" spans="1:35" x14ac:dyDescent="0.25">
      <c r="A559" t="s">
        <v>571</v>
      </c>
      <c r="B559" s="4">
        <v>45791</v>
      </c>
      <c r="C559" s="4" t="str">
        <f t="shared" si="159"/>
        <v>Q2-2025</v>
      </c>
      <c r="D559" s="4" t="str">
        <f t="shared" si="160"/>
        <v>May-2025</v>
      </c>
      <c r="E559" s="4">
        <v>45789</v>
      </c>
      <c r="F559" s="12">
        <f t="shared" si="161"/>
        <v>14</v>
      </c>
      <c r="G559" s="12">
        <f t="shared" si="152"/>
        <v>0</v>
      </c>
      <c r="H559" s="4">
        <f t="shared" si="162"/>
        <v>45805</v>
      </c>
      <c r="I559" t="s">
        <v>648</v>
      </c>
      <c r="J559" t="s">
        <v>653</v>
      </c>
      <c r="K559" t="s">
        <v>688</v>
      </c>
      <c r="L559" t="s">
        <v>703</v>
      </c>
      <c r="M559" t="s">
        <v>710</v>
      </c>
      <c r="N559" t="s">
        <v>721</v>
      </c>
      <c r="O559" t="s">
        <v>728</v>
      </c>
      <c r="P559" t="str" cm="1">
        <f t="array" ref="P559">_xlfn.IFS(S559&lt;=PERCENTILE($S$2:$S$1000, 0.33), "Low", S559&lt;=PERCENTILE($S$2:$S$1000, 0.66), "Medium", TRUE, "High")</f>
        <v>High</v>
      </c>
      <c r="Q559" t="s">
        <v>1289</v>
      </c>
      <c r="R559" s="10">
        <v>883.5</v>
      </c>
      <c r="S559" s="10">
        <v>1978.91</v>
      </c>
      <c r="T559" s="8">
        <v>5.3999999999999999E-2</v>
      </c>
      <c r="U559" s="12">
        <f t="shared" si="163"/>
        <v>0</v>
      </c>
      <c r="V559" s="6">
        <v>27</v>
      </c>
      <c r="W559" t="str">
        <f t="shared" si="153"/>
        <v>sus</v>
      </c>
      <c r="X559">
        <f t="shared" si="154"/>
        <v>-2</v>
      </c>
      <c r="Y559">
        <f t="shared" si="164"/>
        <v>2</v>
      </c>
      <c r="Z559" s="10">
        <f t="shared" si="165"/>
        <v>50545.319219999998</v>
      </c>
      <c r="AA559" s="10">
        <f t="shared" si="166"/>
        <v>23854.5</v>
      </c>
      <c r="AB559" s="10">
        <f t="shared" si="167"/>
        <v>26690.819219999998</v>
      </c>
      <c r="AC559" s="10">
        <f t="shared" si="155"/>
        <v>606.37750000000005</v>
      </c>
      <c r="AD559" s="10">
        <f t="shared" si="156"/>
        <v>1193.865</v>
      </c>
      <c r="AE559" s="10">
        <f t="shared" si="157"/>
        <v>1912.0450000000001</v>
      </c>
      <c r="AF559" s="10" t="str">
        <f t="shared" si="158"/>
        <v>High</v>
      </c>
      <c r="AG559" s="6">
        <f t="shared" si="168"/>
        <v>0.52805718970390547</v>
      </c>
      <c r="AH559" s="4">
        <f t="shared" si="169"/>
        <v>44955</v>
      </c>
      <c r="AI559" t="str">
        <f t="shared" si="170"/>
        <v>Jan-2023</v>
      </c>
    </row>
    <row r="560" spans="1:35" x14ac:dyDescent="0.25">
      <c r="A560" t="s">
        <v>572</v>
      </c>
      <c r="B560" s="4">
        <v>45362</v>
      </c>
      <c r="C560" s="4" t="str">
        <f t="shared" si="159"/>
        <v>Q1-2024</v>
      </c>
      <c r="D560" s="4" t="str">
        <f t="shared" si="160"/>
        <v>Mar-2024</v>
      </c>
      <c r="E560" s="4">
        <v>45380</v>
      </c>
      <c r="F560" s="12">
        <f t="shared" si="161"/>
        <v>18</v>
      </c>
      <c r="G560" s="12">
        <f t="shared" si="152"/>
        <v>0</v>
      </c>
      <c r="H560" s="4">
        <f t="shared" si="162"/>
        <v>45380</v>
      </c>
      <c r="I560" t="s">
        <v>648</v>
      </c>
      <c r="J560" t="s">
        <v>660</v>
      </c>
      <c r="K560" t="s">
        <v>700</v>
      </c>
      <c r="L560" t="s">
        <v>701</v>
      </c>
      <c r="M560" t="s">
        <v>707</v>
      </c>
      <c r="N560" t="s">
        <v>724</v>
      </c>
      <c r="O560" t="s">
        <v>732</v>
      </c>
      <c r="P560" t="str" cm="1">
        <f t="array" ref="P560">_xlfn.IFS(S560&lt;=PERCENTILE($S$2:$S$1000, 0.33), "Low", S560&lt;=PERCENTILE($S$2:$S$1000, 0.66), "Medium", TRUE, "High")</f>
        <v>Medium</v>
      </c>
      <c r="Q560" t="s">
        <v>1290</v>
      </c>
      <c r="R560" s="10">
        <v>710.98</v>
      </c>
      <c r="S560" s="10">
        <v>1481.45</v>
      </c>
      <c r="T560" s="8">
        <v>0.21099999999999999</v>
      </c>
      <c r="U560" s="12">
        <f t="shared" si="163"/>
        <v>1</v>
      </c>
      <c r="V560" s="6">
        <v>9</v>
      </c>
      <c r="W560" t="str">
        <f t="shared" si="153"/>
        <v>ok</v>
      </c>
      <c r="X560">
        <f t="shared" si="154"/>
        <v>18</v>
      </c>
      <c r="Y560">
        <f t="shared" si="164"/>
        <v>18</v>
      </c>
      <c r="Z560" s="10">
        <f t="shared" si="165"/>
        <v>10519.776450000001</v>
      </c>
      <c r="AA560" s="10">
        <f t="shared" si="166"/>
        <v>6398.82</v>
      </c>
      <c r="AB560" s="10">
        <f t="shared" si="167"/>
        <v>4120.9564500000015</v>
      </c>
      <c r="AC560" s="10">
        <f t="shared" si="155"/>
        <v>606.37750000000005</v>
      </c>
      <c r="AD560" s="10">
        <f t="shared" si="156"/>
        <v>1193.865</v>
      </c>
      <c r="AE560" s="10">
        <f t="shared" si="157"/>
        <v>1912.0450000000001</v>
      </c>
      <c r="AF560" s="10" t="str">
        <f t="shared" si="158"/>
        <v>High</v>
      </c>
      <c r="AG560" s="6">
        <f t="shared" si="168"/>
        <v>0.39173422264120461</v>
      </c>
      <c r="AH560" s="4">
        <f t="shared" si="169"/>
        <v>44948</v>
      </c>
      <c r="AI560" t="str">
        <f t="shared" si="170"/>
        <v>Jan-2023</v>
      </c>
    </row>
    <row r="561" spans="1:35" x14ac:dyDescent="0.25">
      <c r="A561" t="s">
        <v>573</v>
      </c>
      <c r="B561" s="4">
        <v>45430</v>
      </c>
      <c r="C561" s="4" t="str">
        <f t="shared" si="159"/>
        <v>Q2-2024</v>
      </c>
      <c r="D561" s="4" t="str">
        <f t="shared" si="160"/>
        <v>May-2024</v>
      </c>
      <c r="E561" s="4">
        <v>45434</v>
      </c>
      <c r="F561" s="12">
        <f t="shared" si="161"/>
        <v>4</v>
      </c>
      <c r="G561" s="12">
        <f t="shared" si="152"/>
        <v>1</v>
      </c>
      <c r="H561" s="4">
        <f t="shared" si="162"/>
        <v>45434</v>
      </c>
      <c r="I561" t="s">
        <v>646</v>
      </c>
      <c r="J561" t="s">
        <v>650</v>
      </c>
      <c r="K561" t="s">
        <v>664</v>
      </c>
      <c r="L561" t="s">
        <v>701</v>
      </c>
      <c r="M561" t="s">
        <v>711</v>
      </c>
      <c r="N561" t="s">
        <v>722</v>
      </c>
      <c r="O561" t="s">
        <v>733</v>
      </c>
      <c r="P561" t="str" cm="1">
        <f t="array" ref="P561">_xlfn.IFS(S561&lt;=PERCENTILE($S$2:$S$1000, 0.33), "Low", S561&lt;=PERCENTILE($S$2:$S$1000, 0.66), "Medium", TRUE, "High")</f>
        <v>High</v>
      </c>
      <c r="Q561" t="s">
        <v>1291</v>
      </c>
      <c r="R561" s="10">
        <v>857.42</v>
      </c>
      <c r="S561" s="10">
        <v>1658.92</v>
      </c>
      <c r="T561" s="8">
        <v>0.122</v>
      </c>
      <c r="U561" s="12">
        <f t="shared" si="163"/>
        <v>0</v>
      </c>
      <c r="V561" s="6">
        <v>9</v>
      </c>
      <c r="W561" t="str">
        <f t="shared" si="153"/>
        <v>ok</v>
      </c>
      <c r="X561">
        <f t="shared" si="154"/>
        <v>4</v>
      </c>
      <c r="Y561">
        <f t="shared" si="164"/>
        <v>4</v>
      </c>
      <c r="Z561" s="10">
        <f t="shared" si="165"/>
        <v>13108.78584</v>
      </c>
      <c r="AA561" s="10">
        <f t="shared" si="166"/>
        <v>7716.78</v>
      </c>
      <c r="AB561" s="10">
        <f t="shared" si="167"/>
        <v>5392.0058400000007</v>
      </c>
      <c r="AC561" s="10">
        <f t="shared" si="155"/>
        <v>606.37750000000005</v>
      </c>
      <c r="AD561" s="10">
        <f t="shared" si="156"/>
        <v>1193.865</v>
      </c>
      <c r="AE561" s="10">
        <f t="shared" si="157"/>
        <v>1912.0450000000001</v>
      </c>
      <c r="AF561" s="10" t="str">
        <f t="shared" si="158"/>
        <v>Medium</v>
      </c>
      <c r="AG561" s="6">
        <f t="shared" si="168"/>
        <v>0.41132763215544305</v>
      </c>
      <c r="AH561" s="4">
        <f t="shared" si="169"/>
        <v>44938</v>
      </c>
      <c r="AI561" t="str">
        <f t="shared" si="170"/>
        <v>Jan-2023</v>
      </c>
    </row>
    <row r="562" spans="1:35" x14ac:dyDescent="0.25">
      <c r="A562" t="s">
        <v>574</v>
      </c>
      <c r="B562" s="4">
        <v>45299</v>
      </c>
      <c r="C562" s="4" t="str">
        <f t="shared" si="159"/>
        <v>Q1-2024</v>
      </c>
      <c r="D562" s="4" t="str">
        <f t="shared" si="160"/>
        <v>Jan-2024</v>
      </c>
      <c r="E562" s="4">
        <v>45303</v>
      </c>
      <c r="F562" s="12">
        <f t="shared" si="161"/>
        <v>4</v>
      </c>
      <c r="G562" s="12">
        <f t="shared" si="152"/>
        <v>1</v>
      </c>
      <c r="H562" s="4">
        <f t="shared" si="162"/>
        <v>45303</v>
      </c>
      <c r="I562" t="s">
        <v>647</v>
      </c>
      <c r="J562" t="s">
        <v>654</v>
      </c>
      <c r="K562" t="s">
        <v>668</v>
      </c>
      <c r="L562" t="s">
        <v>701</v>
      </c>
      <c r="M562" t="s">
        <v>711</v>
      </c>
      <c r="N562" t="s">
        <v>718</v>
      </c>
      <c r="O562" t="s">
        <v>728</v>
      </c>
      <c r="P562" t="str" cm="1">
        <f t="array" ref="P562">_xlfn.IFS(S562&lt;=PERCENTILE($S$2:$S$1000, 0.33), "Low", S562&lt;=PERCENTILE($S$2:$S$1000, 0.66), "Medium", TRUE, "High")</f>
        <v>Low</v>
      </c>
      <c r="Q562" t="s">
        <v>1292</v>
      </c>
      <c r="R562" s="10">
        <v>802.32</v>
      </c>
      <c r="S562" s="10">
        <v>602.34</v>
      </c>
      <c r="T562" s="8">
        <v>0.12</v>
      </c>
      <c r="U562" s="12">
        <f t="shared" si="163"/>
        <v>0</v>
      </c>
      <c r="V562" s="6">
        <v>25</v>
      </c>
      <c r="W562" t="str">
        <f t="shared" si="153"/>
        <v>ok</v>
      </c>
      <c r="X562">
        <f t="shared" si="154"/>
        <v>4</v>
      </c>
      <c r="Y562">
        <f t="shared" si="164"/>
        <v>4</v>
      </c>
      <c r="Z562" s="10">
        <f t="shared" si="165"/>
        <v>13251.48</v>
      </c>
      <c r="AA562" s="10">
        <f t="shared" si="166"/>
        <v>20058</v>
      </c>
      <c r="AB562" s="10">
        <f t="shared" si="167"/>
        <v>-6806.52</v>
      </c>
      <c r="AC562" s="10">
        <f t="shared" si="155"/>
        <v>606.37750000000005</v>
      </c>
      <c r="AD562" s="10">
        <f t="shared" si="156"/>
        <v>1193.865</v>
      </c>
      <c r="AE562" s="10">
        <f t="shared" si="157"/>
        <v>1912.0450000000001</v>
      </c>
      <c r="AF562" s="10" t="str">
        <f t="shared" si="158"/>
        <v>Medium</v>
      </c>
      <c r="AG562" s="6">
        <f t="shared" si="168"/>
        <v>-0.51364224977134632</v>
      </c>
      <c r="AH562" s="4">
        <f t="shared" si="169"/>
        <v>44945</v>
      </c>
      <c r="AI562" t="str">
        <f t="shared" si="170"/>
        <v>Jan-2023</v>
      </c>
    </row>
    <row r="563" spans="1:35" x14ac:dyDescent="0.25">
      <c r="A563" t="s">
        <v>575</v>
      </c>
      <c r="B563" s="4">
        <v>45590</v>
      </c>
      <c r="C563" s="4" t="str">
        <f t="shared" si="159"/>
        <v>Q4-2024</v>
      </c>
      <c r="D563" s="4" t="str">
        <f t="shared" si="160"/>
        <v>Oct-2024</v>
      </c>
      <c r="E563" s="4">
        <v>45601</v>
      </c>
      <c r="F563" s="12">
        <f t="shared" si="161"/>
        <v>11</v>
      </c>
      <c r="G563" s="12">
        <f t="shared" si="152"/>
        <v>0</v>
      </c>
      <c r="H563" s="4">
        <f t="shared" si="162"/>
        <v>45601</v>
      </c>
      <c r="I563" t="s">
        <v>648</v>
      </c>
      <c r="J563" t="s">
        <v>660</v>
      </c>
      <c r="K563" t="s">
        <v>700</v>
      </c>
      <c r="L563" t="s">
        <v>701</v>
      </c>
      <c r="M563" t="s">
        <v>710</v>
      </c>
      <c r="N563" t="s">
        <v>725</v>
      </c>
      <c r="O563" t="s">
        <v>727</v>
      </c>
      <c r="P563" t="str" cm="1">
        <f t="array" ref="P563">_xlfn.IFS(S563&lt;=PERCENTILE($S$2:$S$1000, 0.33), "Low", S563&lt;=PERCENTILE($S$2:$S$1000, 0.66), "Medium", TRUE, "High")</f>
        <v>Low</v>
      </c>
      <c r="Q563" t="s">
        <v>1293</v>
      </c>
      <c r="R563" s="10">
        <v>446.66</v>
      </c>
      <c r="S563" s="10">
        <v>527.64</v>
      </c>
      <c r="T563" s="8">
        <v>0.14499999999999999</v>
      </c>
      <c r="U563" s="12">
        <f t="shared" si="163"/>
        <v>0</v>
      </c>
      <c r="V563" s="6">
        <v>15</v>
      </c>
      <c r="W563" t="str">
        <f t="shared" si="153"/>
        <v>ok</v>
      </c>
      <c r="X563">
        <f t="shared" si="154"/>
        <v>11</v>
      </c>
      <c r="Y563">
        <f t="shared" si="164"/>
        <v>11</v>
      </c>
      <c r="Z563" s="10">
        <f t="shared" si="165"/>
        <v>6766.9829999999993</v>
      </c>
      <c r="AA563" s="10">
        <f t="shared" si="166"/>
        <v>6699.9000000000005</v>
      </c>
      <c r="AB563" s="10">
        <f t="shared" si="167"/>
        <v>67.082999999998719</v>
      </c>
      <c r="AC563" s="10">
        <f t="shared" si="155"/>
        <v>606.37750000000005</v>
      </c>
      <c r="AD563" s="10">
        <f t="shared" si="156"/>
        <v>1193.865</v>
      </c>
      <c r="AE563" s="10">
        <f t="shared" si="157"/>
        <v>1912.0450000000001</v>
      </c>
      <c r="AF563" s="10" t="str">
        <f t="shared" si="158"/>
        <v>Low</v>
      </c>
      <c r="AG563" s="6">
        <f t="shared" si="168"/>
        <v>9.9132804087137105E-3</v>
      </c>
      <c r="AH563" s="4">
        <f t="shared" si="169"/>
        <v>44941</v>
      </c>
      <c r="AI563" t="str">
        <f t="shared" si="170"/>
        <v>Jan-2023</v>
      </c>
    </row>
    <row r="564" spans="1:35" x14ac:dyDescent="0.25">
      <c r="A564" t="s">
        <v>576</v>
      </c>
      <c r="B564" s="4">
        <v>45626</v>
      </c>
      <c r="C564" s="4" t="str">
        <f t="shared" si="159"/>
        <v>Q4-2024</v>
      </c>
      <c r="D564" s="4" t="str">
        <f t="shared" si="160"/>
        <v>Nov-2024</v>
      </c>
      <c r="E564" s="4">
        <v>45645</v>
      </c>
      <c r="F564" s="12">
        <f t="shared" si="161"/>
        <v>19</v>
      </c>
      <c r="G564" s="12">
        <f t="shared" si="152"/>
        <v>0</v>
      </c>
      <c r="H564" s="4">
        <f t="shared" si="162"/>
        <v>45645</v>
      </c>
      <c r="I564" t="s">
        <v>646</v>
      </c>
      <c r="J564" t="s">
        <v>650</v>
      </c>
      <c r="K564" t="s">
        <v>662</v>
      </c>
      <c r="L564" t="s">
        <v>701</v>
      </c>
      <c r="M564" t="s">
        <v>708</v>
      </c>
      <c r="N564" t="s">
        <v>716</v>
      </c>
      <c r="O564" t="s">
        <v>730</v>
      </c>
      <c r="P564" t="str" cm="1">
        <f t="array" ref="P564">_xlfn.IFS(S564&lt;=PERCENTILE($S$2:$S$1000, 0.33), "Low", S564&lt;=PERCENTILE($S$2:$S$1000, 0.66), "Medium", TRUE, "High")</f>
        <v>High</v>
      </c>
      <c r="Q564" t="s">
        <v>1294</v>
      </c>
      <c r="R564" s="10">
        <v>1195.98</v>
      </c>
      <c r="S564" s="10">
        <v>1841.9</v>
      </c>
      <c r="T564" s="8">
        <v>5.5E-2</v>
      </c>
      <c r="U564" s="12">
        <f t="shared" si="163"/>
        <v>0</v>
      </c>
      <c r="V564" s="6">
        <v>19</v>
      </c>
      <c r="W564" t="str">
        <f t="shared" si="153"/>
        <v>ok</v>
      </c>
      <c r="X564">
        <f t="shared" si="154"/>
        <v>19</v>
      </c>
      <c r="Y564">
        <f t="shared" si="164"/>
        <v>19</v>
      </c>
      <c r="Z564" s="10">
        <f t="shared" si="165"/>
        <v>33071.3145</v>
      </c>
      <c r="AA564" s="10">
        <f t="shared" si="166"/>
        <v>22723.62</v>
      </c>
      <c r="AB564" s="10">
        <f t="shared" si="167"/>
        <v>10347.694500000001</v>
      </c>
      <c r="AC564" s="10">
        <f t="shared" si="155"/>
        <v>606.37750000000005</v>
      </c>
      <c r="AD564" s="10">
        <f t="shared" si="156"/>
        <v>1193.865</v>
      </c>
      <c r="AE564" s="10">
        <f t="shared" si="157"/>
        <v>1912.0450000000001</v>
      </c>
      <c r="AF564" s="10" t="str">
        <f t="shared" si="158"/>
        <v>Low</v>
      </c>
      <c r="AG564" s="6">
        <f t="shared" si="168"/>
        <v>0.31289032977506842</v>
      </c>
      <c r="AH564" s="4">
        <f t="shared" si="169"/>
        <v>44938</v>
      </c>
      <c r="AI564" t="str">
        <f t="shared" si="170"/>
        <v>Jan-2023</v>
      </c>
    </row>
    <row r="565" spans="1:35" x14ac:dyDescent="0.25">
      <c r="A565" t="s">
        <v>577</v>
      </c>
      <c r="B565" s="4">
        <v>45029</v>
      </c>
      <c r="C565" s="4" t="str">
        <f t="shared" si="159"/>
        <v>Q2-2023</v>
      </c>
      <c r="D565" s="4" t="str">
        <f t="shared" si="160"/>
        <v>Apr-2023</v>
      </c>
      <c r="E565" s="4">
        <v>45048</v>
      </c>
      <c r="F565" s="12">
        <f t="shared" si="161"/>
        <v>19</v>
      </c>
      <c r="G565" s="12">
        <f t="shared" si="152"/>
        <v>0</v>
      </c>
      <c r="H565" s="4">
        <f t="shared" si="162"/>
        <v>45048</v>
      </c>
      <c r="I565" t="s">
        <v>648</v>
      </c>
      <c r="J565" t="s">
        <v>653</v>
      </c>
      <c r="K565" t="s">
        <v>681</v>
      </c>
      <c r="L565" t="s">
        <v>704</v>
      </c>
      <c r="M565" t="s">
        <v>710</v>
      </c>
      <c r="N565" t="s">
        <v>718</v>
      </c>
      <c r="O565" t="s">
        <v>732</v>
      </c>
      <c r="P565" t="str" cm="1">
        <f t="array" ref="P565">_xlfn.IFS(S565&lt;=PERCENTILE($S$2:$S$1000, 0.33), "Low", S565&lt;=PERCENTILE($S$2:$S$1000, 0.66), "Medium", TRUE, "High")</f>
        <v>High</v>
      </c>
      <c r="Q565" t="s">
        <v>1295</v>
      </c>
      <c r="R565" s="10">
        <v>671.05</v>
      </c>
      <c r="S565" s="10">
        <v>1645.48</v>
      </c>
      <c r="T565" s="8">
        <v>0.13700000000000001</v>
      </c>
      <c r="U565" s="12">
        <f t="shared" si="163"/>
        <v>0</v>
      </c>
      <c r="V565" s="6">
        <v>6</v>
      </c>
      <c r="W565" t="str">
        <f t="shared" si="153"/>
        <v>ok</v>
      </c>
      <c r="X565">
        <f t="shared" si="154"/>
        <v>19</v>
      </c>
      <c r="Y565">
        <f t="shared" si="164"/>
        <v>19</v>
      </c>
      <c r="Z565" s="10">
        <f t="shared" si="165"/>
        <v>8520.2954399999999</v>
      </c>
      <c r="AA565" s="10">
        <f t="shared" si="166"/>
        <v>4026.2999999999997</v>
      </c>
      <c r="AB565" s="10">
        <f t="shared" si="167"/>
        <v>4493.9954400000006</v>
      </c>
      <c r="AC565" s="10">
        <f t="shared" si="155"/>
        <v>606.37750000000005</v>
      </c>
      <c r="AD565" s="10">
        <f t="shared" si="156"/>
        <v>1193.865</v>
      </c>
      <c r="AE565" s="10">
        <f t="shared" si="157"/>
        <v>1912.0450000000001</v>
      </c>
      <c r="AF565" s="10" t="str">
        <f t="shared" si="158"/>
        <v>Medium</v>
      </c>
      <c r="AG565" s="6">
        <f t="shared" si="168"/>
        <v>0.52744596377517172</v>
      </c>
      <c r="AH565" s="4">
        <f t="shared" si="169"/>
        <v>44946</v>
      </c>
      <c r="AI565" t="str">
        <f t="shared" si="170"/>
        <v>Jan-2023</v>
      </c>
    </row>
    <row r="566" spans="1:35" x14ac:dyDescent="0.25">
      <c r="A566" t="s">
        <v>578</v>
      </c>
      <c r="B566" s="4">
        <v>45692</v>
      </c>
      <c r="C566" s="4" t="str">
        <f t="shared" si="159"/>
        <v>Q1-2025</v>
      </c>
      <c r="D566" s="4" t="str">
        <f t="shared" si="160"/>
        <v>Feb-2025</v>
      </c>
      <c r="E566" s="4">
        <v>45696</v>
      </c>
      <c r="F566" s="12">
        <f t="shared" si="161"/>
        <v>4</v>
      </c>
      <c r="G566" s="12">
        <f t="shared" si="152"/>
        <v>1</v>
      </c>
      <c r="H566" s="4">
        <f t="shared" si="162"/>
        <v>45696</v>
      </c>
      <c r="I566" t="s">
        <v>649</v>
      </c>
      <c r="J566" t="s">
        <v>658</v>
      </c>
      <c r="K566" t="s">
        <v>693</v>
      </c>
      <c r="L566" t="s">
        <v>706</v>
      </c>
      <c r="M566" t="s">
        <v>709</v>
      </c>
      <c r="N566" t="s">
        <v>716</v>
      </c>
      <c r="O566" t="s">
        <v>729</v>
      </c>
      <c r="P566" t="str" cm="1">
        <f t="array" ref="P566">_xlfn.IFS(S566&lt;=PERCENTILE($S$2:$S$1000, 0.33), "Low", S566&lt;=PERCENTILE($S$2:$S$1000, 0.66), "Medium", TRUE, "High")</f>
        <v>Low</v>
      </c>
      <c r="Q566" t="s">
        <v>1296</v>
      </c>
      <c r="R566" s="10">
        <v>586.21</v>
      </c>
      <c r="S566" s="10">
        <v>727.22</v>
      </c>
      <c r="T566" s="8">
        <v>6.8000000000000005E-2</v>
      </c>
      <c r="U566" s="12">
        <f t="shared" si="163"/>
        <v>0</v>
      </c>
      <c r="V566" s="6">
        <v>15</v>
      </c>
      <c r="W566" t="str">
        <f t="shared" si="153"/>
        <v>ok</v>
      </c>
      <c r="X566">
        <f t="shared" si="154"/>
        <v>4</v>
      </c>
      <c r="Y566">
        <f t="shared" si="164"/>
        <v>4</v>
      </c>
      <c r="Z566" s="10">
        <f t="shared" si="165"/>
        <v>10166.535600000001</v>
      </c>
      <c r="AA566" s="10">
        <f t="shared" si="166"/>
        <v>8793.1500000000015</v>
      </c>
      <c r="AB566" s="10">
        <f t="shared" si="167"/>
        <v>1373.3855999999996</v>
      </c>
      <c r="AC566" s="10">
        <f t="shared" si="155"/>
        <v>606.37750000000005</v>
      </c>
      <c r="AD566" s="10">
        <f t="shared" si="156"/>
        <v>1193.865</v>
      </c>
      <c r="AE566" s="10">
        <f t="shared" si="157"/>
        <v>1912.0450000000001</v>
      </c>
      <c r="AF566" s="10" t="str">
        <f t="shared" si="158"/>
        <v>Medium</v>
      </c>
      <c r="AG566" s="6">
        <f t="shared" si="168"/>
        <v>0.13508884973559721</v>
      </c>
      <c r="AH566" s="4">
        <f t="shared" si="169"/>
        <v>44955</v>
      </c>
      <c r="AI566" t="str">
        <f t="shared" si="170"/>
        <v>Jan-2023</v>
      </c>
    </row>
    <row r="567" spans="1:35" x14ac:dyDescent="0.25">
      <c r="A567" t="s">
        <v>579</v>
      </c>
      <c r="B567" s="4">
        <v>45315</v>
      </c>
      <c r="C567" s="4" t="str">
        <f t="shared" si="159"/>
        <v>Q1-2024</v>
      </c>
      <c r="D567" s="4" t="str">
        <f t="shared" si="160"/>
        <v>Jan-2024</v>
      </c>
      <c r="E567" s="4">
        <v>45326</v>
      </c>
      <c r="F567" s="12">
        <f t="shared" si="161"/>
        <v>11</v>
      </c>
      <c r="G567" s="12">
        <f t="shared" si="152"/>
        <v>0</v>
      </c>
      <c r="H567" s="4">
        <f t="shared" si="162"/>
        <v>45326</v>
      </c>
      <c r="I567" t="s">
        <v>649</v>
      </c>
      <c r="J567" t="s">
        <v>658</v>
      </c>
      <c r="K567" t="s">
        <v>693</v>
      </c>
      <c r="L567" t="s">
        <v>704</v>
      </c>
      <c r="M567" t="s">
        <v>707</v>
      </c>
      <c r="N567" t="s">
        <v>717</v>
      </c>
      <c r="O567" t="s">
        <v>731</v>
      </c>
      <c r="P567" t="str" cm="1">
        <f t="array" ref="P567">_xlfn.IFS(S567&lt;=PERCENTILE($S$2:$S$1000, 0.33), "Low", S567&lt;=PERCENTILE($S$2:$S$1000, 0.66), "Medium", TRUE, "High")</f>
        <v>Medium</v>
      </c>
      <c r="Q567" t="s">
        <v>1297</v>
      </c>
      <c r="R567" s="10">
        <v>525.34</v>
      </c>
      <c r="S567" s="10">
        <v>1233.79</v>
      </c>
      <c r="T567" s="8">
        <v>0.14299999999999999</v>
      </c>
      <c r="U567" s="12">
        <f t="shared" si="163"/>
        <v>0</v>
      </c>
      <c r="V567" s="6">
        <v>4</v>
      </c>
      <c r="W567" t="str">
        <f t="shared" si="153"/>
        <v>ok</v>
      </c>
      <c r="X567">
        <f t="shared" si="154"/>
        <v>11</v>
      </c>
      <c r="Y567">
        <f t="shared" si="164"/>
        <v>11</v>
      </c>
      <c r="Z567" s="10">
        <f t="shared" si="165"/>
        <v>4229.4321199999995</v>
      </c>
      <c r="AA567" s="10">
        <f t="shared" si="166"/>
        <v>2101.36</v>
      </c>
      <c r="AB567" s="10">
        <f t="shared" si="167"/>
        <v>2128.0721199999994</v>
      </c>
      <c r="AC567" s="10">
        <f t="shared" si="155"/>
        <v>606.37750000000005</v>
      </c>
      <c r="AD567" s="10">
        <f t="shared" si="156"/>
        <v>1193.865</v>
      </c>
      <c r="AE567" s="10">
        <f t="shared" si="157"/>
        <v>1912.0450000000001</v>
      </c>
      <c r="AF567" s="10" t="str">
        <f t="shared" si="158"/>
        <v>Medium</v>
      </c>
      <c r="AG567" s="6">
        <f t="shared" si="168"/>
        <v>0.50315788494082736</v>
      </c>
      <c r="AH567" s="4">
        <f t="shared" si="169"/>
        <v>44988</v>
      </c>
      <c r="AI567" t="str">
        <f t="shared" si="170"/>
        <v>Mar-2023</v>
      </c>
    </row>
    <row r="568" spans="1:35" x14ac:dyDescent="0.25">
      <c r="A568" t="s">
        <v>580</v>
      </c>
      <c r="B568" s="4">
        <v>45330</v>
      </c>
      <c r="C568" s="4" t="str">
        <f t="shared" si="159"/>
        <v>Q1-2024</v>
      </c>
      <c r="D568" s="4" t="str">
        <f t="shared" si="160"/>
        <v>Feb-2024</v>
      </c>
      <c r="E568" s="4">
        <v>45331</v>
      </c>
      <c r="F568" s="12">
        <f t="shared" si="161"/>
        <v>1</v>
      </c>
      <c r="G568" s="12">
        <f t="shared" si="152"/>
        <v>1</v>
      </c>
      <c r="H568" s="4">
        <f t="shared" si="162"/>
        <v>45331</v>
      </c>
      <c r="I568" t="s">
        <v>646</v>
      </c>
      <c r="J568" t="s">
        <v>650</v>
      </c>
      <c r="K568" t="s">
        <v>675</v>
      </c>
      <c r="L568" t="s">
        <v>701</v>
      </c>
      <c r="M568" t="s">
        <v>711</v>
      </c>
      <c r="N568" t="s">
        <v>721</v>
      </c>
      <c r="O568" t="s">
        <v>727</v>
      </c>
      <c r="P568" t="str" cm="1">
        <f t="array" ref="P568">_xlfn.IFS(S568&lt;=PERCENTILE($S$2:$S$1000, 0.33), "Low", S568&lt;=PERCENTILE($S$2:$S$1000, 0.66), "Medium", TRUE, "High")</f>
        <v>Medium</v>
      </c>
      <c r="Q568" t="s">
        <v>1298</v>
      </c>
      <c r="R568" s="10">
        <v>1233.52</v>
      </c>
      <c r="S568" s="10">
        <v>1543.76</v>
      </c>
      <c r="T568" s="8">
        <v>0.126</v>
      </c>
      <c r="U568" s="12">
        <f t="shared" si="163"/>
        <v>0</v>
      </c>
      <c r="V568" s="6">
        <v>13</v>
      </c>
      <c r="W568" t="str">
        <f t="shared" si="153"/>
        <v>ok</v>
      </c>
      <c r="X568">
        <f t="shared" si="154"/>
        <v>1</v>
      </c>
      <c r="Y568">
        <f t="shared" si="164"/>
        <v>1</v>
      </c>
      <c r="Z568" s="10">
        <f t="shared" si="165"/>
        <v>17540.201120000002</v>
      </c>
      <c r="AA568" s="10">
        <f t="shared" si="166"/>
        <v>16035.76</v>
      </c>
      <c r="AB568" s="10">
        <f t="shared" si="167"/>
        <v>1504.4411200000013</v>
      </c>
      <c r="AC568" s="10">
        <f t="shared" si="155"/>
        <v>606.37750000000005</v>
      </c>
      <c r="AD568" s="10">
        <f t="shared" si="156"/>
        <v>1193.865</v>
      </c>
      <c r="AE568" s="10">
        <f t="shared" si="157"/>
        <v>1912.0450000000001</v>
      </c>
      <c r="AF568" s="10" t="str">
        <f t="shared" si="158"/>
        <v>Medium</v>
      </c>
      <c r="AG568" s="6">
        <f t="shared" si="168"/>
        <v>8.5771030201277493E-2</v>
      </c>
      <c r="AH568" s="4">
        <f t="shared" si="169"/>
        <v>44936</v>
      </c>
      <c r="AI568" t="str">
        <f t="shared" si="170"/>
        <v>Jan-2023</v>
      </c>
    </row>
    <row r="569" spans="1:35" x14ac:dyDescent="0.25">
      <c r="A569" t="s">
        <v>581</v>
      </c>
      <c r="B569" s="4">
        <v>45834</v>
      </c>
      <c r="C569" s="4" t="str">
        <f t="shared" si="159"/>
        <v>Q2-2025</v>
      </c>
      <c r="D569" s="4" t="str">
        <f t="shared" si="160"/>
        <v>Jun-2025</v>
      </c>
      <c r="E569" s="4">
        <v>45849</v>
      </c>
      <c r="F569" s="12">
        <f t="shared" si="161"/>
        <v>15</v>
      </c>
      <c r="G569" s="12">
        <f t="shared" si="152"/>
        <v>0</v>
      </c>
      <c r="H569" s="4">
        <f t="shared" si="162"/>
        <v>45849</v>
      </c>
      <c r="I569" t="s">
        <v>646</v>
      </c>
      <c r="J569" t="s">
        <v>651</v>
      </c>
      <c r="K569" t="s">
        <v>663</v>
      </c>
      <c r="L569" t="s">
        <v>705</v>
      </c>
      <c r="M569" t="s">
        <v>708</v>
      </c>
      <c r="N569" t="s">
        <v>720</v>
      </c>
      <c r="O569" t="s">
        <v>731</v>
      </c>
      <c r="P569" t="str" cm="1">
        <f t="array" ref="P569">_xlfn.IFS(S569&lt;=PERCENTILE($S$2:$S$1000, 0.33), "Low", S569&lt;=PERCENTILE($S$2:$S$1000, 0.66), "Medium", TRUE, "High")</f>
        <v>High</v>
      </c>
      <c r="Q569" t="s">
        <v>1299</v>
      </c>
      <c r="R569" s="10">
        <v>1170.1500000000001</v>
      </c>
      <c r="S569" s="10">
        <v>2115.19</v>
      </c>
      <c r="T569" s="8">
        <v>9.1999999999999998E-2</v>
      </c>
      <c r="U569" s="12">
        <f t="shared" si="163"/>
        <v>0</v>
      </c>
      <c r="V569" s="6">
        <v>23</v>
      </c>
      <c r="W569" t="str">
        <f t="shared" si="153"/>
        <v>ok</v>
      </c>
      <c r="X569">
        <f t="shared" si="154"/>
        <v>15</v>
      </c>
      <c r="Y569">
        <f t="shared" si="164"/>
        <v>15</v>
      </c>
      <c r="Z569" s="10">
        <f t="shared" si="165"/>
        <v>44173.627960000005</v>
      </c>
      <c r="AA569" s="10">
        <f t="shared" si="166"/>
        <v>26913.45</v>
      </c>
      <c r="AB569" s="10">
        <f t="shared" si="167"/>
        <v>17260.177960000005</v>
      </c>
      <c r="AC569" s="10">
        <f t="shared" si="155"/>
        <v>606.37750000000005</v>
      </c>
      <c r="AD569" s="10">
        <f t="shared" si="156"/>
        <v>1193.865</v>
      </c>
      <c r="AE569" s="10">
        <f t="shared" si="157"/>
        <v>1912.0450000000001</v>
      </c>
      <c r="AF569" s="10" t="str">
        <f t="shared" si="158"/>
        <v>Medium</v>
      </c>
      <c r="AG569" s="6">
        <f t="shared" si="168"/>
        <v>0.39073489674946776</v>
      </c>
      <c r="AH569" s="4">
        <f t="shared" si="169"/>
        <v>44946</v>
      </c>
      <c r="AI569" t="str">
        <f t="shared" si="170"/>
        <v>Jan-2023</v>
      </c>
    </row>
    <row r="570" spans="1:35" x14ac:dyDescent="0.25">
      <c r="A570" t="s">
        <v>582</v>
      </c>
      <c r="B570" s="4">
        <v>45600</v>
      </c>
      <c r="C570" s="4" t="str">
        <f t="shared" si="159"/>
        <v>Q4-2024</v>
      </c>
      <c r="D570" s="4" t="str">
        <f t="shared" si="160"/>
        <v>Nov-2024</v>
      </c>
      <c r="E570" s="4">
        <v>45603</v>
      </c>
      <c r="F570" s="12">
        <f t="shared" si="161"/>
        <v>3</v>
      </c>
      <c r="G570" s="12">
        <f t="shared" si="152"/>
        <v>1</v>
      </c>
      <c r="H570" s="4">
        <f t="shared" si="162"/>
        <v>45603</v>
      </c>
      <c r="I570" t="s">
        <v>649</v>
      </c>
      <c r="J570" t="s">
        <v>657</v>
      </c>
      <c r="K570" t="s">
        <v>679</v>
      </c>
      <c r="L570" t="s">
        <v>701</v>
      </c>
      <c r="M570" t="s">
        <v>708</v>
      </c>
      <c r="N570" t="s">
        <v>719</v>
      </c>
      <c r="O570" t="s">
        <v>732</v>
      </c>
      <c r="P570" t="str" cm="1">
        <f t="array" ref="P570">_xlfn.IFS(S570&lt;=PERCENTILE($S$2:$S$1000, 0.33), "Low", S570&lt;=PERCENTILE($S$2:$S$1000, 0.66), "Medium", TRUE, "High")</f>
        <v>High</v>
      </c>
      <c r="Q570" t="s">
        <v>1300</v>
      </c>
      <c r="R570" s="10">
        <v>740.68</v>
      </c>
      <c r="S570" s="10">
        <v>1837.19</v>
      </c>
      <c r="T570" s="8">
        <v>0.19700000000000001</v>
      </c>
      <c r="U570" s="12">
        <f t="shared" si="163"/>
        <v>0</v>
      </c>
      <c r="V570" s="6">
        <v>17</v>
      </c>
      <c r="W570" t="str">
        <f t="shared" si="153"/>
        <v>ok</v>
      </c>
      <c r="X570">
        <f t="shared" si="154"/>
        <v>3</v>
      </c>
      <c r="Y570">
        <f t="shared" si="164"/>
        <v>3</v>
      </c>
      <c r="Z570" s="10">
        <f t="shared" si="165"/>
        <v>25079.480689999997</v>
      </c>
      <c r="AA570" s="10">
        <f t="shared" si="166"/>
        <v>12591.56</v>
      </c>
      <c r="AB570" s="10">
        <f t="shared" si="167"/>
        <v>12487.920689999997</v>
      </c>
      <c r="AC570" s="10">
        <f t="shared" si="155"/>
        <v>606.37750000000005</v>
      </c>
      <c r="AD570" s="10">
        <f t="shared" si="156"/>
        <v>1193.865</v>
      </c>
      <c r="AE570" s="10">
        <f t="shared" si="157"/>
        <v>1912.0450000000001</v>
      </c>
      <c r="AF570" s="10" t="str">
        <f t="shared" si="158"/>
        <v>High</v>
      </c>
      <c r="AG570" s="6">
        <f t="shared" si="168"/>
        <v>0.4979337827748298</v>
      </c>
      <c r="AH570" s="4">
        <f t="shared" si="169"/>
        <v>44938</v>
      </c>
      <c r="AI570" t="str">
        <f t="shared" si="170"/>
        <v>Jan-2023</v>
      </c>
    </row>
    <row r="571" spans="1:35" x14ac:dyDescent="0.25">
      <c r="A571" t="s">
        <v>583</v>
      </c>
      <c r="B571" s="4">
        <v>45342</v>
      </c>
      <c r="C571" s="4" t="str">
        <f t="shared" si="159"/>
        <v>Q1-2024</v>
      </c>
      <c r="D571" s="4" t="str">
        <f t="shared" si="160"/>
        <v>Feb-2024</v>
      </c>
      <c r="E571" s="4">
        <v>45342</v>
      </c>
      <c r="F571" s="12">
        <f t="shared" si="161"/>
        <v>0</v>
      </c>
      <c r="G571" s="12">
        <f t="shared" si="152"/>
        <v>1</v>
      </c>
      <c r="H571" s="4">
        <f t="shared" si="162"/>
        <v>45342</v>
      </c>
      <c r="I571" t="s">
        <v>648</v>
      </c>
      <c r="J571" t="s">
        <v>660</v>
      </c>
      <c r="K571" t="s">
        <v>700</v>
      </c>
      <c r="L571" t="s">
        <v>706</v>
      </c>
      <c r="M571" t="s">
        <v>708</v>
      </c>
      <c r="N571" t="s">
        <v>712</v>
      </c>
      <c r="O571" t="s">
        <v>729</v>
      </c>
      <c r="P571" t="str" cm="1">
        <f t="array" ref="P571">_xlfn.IFS(S571&lt;=PERCENTILE($S$2:$S$1000, 0.33), "Low", S571&lt;=PERCENTILE($S$2:$S$1000, 0.66), "Medium", TRUE, "High")</f>
        <v>High</v>
      </c>
      <c r="Q571" t="s">
        <v>1301</v>
      </c>
      <c r="R571" s="10">
        <v>1407.05</v>
      </c>
      <c r="S571" s="10">
        <v>2858.93</v>
      </c>
      <c r="T571" s="8">
        <v>0</v>
      </c>
      <c r="U571" s="12">
        <f t="shared" si="163"/>
        <v>0</v>
      </c>
      <c r="V571" s="6">
        <v>12</v>
      </c>
      <c r="W571" t="str">
        <f t="shared" si="153"/>
        <v>sus</v>
      </c>
      <c r="X571">
        <f t="shared" si="154"/>
        <v>0</v>
      </c>
      <c r="Y571">
        <f t="shared" si="164"/>
        <v>0</v>
      </c>
      <c r="Z571" s="10">
        <f t="shared" si="165"/>
        <v>34307.159999999996</v>
      </c>
      <c r="AA571" s="10">
        <f t="shared" si="166"/>
        <v>16884.599999999999</v>
      </c>
      <c r="AB571" s="10">
        <f t="shared" si="167"/>
        <v>17422.559999999998</v>
      </c>
      <c r="AC571" s="10">
        <f t="shared" si="155"/>
        <v>606.37750000000005</v>
      </c>
      <c r="AD571" s="10">
        <f t="shared" si="156"/>
        <v>1193.865</v>
      </c>
      <c r="AE571" s="10">
        <f t="shared" si="157"/>
        <v>1912.0450000000001</v>
      </c>
      <c r="AF571" s="10" t="str">
        <f t="shared" si="158"/>
        <v>Medium</v>
      </c>
      <c r="AG571" s="6">
        <f t="shared" si="168"/>
        <v>0.50784034586366222</v>
      </c>
      <c r="AH571" s="4">
        <f t="shared" si="169"/>
        <v>44955</v>
      </c>
      <c r="AI571" t="str">
        <f t="shared" si="170"/>
        <v>Jan-2023</v>
      </c>
    </row>
    <row r="572" spans="1:35" x14ac:dyDescent="0.25">
      <c r="A572" t="s">
        <v>584</v>
      </c>
      <c r="B572" s="4">
        <v>45760</v>
      </c>
      <c r="C572" s="4" t="str">
        <f t="shared" si="159"/>
        <v>Q2-2025</v>
      </c>
      <c r="D572" s="4" t="str">
        <f t="shared" si="160"/>
        <v>Apr-2025</v>
      </c>
      <c r="E572" s="4">
        <v>45761</v>
      </c>
      <c r="F572" s="12">
        <f t="shared" si="161"/>
        <v>1</v>
      </c>
      <c r="G572" s="12">
        <f t="shared" si="152"/>
        <v>1</v>
      </c>
      <c r="H572" s="4">
        <f t="shared" si="162"/>
        <v>45761</v>
      </c>
      <c r="I572" t="s">
        <v>647</v>
      </c>
      <c r="J572" t="s">
        <v>652</v>
      </c>
      <c r="K572" t="s">
        <v>666</v>
      </c>
      <c r="L572" t="s">
        <v>706</v>
      </c>
      <c r="M572" t="s">
        <v>708</v>
      </c>
      <c r="N572" t="s">
        <v>715</v>
      </c>
      <c r="O572" t="s">
        <v>727</v>
      </c>
      <c r="P572" t="str" cm="1">
        <f t="array" ref="P572">_xlfn.IFS(S572&lt;=PERCENTILE($S$2:$S$1000, 0.33), "Low", S572&lt;=PERCENTILE($S$2:$S$1000, 0.66), "Medium", TRUE, "High")</f>
        <v>Low</v>
      </c>
      <c r="Q572" t="s">
        <v>1302</v>
      </c>
      <c r="R572" s="10">
        <v>138.9</v>
      </c>
      <c r="S572" s="10">
        <v>289.92</v>
      </c>
      <c r="T572" s="8">
        <v>2.9000000000000001E-2</v>
      </c>
      <c r="U572" s="12">
        <f t="shared" si="163"/>
        <v>0</v>
      </c>
      <c r="V572" s="6">
        <v>12</v>
      </c>
      <c r="W572" t="str">
        <f t="shared" si="153"/>
        <v>ok</v>
      </c>
      <c r="X572">
        <f t="shared" si="154"/>
        <v>1</v>
      </c>
      <c r="Y572">
        <f t="shared" si="164"/>
        <v>1</v>
      </c>
      <c r="Z572" s="10">
        <f t="shared" si="165"/>
        <v>3378.1478400000001</v>
      </c>
      <c r="AA572" s="10">
        <f t="shared" si="166"/>
        <v>1666.8000000000002</v>
      </c>
      <c r="AB572" s="10">
        <f t="shared" si="167"/>
        <v>1711.3478399999999</v>
      </c>
      <c r="AC572" s="10">
        <f t="shared" si="155"/>
        <v>606.37750000000005</v>
      </c>
      <c r="AD572" s="10">
        <f t="shared" si="156"/>
        <v>1193.865</v>
      </c>
      <c r="AE572" s="10">
        <f t="shared" si="157"/>
        <v>1912.0450000000001</v>
      </c>
      <c r="AF572" s="10" t="str">
        <f t="shared" si="158"/>
        <v>High</v>
      </c>
      <c r="AG572" s="6">
        <f t="shared" si="168"/>
        <v>0.50659353025828491</v>
      </c>
      <c r="AH572" s="4">
        <f t="shared" si="169"/>
        <v>44955</v>
      </c>
      <c r="AI572" t="str">
        <f t="shared" si="170"/>
        <v>Jan-2023</v>
      </c>
    </row>
    <row r="573" spans="1:35" x14ac:dyDescent="0.25">
      <c r="A573" t="s">
        <v>585</v>
      </c>
      <c r="B573" s="4">
        <v>45078</v>
      </c>
      <c r="C573" s="4" t="str">
        <f t="shared" si="159"/>
        <v>Q2-2023</v>
      </c>
      <c r="D573" s="4" t="str">
        <f t="shared" si="160"/>
        <v>Jun-2023</v>
      </c>
      <c r="E573" s="4">
        <v>45078</v>
      </c>
      <c r="F573" s="12">
        <f t="shared" si="161"/>
        <v>0</v>
      </c>
      <c r="G573" s="12">
        <f t="shared" si="152"/>
        <v>1</v>
      </c>
      <c r="H573" s="4">
        <f t="shared" si="162"/>
        <v>45078</v>
      </c>
      <c r="I573" t="s">
        <v>647</v>
      </c>
      <c r="J573" t="s">
        <v>654</v>
      </c>
      <c r="K573" t="s">
        <v>668</v>
      </c>
      <c r="L573" t="s">
        <v>701</v>
      </c>
      <c r="M573" t="s">
        <v>707</v>
      </c>
      <c r="N573" t="s">
        <v>718</v>
      </c>
      <c r="O573" t="s">
        <v>733</v>
      </c>
      <c r="P573" t="str" cm="1">
        <f t="array" ref="P573">_xlfn.IFS(S573&lt;=PERCENTILE($S$2:$S$1000, 0.33), "Low", S573&lt;=PERCENTILE($S$2:$S$1000, 0.66), "Medium", TRUE, "High")</f>
        <v>Medium</v>
      </c>
      <c r="Q573" t="s">
        <v>1303</v>
      </c>
      <c r="R573" s="10">
        <v>669.37</v>
      </c>
      <c r="S573" s="10">
        <v>997.2</v>
      </c>
      <c r="T573" s="8">
        <v>8.2000000000000003E-2</v>
      </c>
      <c r="U573" s="12">
        <f t="shared" si="163"/>
        <v>0</v>
      </c>
      <c r="V573" s="6">
        <v>5</v>
      </c>
      <c r="W573" t="str">
        <f t="shared" si="153"/>
        <v>sus</v>
      </c>
      <c r="X573">
        <f t="shared" si="154"/>
        <v>0</v>
      </c>
      <c r="Y573">
        <f t="shared" si="164"/>
        <v>0</v>
      </c>
      <c r="Z573" s="10">
        <f t="shared" si="165"/>
        <v>4577.1480000000001</v>
      </c>
      <c r="AA573" s="10">
        <f t="shared" si="166"/>
        <v>3346.85</v>
      </c>
      <c r="AB573" s="10">
        <f t="shared" si="167"/>
        <v>1230.2980000000002</v>
      </c>
      <c r="AC573" s="10">
        <f t="shared" si="155"/>
        <v>606.37750000000005</v>
      </c>
      <c r="AD573" s="10">
        <f t="shared" si="156"/>
        <v>1193.865</v>
      </c>
      <c r="AE573" s="10">
        <f t="shared" si="157"/>
        <v>1912.0450000000001</v>
      </c>
      <c r="AF573" s="10" t="str">
        <f t="shared" si="158"/>
        <v>Low</v>
      </c>
      <c r="AG573" s="6">
        <f t="shared" si="168"/>
        <v>0.26879139586484863</v>
      </c>
      <c r="AH573" s="4">
        <f t="shared" si="169"/>
        <v>44948</v>
      </c>
      <c r="AI573" t="str">
        <f t="shared" si="170"/>
        <v>Jan-2023</v>
      </c>
    </row>
    <row r="574" spans="1:35" x14ac:dyDescent="0.25">
      <c r="A574" t="s">
        <v>586</v>
      </c>
      <c r="B574" s="4">
        <v>45740</v>
      </c>
      <c r="C574" s="4" t="str">
        <f t="shared" si="159"/>
        <v>Q1-2025</v>
      </c>
      <c r="D574" s="4" t="str">
        <f t="shared" si="160"/>
        <v>Mar-2025</v>
      </c>
      <c r="E574" s="4">
        <v>45751</v>
      </c>
      <c r="F574" s="12">
        <f t="shared" si="161"/>
        <v>11</v>
      </c>
      <c r="G574" s="12">
        <f t="shared" si="152"/>
        <v>0</v>
      </c>
      <c r="H574" s="4">
        <f t="shared" si="162"/>
        <v>45751</v>
      </c>
      <c r="I574" t="s">
        <v>647</v>
      </c>
      <c r="J574" t="s">
        <v>654</v>
      </c>
      <c r="K574" t="s">
        <v>691</v>
      </c>
      <c r="L574" t="s">
        <v>702</v>
      </c>
      <c r="M574" t="s">
        <v>709</v>
      </c>
      <c r="N574" t="s">
        <v>713</v>
      </c>
      <c r="O574" t="s">
        <v>730</v>
      </c>
      <c r="P574" t="str" cm="1">
        <f t="array" ref="P574">_xlfn.IFS(S574&lt;=PERCENTILE($S$2:$S$1000, 0.33), "Low", S574&lt;=PERCENTILE($S$2:$S$1000, 0.66), "Medium", TRUE, "High")</f>
        <v>Low</v>
      </c>
      <c r="Q574" t="s">
        <v>1304</v>
      </c>
      <c r="R574" s="10">
        <v>23.83</v>
      </c>
      <c r="S574" s="10">
        <v>47.29</v>
      </c>
      <c r="T574" s="8">
        <v>6.4000000000000001E-2</v>
      </c>
      <c r="U574" s="12">
        <f t="shared" si="163"/>
        <v>0</v>
      </c>
      <c r="V574" s="6">
        <v>19</v>
      </c>
      <c r="W574" t="str">
        <f t="shared" si="153"/>
        <v>ok</v>
      </c>
      <c r="X574">
        <f t="shared" si="154"/>
        <v>11</v>
      </c>
      <c r="Y574">
        <f t="shared" si="164"/>
        <v>11</v>
      </c>
      <c r="Z574" s="10">
        <f t="shared" si="165"/>
        <v>841.00536</v>
      </c>
      <c r="AA574" s="10">
        <f t="shared" si="166"/>
        <v>452.77</v>
      </c>
      <c r="AB574" s="10">
        <f t="shared" si="167"/>
        <v>388.23536000000001</v>
      </c>
      <c r="AC574" s="10">
        <f t="shared" si="155"/>
        <v>606.37750000000005</v>
      </c>
      <c r="AD574" s="10">
        <f t="shared" si="156"/>
        <v>1193.865</v>
      </c>
      <c r="AE574" s="10">
        <f t="shared" si="157"/>
        <v>1912.0450000000001</v>
      </c>
      <c r="AF574" s="10" t="str">
        <f t="shared" si="158"/>
        <v>Medium</v>
      </c>
      <c r="AG574" s="6">
        <f t="shared" si="168"/>
        <v>0.46163244429262618</v>
      </c>
      <c r="AH574" s="4">
        <f t="shared" si="169"/>
        <v>44928</v>
      </c>
      <c r="AI574" t="str">
        <f t="shared" si="170"/>
        <v>Jan-2023</v>
      </c>
    </row>
    <row r="575" spans="1:35" x14ac:dyDescent="0.25">
      <c r="A575" t="s">
        <v>587</v>
      </c>
      <c r="B575" s="4">
        <v>45293</v>
      </c>
      <c r="C575" s="4" t="str">
        <f t="shared" si="159"/>
        <v>Q1-2024</v>
      </c>
      <c r="D575" s="4" t="str">
        <f t="shared" si="160"/>
        <v>Jan-2024</v>
      </c>
      <c r="E575" s="4">
        <v>45293</v>
      </c>
      <c r="F575" s="12">
        <f t="shared" si="161"/>
        <v>0</v>
      </c>
      <c r="G575" s="12">
        <f t="shared" si="152"/>
        <v>1</v>
      </c>
      <c r="H575" s="4">
        <f t="shared" si="162"/>
        <v>45293</v>
      </c>
      <c r="I575" t="s">
        <v>648</v>
      </c>
      <c r="J575" t="s">
        <v>653</v>
      </c>
      <c r="K575" t="s">
        <v>688</v>
      </c>
      <c r="L575" t="s">
        <v>702</v>
      </c>
      <c r="M575" t="s">
        <v>711</v>
      </c>
      <c r="N575" t="s">
        <v>720</v>
      </c>
      <c r="O575" t="s">
        <v>731</v>
      </c>
      <c r="P575" t="str" cm="1">
        <f t="array" ref="P575">_xlfn.IFS(S575&lt;=PERCENTILE($S$2:$S$1000, 0.33), "Low", S575&lt;=PERCENTILE($S$2:$S$1000, 0.66), "Medium", TRUE, "High")</f>
        <v>Low</v>
      </c>
      <c r="Q575" t="s">
        <v>1305</v>
      </c>
      <c r="R575" s="10">
        <v>444.41</v>
      </c>
      <c r="S575" s="10">
        <v>754.24</v>
      </c>
      <c r="T575" s="8">
        <v>0.20699999999999999</v>
      </c>
      <c r="U575" s="12">
        <f t="shared" si="163"/>
        <v>1</v>
      </c>
      <c r="V575" s="6">
        <v>32</v>
      </c>
      <c r="W575" t="str">
        <f t="shared" si="153"/>
        <v>sus</v>
      </c>
      <c r="X575">
        <f t="shared" si="154"/>
        <v>0</v>
      </c>
      <c r="Y575">
        <f t="shared" si="164"/>
        <v>0</v>
      </c>
      <c r="Z575" s="10">
        <f t="shared" si="165"/>
        <v>19139.594240000002</v>
      </c>
      <c r="AA575" s="10">
        <f t="shared" si="166"/>
        <v>14221.12</v>
      </c>
      <c r="AB575" s="10">
        <f t="shared" si="167"/>
        <v>4918.4742400000014</v>
      </c>
      <c r="AC575" s="10">
        <f t="shared" si="155"/>
        <v>606.37750000000005</v>
      </c>
      <c r="AD575" s="10">
        <f t="shared" si="156"/>
        <v>1193.865</v>
      </c>
      <c r="AE575" s="10">
        <f t="shared" si="157"/>
        <v>1912.0450000000001</v>
      </c>
      <c r="AF575" s="10" t="str">
        <f t="shared" si="158"/>
        <v>Low</v>
      </c>
      <c r="AG575" s="6">
        <f t="shared" si="168"/>
        <v>0.25697902360546598</v>
      </c>
      <c r="AH575" s="4">
        <f t="shared" si="169"/>
        <v>44928</v>
      </c>
      <c r="AI575" t="str">
        <f t="shared" si="170"/>
        <v>Jan-2023</v>
      </c>
    </row>
    <row r="576" spans="1:35" x14ac:dyDescent="0.25">
      <c r="A576" t="s">
        <v>588</v>
      </c>
      <c r="B576" s="4">
        <v>45279</v>
      </c>
      <c r="C576" s="4" t="str">
        <f t="shared" si="159"/>
        <v>Q4-2023</v>
      </c>
      <c r="D576" s="4" t="str">
        <f t="shared" si="160"/>
        <v>Dec-2023</v>
      </c>
      <c r="E576" s="4">
        <v>45292</v>
      </c>
      <c r="F576" s="12">
        <f t="shared" si="161"/>
        <v>13</v>
      </c>
      <c r="G576" s="12">
        <f t="shared" si="152"/>
        <v>0</v>
      </c>
      <c r="H576" s="4">
        <f t="shared" si="162"/>
        <v>45292</v>
      </c>
      <c r="I576" t="s">
        <v>648</v>
      </c>
      <c r="J576" t="s">
        <v>653</v>
      </c>
      <c r="K576" t="s">
        <v>667</v>
      </c>
      <c r="L576" t="s">
        <v>706</v>
      </c>
      <c r="M576" t="s">
        <v>707</v>
      </c>
      <c r="N576" t="s">
        <v>723</v>
      </c>
      <c r="O576" t="s">
        <v>732</v>
      </c>
      <c r="P576" t="str" cm="1">
        <f t="array" ref="P576">_xlfn.IFS(S576&lt;=PERCENTILE($S$2:$S$1000, 0.33), "Low", S576&lt;=PERCENTILE($S$2:$S$1000, 0.66), "Medium", TRUE, "High")</f>
        <v>Medium</v>
      </c>
      <c r="Q576" t="s">
        <v>1306</v>
      </c>
      <c r="R576" s="10">
        <v>856.1</v>
      </c>
      <c r="S576" s="10">
        <v>901.48</v>
      </c>
      <c r="T576" s="8">
        <v>5.6000000000000001E-2</v>
      </c>
      <c r="U576" s="12">
        <f t="shared" si="163"/>
        <v>0</v>
      </c>
      <c r="V576" s="6">
        <v>17</v>
      </c>
      <c r="W576" t="str">
        <f t="shared" si="153"/>
        <v>ok</v>
      </c>
      <c r="X576">
        <f t="shared" si="154"/>
        <v>13</v>
      </c>
      <c r="Y576">
        <f t="shared" si="164"/>
        <v>13</v>
      </c>
      <c r="Z576" s="10">
        <f t="shared" si="165"/>
        <v>14466.95104</v>
      </c>
      <c r="AA576" s="10">
        <f t="shared" si="166"/>
        <v>14553.7</v>
      </c>
      <c r="AB576" s="10">
        <f t="shared" si="167"/>
        <v>-86.748960000000807</v>
      </c>
      <c r="AC576" s="10">
        <f t="shared" si="155"/>
        <v>606.37750000000005</v>
      </c>
      <c r="AD576" s="10">
        <f t="shared" si="156"/>
        <v>1193.865</v>
      </c>
      <c r="AE576" s="10">
        <f t="shared" si="157"/>
        <v>1912.0450000000001</v>
      </c>
      <c r="AF576" s="10" t="str">
        <f t="shared" si="158"/>
        <v>Medium</v>
      </c>
      <c r="AG576" s="6">
        <f t="shared" si="168"/>
        <v>-5.9963540182134192E-3</v>
      </c>
      <c r="AH576" s="4">
        <f t="shared" si="169"/>
        <v>44988</v>
      </c>
      <c r="AI576" t="str">
        <f t="shared" si="170"/>
        <v>Mar-2023</v>
      </c>
    </row>
    <row r="577" spans="1:35" x14ac:dyDescent="0.25">
      <c r="A577" t="s">
        <v>589</v>
      </c>
      <c r="B577" s="4">
        <v>45042</v>
      </c>
      <c r="C577" s="4" t="str">
        <f t="shared" si="159"/>
        <v>Q2-2023</v>
      </c>
      <c r="D577" s="4" t="str">
        <f t="shared" si="160"/>
        <v>Apr-2023</v>
      </c>
      <c r="E577" s="4">
        <v>45042</v>
      </c>
      <c r="F577" s="12">
        <f t="shared" si="161"/>
        <v>0</v>
      </c>
      <c r="G577" s="12">
        <f t="shared" si="152"/>
        <v>1</v>
      </c>
      <c r="H577" s="4">
        <f t="shared" si="162"/>
        <v>45042</v>
      </c>
      <c r="I577" t="s">
        <v>649</v>
      </c>
      <c r="J577" t="s">
        <v>657</v>
      </c>
      <c r="K577" t="s">
        <v>673</v>
      </c>
      <c r="L577" t="s">
        <v>704</v>
      </c>
      <c r="M577" t="s">
        <v>711</v>
      </c>
      <c r="N577" t="s">
        <v>724</v>
      </c>
      <c r="O577" t="s">
        <v>727</v>
      </c>
      <c r="P577" t="str" cm="1">
        <f t="array" ref="P577">_xlfn.IFS(S577&lt;=PERCENTILE($S$2:$S$1000, 0.33), "Low", S577&lt;=PERCENTILE($S$2:$S$1000, 0.66), "Medium", TRUE, "High")</f>
        <v>Low</v>
      </c>
      <c r="Q577" t="s">
        <v>1307</v>
      </c>
      <c r="R577" s="10">
        <v>81.489999999999995</v>
      </c>
      <c r="S577" s="10">
        <v>113.08</v>
      </c>
      <c r="T577" s="8">
        <v>0.121</v>
      </c>
      <c r="U577" s="12">
        <f t="shared" si="163"/>
        <v>0</v>
      </c>
      <c r="V577" s="6">
        <v>5</v>
      </c>
      <c r="W577" t="str">
        <f t="shared" si="153"/>
        <v>sus</v>
      </c>
      <c r="X577">
        <f t="shared" si="154"/>
        <v>0</v>
      </c>
      <c r="Y577">
        <f t="shared" si="164"/>
        <v>0</v>
      </c>
      <c r="Z577" s="10">
        <f t="shared" si="165"/>
        <v>496.98660000000001</v>
      </c>
      <c r="AA577" s="10">
        <f t="shared" si="166"/>
        <v>407.45</v>
      </c>
      <c r="AB577" s="10">
        <f t="shared" si="167"/>
        <v>89.536600000000021</v>
      </c>
      <c r="AC577" s="10">
        <f t="shared" si="155"/>
        <v>606.37750000000005</v>
      </c>
      <c r="AD577" s="10">
        <f t="shared" si="156"/>
        <v>1193.865</v>
      </c>
      <c r="AE577" s="10">
        <f t="shared" si="157"/>
        <v>1912.0450000000001</v>
      </c>
      <c r="AF577" s="10" t="str">
        <f t="shared" si="158"/>
        <v>Medium</v>
      </c>
      <c r="AG577" s="6">
        <f t="shared" si="168"/>
        <v>0.18015898215364362</v>
      </c>
      <c r="AH577" s="4">
        <f t="shared" si="169"/>
        <v>44933</v>
      </c>
      <c r="AI577" t="str">
        <f t="shared" si="170"/>
        <v>Jan-2023</v>
      </c>
    </row>
    <row r="578" spans="1:35" x14ac:dyDescent="0.25">
      <c r="A578" t="s">
        <v>590</v>
      </c>
      <c r="B578" s="4">
        <v>45872</v>
      </c>
      <c r="C578" s="4" t="str">
        <f t="shared" si="159"/>
        <v>Q3-2025</v>
      </c>
      <c r="D578" s="4" t="str">
        <f t="shared" si="160"/>
        <v>Aug-2025</v>
      </c>
      <c r="E578" s="4">
        <v>45885</v>
      </c>
      <c r="F578" s="12">
        <f t="shared" si="161"/>
        <v>13</v>
      </c>
      <c r="G578" s="12">
        <f t="shared" ref="G578:G633" si="171">IF(F578&lt;=7, 1, 0)</f>
        <v>0</v>
      </c>
      <c r="H578" s="4">
        <f t="shared" si="162"/>
        <v>45885</v>
      </c>
      <c r="I578" t="s">
        <v>648</v>
      </c>
      <c r="J578" t="s">
        <v>653</v>
      </c>
      <c r="K578" t="s">
        <v>681</v>
      </c>
      <c r="L578" t="s">
        <v>706</v>
      </c>
      <c r="M578" t="s">
        <v>710</v>
      </c>
      <c r="N578" t="s">
        <v>719</v>
      </c>
      <c r="O578" t="s">
        <v>729</v>
      </c>
      <c r="P578" t="str" cm="1">
        <f t="array" ref="P578">_xlfn.IFS(S578&lt;=PERCENTILE($S$2:$S$1000, 0.33), "Low", S578&lt;=PERCENTILE($S$2:$S$1000, 0.66), "Medium", TRUE, "High")</f>
        <v>Medium</v>
      </c>
      <c r="Q578" t="s">
        <v>1308</v>
      </c>
      <c r="R578" s="10">
        <v>698.66</v>
      </c>
      <c r="S578" s="10">
        <v>868.62</v>
      </c>
      <c r="T578" s="8">
        <v>7.1999999999999995E-2</v>
      </c>
      <c r="U578" s="12">
        <f t="shared" si="163"/>
        <v>0</v>
      </c>
      <c r="V578" s="6">
        <v>15</v>
      </c>
      <c r="W578" t="str">
        <f t="shared" ref="W578:W633" si="172">IF(E578&gt;B578, "ok", "sus")</f>
        <v>ok</v>
      </c>
      <c r="X578">
        <f t="shared" ref="X578:X633" si="173">E578-B578</f>
        <v>13</v>
      </c>
      <c r="Y578">
        <f t="shared" si="164"/>
        <v>13</v>
      </c>
      <c r="Z578" s="10">
        <f t="shared" si="165"/>
        <v>12091.190399999999</v>
      </c>
      <c r="AA578" s="10">
        <f t="shared" si="166"/>
        <v>10479.9</v>
      </c>
      <c r="AB578" s="10">
        <f t="shared" si="167"/>
        <v>1611.2903999999999</v>
      </c>
      <c r="AC578" s="10">
        <f t="shared" ref="AC578:AC633" si="174">_xlfn.QUARTILE.INC(S:S,1)</f>
        <v>606.37750000000005</v>
      </c>
      <c r="AD578" s="10">
        <f t="shared" ref="AD578:AD633" si="175">_xlfn.QUARTILE.INC(S:S,2)</f>
        <v>1193.865</v>
      </c>
      <c r="AE578" s="10">
        <f t="shared" ref="AE578:AE633" si="176">_xlfn.QUARTILE.INC(S:S,3)</f>
        <v>1912.0450000000001</v>
      </c>
      <c r="AF578" s="10" t="str">
        <f t="shared" ref="AF578:AF633" si="177">IF(S577&lt;=$AC$2,"Low",
 IF(S577&lt;=$AE$3,"Medium",
 "High"))</f>
        <v>Low</v>
      </c>
      <c r="AG578" s="6">
        <f t="shared" si="168"/>
        <v>0.13326151906432637</v>
      </c>
      <c r="AH578" s="4">
        <f t="shared" si="169"/>
        <v>44928</v>
      </c>
      <c r="AI578" t="str">
        <f t="shared" si="170"/>
        <v>Jan-2023</v>
      </c>
    </row>
    <row r="579" spans="1:35" x14ac:dyDescent="0.25">
      <c r="A579" t="s">
        <v>591</v>
      </c>
      <c r="B579" s="4">
        <v>45140</v>
      </c>
      <c r="C579" s="4" t="str">
        <f t="shared" ref="C579:C633" si="178">"Q" &amp; ROUNDUP(MONTH(B579)/3,0) &amp; "-" &amp; YEAR(B579)</f>
        <v>Q3-2023</v>
      </c>
      <c r="D579" s="4" t="str">
        <f t="shared" ref="D579:D633" si="179">TEXT(B579,"MMM-YYYY")</f>
        <v>Aug-2023</v>
      </c>
      <c r="E579" s="4">
        <v>45157</v>
      </c>
      <c r="F579" s="12">
        <f t="shared" ref="F579:F633" si="180">H579-B579</f>
        <v>17</v>
      </c>
      <c r="G579" s="12">
        <f t="shared" si="171"/>
        <v>0</v>
      </c>
      <c r="H579" s="4">
        <f t="shared" ref="H579:H633" si="181">IF(E579&lt;B579,B579+14,E579)</f>
        <v>45157</v>
      </c>
      <c r="I579" t="s">
        <v>648</v>
      </c>
      <c r="J579" t="s">
        <v>653</v>
      </c>
      <c r="K579" t="s">
        <v>688</v>
      </c>
      <c r="L579" t="s">
        <v>701</v>
      </c>
      <c r="M579" t="s">
        <v>708</v>
      </c>
      <c r="N579" t="s">
        <v>721</v>
      </c>
      <c r="O579" t="s">
        <v>729</v>
      </c>
      <c r="P579" t="str" cm="1">
        <f t="array" ref="P579">_xlfn.IFS(S579&lt;=PERCENTILE($S$2:$S$1000, 0.33), "Low", S579&lt;=PERCENTILE($S$2:$S$1000, 0.66), "Medium", TRUE, "High")</f>
        <v>Low</v>
      </c>
      <c r="Q579" t="s">
        <v>1309</v>
      </c>
      <c r="R579" s="10">
        <v>175.38</v>
      </c>
      <c r="S579" s="10">
        <v>347.9</v>
      </c>
      <c r="T579" s="8">
        <v>7.1999999999999995E-2</v>
      </c>
      <c r="U579" s="12">
        <f t="shared" ref="U579:U633" si="182">IF(T579&gt;0.2,1,0)</f>
        <v>0</v>
      </c>
      <c r="V579" s="6">
        <v>43</v>
      </c>
      <c r="W579" t="str">
        <f t="shared" si="172"/>
        <v>ok</v>
      </c>
      <c r="X579">
        <f t="shared" si="173"/>
        <v>17</v>
      </c>
      <c r="Y579">
        <f t="shared" ref="Y579:Y633" si="183">ABS(X579)</f>
        <v>17</v>
      </c>
      <c r="Z579" s="10">
        <f t="shared" ref="Z579:Z633" si="184">S579*V579*(1-T579)</f>
        <v>13882.6016</v>
      </c>
      <c r="AA579" s="10">
        <f t="shared" ref="AA579:AA633" si="185">R579*V579</f>
        <v>7541.34</v>
      </c>
      <c r="AB579" s="10">
        <f t="shared" ref="AB579:AB633" si="186">Z579-AA579</f>
        <v>6341.2615999999998</v>
      </c>
      <c r="AC579" s="10">
        <f t="shared" si="174"/>
        <v>606.37750000000005</v>
      </c>
      <c r="AD579" s="10">
        <f t="shared" si="175"/>
        <v>1193.865</v>
      </c>
      <c r="AE579" s="10">
        <f t="shared" si="176"/>
        <v>1912.0450000000001</v>
      </c>
      <c r="AF579" s="10" t="str">
        <f t="shared" si="177"/>
        <v>Medium</v>
      </c>
      <c r="AG579" s="6">
        <f t="shared" ref="AG579:AG633" si="187">IF(Z579=0,0,AB579/Z579)</f>
        <v>0.45677761148169804</v>
      </c>
      <c r="AH579" s="4">
        <f t="shared" ref="AH579:AH633" si="188">_xlfn.MINIFS($B:$B,$J:$J,J451)</f>
        <v>44941</v>
      </c>
      <c r="AI579" t="str">
        <f t="shared" ref="AI579:AI633" si="189">TEXT(AH579,"MMM-YYYY")</f>
        <v>Jan-2023</v>
      </c>
    </row>
    <row r="580" spans="1:35" x14ac:dyDescent="0.25">
      <c r="A580" t="s">
        <v>592</v>
      </c>
      <c r="B580" s="4">
        <v>45092</v>
      </c>
      <c r="C580" s="4" t="str">
        <f t="shared" si="178"/>
        <v>Q2-2023</v>
      </c>
      <c r="D580" s="4" t="str">
        <f t="shared" si="179"/>
        <v>Jun-2023</v>
      </c>
      <c r="E580" s="4">
        <v>45119</v>
      </c>
      <c r="F580" s="12">
        <f t="shared" si="180"/>
        <v>27</v>
      </c>
      <c r="G580" s="12">
        <f t="shared" si="171"/>
        <v>0</v>
      </c>
      <c r="H580" s="4">
        <f t="shared" si="181"/>
        <v>45119</v>
      </c>
      <c r="I580" t="s">
        <v>649</v>
      </c>
      <c r="J580" t="s">
        <v>658</v>
      </c>
      <c r="K580" t="s">
        <v>693</v>
      </c>
      <c r="L580" t="s">
        <v>704</v>
      </c>
      <c r="M580" t="s">
        <v>711</v>
      </c>
      <c r="N580" t="s">
        <v>714</v>
      </c>
      <c r="O580" t="s">
        <v>733</v>
      </c>
      <c r="P580" t="str" cm="1">
        <f t="array" ref="P580">_xlfn.IFS(S580&lt;=PERCENTILE($S$2:$S$1000, 0.33), "Low", S580&lt;=PERCENTILE($S$2:$S$1000, 0.66), "Medium", TRUE, "High")</f>
        <v>Medium</v>
      </c>
      <c r="Q580" t="s">
        <v>1310</v>
      </c>
      <c r="R580" s="10">
        <v>751.28</v>
      </c>
      <c r="S580" s="10">
        <v>1111.8800000000001</v>
      </c>
      <c r="T580" s="8">
        <v>0.13500000000000001</v>
      </c>
      <c r="U580" s="12">
        <f t="shared" si="182"/>
        <v>0</v>
      </c>
      <c r="V580" s="6">
        <v>7</v>
      </c>
      <c r="W580" t="str">
        <f t="shared" si="172"/>
        <v>ok</v>
      </c>
      <c r="X580">
        <f t="shared" si="173"/>
        <v>27</v>
      </c>
      <c r="Y580">
        <f t="shared" si="183"/>
        <v>27</v>
      </c>
      <c r="Z580" s="10">
        <f t="shared" si="184"/>
        <v>6732.4334000000008</v>
      </c>
      <c r="AA580" s="10">
        <f t="shared" si="185"/>
        <v>5258.96</v>
      </c>
      <c r="AB580" s="10">
        <f t="shared" si="186"/>
        <v>1473.4734000000008</v>
      </c>
      <c r="AC580" s="10">
        <f t="shared" si="174"/>
        <v>606.37750000000005</v>
      </c>
      <c r="AD580" s="10">
        <f t="shared" si="175"/>
        <v>1193.865</v>
      </c>
      <c r="AE580" s="10">
        <f t="shared" si="176"/>
        <v>1912.0450000000001</v>
      </c>
      <c r="AF580" s="10" t="str">
        <f t="shared" si="177"/>
        <v>Low</v>
      </c>
      <c r="AG580" s="6">
        <f t="shared" si="187"/>
        <v>0.21886193482433863</v>
      </c>
      <c r="AH580" s="4">
        <f t="shared" si="188"/>
        <v>44955</v>
      </c>
      <c r="AI580" t="str">
        <f t="shared" si="189"/>
        <v>Jan-2023</v>
      </c>
    </row>
    <row r="581" spans="1:35" x14ac:dyDescent="0.25">
      <c r="A581" t="s">
        <v>593</v>
      </c>
      <c r="B581" s="4">
        <v>45607</v>
      </c>
      <c r="C581" s="4" t="str">
        <f t="shared" si="178"/>
        <v>Q4-2024</v>
      </c>
      <c r="D581" s="4" t="str">
        <f t="shared" si="179"/>
        <v>Nov-2024</v>
      </c>
      <c r="E581" s="4">
        <v>45620</v>
      </c>
      <c r="F581" s="12">
        <f t="shared" si="180"/>
        <v>13</v>
      </c>
      <c r="G581" s="12">
        <f t="shared" si="171"/>
        <v>0</v>
      </c>
      <c r="H581" s="4">
        <f t="shared" si="181"/>
        <v>45620</v>
      </c>
      <c r="I581" t="s">
        <v>649</v>
      </c>
      <c r="J581" t="s">
        <v>658</v>
      </c>
      <c r="K581" t="s">
        <v>683</v>
      </c>
      <c r="L581" t="s">
        <v>701</v>
      </c>
      <c r="M581" t="s">
        <v>707</v>
      </c>
      <c r="N581" t="s">
        <v>718</v>
      </c>
      <c r="O581" t="s">
        <v>729</v>
      </c>
      <c r="P581" t="str" cm="1">
        <f t="array" ref="P581">_xlfn.IFS(S581&lt;=PERCENTILE($S$2:$S$1000, 0.33), "Low", S581&lt;=PERCENTILE($S$2:$S$1000, 0.66), "Medium", TRUE, "High")</f>
        <v>Low</v>
      </c>
      <c r="Q581" t="s">
        <v>1311</v>
      </c>
      <c r="R581" s="10">
        <v>164.53</v>
      </c>
      <c r="S581" s="10">
        <v>327.72</v>
      </c>
      <c r="T581" s="8">
        <v>6.7000000000000004E-2</v>
      </c>
      <c r="U581" s="12">
        <f t="shared" si="182"/>
        <v>0</v>
      </c>
      <c r="V581" s="6">
        <v>14</v>
      </c>
      <c r="W581" t="str">
        <f t="shared" si="172"/>
        <v>ok</v>
      </c>
      <c r="X581">
        <f t="shared" si="173"/>
        <v>13</v>
      </c>
      <c r="Y581">
        <f t="shared" si="183"/>
        <v>13</v>
      </c>
      <c r="Z581" s="10">
        <f t="shared" si="184"/>
        <v>4280.6786400000001</v>
      </c>
      <c r="AA581" s="10">
        <f t="shared" si="185"/>
        <v>2303.42</v>
      </c>
      <c r="AB581" s="10">
        <f t="shared" si="186"/>
        <v>1977.25864</v>
      </c>
      <c r="AC581" s="10">
        <f t="shared" si="174"/>
        <v>606.37750000000005</v>
      </c>
      <c r="AD581" s="10">
        <f t="shared" si="175"/>
        <v>1193.865</v>
      </c>
      <c r="AE581" s="10">
        <f t="shared" si="176"/>
        <v>1912.0450000000001</v>
      </c>
      <c r="AF581" s="10" t="str">
        <f t="shared" si="177"/>
        <v>Medium</v>
      </c>
      <c r="AG581" s="6">
        <f t="shared" si="187"/>
        <v>0.46190307805960412</v>
      </c>
      <c r="AH581" s="4">
        <f t="shared" si="188"/>
        <v>44945</v>
      </c>
      <c r="AI581" t="str">
        <f t="shared" si="189"/>
        <v>Jan-2023</v>
      </c>
    </row>
    <row r="582" spans="1:35" x14ac:dyDescent="0.25">
      <c r="A582" t="s">
        <v>594</v>
      </c>
      <c r="B582" s="4">
        <v>45849</v>
      </c>
      <c r="C582" s="4" t="str">
        <f t="shared" si="178"/>
        <v>Q3-2025</v>
      </c>
      <c r="D582" s="4" t="str">
        <f t="shared" si="179"/>
        <v>Jul-2025</v>
      </c>
      <c r="E582" s="4">
        <v>45872</v>
      </c>
      <c r="F582" s="12">
        <f t="shared" si="180"/>
        <v>23</v>
      </c>
      <c r="G582" s="12">
        <f t="shared" si="171"/>
        <v>0</v>
      </c>
      <c r="H582" s="4">
        <f t="shared" si="181"/>
        <v>45872</v>
      </c>
      <c r="I582" t="s">
        <v>646</v>
      </c>
      <c r="J582" t="s">
        <v>650</v>
      </c>
      <c r="K582" t="s">
        <v>678</v>
      </c>
      <c r="L582" t="s">
        <v>705</v>
      </c>
      <c r="M582" t="s">
        <v>707</v>
      </c>
      <c r="N582" t="s">
        <v>712</v>
      </c>
      <c r="O582" t="s">
        <v>730</v>
      </c>
      <c r="P582" t="str" cm="1">
        <f t="array" ref="P582">_xlfn.IFS(S582&lt;=PERCENTILE($S$2:$S$1000, 0.33), "Low", S582&lt;=PERCENTILE($S$2:$S$1000, 0.66), "Medium", TRUE, "High")</f>
        <v>Low</v>
      </c>
      <c r="Q582" t="s">
        <v>1312</v>
      </c>
      <c r="R582" s="10">
        <v>389.93</v>
      </c>
      <c r="S582" s="10">
        <v>486.13</v>
      </c>
      <c r="T582" s="8">
        <v>0.13200000000000001</v>
      </c>
      <c r="U582" s="12">
        <f t="shared" si="182"/>
        <v>0</v>
      </c>
      <c r="V582" s="6">
        <v>17</v>
      </c>
      <c r="W582" t="str">
        <f t="shared" si="172"/>
        <v>ok</v>
      </c>
      <c r="X582">
        <f t="shared" si="173"/>
        <v>23</v>
      </c>
      <c r="Y582">
        <f t="shared" si="183"/>
        <v>23</v>
      </c>
      <c r="Z582" s="10">
        <f t="shared" si="184"/>
        <v>7173.3342799999991</v>
      </c>
      <c r="AA582" s="10">
        <f t="shared" si="185"/>
        <v>6628.81</v>
      </c>
      <c r="AB582" s="10">
        <f t="shared" si="186"/>
        <v>544.52427999999873</v>
      </c>
      <c r="AC582" s="10">
        <f t="shared" si="174"/>
        <v>606.37750000000005</v>
      </c>
      <c r="AD582" s="10">
        <f t="shared" si="175"/>
        <v>1193.865</v>
      </c>
      <c r="AE582" s="10">
        <f t="shared" si="176"/>
        <v>1912.0450000000001</v>
      </c>
      <c r="AF582" s="10" t="str">
        <f t="shared" si="177"/>
        <v>Low</v>
      </c>
      <c r="AG582" s="6">
        <f t="shared" si="187"/>
        <v>7.5909508569562828E-2</v>
      </c>
      <c r="AH582" s="4">
        <f t="shared" si="188"/>
        <v>44955</v>
      </c>
      <c r="AI582" t="str">
        <f t="shared" si="189"/>
        <v>Jan-2023</v>
      </c>
    </row>
    <row r="583" spans="1:35" x14ac:dyDescent="0.25">
      <c r="A583" t="s">
        <v>595</v>
      </c>
      <c r="B583" s="4">
        <v>45080</v>
      </c>
      <c r="C583" s="4" t="str">
        <f t="shared" si="178"/>
        <v>Q2-2023</v>
      </c>
      <c r="D583" s="4" t="str">
        <f t="shared" si="179"/>
        <v>Jun-2023</v>
      </c>
      <c r="E583" s="4">
        <v>45108</v>
      </c>
      <c r="F583" s="12">
        <f t="shared" si="180"/>
        <v>28</v>
      </c>
      <c r="G583" s="12">
        <f t="shared" si="171"/>
        <v>0</v>
      </c>
      <c r="H583" s="4">
        <f t="shared" si="181"/>
        <v>45108</v>
      </c>
      <c r="I583" t="s">
        <v>648</v>
      </c>
      <c r="J583" t="s">
        <v>655</v>
      </c>
      <c r="K583" t="s">
        <v>672</v>
      </c>
      <c r="L583" t="s">
        <v>705</v>
      </c>
      <c r="M583" t="s">
        <v>709</v>
      </c>
      <c r="N583" t="s">
        <v>720</v>
      </c>
      <c r="O583" t="s">
        <v>727</v>
      </c>
      <c r="P583" t="str" cm="1">
        <f t="array" ref="P583">_xlfn.IFS(S583&lt;=PERCENTILE($S$2:$S$1000, 0.33), "Low", S583&lt;=PERCENTILE($S$2:$S$1000, 0.66), "Medium", TRUE, "High")</f>
        <v>High</v>
      </c>
      <c r="Q583" t="s">
        <v>1313</v>
      </c>
      <c r="R583" s="10">
        <v>860.4</v>
      </c>
      <c r="S583" s="10">
        <v>2066.6</v>
      </c>
      <c r="T583" s="8">
        <v>0.01</v>
      </c>
      <c r="U583" s="12">
        <f t="shared" si="182"/>
        <v>0</v>
      </c>
      <c r="V583" s="6">
        <v>3</v>
      </c>
      <c r="W583" t="str">
        <f t="shared" si="172"/>
        <v>ok</v>
      </c>
      <c r="X583">
        <f t="shared" si="173"/>
        <v>28</v>
      </c>
      <c r="Y583">
        <f t="shared" si="183"/>
        <v>28</v>
      </c>
      <c r="Z583" s="10">
        <f t="shared" si="184"/>
        <v>6137.8019999999988</v>
      </c>
      <c r="AA583" s="10">
        <f t="shared" si="185"/>
        <v>2581.1999999999998</v>
      </c>
      <c r="AB583" s="10">
        <f t="shared" si="186"/>
        <v>3556.601999999999</v>
      </c>
      <c r="AC583" s="10">
        <f t="shared" si="174"/>
        <v>606.37750000000005</v>
      </c>
      <c r="AD583" s="10">
        <f t="shared" si="175"/>
        <v>1193.865</v>
      </c>
      <c r="AE583" s="10">
        <f t="shared" si="176"/>
        <v>1912.0450000000001</v>
      </c>
      <c r="AF583" s="10" t="str">
        <f t="shared" si="177"/>
        <v>Low</v>
      </c>
      <c r="AG583" s="6">
        <f t="shared" si="187"/>
        <v>0.57945857491004105</v>
      </c>
      <c r="AH583" s="4">
        <f t="shared" si="188"/>
        <v>44988</v>
      </c>
      <c r="AI583" t="str">
        <f t="shared" si="189"/>
        <v>Mar-2023</v>
      </c>
    </row>
    <row r="584" spans="1:35" x14ac:dyDescent="0.25">
      <c r="A584" t="s">
        <v>596</v>
      </c>
      <c r="B584" s="4">
        <v>44955</v>
      </c>
      <c r="C584" s="4" t="str">
        <f t="shared" si="178"/>
        <v>Q1-2023</v>
      </c>
      <c r="D584" s="4" t="str">
        <f t="shared" si="179"/>
        <v>Jan-2023</v>
      </c>
      <c r="E584" s="4">
        <v>44963</v>
      </c>
      <c r="F584" s="12">
        <f t="shared" si="180"/>
        <v>8</v>
      </c>
      <c r="G584" s="12">
        <f t="shared" si="171"/>
        <v>0</v>
      </c>
      <c r="H584" s="4">
        <f t="shared" si="181"/>
        <v>44963</v>
      </c>
      <c r="I584" t="s">
        <v>648</v>
      </c>
      <c r="J584" t="s">
        <v>655</v>
      </c>
      <c r="K584" t="s">
        <v>672</v>
      </c>
      <c r="L584" t="s">
        <v>701</v>
      </c>
      <c r="M584" t="s">
        <v>709</v>
      </c>
      <c r="N584" t="s">
        <v>726</v>
      </c>
      <c r="O584" t="s">
        <v>732</v>
      </c>
      <c r="P584" t="str" cm="1">
        <f t="array" ref="P584">_xlfn.IFS(S584&lt;=PERCENTILE($S$2:$S$1000, 0.33), "Low", S584&lt;=PERCENTILE($S$2:$S$1000, 0.66), "Medium", TRUE, "High")</f>
        <v>Low</v>
      </c>
      <c r="Q584" t="s">
        <v>1314</v>
      </c>
      <c r="R584" s="10">
        <v>41.84</v>
      </c>
      <c r="S584" s="10">
        <v>86.2</v>
      </c>
      <c r="T584" s="8">
        <v>0.22600000000000001</v>
      </c>
      <c r="U584" s="12">
        <f t="shared" si="182"/>
        <v>1</v>
      </c>
      <c r="V584" s="6">
        <v>27</v>
      </c>
      <c r="W584" t="str">
        <f t="shared" si="172"/>
        <v>ok</v>
      </c>
      <c r="X584">
        <f t="shared" si="173"/>
        <v>8</v>
      </c>
      <c r="Y584">
        <f t="shared" si="183"/>
        <v>8</v>
      </c>
      <c r="Z584" s="10">
        <f t="shared" si="184"/>
        <v>1801.4076000000002</v>
      </c>
      <c r="AA584" s="10">
        <f t="shared" si="185"/>
        <v>1129.68</v>
      </c>
      <c r="AB584" s="10">
        <f t="shared" si="186"/>
        <v>671.72760000000017</v>
      </c>
      <c r="AC584" s="10">
        <f t="shared" si="174"/>
        <v>606.37750000000005</v>
      </c>
      <c r="AD584" s="10">
        <f t="shared" si="175"/>
        <v>1193.865</v>
      </c>
      <c r="AE584" s="10">
        <f t="shared" si="176"/>
        <v>1912.0450000000001</v>
      </c>
      <c r="AF584" s="10" t="str">
        <f t="shared" si="177"/>
        <v>High</v>
      </c>
      <c r="AG584" s="6">
        <f t="shared" si="187"/>
        <v>0.37289039970742882</v>
      </c>
      <c r="AH584" s="4">
        <f t="shared" si="188"/>
        <v>44939</v>
      </c>
      <c r="AI584" t="str">
        <f t="shared" si="189"/>
        <v>Jan-2023</v>
      </c>
    </row>
    <row r="585" spans="1:35" x14ac:dyDescent="0.25">
      <c r="A585" t="s">
        <v>597</v>
      </c>
      <c r="B585" s="4">
        <v>45541</v>
      </c>
      <c r="C585" s="4" t="str">
        <f t="shared" si="178"/>
        <v>Q3-2024</v>
      </c>
      <c r="D585" s="4" t="str">
        <f t="shared" si="179"/>
        <v>Sept-2024</v>
      </c>
      <c r="E585" s="4">
        <v>45539</v>
      </c>
      <c r="F585" s="12">
        <f t="shared" si="180"/>
        <v>14</v>
      </c>
      <c r="G585" s="12">
        <f t="shared" si="171"/>
        <v>0</v>
      </c>
      <c r="H585" s="4">
        <f t="shared" si="181"/>
        <v>45555</v>
      </c>
      <c r="I585" t="s">
        <v>647</v>
      </c>
      <c r="J585" t="s">
        <v>652</v>
      </c>
      <c r="K585" t="s">
        <v>666</v>
      </c>
      <c r="L585" t="s">
        <v>701</v>
      </c>
      <c r="M585" t="s">
        <v>711</v>
      </c>
      <c r="N585" t="s">
        <v>720</v>
      </c>
      <c r="O585" t="s">
        <v>731</v>
      </c>
      <c r="P585" t="str" cm="1">
        <f t="array" ref="P585">_xlfn.IFS(S585&lt;=PERCENTILE($S$2:$S$1000, 0.33), "Low", S585&lt;=PERCENTILE($S$2:$S$1000, 0.66), "Medium", TRUE, "High")</f>
        <v>High</v>
      </c>
      <c r="Q585" t="s">
        <v>1315</v>
      </c>
      <c r="R585" s="10">
        <v>1368.17</v>
      </c>
      <c r="S585" s="10">
        <v>2307.75</v>
      </c>
      <c r="T585" s="8">
        <v>0.16300000000000001</v>
      </c>
      <c r="U585" s="12">
        <f t="shared" si="182"/>
        <v>0</v>
      </c>
      <c r="V585" s="6">
        <v>21</v>
      </c>
      <c r="W585" t="str">
        <f t="shared" si="172"/>
        <v>sus</v>
      </c>
      <c r="X585">
        <f t="shared" si="173"/>
        <v>-2</v>
      </c>
      <c r="Y585">
        <f t="shared" si="183"/>
        <v>2</v>
      </c>
      <c r="Z585" s="10">
        <f t="shared" si="184"/>
        <v>40563.321749999996</v>
      </c>
      <c r="AA585" s="10">
        <f t="shared" si="185"/>
        <v>28731.57</v>
      </c>
      <c r="AB585" s="10">
        <f t="shared" si="186"/>
        <v>11831.751749999996</v>
      </c>
      <c r="AC585" s="10">
        <f t="shared" si="174"/>
        <v>606.37750000000005</v>
      </c>
      <c r="AD585" s="10">
        <f t="shared" si="175"/>
        <v>1193.865</v>
      </c>
      <c r="AE585" s="10">
        <f t="shared" si="176"/>
        <v>1912.0450000000001</v>
      </c>
      <c r="AF585" s="10" t="str">
        <f t="shared" si="177"/>
        <v>Low</v>
      </c>
      <c r="AG585" s="6">
        <f t="shared" si="187"/>
        <v>0.29168596750831921</v>
      </c>
      <c r="AH585" s="4">
        <f t="shared" si="188"/>
        <v>44928</v>
      </c>
      <c r="AI585" t="str">
        <f t="shared" si="189"/>
        <v>Jan-2023</v>
      </c>
    </row>
    <row r="586" spans="1:35" x14ac:dyDescent="0.25">
      <c r="A586" t="s">
        <v>598</v>
      </c>
      <c r="B586" s="4">
        <v>45507</v>
      </c>
      <c r="C586" s="4" t="str">
        <f t="shared" si="178"/>
        <v>Q3-2024</v>
      </c>
      <c r="D586" s="4" t="str">
        <f t="shared" si="179"/>
        <v>Aug-2024</v>
      </c>
      <c r="E586" s="4">
        <v>45513</v>
      </c>
      <c r="F586" s="12">
        <f t="shared" si="180"/>
        <v>6</v>
      </c>
      <c r="G586" s="12">
        <f t="shared" si="171"/>
        <v>1</v>
      </c>
      <c r="H586" s="4">
        <f t="shared" si="181"/>
        <v>45513</v>
      </c>
      <c r="I586" t="s">
        <v>646</v>
      </c>
      <c r="J586" t="s">
        <v>650</v>
      </c>
      <c r="K586" t="s">
        <v>675</v>
      </c>
      <c r="L586" t="s">
        <v>704</v>
      </c>
      <c r="M586" t="s">
        <v>709</v>
      </c>
      <c r="N586" t="s">
        <v>722</v>
      </c>
      <c r="O586" t="s">
        <v>731</v>
      </c>
      <c r="P586" t="str" cm="1">
        <f t="array" ref="P586">_xlfn.IFS(S586&lt;=PERCENTILE($S$2:$S$1000, 0.33), "Low", S586&lt;=PERCENTILE($S$2:$S$1000, 0.66), "Medium", TRUE, "High")</f>
        <v>Medium</v>
      </c>
      <c r="Q586" t="s">
        <v>1316</v>
      </c>
      <c r="R586" s="10">
        <v>643.21</v>
      </c>
      <c r="S586" s="10">
        <v>1112.81</v>
      </c>
      <c r="T586" s="8">
        <v>0.14099999999999999</v>
      </c>
      <c r="U586" s="12">
        <f t="shared" si="182"/>
        <v>0</v>
      </c>
      <c r="V586" s="6">
        <v>4</v>
      </c>
      <c r="W586" t="str">
        <f t="shared" si="172"/>
        <v>ok</v>
      </c>
      <c r="X586">
        <f t="shared" si="173"/>
        <v>6</v>
      </c>
      <c r="Y586">
        <f t="shared" si="183"/>
        <v>6</v>
      </c>
      <c r="Z586" s="10">
        <f t="shared" si="184"/>
        <v>3823.6151599999998</v>
      </c>
      <c r="AA586" s="10">
        <f t="shared" si="185"/>
        <v>2572.84</v>
      </c>
      <c r="AB586" s="10">
        <f t="shared" si="186"/>
        <v>1250.7751599999997</v>
      </c>
      <c r="AC586" s="10">
        <f t="shared" si="174"/>
        <v>606.37750000000005</v>
      </c>
      <c r="AD586" s="10">
        <f t="shared" si="175"/>
        <v>1193.865</v>
      </c>
      <c r="AE586" s="10">
        <f t="shared" si="176"/>
        <v>1912.0450000000001</v>
      </c>
      <c r="AF586" s="10" t="str">
        <f t="shared" si="177"/>
        <v>High</v>
      </c>
      <c r="AG586" s="6">
        <f t="shared" si="187"/>
        <v>0.32711847496702562</v>
      </c>
      <c r="AH586" s="4">
        <f t="shared" si="188"/>
        <v>44955</v>
      </c>
      <c r="AI586" t="str">
        <f t="shared" si="189"/>
        <v>Jan-2023</v>
      </c>
    </row>
    <row r="587" spans="1:35" x14ac:dyDescent="0.25">
      <c r="A587" t="s">
        <v>599</v>
      </c>
      <c r="B587" s="4">
        <v>45764</v>
      </c>
      <c r="C587" s="4" t="str">
        <f t="shared" si="178"/>
        <v>Q2-2025</v>
      </c>
      <c r="D587" s="4" t="str">
        <f t="shared" si="179"/>
        <v>Apr-2025</v>
      </c>
      <c r="E587" s="4">
        <v>45764</v>
      </c>
      <c r="F587" s="12">
        <f t="shared" si="180"/>
        <v>0</v>
      </c>
      <c r="G587" s="12">
        <f t="shared" si="171"/>
        <v>1</v>
      </c>
      <c r="H587" s="4">
        <f t="shared" si="181"/>
        <v>45764</v>
      </c>
      <c r="I587" t="s">
        <v>648</v>
      </c>
      <c r="J587" t="s">
        <v>655</v>
      </c>
      <c r="K587" t="s">
        <v>670</v>
      </c>
      <c r="L587" t="s">
        <v>701</v>
      </c>
      <c r="M587" t="s">
        <v>710</v>
      </c>
      <c r="N587" t="s">
        <v>716</v>
      </c>
      <c r="O587" t="s">
        <v>730</v>
      </c>
      <c r="P587" t="str" cm="1">
        <f t="array" ref="P587">_xlfn.IFS(S587&lt;=PERCENTILE($S$2:$S$1000, 0.33), "Low", S587&lt;=PERCENTILE($S$2:$S$1000, 0.66), "Medium", TRUE, "High")</f>
        <v>Medium</v>
      </c>
      <c r="Q587" t="s">
        <v>1317</v>
      </c>
      <c r="R587" s="10">
        <v>719.41</v>
      </c>
      <c r="S587" s="10">
        <v>1125.99</v>
      </c>
      <c r="T587" s="8">
        <v>4.1000000000000002E-2</v>
      </c>
      <c r="U587" s="12">
        <f t="shared" si="182"/>
        <v>0</v>
      </c>
      <c r="V587" s="6">
        <v>21</v>
      </c>
      <c r="W587" t="str">
        <f t="shared" si="172"/>
        <v>sus</v>
      </c>
      <c r="X587">
        <f t="shared" si="173"/>
        <v>0</v>
      </c>
      <c r="Y587">
        <f t="shared" si="183"/>
        <v>0</v>
      </c>
      <c r="Z587" s="10">
        <f t="shared" si="184"/>
        <v>22676.312610000001</v>
      </c>
      <c r="AA587" s="10">
        <f t="shared" si="185"/>
        <v>15107.609999999999</v>
      </c>
      <c r="AB587" s="10">
        <f t="shared" si="186"/>
        <v>7568.7026100000021</v>
      </c>
      <c r="AC587" s="10">
        <f t="shared" si="174"/>
        <v>606.37750000000005</v>
      </c>
      <c r="AD587" s="10">
        <f t="shared" si="175"/>
        <v>1193.865</v>
      </c>
      <c r="AE587" s="10">
        <f t="shared" si="176"/>
        <v>1912.0450000000001</v>
      </c>
      <c r="AF587" s="10" t="str">
        <f t="shared" si="177"/>
        <v>Medium</v>
      </c>
      <c r="AG587" s="6">
        <f t="shared" si="187"/>
        <v>0.33377131194876403</v>
      </c>
      <c r="AH587" s="4">
        <f t="shared" si="188"/>
        <v>44938</v>
      </c>
      <c r="AI587" t="str">
        <f t="shared" si="189"/>
        <v>Jan-2023</v>
      </c>
    </row>
    <row r="588" spans="1:35" x14ac:dyDescent="0.25">
      <c r="A588" t="s">
        <v>600</v>
      </c>
      <c r="B588" s="4">
        <v>45049</v>
      </c>
      <c r="C588" s="4" t="str">
        <f t="shared" si="178"/>
        <v>Q2-2023</v>
      </c>
      <c r="D588" s="4" t="str">
        <f t="shared" si="179"/>
        <v>May-2023</v>
      </c>
      <c r="E588" s="4">
        <v>45062</v>
      </c>
      <c r="F588" s="12">
        <f t="shared" si="180"/>
        <v>13</v>
      </c>
      <c r="G588" s="12">
        <f t="shared" si="171"/>
        <v>0</v>
      </c>
      <c r="H588" s="4">
        <f t="shared" si="181"/>
        <v>45062</v>
      </c>
      <c r="I588" t="s">
        <v>648</v>
      </c>
      <c r="J588" t="s">
        <v>660</v>
      </c>
      <c r="K588" t="s">
        <v>700</v>
      </c>
      <c r="L588" t="s">
        <v>701</v>
      </c>
      <c r="M588" t="s">
        <v>709</v>
      </c>
      <c r="N588" t="s">
        <v>716</v>
      </c>
      <c r="O588" t="s">
        <v>730</v>
      </c>
      <c r="P588" t="str" cm="1">
        <f t="array" ref="P588">_xlfn.IFS(S588&lt;=PERCENTILE($S$2:$S$1000, 0.33), "Low", S588&lt;=PERCENTILE($S$2:$S$1000, 0.66), "Medium", TRUE, "High")</f>
        <v>Low</v>
      </c>
      <c r="Q588" t="s">
        <v>1318</v>
      </c>
      <c r="R588" s="10">
        <v>64.5</v>
      </c>
      <c r="S588" s="10">
        <v>123.62</v>
      </c>
      <c r="T588" s="8">
        <v>0</v>
      </c>
      <c r="U588" s="12">
        <f t="shared" si="182"/>
        <v>0</v>
      </c>
      <c r="V588" s="6">
        <v>3</v>
      </c>
      <c r="W588" t="str">
        <f t="shared" si="172"/>
        <v>ok</v>
      </c>
      <c r="X588">
        <f t="shared" si="173"/>
        <v>13</v>
      </c>
      <c r="Y588">
        <f t="shared" si="183"/>
        <v>13</v>
      </c>
      <c r="Z588" s="10">
        <f t="shared" si="184"/>
        <v>370.86</v>
      </c>
      <c r="AA588" s="10">
        <f t="shared" si="185"/>
        <v>193.5</v>
      </c>
      <c r="AB588" s="10">
        <f t="shared" si="186"/>
        <v>177.36</v>
      </c>
      <c r="AC588" s="10">
        <f t="shared" si="174"/>
        <v>606.37750000000005</v>
      </c>
      <c r="AD588" s="10">
        <f t="shared" si="175"/>
        <v>1193.865</v>
      </c>
      <c r="AE588" s="10">
        <f t="shared" si="176"/>
        <v>1912.0450000000001</v>
      </c>
      <c r="AF588" s="10" t="str">
        <f t="shared" si="177"/>
        <v>Medium</v>
      </c>
      <c r="AG588" s="6">
        <f t="shared" si="187"/>
        <v>0.47823976702798904</v>
      </c>
      <c r="AH588" s="4">
        <f t="shared" si="188"/>
        <v>44948</v>
      </c>
      <c r="AI588" t="str">
        <f t="shared" si="189"/>
        <v>Jan-2023</v>
      </c>
    </row>
    <row r="589" spans="1:35" x14ac:dyDescent="0.25">
      <c r="A589" t="s">
        <v>601</v>
      </c>
      <c r="B589" s="4">
        <v>45364</v>
      </c>
      <c r="C589" s="4" t="str">
        <f t="shared" si="178"/>
        <v>Q1-2024</v>
      </c>
      <c r="D589" s="4" t="str">
        <f t="shared" si="179"/>
        <v>Mar-2024</v>
      </c>
      <c r="E589" s="4">
        <v>45388</v>
      </c>
      <c r="F589" s="12">
        <f t="shared" si="180"/>
        <v>24</v>
      </c>
      <c r="G589" s="12">
        <f t="shared" si="171"/>
        <v>0</v>
      </c>
      <c r="H589" s="4">
        <f t="shared" si="181"/>
        <v>45388</v>
      </c>
      <c r="I589" t="s">
        <v>646</v>
      </c>
      <c r="J589" t="s">
        <v>651</v>
      </c>
      <c r="K589" t="s">
        <v>669</v>
      </c>
      <c r="L589" t="s">
        <v>704</v>
      </c>
      <c r="M589" t="s">
        <v>710</v>
      </c>
      <c r="N589" t="s">
        <v>716</v>
      </c>
      <c r="O589" t="s">
        <v>727</v>
      </c>
      <c r="P589" t="str" cm="1">
        <f t="array" ref="P589">_xlfn.IFS(S589&lt;=PERCENTILE($S$2:$S$1000, 0.33), "Low", S589&lt;=PERCENTILE($S$2:$S$1000, 0.66), "Medium", TRUE, "High")</f>
        <v>High</v>
      </c>
      <c r="Q589" t="s">
        <v>1319</v>
      </c>
      <c r="R589" s="10">
        <v>1232.78</v>
      </c>
      <c r="S589" s="10">
        <v>1731.75</v>
      </c>
      <c r="T589" s="8">
        <v>9.2999999999999999E-2</v>
      </c>
      <c r="U589" s="12">
        <f t="shared" si="182"/>
        <v>0</v>
      </c>
      <c r="V589" s="6">
        <v>16</v>
      </c>
      <c r="W589" t="str">
        <f t="shared" si="172"/>
        <v>ok</v>
      </c>
      <c r="X589">
        <f t="shared" si="173"/>
        <v>24</v>
      </c>
      <c r="Y589">
        <f t="shared" si="183"/>
        <v>24</v>
      </c>
      <c r="Z589" s="10">
        <f t="shared" si="184"/>
        <v>25131.155999999999</v>
      </c>
      <c r="AA589" s="10">
        <f t="shared" si="185"/>
        <v>19724.48</v>
      </c>
      <c r="AB589" s="10">
        <f t="shared" si="186"/>
        <v>5406.6759999999995</v>
      </c>
      <c r="AC589" s="10">
        <f t="shared" si="174"/>
        <v>606.37750000000005</v>
      </c>
      <c r="AD589" s="10">
        <f t="shared" si="175"/>
        <v>1193.865</v>
      </c>
      <c r="AE589" s="10">
        <f t="shared" si="176"/>
        <v>1912.0450000000001</v>
      </c>
      <c r="AF589" s="10" t="str">
        <f t="shared" si="177"/>
        <v>Low</v>
      </c>
      <c r="AG589" s="6">
        <f t="shared" si="187"/>
        <v>0.21513837246484005</v>
      </c>
      <c r="AH589" s="4">
        <f t="shared" si="188"/>
        <v>44936</v>
      </c>
      <c r="AI589" t="str">
        <f t="shared" si="189"/>
        <v>Jan-2023</v>
      </c>
    </row>
    <row r="590" spans="1:35" x14ac:dyDescent="0.25">
      <c r="A590" t="s">
        <v>602</v>
      </c>
      <c r="B590" s="4">
        <v>45459</v>
      </c>
      <c r="C590" s="4" t="str">
        <f t="shared" si="178"/>
        <v>Q2-2024</v>
      </c>
      <c r="D590" s="4" t="str">
        <f t="shared" si="179"/>
        <v>Jun-2024</v>
      </c>
      <c r="E590" s="4">
        <v>45464</v>
      </c>
      <c r="F590" s="12">
        <f t="shared" si="180"/>
        <v>5</v>
      </c>
      <c r="G590" s="12">
        <f t="shared" si="171"/>
        <v>1</v>
      </c>
      <c r="H590" s="4">
        <f t="shared" si="181"/>
        <v>45464</v>
      </c>
      <c r="I590" t="s">
        <v>647</v>
      </c>
      <c r="J590" t="s">
        <v>652</v>
      </c>
      <c r="K590" t="s">
        <v>689</v>
      </c>
      <c r="L590" t="s">
        <v>705</v>
      </c>
      <c r="M590" t="s">
        <v>710</v>
      </c>
      <c r="N590" t="s">
        <v>721</v>
      </c>
      <c r="O590" t="s">
        <v>730</v>
      </c>
      <c r="P590" t="str" cm="1">
        <f t="array" ref="P590">_xlfn.IFS(S590&lt;=PERCENTILE($S$2:$S$1000, 0.33), "Low", S590&lt;=PERCENTILE($S$2:$S$1000, 0.66), "Medium", TRUE, "High")</f>
        <v>High</v>
      </c>
      <c r="Q590" t="s">
        <v>1320</v>
      </c>
      <c r="R590" s="10">
        <v>1367.13</v>
      </c>
      <c r="S590" s="10">
        <v>3062.01</v>
      </c>
      <c r="T590" s="8">
        <v>0.10299999999999999</v>
      </c>
      <c r="U590" s="12">
        <f t="shared" si="182"/>
        <v>0</v>
      </c>
      <c r="V590" s="6">
        <v>25</v>
      </c>
      <c r="W590" t="str">
        <f t="shared" si="172"/>
        <v>ok</v>
      </c>
      <c r="X590">
        <f t="shared" si="173"/>
        <v>5</v>
      </c>
      <c r="Y590">
        <f t="shared" si="183"/>
        <v>5</v>
      </c>
      <c r="Z590" s="10">
        <f t="shared" si="184"/>
        <v>68665.574250000005</v>
      </c>
      <c r="AA590" s="10">
        <f t="shared" si="185"/>
        <v>34178.25</v>
      </c>
      <c r="AB590" s="10">
        <f t="shared" si="186"/>
        <v>34487.324250000005</v>
      </c>
      <c r="AC590" s="10">
        <f t="shared" si="174"/>
        <v>606.37750000000005</v>
      </c>
      <c r="AD590" s="10">
        <f t="shared" si="175"/>
        <v>1193.865</v>
      </c>
      <c r="AE590" s="10">
        <f t="shared" si="176"/>
        <v>1912.0450000000001</v>
      </c>
      <c r="AF590" s="10" t="str">
        <f t="shared" si="177"/>
        <v>Medium</v>
      </c>
      <c r="AG590" s="6">
        <f t="shared" si="187"/>
        <v>0.50225057645971705</v>
      </c>
      <c r="AH590" s="4">
        <f t="shared" si="188"/>
        <v>44988</v>
      </c>
      <c r="AI590" t="str">
        <f t="shared" si="189"/>
        <v>Mar-2023</v>
      </c>
    </row>
    <row r="591" spans="1:35" x14ac:dyDescent="0.25">
      <c r="A591" t="s">
        <v>603</v>
      </c>
      <c r="B591" s="4">
        <v>45703</v>
      </c>
      <c r="C591" s="4" t="str">
        <f t="shared" si="178"/>
        <v>Q1-2025</v>
      </c>
      <c r="D591" s="4" t="str">
        <f t="shared" si="179"/>
        <v>Feb-2025</v>
      </c>
      <c r="E591" s="4">
        <v>45715</v>
      </c>
      <c r="F591" s="12">
        <f t="shared" si="180"/>
        <v>12</v>
      </c>
      <c r="G591" s="12">
        <f t="shared" si="171"/>
        <v>0</v>
      </c>
      <c r="H591" s="4">
        <f t="shared" si="181"/>
        <v>45715</v>
      </c>
      <c r="I591" t="s">
        <v>649</v>
      </c>
      <c r="J591" t="s">
        <v>657</v>
      </c>
      <c r="K591" t="s">
        <v>679</v>
      </c>
      <c r="L591" t="s">
        <v>703</v>
      </c>
      <c r="M591" t="s">
        <v>711</v>
      </c>
      <c r="N591" t="s">
        <v>723</v>
      </c>
      <c r="O591" t="s">
        <v>733</v>
      </c>
      <c r="P591" t="str" cm="1">
        <f t="array" ref="P591">_xlfn.IFS(S591&lt;=PERCENTILE($S$2:$S$1000, 0.33), "Low", S591&lt;=PERCENTILE($S$2:$S$1000, 0.66), "Medium", TRUE, "High")</f>
        <v>High</v>
      </c>
      <c r="Q591" t="s">
        <v>1321</v>
      </c>
      <c r="R591" s="10">
        <v>1027.26</v>
      </c>
      <c r="S591" s="10">
        <v>2200.41</v>
      </c>
      <c r="T591" s="8">
        <v>8.7999999999999995E-2</v>
      </c>
      <c r="U591" s="12">
        <f t="shared" si="182"/>
        <v>0</v>
      </c>
      <c r="V591" s="6">
        <v>6</v>
      </c>
      <c r="W591" t="str">
        <f t="shared" si="172"/>
        <v>ok</v>
      </c>
      <c r="X591">
        <f t="shared" si="173"/>
        <v>12</v>
      </c>
      <c r="Y591">
        <f t="shared" si="183"/>
        <v>12</v>
      </c>
      <c r="Z591" s="10">
        <f t="shared" si="184"/>
        <v>12040.64352</v>
      </c>
      <c r="AA591" s="10">
        <f t="shared" si="185"/>
        <v>6163.5599999999995</v>
      </c>
      <c r="AB591" s="10">
        <f t="shared" si="186"/>
        <v>5877.0835200000001</v>
      </c>
      <c r="AC591" s="10">
        <f t="shared" si="174"/>
        <v>606.37750000000005</v>
      </c>
      <c r="AD591" s="10">
        <f t="shared" si="175"/>
        <v>1193.865</v>
      </c>
      <c r="AE591" s="10">
        <f t="shared" si="176"/>
        <v>1912.0450000000001</v>
      </c>
      <c r="AF591" s="10" t="str">
        <f t="shared" si="177"/>
        <v>High</v>
      </c>
      <c r="AG591" s="6">
        <f t="shared" si="187"/>
        <v>0.48810377204822358</v>
      </c>
      <c r="AH591" s="4">
        <f t="shared" si="188"/>
        <v>44933</v>
      </c>
      <c r="AI591" t="str">
        <f t="shared" si="189"/>
        <v>Jan-2023</v>
      </c>
    </row>
    <row r="592" spans="1:35" x14ac:dyDescent="0.25">
      <c r="A592" t="s">
        <v>604</v>
      </c>
      <c r="B592" s="4">
        <v>45019</v>
      </c>
      <c r="C592" s="4" t="str">
        <f t="shared" si="178"/>
        <v>Q2-2023</v>
      </c>
      <c r="D592" s="4" t="str">
        <f t="shared" si="179"/>
        <v>Apr-2023</v>
      </c>
      <c r="E592" s="4">
        <v>45032</v>
      </c>
      <c r="F592" s="12">
        <f t="shared" si="180"/>
        <v>13</v>
      </c>
      <c r="G592" s="12">
        <f t="shared" si="171"/>
        <v>0</v>
      </c>
      <c r="H592" s="4">
        <f t="shared" si="181"/>
        <v>45032</v>
      </c>
      <c r="I592" t="s">
        <v>649</v>
      </c>
      <c r="J592" t="s">
        <v>657</v>
      </c>
      <c r="K592" t="s">
        <v>673</v>
      </c>
      <c r="L592" t="s">
        <v>703</v>
      </c>
      <c r="M592" t="s">
        <v>709</v>
      </c>
      <c r="N592" t="s">
        <v>724</v>
      </c>
      <c r="O592" t="s">
        <v>733</v>
      </c>
      <c r="P592" t="str" cm="1">
        <f t="array" ref="P592">_xlfn.IFS(S592&lt;=PERCENTILE($S$2:$S$1000, 0.33), "Low", S592&lt;=PERCENTILE($S$2:$S$1000, 0.66), "Medium", TRUE, "High")</f>
        <v>Low</v>
      </c>
      <c r="Q592" t="s">
        <v>1322</v>
      </c>
      <c r="R592" s="10">
        <v>790.54</v>
      </c>
      <c r="S592" s="10">
        <v>601.49</v>
      </c>
      <c r="T592" s="8">
        <v>0</v>
      </c>
      <c r="U592" s="12">
        <f t="shared" si="182"/>
        <v>0</v>
      </c>
      <c r="V592" s="6">
        <v>15</v>
      </c>
      <c r="W592" t="str">
        <f t="shared" si="172"/>
        <v>ok</v>
      </c>
      <c r="X592">
        <f t="shared" si="173"/>
        <v>13</v>
      </c>
      <c r="Y592">
        <f t="shared" si="183"/>
        <v>13</v>
      </c>
      <c r="Z592" s="10">
        <f t="shared" si="184"/>
        <v>9022.35</v>
      </c>
      <c r="AA592" s="10">
        <f t="shared" si="185"/>
        <v>11858.099999999999</v>
      </c>
      <c r="AB592" s="10">
        <f t="shared" si="186"/>
        <v>-2835.7499999999982</v>
      </c>
      <c r="AC592" s="10">
        <f t="shared" si="174"/>
        <v>606.37750000000005</v>
      </c>
      <c r="AD592" s="10">
        <f t="shared" si="175"/>
        <v>1193.865</v>
      </c>
      <c r="AE592" s="10">
        <f t="shared" si="176"/>
        <v>1912.0450000000001</v>
      </c>
      <c r="AF592" s="10" t="str">
        <f t="shared" si="177"/>
        <v>High</v>
      </c>
      <c r="AG592" s="6">
        <f t="shared" si="187"/>
        <v>-0.31430281467688553</v>
      </c>
      <c r="AH592" s="4">
        <f t="shared" si="188"/>
        <v>44948</v>
      </c>
      <c r="AI592" t="str">
        <f t="shared" si="189"/>
        <v>Jan-2023</v>
      </c>
    </row>
    <row r="593" spans="1:35" x14ac:dyDescent="0.25">
      <c r="A593" t="s">
        <v>605</v>
      </c>
      <c r="B593" s="4">
        <v>45899</v>
      </c>
      <c r="C593" s="4" t="str">
        <f t="shared" si="178"/>
        <v>Q3-2025</v>
      </c>
      <c r="D593" s="4" t="str">
        <f t="shared" si="179"/>
        <v>Aug-2025</v>
      </c>
      <c r="E593" s="4">
        <v>45922</v>
      </c>
      <c r="F593" s="12">
        <f t="shared" si="180"/>
        <v>23</v>
      </c>
      <c r="G593" s="12">
        <f t="shared" si="171"/>
        <v>0</v>
      </c>
      <c r="H593" s="4">
        <f t="shared" si="181"/>
        <v>45922</v>
      </c>
      <c r="I593" t="s">
        <v>649</v>
      </c>
      <c r="J593" t="s">
        <v>657</v>
      </c>
      <c r="K593" t="s">
        <v>673</v>
      </c>
      <c r="L593" t="s">
        <v>701</v>
      </c>
      <c r="M593" t="s">
        <v>711</v>
      </c>
      <c r="N593" t="s">
        <v>718</v>
      </c>
      <c r="O593" t="s">
        <v>727</v>
      </c>
      <c r="P593" t="str" cm="1">
        <f t="array" ref="P593">_xlfn.IFS(S593&lt;=PERCENTILE($S$2:$S$1000, 0.33), "Low", S593&lt;=PERCENTILE($S$2:$S$1000, 0.66), "Medium", TRUE, "High")</f>
        <v>Medium</v>
      </c>
      <c r="Q593" t="s">
        <v>1323</v>
      </c>
      <c r="R593" s="10">
        <v>663.9</v>
      </c>
      <c r="S593" s="10">
        <v>947.77</v>
      </c>
      <c r="T593" s="8">
        <v>0.17399999999999999</v>
      </c>
      <c r="U593" s="12">
        <f t="shared" si="182"/>
        <v>0</v>
      </c>
      <c r="V593" s="6">
        <v>15</v>
      </c>
      <c r="W593" t="str">
        <f t="shared" si="172"/>
        <v>ok</v>
      </c>
      <c r="X593">
        <f t="shared" si="173"/>
        <v>23</v>
      </c>
      <c r="Y593">
        <f t="shared" si="183"/>
        <v>23</v>
      </c>
      <c r="Z593" s="10">
        <f t="shared" si="184"/>
        <v>11742.8703</v>
      </c>
      <c r="AA593" s="10">
        <f t="shared" si="185"/>
        <v>9958.5</v>
      </c>
      <c r="AB593" s="10">
        <f t="shared" si="186"/>
        <v>1784.3703000000005</v>
      </c>
      <c r="AC593" s="10">
        <f t="shared" si="174"/>
        <v>606.37750000000005</v>
      </c>
      <c r="AD593" s="10">
        <f t="shared" si="175"/>
        <v>1193.865</v>
      </c>
      <c r="AE593" s="10">
        <f t="shared" si="176"/>
        <v>1912.0450000000001</v>
      </c>
      <c r="AF593" s="10" t="str">
        <f t="shared" si="177"/>
        <v>Low</v>
      </c>
      <c r="AG593" s="6">
        <f t="shared" si="187"/>
        <v>0.1519535049280073</v>
      </c>
      <c r="AH593" s="4">
        <f t="shared" si="188"/>
        <v>44933</v>
      </c>
      <c r="AI593" t="str">
        <f t="shared" si="189"/>
        <v>Jan-2023</v>
      </c>
    </row>
    <row r="594" spans="1:35" x14ac:dyDescent="0.25">
      <c r="A594" t="s">
        <v>606</v>
      </c>
      <c r="B594" s="4">
        <v>44984</v>
      </c>
      <c r="C594" s="4" t="str">
        <f t="shared" si="178"/>
        <v>Q1-2023</v>
      </c>
      <c r="D594" s="4" t="str">
        <f t="shared" si="179"/>
        <v>Feb-2023</v>
      </c>
      <c r="E594" s="4">
        <v>44983</v>
      </c>
      <c r="F594" s="12">
        <f t="shared" si="180"/>
        <v>14</v>
      </c>
      <c r="G594" s="12">
        <f t="shared" si="171"/>
        <v>0</v>
      </c>
      <c r="H594" s="4">
        <f t="shared" si="181"/>
        <v>44998</v>
      </c>
      <c r="I594" t="s">
        <v>648</v>
      </c>
      <c r="J594" t="s">
        <v>660</v>
      </c>
      <c r="K594" t="s">
        <v>686</v>
      </c>
      <c r="L594" t="s">
        <v>703</v>
      </c>
      <c r="M594" t="s">
        <v>708</v>
      </c>
      <c r="N594" t="s">
        <v>716</v>
      </c>
      <c r="O594" t="s">
        <v>729</v>
      </c>
      <c r="P594" t="str" cm="1">
        <f t="array" ref="P594">_xlfn.IFS(S594&lt;=PERCENTILE($S$2:$S$1000, 0.33), "Low", S594&lt;=PERCENTILE($S$2:$S$1000, 0.66), "Medium", TRUE, "High")</f>
        <v>High</v>
      </c>
      <c r="Q594" t="s">
        <v>1324</v>
      </c>
      <c r="R594" s="10">
        <v>1015.91</v>
      </c>
      <c r="S594" s="10">
        <v>2331.48</v>
      </c>
      <c r="T594" s="8">
        <v>0.14599999999999999</v>
      </c>
      <c r="U594" s="12">
        <f t="shared" si="182"/>
        <v>0</v>
      </c>
      <c r="V594" s="6">
        <v>26</v>
      </c>
      <c r="W594" t="str">
        <f t="shared" si="172"/>
        <v>sus</v>
      </c>
      <c r="X594">
        <f t="shared" si="173"/>
        <v>-1</v>
      </c>
      <c r="Y594">
        <f t="shared" si="183"/>
        <v>1</v>
      </c>
      <c r="Z594" s="10">
        <f t="shared" si="184"/>
        <v>51768.181920000003</v>
      </c>
      <c r="AA594" s="10">
        <f t="shared" si="185"/>
        <v>26413.66</v>
      </c>
      <c r="AB594" s="10">
        <f t="shared" si="186"/>
        <v>25354.521920000003</v>
      </c>
      <c r="AC594" s="10">
        <f t="shared" si="174"/>
        <v>606.37750000000005</v>
      </c>
      <c r="AD594" s="10">
        <f t="shared" si="175"/>
        <v>1193.865</v>
      </c>
      <c r="AE594" s="10">
        <f t="shared" si="176"/>
        <v>1912.0450000000001</v>
      </c>
      <c r="AF594" s="10" t="str">
        <f t="shared" si="177"/>
        <v>Medium</v>
      </c>
      <c r="AG594" s="6">
        <f t="shared" si="187"/>
        <v>0.48977037592669626</v>
      </c>
      <c r="AH594" s="4">
        <f t="shared" si="188"/>
        <v>44988</v>
      </c>
      <c r="AI594" t="str">
        <f t="shared" si="189"/>
        <v>Mar-2023</v>
      </c>
    </row>
    <row r="595" spans="1:35" x14ac:dyDescent="0.25">
      <c r="A595" t="s">
        <v>607</v>
      </c>
      <c r="B595" s="4">
        <v>45504</v>
      </c>
      <c r="C595" s="4" t="str">
        <f t="shared" si="178"/>
        <v>Q3-2024</v>
      </c>
      <c r="D595" s="4" t="str">
        <f t="shared" si="179"/>
        <v>Jul-2024</v>
      </c>
      <c r="E595" s="4">
        <v>45519</v>
      </c>
      <c r="F595" s="12">
        <f t="shared" si="180"/>
        <v>15</v>
      </c>
      <c r="G595" s="12">
        <f t="shared" si="171"/>
        <v>0</v>
      </c>
      <c r="H595" s="4">
        <f t="shared" si="181"/>
        <v>45519</v>
      </c>
      <c r="I595" t="s">
        <v>647</v>
      </c>
      <c r="J595" t="s">
        <v>652</v>
      </c>
      <c r="K595" t="s">
        <v>689</v>
      </c>
      <c r="L595" t="s">
        <v>701</v>
      </c>
      <c r="M595" t="s">
        <v>709</v>
      </c>
      <c r="N595" t="s">
        <v>721</v>
      </c>
      <c r="O595" t="s">
        <v>732</v>
      </c>
      <c r="P595" t="str" cm="1">
        <f t="array" ref="P595">_xlfn.IFS(S595&lt;=PERCENTILE($S$2:$S$1000, 0.33), "Low", S595&lt;=PERCENTILE($S$2:$S$1000, 0.66), "Medium", TRUE, "High")</f>
        <v>Medium</v>
      </c>
      <c r="Q595" t="s">
        <v>1325</v>
      </c>
      <c r="R595" s="10">
        <v>1252.52</v>
      </c>
      <c r="S595" s="10">
        <v>1417.24</v>
      </c>
      <c r="T595" s="8">
        <v>0.192</v>
      </c>
      <c r="U595" s="12">
        <f t="shared" si="182"/>
        <v>0</v>
      </c>
      <c r="V595" s="6">
        <v>5</v>
      </c>
      <c r="W595" t="str">
        <f t="shared" si="172"/>
        <v>ok</v>
      </c>
      <c r="X595">
        <f t="shared" si="173"/>
        <v>15</v>
      </c>
      <c r="Y595">
        <f t="shared" si="183"/>
        <v>15</v>
      </c>
      <c r="Z595" s="10">
        <f t="shared" si="184"/>
        <v>5725.6496000000006</v>
      </c>
      <c r="AA595" s="10">
        <f t="shared" si="185"/>
        <v>6262.6</v>
      </c>
      <c r="AB595" s="10">
        <f t="shared" si="186"/>
        <v>-536.95039999999972</v>
      </c>
      <c r="AC595" s="10">
        <f t="shared" si="174"/>
        <v>606.37750000000005</v>
      </c>
      <c r="AD595" s="10">
        <f t="shared" si="175"/>
        <v>1193.865</v>
      </c>
      <c r="AE595" s="10">
        <f t="shared" si="176"/>
        <v>1912.0450000000001</v>
      </c>
      <c r="AF595" s="10" t="str">
        <f t="shared" si="177"/>
        <v>High</v>
      </c>
      <c r="AG595" s="6">
        <f t="shared" si="187"/>
        <v>-9.3779821943696953E-2</v>
      </c>
      <c r="AH595" s="4">
        <f t="shared" si="188"/>
        <v>44946</v>
      </c>
      <c r="AI595" t="str">
        <f t="shared" si="189"/>
        <v>Jan-2023</v>
      </c>
    </row>
    <row r="596" spans="1:35" x14ac:dyDescent="0.25">
      <c r="A596" t="s">
        <v>608</v>
      </c>
      <c r="B596" s="4">
        <v>45823</v>
      </c>
      <c r="C596" s="4" t="str">
        <f t="shared" si="178"/>
        <v>Q2-2025</v>
      </c>
      <c r="D596" s="4" t="str">
        <f t="shared" si="179"/>
        <v>Jun-2025</v>
      </c>
      <c r="E596" s="4">
        <v>45850</v>
      </c>
      <c r="F596" s="12">
        <f t="shared" si="180"/>
        <v>27</v>
      </c>
      <c r="G596" s="12">
        <f t="shared" si="171"/>
        <v>0</v>
      </c>
      <c r="H596" s="4">
        <f t="shared" si="181"/>
        <v>45850</v>
      </c>
      <c r="I596" t="s">
        <v>649</v>
      </c>
      <c r="J596" t="s">
        <v>657</v>
      </c>
      <c r="K596" t="s">
        <v>673</v>
      </c>
      <c r="L596" t="s">
        <v>704</v>
      </c>
      <c r="M596" t="s">
        <v>711</v>
      </c>
      <c r="N596" t="s">
        <v>712</v>
      </c>
      <c r="O596" t="s">
        <v>733</v>
      </c>
      <c r="P596" t="str" cm="1">
        <f t="array" ref="P596">_xlfn.IFS(S596&lt;=PERCENTILE($S$2:$S$1000, 0.33), "Low", S596&lt;=PERCENTILE($S$2:$S$1000, 0.66), "Medium", TRUE, "High")</f>
        <v>Low</v>
      </c>
      <c r="Q596" t="s">
        <v>1326</v>
      </c>
      <c r="R596" s="10">
        <v>318.83</v>
      </c>
      <c r="S596" s="10">
        <v>699.5</v>
      </c>
      <c r="T596" s="8">
        <v>0.08</v>
      </c>
      <c r="U596" s="12">
        <f t="shared" si="182"/>
        <v>0</v>
      </c>
      <c r="V596" s="6">
        <v>13</v>
      </c>
      <c r="W596" t="str">
        <f t="shared" si="172"/>
        <v>ok</v>
      </c>
      <c r="X596">
        <f t="shared" si="173"/>
        <v>27</v>
      </c>
      <c r="Y596">
        <f t="shared" si="183"/>
        <v>27</v>
      </c>
      <c r="Z596" s="10">
        <f t="shared" si="184"/>
        <v>8366.02</v>
      </c>
      <c r="AA596" s="10">
        <f t="shared" si="185"/>
        <v>4144.79</v>
      </c>
      <c r="AB596" s="10">
        <f t="shared" si="186"/>
        <v>4221.2300000000005</v>
      </c>
      <c r="AC596" s="10">
        <f t="shared" si="174"/>
        <v>606.37750000000005</v>
      </c>
      <c r="AD596" s="10">
        <f t="shared" si="175"/>
        <v>1193.865</v>
      </c>
      <c r="AE596" s="10">
        <f t="shared" si="176"/>
        <v>1912.0450000000001</v>
      </c>
      <c r="AF596" s="10" t="str">
        <f t="shared" si="177"/>
        <v>Medium</v>
      </c>
      <c r="AG596" s="6">
        <f t="shared" si="187"/>
        <v>0.50456848059172699</v>
      </c>
      <c r="AH596" s="4">
        <f t="shared" si="188"/>
        <v>44941</v>
      </c>
      <c r="AI596" t="str">
        <f t="shared" si="189"/>
        <v>Jan-2023</v>
      </c>
    </row>
    <row r="597" spans="1:35" x14ac:dyDescent="0.25">
      <c r="A597" t="s">
        <v>609</v>
      </c>
      <c r="B597" s="4">
        <v>45473</v>
      </c>
      <c r="C597" s="4" t="str">
        <f t="shared" si="178"/>
        <v>Q2-2024</v>
      </c>
      <c r="D597" s="4" t="str">
        <f t="shared" si="179"/>
        <v>Jun-2024</v>
      </c>
      <c r="E597" s="4">
        <v>45494</v>
      </c>
      <c r="F597" s="12">
        <f t="shared" si="180"/>
        <v>21</v>
      </c>
      <c r="G597" s="12">
        <f t="shared" si="171"/>
        <v>0</v>
      </c>
      <c r="H597" s="4">
        <f t="shared" si="181"/>
        <v>45494</v>
      </c>
      <c r="I597" t="s">
        <v>646</v>
      </c>
      <c r="J597" t="s">
        <v>650</v>
      </c>
      <c r="K597" t="s">
        <v>662</v>
      </c>
      <c r="L597" t="s">
        <v>705</v>
      </c>
      <c r="M597" t="s">
        <v>707</v>
      </c>
      <c r="N597" t="s">
        <v>723</v>
      </c>
      <c r="O597" t="s">
        <v>731</v>
      </c>
      <c r="P597" t="str" cm="1">
        <f t="array" ref="P597">_xlfn.IFS(S597&lt;=PERCENTILE($S$2:$S$1000, 0.33), "Low", S597&lt;=PERCENTILE($S$2:$S$1000, 0.66), "Medium", TRUE, "High")</f>
        <v>High</v>
      </c>
      <c r="Q597" t="s">
        <v>1327</v>
      </c>
      <c r="R597" s="10">
        <v>753.43</v>
      </c>
      <c r="S597" s="10">
        <v>1787.2</v>
      </c>
      <c r="T597" s="8">
        <v>7.2999999999999995E-2</v>
      </c>
      <c r="U597" s="12">
        <f t="shared" si="182"/>
        <v>0</v>
      </c>
      <c r="V597" s="6">
        <v>9</v>
      </c>
      <c r="W597" t="str">
        <f t="shared" si="172"/>
        <v>ok</v>
      </c>
      <c r="X597">
        <f t="shared" si="173"/>
        <v>21</v>
      </c>
      <c r="Y597">
        <f t="shared" si="183"/>
        <v>21</v>
      </c>
      <c r="Z597" s="10">
        <f t="shared" si="184"/>
        <v>14910.609600000002</v>
      </c>
      <c r="AA597" s="10">
        <f t="shared" si="185"/>
        <v>6780.87</v>
      </c>
      <c r="AB597" s="10">
        <f t="shared" si="186"/>
        <v>8129.7396000000017</v>
      </c>
      <c r="AC597" s="10">
        <f t="shared" si="174"/>
        <v>606.37750000000005</v>
      </c>
      <c r="AD597" s="10">
        <f t="shared" si="175"/>
        <v>1193.865</v>
      </c>
      <c r="AE597" s="10">
        <f t="shared" si="176"/>
        <v>1912.0450000000001</v>
      </c>
      <c r="AF597" s="10" t="str">
        <f t="shared" si="177"/>
        <v>Medium</v>
      </c>
      <c r="AG597" s="6">
        <f t="shared" si="187"/>
        <v>0.54523187301476939</v>
      </c>
      <c r="AH597" s="4">
        <f t="shared" si="188"/>
        <v>44955</v>
      </c>
      <c r="AI597" t="str">
        <f t="shared" si="189"/>
        <v>Jan-2023</v>
      </c>
    </row>
    <row r="598" spans="1:35" x14ac:dyDescent="0.25">
      <c r="A598" t="s">
        <v>610</v>
      </c>
      <c r="B598" s="4">
        <v>45705</v>
      </c>
      <c r="C598" s="4" t="str">
        <f t="shared" si="178"/>
        <v>Q1-2025</v>
      </c>
      <c r="D598" s="4" t="str">
        <f t="shared" si="179"/>
        <v>Feb-2025</v>
      </c>
      <c r="E598" s="4">
        <v>45703</v>
      </c>
      <c r="F598" s="12">
        <f t="shared" si="180"/>
        <v>14</v>
      </c>
      <c r="G598" s="12">
        <f t="shared" si="171"/>
        <v>0</v>
      </c>
      <c r="H598" s="4">
        <f t="shared" si="181"/>
        <v>45719</v>
      </c>
      <c r="I598" t="s">
        <v>648</v>
      </c>
      <c r="J598" t="s">
        <v>653</v>
      </c>
      <c r="K598" t="s">
        <v>667</v>
      </c>
      <c r="L598" t="s">
        <v>705</v>
      </c>
      <c r="M598" t="s">
        <v>707</v>
      </c>
      <c r="N598" t="s">
        <v>726</v>
      </c>
      <c r="O598" t="s">
        <v>727</v>
      </c>
      <c r="P598" t="str" cm="1">
        <f t="array" ref="P598">_xlfn.IFS(S598&lt;=PERCENTILE($S$2:$S$1000, 0.33), "Low", S598&lt;=PERCENTILE($S$2:$S$1000, 0.66), "Medium", TRUE, "High")</f>
        <v>High</v>
      </c>
      <c r="Q598" t="s">
        <v>1328</v>
      </c>
      <c r="R598" s="10">
        <v>1133.47</v>
      </c>
      <c r="S598" s="10">
        <v>1698.75</v>
      </c>
      <c r="T598" s="8">
        <v>4.2999999999999997E-2</v>
      </c>
      <c r="U598" s="12">
        <f t="shared" si="182"/>
        <v>0</v>
      </c>
      <c r="V598" s="6">
        <v>5</v>
      </c>
      <c r="W598" t="str">
        <f t="shared" si="172"/>
        <v>sus</v>
      </c>
      <c r="X598">
        <f t="shared" si="173"/>
        <v>-2</v>
      </c>
      <c r="Y598">
        <f t="shared" si="183"/>
        <v>2</v>
      </c>
      <c r="Z598" s="10">
        <f t="shared" si="184"/>
        <v>8128.5187499999993</v>
      </c>
      <c r="AA598" s="10">
        <f t="shared" si="185"/>
        <v>5667.35</v>
      </c>
      <c r="AB598" s="10">
        <f t="shared" si="186"/>
        <v>2461.1687499999989</v>
      </c>
      <c r="AC598" s="10">
        <f t="shared" si="174"/>
        <v>606.37750000000005</v>
      </c>
      <c r="AD598" s="10">
        <f t="shared" si="175"/>
        <v>1193.865</v>
      </c>
      <c r="AE598" s="10">
        <f t="shared" si="176"/>
        <v>1912.0450000000001</v>
      </c>
      <c r="AF598" s="10" t="str">
        <f t="shared" si="177"/>
        <v>Medium</v>
      </c>
      <c r="AG598" s="6">
        <f t="shared" si="187"/>
        <v>0.30278194904821976</v>
      </c>
      <c r="AH598" s="4">
        <f t="shared" si="188"/>
        <v>44948</v>
      </c>
      <c r="AI598" t="str">
        <f t="shared" si="189"/>
        <v>Jan-2023</v>
      </c>
    </row>
    <row r="599" spans="1:35" x14ac:dyDescent="0.25">
      <c r="A599" t="s">
        <v>611</v>
      </c>
      <c r="B599" s="4">
        <v>44933</v>
      </c>
      <c r="C599" s="4" t="str">
        <f t="shared" si="178"/>
        <v>Q1-2023</v>
      </c>
      <c r="D599" s="4" t="str">
        <f t="shared" si="179"/>
        <v>Jan-2023</v>
      </c>
      <c r="E599" s="4">
        <v>44956</v>
      </c>
      <c r="F599" s="12">
        <f t="shared" si="180"/>
        <v>23</v>
      </c>
      <c r="G599" s="12">
        <f t="shared" si="171"/>
        <v>0</v>
      </c>
      <c r="H599" s="4">
        <f t="shared" si="181"/>
        <v>44956</v>
      </c>
      <c r="I599" t="s">
        <v>646</v>
      </c>
      <c r="J599" t="s">
        <v>661</v>
      </c>
      <c r="K599" t="s">
        <v>695</v>
      </c>
      <c r="L599" t="s">
        <v>704</v>
      </c>
      <c r="M599" t="s">
        <v>708</v>
      </c>
      <c r="N599" t="s">
        <v>720</v>
      </c>
      <c r="O599" t="s">
        <v>728</v>
      </c>
      <c r="P599" t="str" cm="1">
        <f t="array" ref="P599">_xlfn.IFS(S599&lt;=PERCENTILE($S$2:$S$1000, 0.33), "Low", S599&lt;=PERCENTILE($S$2:$S$1000, 0.66), "Medium", TRUE, "High")</f>
        <v>Low</v>
      </c>
      <c r="Q599" t="s">
        <v>1329</v>
      </c>
      <c r="R599" s="10">
        <v>299.02</v>
      </c>
      <c r="S599" s="10">
        <v>724.7</v>
      </c>
      <c r="T599" s="8">
        <v>0.14000000000000001</v>
      </c>
      <c r="U599" s="12">
        <f t="shared" si="182"/>
        <v>0</v>
      </c>
      <c r="V599" s="6">
        <v>5</v>
      </c>
      <c r="W599" t="str">
        <f t="shared" si="172"/>
        <v>ok</v>
      </c>
      <c r="X599">
        <f t="shared" si="173"/>
        <v>23</v>
      </c>
      <c r="Y599">
        <f t="shared" si="183"/>
        <v>23</v>
      </c>
      <c r="Z599" s="10">
        <f t="shared" si="184"/>
        <v>3116.21</v>
      </c>
      <c r="AA599" s="10">
        <f t="shared" si="185"/>
        <v>1495.1</v>
      </c>
      <c r="AB599" s="10">
        <f t="shared" si="186"/>
        <v>1621.1100000000001</v>
      </c>
      <c r="AC599" s="10">
        <f t="shared" si="174"/>
        <v>606.37750000000005</v>
      </c>
      <c r="AD599" s="10">
        <f t="shared" si="175"/>
        <v>1193.865</v>
      </c>
      <c r="AE599" s="10">
        <f t="shared" si="176"/>
        <v>1912.0450000000001</v>
      </c>
      <c r="AF599" s="10" t="str">
        <f t="shared" si="177"/>
        <v>Medium</v>
      </c>
      <c r="AG599" s="6">
        <f t="shared" si="187"/>
        <v>0.52021847051386139</v>
      </c>
      <c r="AH599" s="4">
        <f t="shared" si="188"/>
        <v>44948</v>
      </c>
      <c r="AI599" t="str">
        <f t="shared" si="189"/>
        <v>Jan-2023</v>
      </c>
    </row>
    <row r="600" spans="1:35" x14ac:dyDescent="0.25">
      <c r="A600" t="s">
        <v>612</v>
      </c>
      <c r="B600" s="4">
        <v>45726</v>
      </c>
      <c r="C600" s="4" t="str">
        <f t="shared" si="178"/>
        <v>Q1-2025</v>
      </c>
      <c r="D600" s="4" t="str">
        <f t="shared" si="179"/>
        <v>Mar-2025</v>
      </c>
      <c r="E600" s="4">
        <v>45751</v>
      </c>
      <c r="F600" s="12">
        <f t="shared" si="180"/>
        <v>25</v>
      </c>
      <c r="G600" s="12">
        <f t="shared" si="171"/>
        <v>0</v>
      </c>
      <c r="H600" s="4">
        <f t="shared" si="181"/>
        <v>45751</v>
      </c>
      <c r="I600" t="s">
        <v>647</v>
      </c>
      <c r="J600" t="s">
        <v>652</v>
      </c>
      <c r="K600" t="s">
        <v>666</v>
      </c>
      <c r="L600" t="s">
        <v>701</v>
      </c>
      <c r="M600" t="s">
        <v>711</v>
      </c>
      <c r="N600" t="s">
        <v>722</v>
      </c>
      <c r="O600" t="s">
        <v>728</v>
      </c>
      <c r="P600" t="str" cm="1">
        <f t="array" ref="P600">_xlfn.IFS(S600&lt;=PERCENTILE($S$2:$S$1000, 0.33), "Low", S600&lt;=PERCENTILE($S$2:$S$1000, 0.66), "Medium", TRUE, "High")</f>
        <v>Medium</v>
      </c>
      <c r="Q600" t="s">
        <v>1330</v>
      </c>
      <c r="R600" s="10">
        <v>783.72</v>
      </c>
      <c r="S600" s="10">
        <v>1355.94</v>
      </c>
      <c r="T600" s="8">
        <v>0.187</v>
      </c>
      <c r="U600" s="12">
        <f t="shared" si="182"/>
        <v>0</v>
      </c>
      <c r="V600" s="6">
        <v>4</v>
      </c>
      <c r="W600" t="str">
        <f t="shared" si="172"/>
        <v>ok</v>
      </c>
      <c r="X600">
        <f t="shared" si="173"/>
        <v>25</v>
      </c>
      <c r="Y600">
        <f t="shared" si="183"/>
        <v>25</v>
      </c>
      <c r="Z600" s="10">
        <f t="shared" si="184"/>
        <v>4409.5168800000001</v>
      </c>
      <c r="AA600" s="10">
        <f t="shared" si="185"/>
        <v>3134.88</v>
      </c>
      <c r="AB600" s="10">
        <f t="shared" si="186"/>
        <v>1274.63688</v>
      </c>
      <c r="AC600" s="10">
        <f t="shared" si="174"/>
        <v>606.37750000000005</v>
      </c>
      <c r="AD600" s="10">
        <f t="shared" si="175"/>
        <v>1193.865</v>
      </c>
      <c r="AE600" s="10">
        <f t="shared" si="176"/>
        <v>1912.0450000000001</v>
      </c>
      <c r="AF600" s="10" t="str">
        <f t="shared" si="177"/>
        <v>Medium</v>
      </c>
      <c r="AG600" s="6">
        <f t="shared" si="187"/>
        <v>0.28906497348525856</v>
      </c>
      <c r="AH600" s="4">
        <f t="shared" si="188"/>
        <v>44946</v>
      </c>
      <c r="AI600" t="str">
        <f t="shared" si="189"/>
        <v>Jan-2023</v>
      </c>
    </row>
    <row r="601" spans="1:35" x14ac:dyDescent="0.25">
      <c r="A601" t="s">
        <v>613</v>
      </c>
      <c r="B601" s="4">
        <v>45521</v>
      </c>
      <c r="C601" s="4" t="str">
        <f t="shared" si="178"/>
        <v>Q3-2024</v>
      </c>
      <c r="D601" s="4" t="str">
        <f t="shared" si="179"/>
        <v>Aug-2024</v>
      </c>
      <c r="E601" s="4">
        <v>45519</v>
      </c>
      <c r="F601" s="12">
        <f t="shared" si="180"/>
        <v>14</v>
      </c>
      <c r="G601" s="12">
        <f t="shared" si="171"/>
        <v>0</v>
      </c>
      <c r="H601" s="4">
        <f t="shared" si="181"/>
        <v>45535</v>
      </c>
      <c r="I601" t="s">
        <v>648</v>
      </c>
      <c r="J601" t="s">
        <v>655</v>
      </c>
      <c r="K601" t="s">
        <v>692</v>
      </c>
      <c r="L601" t="s">
        <v>704</v>
      </c>
      <c r="M601" t="s">
        <v>711</v>
      </c>
      <c r="N601" t="s">
        <v>724</v>
      </c>
      <c r="O601" t="s">
        <v>732</v>
      </c>
      <c r="P601" t="str" cm="1">
        <f t="array" ref="P601">_xlfn.IFS(S601&lt;=PERCENTILE($S$2:$S$1000, 0.33), "Low", S601&lt;=PERCENTILE($S$2:$S$1000, 0.66), "Medium", TRUE, "High")</f>
        <v>Low</v>
      </c>
      <c r="Q601" t="s">
        <v>1331</v>
      </c>
      <c r="R601" s="10">
        <v>165.3</v>
      </c>
      <c r="S601" s="10">
        <v>275.07</v>
      </c>
      <c r="T601" s="8">
        <v>0.13300000000000001</v>
      </c>
      <c r="U601" s="12">
        <f t="shared" si="182"/>
        <v>0</v>
      </c>
      <c r="V601" s="6">
        <v>25</v>
      </c>
      <c r="W601" t="str">
        <f t="shared" si="172"/>
        <v>sus</v>
      </c>
      <c r="X601">
        <f t="shared" si="173"/>
        <v>-2</v>
      </c>
      <c r="Y601">
        <f t="shared" si="183"/>
        <v>2</v>
      </c>
      <c r="Z601" s="10">
        <f t="shared" si="184"/>
        <v>5962.1422499999999</v>
      </c>
      <c r="AA601" s="10">
        <f t="shared" si="185"/>
        <v>4132.5</v>
      </c>
      <c r="AB601" s="10">
        <f t="shared" si="186"/>
        <v>1829.6422499999999</v>
      </c>
      <c r="AC601" s="10">
        <f t="shared" si="174"/>
        <v>606.37750000000005</v>
      </c>
      <c r="AD601" s="10">
        <f t="shared" si="175"/>
        <v>1193.865</v>
      </c>
      <c r="AE601" s="10">
        <f t="shared" si="176"/>
        <v>1912.0450000000001</v>
      </c>
      <c r="AF601" s="10" t="str">
        <f t="shared" si="177"/>
        <v>Medium</v>
      </c>
      <c r="AG601" s="6">
        <f t="shared" si="187"/>
        <v>0.30687665159280625</v>
      </c>
      <c r="AH601" s="4">
        <f t="shared" si="188"/>
        <v>44936</v>
      </c>
      <c r="AI601" t="str">
        <f t="shared" si="189"/>
        <v>Jan-2023</v>
      </c>
    </row>
    <row r="602" spans="1:35" x14ac:dyDescent="0.25">
      <c r="A602" t="s">
        <v>614</v>
      </c>
      <c r="B602" s="4">
        <v>45360</v>
      </c>
      <c r="C602" s="4" t="str">
        <f t="shared" si="178"/>
        <v>Q1-2024</v>
      </c>
      <c r="D602" s="4" t="str">
        <f t="shared" si="179"/>
        <v>Mar-2024</v>
      </c>
      <c r="E602" s="4">
        <v>45373</v>
      </c>
      <c r="F602" s="12">
        <f t="shared" si="180"/>
        <v>13</v>
      </c>
      <c r="G602" s="12">
        <f t="shared" si="171"/>
        <v>0</v>
      </c>
      <c r="H602" s="4">
        <f t="shared" si="181"/>
        <v>45373</v>
      </c>
      <c r="I602" t="s">
        <v>649</v>
      </c>
      <c r="J602" t="s">
        <v>658</v>
      </c>
      <c r="K602" t="s">
        <v>693</v>
      </c>
      <c r="L602" t="s">
        <v>704</v>
      </c>
      <c r="M602" t="s">
        <v>708</v>
      </c>
      <c r="N602" t="s">
        <v>718</v>
      </c>
      <c r="O602" t="s">
        <v>731</v>
      </c>
      <c r="P602" t="str" cm="1">
        <f t="array" ref="P602">_xlfn.IFS(S602&lt;=PERCENTILE($S$2:$S$1000, 0.33), "Low", S602&lt;=PERCENTILE($S$2:$S$1000, 0.66), "Medium", TRUE, "High")</f>
        <v>High</v>
      </c>
      <c r="Q602" t="s">
        <v>1332</v>
      </c>
      <c r="R602" s="10">
        <v>985.45</v>
      </c>
      <c r="S602" s="10">
        <v>1802.44</v>
      </c>
      <c r="T602" s="8">
        <v>8.9999999999999993E-3</v>
      </c>
      <c r="U602" s="12">
        <f t="shared" si="182"/>
        <v>0</v>
      </c>
      <c r="V602" s="6">
        <v>19</v>
      </c>
      <c r="W602" t="str">
        <f t="shared" si="172"/>
        <v>ok</v>
      </c>
      <c r="X602">
        <f t="shared" si="173"/>
        <v>13</v>
      </c>
      <c r="Y602">
        <f t="shared" si="183"/>
        <v>13</v>
      </c>
      <c r="Z602" s="10">
        <f t="shared" si="184"/>
        <v>33938.142760000002</v>
      </c>
      <c r="AA602" s="10">
        <f t="shared" si="185"/>
        <v>18723.55</v>
      </c>
      <c r="AB602" s="10">
        <f t="shared" si="186"/>
        <v>15214.592760000003</v>
      </c>
      <c r="AC602" s="10">
        <f t="shared" si="174"/>
        <v>606.37750000000005</v>
      </c>
      <c r="AD602" s="10">
        <f t="shared" si="175"/>
        <v>1193.865</v>
      </c>
      <c r="AE602" s="10">
        <f t="shared" si="176"/>
        <v>1912.0450000000001</v>
      </c>
      <c r="AF602" s="10" t="str">
        <f t="shared" si="177"/>
        <v>Low</v>
      </c>
      <c r="AG602" s="6">
        <f t="shared" si="187"/>
        <v>0.44830363486867486</v>
      </c>
      <c r="AH602" s="4">
        <f t="shared" si="188"/>
        <v>44938</v>
      </c>
      <c r="AI602" t="str">
        <f t="shared" si="189"/>
        <v>Jan-2023</v>
      </c>
    </row>
    <row r="603" spans="1:35" x14ac:dyDescent="0.25">
      <c r="A603" t="s">
        <v>615</v>
      </c>
      <c r="B603" s="4">
        <v>45523</v>
      </c>
      <c r="C603" s="4" t="str">
        <f t="shared" si="178"/>
        <v>Q3-2024</v>
      </c>
      <c r="D603" s="4" t="str">
        <f t="shared" si="179"/>
        <v>Aug-2024</v>
      </c>
      <c r="E603" s="4">
        <v>45537</v>
      </c>
      <c r="F603" s="12">
        <f t="shared" si="180"/>
        <v>14</v>
      </c>
      <c r="G603" s="12">
        <f t="shared" si="171"/>
        <v>0</v>
      </c>
      <c r="H603" s="4">
        <f t="shared" si="181"/>
        <v>45537</v>
      </c>
      <c r="I603" t="s">
        <v>648</v>
      </c>
      <c r="J603" t="s">
        <v>653</v>
      </c>
      <c r="K603" t="s">
        <v>667</v>
      </c>
      <c r="L603" t="s">
        <v>704</v>
      </c>
      <c r="M603" t="s">
        <v>710</v>
      </c>
      <c r="N603" t="s">
        <v>712</v>
      </c>
      <c r="O603" t="s">
        <v>728</v>
      </c>
      <c r="P603" t="str" cm="1">
        <f t="array" ref="P603">_xlfn.IFS(S603&lt;=PERCENTILE($S$2:$S$1000, 0.33), "Low", S603&lt;=PERCENTILE($S$2:$S$1000, 0.66), "Medium", TRUE, "High")</f>
        <v>Medium</v>
      </c>
      <c r="Q603" t="s">
        <v>1333</v>
      </c>
      <c r="R603" s="10">
        <v>1337.01</v>
      </c>
      <c r="S603" s="10">
        <v>1269.78</v>
      </c>
      <c r="T603" s="8">
        <v>0.16</v>
      </c>
      <c r="U603" s="12">
        <f t="shared" si="182"/>
        <v>0</v>
      </c>
      <c r="V603" s="6">
        <v>7</v>
      </c>
      <c r="W603" t="str">
        <f t="shared" si="172"/>
        <v>ok</v>
      </c>
      <c r="X603">
        <f t="shared" si="173"/>
        <v>14</v>
      </c>
      <c r="Y603">
        <f t="shared" si="183"/>
        <v>14</v>
      </c>
      <c r="Z603" s="10">
        <f t="shared" si="184"/>
        <v>7466.3063999999986</v>
      </c>
      <c r="AA603" s="10">
        <f t="shared" si="185"/>
        <v>9359.07</v>
      </c>
      <c r="AB603" s="10">
        <f t="shared" si="186"/>
        <v>-1892.7636000000011</v>
      </c>
      <c r="AC603" s="10">
        <f t="shared" si="174"/>
        <v>606.37750000000005</v>
      </c>
      <c r="AD603" s="10">
        <f t="shared" si="175"/>
        <v>1193.865</v>
      </c>
      <c r="AE603" s="10">
        <f t="shared" si="176"/>
        <v>1912.0450000000001</v>
      </c>
      <c r="AF603" s="10" t="str">
        <f t="shared" si="177"/>
        <v>Medium</v>
      </c>
      <c r="AG603" s="6">
        <f t="shared" si="187"/>
        <v>-0.25350735672996244</v>
      </c>
      <c r="AH603" s="4">
        <f t="shared" si="188"/>
        <v>44946</v>
      </c>
      <c r="AI603" t="str">
        <f t="shared" si="189"/>
        <v>Jan-2023</v>
      </c>
    </row>
    <row r="604" spans="1:35" x14ac:dyDescent="0.25">
      <c r="A604" t="s">
        <v>616</v>
      </c>
      <c r="B604" s="4">
        <v>45880</v>
      </c>
      <c r="C604" s="4" t="str">
        <f t="shared" si="178"/>
        <v>Q3-2025</v>
      </c>
      <c r="D604" s="4" t="str">
        <f t="shared" si="179"/>
        <v>Aug-2025</v>
      </c>
      <c r="E604" s="4">
        <v>45897</v>
      </c>
      <c r="F604" s="12">
        <f t="shared" si="180"/>
        <v>17</v>
      </c>
      <c r="G604" s="12">
        <f t="shared" si="171"/>
        <v>0</v>
      </c>
      <c r="H604" s="4">
        <f t="shared" si="181"/>
        <v>45897</v>
      </c>
      <c r="I604" t="s">
        <v>649</v>
      </c>
      <c r="J604" t="s">
        <v>657</v>
      </c>
      <c r="K604" t="s">
        <v>690</v>
      </c>
      <c r="L604" t="s">
        <v>702</v>
      </c>
      <c r="M604" t="s">
        <v>708</v>
      </c>
      <c r="N604" t="s">
        <v>721</v>
      </c>
      <c r="O604" t="s">
        <v>729</v>
      </c>
      <c r="P604" t="str" cm="1">
        <f t="array" ref="P604">_xlfn.IFS(S604&lt;=PERCENTILE($S$2:$S$1000, 0.33), "Low", S604&lt;=PERCENTILE($S$2:$S$1000, 0.66), "Medium", TRUE, "High")</f>
        <v>Low</v>
      </c>
      <c r="Q604" t="s">
        <v>1334</v>
      </c>
      <c r="R604" s="10">
        <v>416.16</v>
      </c>
      <c r="S604" s="10">
        <v>571.9</v>
      </c>
      <c r="T604" s="8">
        <v>7.0999999999999994E-2</v>
      </c>
      <c r="U604" s="12">
        <f t="shared" si="182"/>
        <v>0</v>
      </c>
      <c r="V604" s="6">
        <v>2</v>
      </c>
      <c r="W604" t="str">
        <f t="shared" si="172"/>
        <v>ok</v>
      </c>
      <c r="X604">
        <f t="shared" si="173"/>
        <v>17</v>
      </c>
      <c r="Y604">
        <f t="shared" si="183"/>
        <v>17</v>
      </c>
      <c r="Z604" s="10">
        <f t="shared" si="184"/>
        <v>1062.5902000000001</v>
      </c>
      <c r="AA604" s="10">
        <f t="shared" si="185"/>
        <v>832.32</v>
      </c>
      <c r="AB604" s="10">
        <f t="shared" si="186"/>
        <v>230.27020000000005</v>
      </c>
      <c r="AC604" s="10">
        <f t="shared" si="174"/>
        <v>606.37750000000005</v>
      </c>
      <c r="AD604" s="10">
        <f t="shared" si="175"/>
        <v>1193.865</v>
      </c>
      <c r="AE604" s="10">
        <f t="shared" si="176"/>
        <v>1912.0450000000001</v>
      </c>
      <c r="AF604" s="10" t="str">
        <f t="shared" si="177"/>
        <v>Medium</v>
      </c>
      <c r="AG604" s="6">
        <f t="shared" si="187"/>
        <v>0.21670649701079497</v>
      </c>
      <c r="AH604" s="4">
        <f t="shared" si="188"/>
        <v>44936</v>
      </c>
      <c r="AI604" t="str">
        <f t="shared" si="189"/>
        <v>Jan-2023</v>
      </c>
    </row>
    <row r="605" spans="1:35" x14ac:dyDescent="0.25">
      <c r="A605" t="s">
        <v>617</v>
      </c>
      <c r="B605" s="4">
        <v>45793</v>
      </c>
      <c r="C605" s="4" t="str">
        <f t="shared" si="178"/>
        <v>Q2-2025</v>
      </c>
      <c r="D605" s="4" t="str">
        <f t="shared" si="179"/>
        <v>May-2025</v>
      </c>
      <c r="E605" s="4">
        <v>45795</v>
      </c>
      <c r="F605" s="12">
        <f t="shared" si="180"/>
        <v>2</v>
      </c>
      <c r="G605" s="12">
        <f t="shared" si="171"/>
        <v>1</v>
      </c>
      <c r="H605" s="4">
        <f t="shared" si="181"/>
        <v>45795</v>
      </c>
      <c r="I605" t="s">
        <v>647</v>
      </c>
      <c r="J605" t="s">
        <v>652</v>
      </c>
      <c r="K605" t="s">
        <v>689</v>
      </c>
      <c r="L605" t="s">
        <v>706</v>
      </c>
      <c r="M605" t="s">
        <v>707</v>
      </c>
      <c r="N605" t="s">
        <v>713</v>
      </c>
      <c r="O605" t="s">
        <v>728</v>
      </c>
      <c r="P605" t="str" cm="1">
        <f t="array" ref="P605">_xlfn.IFS(S605&lt;=PERCENTILE($S$2:$S$1000, 0.33), "Low", S605&lt;=PERCENTILE($S$2:$S$1000, 0.66), "Medium", TRUE, "High")</f>
        <v>High</v>
      </c>
      <c r="Q605" t="s">
        <v>1335</v>
      </c>
      <c r="R605" s="10">
        <v>1144.3800000000001</v>
      </c>
      <c r="S605" s="10">
        <v>2755.04</v>
      </c>
      <c r="T605" s="8">
        <v>0.15</v>
      </c>
      <c r="U605" s="12">
        <f t="shared" si="182"/>
        <v>0</v>
      </c>
      <c r="V605" s="6">
        <v>17</v>
      </c>
      <c r="W605" t="str">
        <f t="shared" si="172"/>
        <v>ok</v>
      </c>
      <c r="X605">
        <f t="shared" si="173"/>
        <v>2</v>
      </c>
      <c r="Y605">
        <f t="shared" si="183"/>
        <v>2</v>
      </c>
      <c r="Z605" s="10">
        <f t="shared" si="184"/>
        <v>39810.328000000001</v>
      </c>
      <c r="AA605" s="10">
        <f t="shared" si="185"/>
        <v>19454.460000000003</v>
      </c>
      <c r="AB605" s="10">
        <f t="shared" si="186"/>
        <v>20355.867999999999</v>
      </c>
      <c r="AC605" s="10">
        <f t="shared" si="174"/>
        <v>606.37750000000005</v>
      </c>
      <c r="AD605" s="10">
        <f t="shared" si="175"/>
        <v>1193.865</v>
      </c>
      <c r="AE605" s="10">
        <f t="shared" si="176"/>
        <v>1912.0450000000001</v>
      </c>
      <c r="AF605" s="10" t="str">
        <f t="shared" si="177"/>
        <v>Low</v>
      </c>
      <c r="AG605" s="6">
        <f t="shared" si="187"/>
        <v>0.51132128326096682</v>
      </c>
      <c r="AH605" s="4">
        <f t="shared" si="188"/>
        <v>44955</v>
      </c>
      <c r="AI605" t="str">
        <f t="shared" si="189"/>
        <v>Jan-2023</v>
      </c>
    </row>
    <row r="606" spans="1:35" x14ac:dyDescent="0.25">
      <c r="A606" t="s">
        <v>618</v>
      </c>
      <c r="B606" s="4">
        <v>45026</v>
      </c>
      <c r="C606" s="4" t="str">
        <f t="shared" si="178"/>
        <v>Q2-2023</v>
      </c>
      <c r="D606" s="4" t="str">
        <f t="shared" si="179"/>
        <v>Apr-2023</v>
      </c>
      <c r="E606" s="4">
        <v>45041</v>
      </c>
      <c r="F606" s="12">
        <f t="shared" si="180"/>
        <v>15</v>
      </c>
      <c r="G606" s="12">
        <f t="shared" si="171"/>
        <v>0</v>
      </c>
      <c r="H606" s="4">
        <f t="shared" si="181"/>
        <v>45041</v>
      </c>
      <c r="I606" t="s">
        <v>649</v>
      </c>
      <c r="J606" t="s">
        <v>658</v>
      </c>
      <c r="K606" t="s">
        <v>683</v>
      </c>
      <c r="L606" t="s">
        <v>705</v>
      </c>
      <c r="M606" t="s">
        <v>707</v>
      </c>
      <c r="N606" t="s">
        <v>726</v>
      </c>
      <c r="O606" t="s">
        <v>728</v>
      </c>
      <c r="P606" t="str" cm="1">
        <f t="array" ref="P606">_xlfn.IFS(S606&lt;=PERCENTILE($S$2:$S$1000, 0.33), "Low", S606&lt;=PERCENTILE($S$2:$S$1000, 0.66), "Medium", TRUE, "High")</f>
        <v>Medium</v>
      </c>
      <c r="Q606" t="s">
        <v>1336</v>
      </c>
      <c r="R606" s="10">
        <v>405.66</v>
      </c>
      <c r="S606" s="10">
        <v>962.51</v>
      </c>
      <c r="T606" s="8">
        <v>0.19</v>
      </c>
      <c r="U606" s="12">
        <f t="shared" si="182"/>
        <v>0</v>
      </c>
      <c r="V606" s="6">
        <v>7</v>
      </c>
      <c r="W606" t="str">
        <f t="shared" si="172"/>
        <v>ok</v>
      </c>
      <c r="X606">
        <f t="shared" si="173"/>
        <v>15</v>
      </c>
      <c r="Y606">
        <f t="shared" si="183"/>
        <v>15</v>
      </c>
      <c r="Z606" s="10">
        <f t="shared" si="184"/>
        <v>5457.4317000000001</v>
      </c>
      <c r="AA606" s="10">
        <f t="shared" si="185"/>
        <v>2839.6200000000003</v>
      </c>
      <c r="AB606" s="10">
        <f t="shared" si="186"/>
        <v>2617.8116999999997</v>
      </c>
      <c r="AC606" s="10">
        <f t="shared" si="174"/>
        <v>606.37750000000005</v>
      </c>
      <c r="AD606" s="10">
        <f t="shared" si="175"/>
        <v>1193.865</v>
      </c>
      <c r="AE606" s="10">
        <f t="shared" si="176"/>
        <v>1912.0450000000001</v>
      </c>
      <c r="AF606" s="10" t="str">
        <f t="shared" si="177"/>
        <v>High</v>
      </c>
      <c r="AG606" s="6">
        <f t="shared" si="187"/>
        <v>0.47967832561239376</v>
      </c>
      <c r="AH606" s="4">
        <f t="shared" si="188"/>
        <v>44945</v>
      </c>
      <c r="AI606" t="str">
        <f t="shared" si="189"/>
        <v>Jan-2023</v>
      </c>
    </row>
    <row r="607" spans="1:35" x14ac:dyDescent="0.25">
      <c r="A607" t="s">
        <v>619</v>
      </c>
      <c r="B607" s="4">
        <v>45186</v>
      </c>
      <c r="C607" s="4" t="str">
        <f t="shared" si="178"/>
        <v>Q3-2023</v>
      </c>
      <c r="D607" s="4" t="str">
        <f t="shared" si="179"/>
        <v>Sept-2023</v>
      </c>
      <c r="E607" s="4">
        <v>45201</v>
      </c>
      <c r="F607" s="12">
        <f t="shared" si="180"/>
        <v>15</v>
      </c>
      <c r="G607" s="12">
        <f t="shared" si="171"/>
        <v>0</v>
      </c>
      <c r="H607" s="4">
        <f t="shared" si="181"/>
        <v>45201</v>
      </c>
      <c r="I607" t="s">
        <v>648</v>
      </c>
      <c r="J607" t="s">
        <v>655</v>
      </c>
      <c r="K607" t="s">
        <v>692</v>
      </c>
      <c r="L607" t="s">
        <v>705</v>
      </c>
      <c r="M607" t="s">
        <v>707</v>
      </c>
      <c r="N607" t="s">
        <v>717</v>
      </c>
      <c r="O607" t="s">
        <v>731</v>
      </c>
      <c r="P607" t="str" cm="1">
        <f t="array" ref="P607">_xlfn.IFS(S607&lt;=PERCENTILE($S$2:$S$1000, 0.33), "Low", S607&lt;=PERCENTILE($S$2:$S$1000, 0.66), "Medium", TRUE, "High")</f>
        <v>Low</v>
      </c>
      <c r="Q607" t="s">
        <v>1337</v>
      </c>
      <c r="R607" s="10">
        <v>689.33</v>
      </c>
      <c r="S607" s="10">
        <v>668.27</v>
      </c>
      <c r="T607" s="8">
        <v>0.186</v>
      </c>
      <c r="U607" s="12">
        <f t="shared" si="182"/>
        <v>0</v>
      </c>
      <c r="V607" s="6">
        <v>13</v>
      </c>
      <c r="W607" t="str">
        <f t="shared" si="172"/>
        <v>ok</v>
      </c>
      <c r="X607">
        <f t="shared" si="173"/>
        <v>15</v>
      </c>
      <c r="Y607">
        <f t="shared" si="183"/>
        <v>15</v>
      </c>
      <c r="Z607" s="10">
        <f t="shared" si="184"/>
        <v>7071.6331400000008</v>
      </c>
      <c r="AA607" s="10">
        <f t="shared" si="185"/>
        <v>8961.2900000000009</v>
      </c>
      <c r="AB607" s="10">
        <f t="shared" si="186"/>
        <v>-1889.6568600000001</v>
      </c>
      <c r="AC607" s="10">
        <f t="shared" si="174"/>
        <v>606.37750000000005</v>
      </c>
      <c r="AD607" s="10">
        <f t="shared" si="175"/>
        <v>1193.865</v>
      </c>
      <c r="AE607" s="10">
        <f t="shared" si="176"/>
        <v>1912.0450000000001</v>
      </c>
      <c r="AF607" s="10" t="str">
        <f t="shared" si="177"/>
        <v>Medium</v>
      </c>
      <c r="AG607" s="6">
        <f t="shared" si="187"/>
        <v>-0.26721647214861033</v>
      </c>
      <c r="AH607" s="4">
        <f t="shared" si="188"/>
        <v>44948</v>
      </c>
      <c r="AI607" t="str">
        <f t="shared" si="189"/>
        <v>Jan-2023</v>
      </c>
    </row>
    <row r="608" spans="1:35" x14ac:dyDescent="0.25">
      <c r="A608" t="s">
        <v>620</v>
      </c>
      <c r="B608" s="4">
        <v>45038</v>
      </c>
      <c r="C608" s="4" t="str">
        <f t="shared" si="178"/>
        <v>Q2-2023</v>
      </c>
      <c r="D608" s="4" t="str">
        <f t="shared" si="179"/>
        <v>Apr-2023</v>
      </c>
      <c r="E608" s="4">
        <v>45060</v>
      </c>
      <c r="F608" s="12">
        <f t="shared" si="180"/>
        <v>22</v>
      </c>
      <c r="G608" s="12">
        <f t="shared" si="171"/>
        <v>0</v>
      </c>
      <c r="H608" s="4">
        <f t="shared" si="181"/>
        <v>45060</v>
      </c>
      <c r="I608" t="s">
        <v>647</v>
      </c>
      <c r="J608" t="s">
        <v>652</v>
      </c>
      <c r="K608" t="s">
        <v>694</v>
      </c>
      <c r="L608" t="s">
        <v>706</v>
      </c>
      <c r="M608" t="s">
        <v>707</v>
      </c>
      <c r="N608" t="s">
        <v>720</v>
      </c>
      <c r="O608" t="s">
        <v>733</v>
      </c>
      <c r="P608" t="str" cm="1">
        <f t="array" ref="P608">_xlfn.IFS(S608&lt;=PERCENTILE($S$2:$S$1000, 0.33), "Low", S608&lt;=PERCENTILE($S$2:$S$1000, 0.66), "Medium", TRUE, "High")</f>
        <v>Medium</v>
      </c>
      <c r="Q608" t="s">
        <v>1338</v>
      </c>
      <c r="R608" s="10">
        <v>1209.22</v>
      </c>
      <c r="S608" s="10">
        <v>1404.33</v>
      </c>
      <c r="T608" s="8">
        <v>0.10299999999999999</v>
      </c>
      <c r="U608" s="12">
        <f t="shared" si="182"/>
        <v>0</v>
      </c>
      <c r="V608" s="6">
        <v>11</v>
      </c>
      <c r="W608" t="str">
        <f t="shared" si="172"/>
        <v>ok</v>
      </c>
      <c r="X608">
        <f t="shared" si="173"/>
        <v>22</v>
      </c>
      <c r="Y608">
        <f t="shared" si="183"/>
        <v>22</v>
      </c>
      <c r="Z608" s="10">
        <f t="shared" si="184"/>
        <v>13856.52411</v>
      </c>
      <c r="AA608" s="10">
        <f t="shared" si="185"/>
        <v>13301.42</v>
      </c>
      <c r="AB608" s="10">
        <f t="shared" si="186"/>
        <v>555.10411000000022</v>
      </c>
      <c r="AC608" s="10">
        <f t="shared" si="174"/>
        <v>606.37750000000005</v>
      </c>
      <c r="AD608" s="10">
        <f t="shared" si="175"/>
        <v>1193.865</v>
      </c>
      <c r="AE608" s="10">
        <f t="shared" si="176"/>
        <v>1912.0450000000001</v>
      </c>
      <c r="AF608" s="10" t="str">
        <f t="shared" si="177"/>
        <v>Medium</v>
      </c>
      <c r="AG608" s="6">
        <f t="shared" si="187"/>
        <v>4.0060848275751328E-2</v>
      </c>
      <c r="AH608" s="4">
        <f t="shared" si="188"/>
        <v>44945</v>
      </c>
      <c r="AI608" t="str">
        <f t="shared" si="189"/>
        <v>Jan-2023</v>
      </c>
    </row>
    <row r="609" spans="1:35" x14ac:dyDescent="0.25">
      <c r="A609" t="s">
        <v>621</v>
      </c>
      <c r="B609" s="4">
        <v>45827</v>
      </c>
      <c r="C609" s="4" t="str">
        <f t="shared" si="178"/>
        <v>Q2-2025</v>
      </c>
      <c r="D609" s="4" t="str">
        <f t="shared" si="179"/>
        <v>Jun-2025</v>
      </c>
      <c r="E609" s="4">
        <v>45829</v>
      </c>
      <c r="F609" s="12">
        <f t="shared" si="180"/>
        <v>2</v>
      </c>
      <c r="G609" s="12">
        <f t="shared" si="171"/>
        <v>1</v>
      </c>
      <c r="H609" s="4">
        <f t="shared" si="181"/>
        <v>45829</v>
      </c>
      <c r="I609" t="s">
        <v>646</v>
      </c>
      <c r="J609" t="s">
        <v>661</v>
      </c>
      <c r="K609" t="s">
        <v>682</v>
      </c>
      <c r="L609" t="s">
        <v>705</v>
      </c>
      <c r="M609" t="s">
        <v>1418</v>
      </c>
      <c r="N609" t="s">
        <v>722</v>
      </c>
      <c r="O609" t="s">
        <v>730</v>
      </c>
      <c r="P609" t="str" cm="1">
        <f t="array" ref="P609">_xlfn.IFS(S609&lt;=PERCENTILE($S$2:$S$1000, 0.33), "Low", S609&lt;=PERCENTILE($S$2:$S$1000, 0.66), "Medium", TRUE, "High")</f>
        <v>High</v>
      </c>
      <c r="Q609" t="s">
        <v>1339</v>
      </c>
      <c r="R609" s="10">
        <v>1466.27</v>
      </c>
      <c r="S609" s="10">
        <v>3589.89</v>
      </c>
      <c r="T609" s="8">
        <v>9.7000000000000003E-2</v>
      </c>
      <c r="U609" s="12">
        <f t="shared" si="182"/>
        <v>0</v>
      </c>
      <c r="V609" s="6">
        <v>9</v>
      </c>
      <c r="W609" t="str">
        <f t="shared" si="172"/>
        <v>ok</v>
      </c>
      <c r="X609">
        <f t="shared" si="173"/>
        <v>2</v>
      </c>
      <c r="Y609">
        <f t="shared" si="183"/>
        <v>2</v>
      </c>
      <c r="Z609" s="10">
        <f t="shared" si="184"/>
        <v>29175.036029999999</v>
      </c>
      <c r="AA609" s="10">
        <f t="shared" si="185"/>
        <v>13196.43</v>
      </c>
      <c r="AB609" s="10">
        <f t="shared" si="186"/>
        <v>15978.606029999999</v>
      </c>
      <c r="AC609" s="10">
        <f t="shared" si="174"/>
        <v>606.37750000000005</v>
      </c>
      <c r="AD609" s="10">
        <f t="shared" si="175"/>
        <v>1193.865</v>
      </c>
      <c r="AE609" s="10">
        <f t="shared" si="176"/>
        <v>1912.0450000000001</v>
      </c>
      <c r="AF609" s="10" t="str">
        <f t="shared" si="177"/>
        <v>Medium</v>
      </c>
      <c r="AG609" s="6">
        <f t="shared" si="187"/>
        <v>0.54768076425234147</v>
      </c>
      <c r="AH609" s="4">
        <f t="shared" si="188"/>
        <v>44948</v>
      </c>
      <c r="AI609" t="str">
        <f t="shared" si="189"/>
        <v>Jan-2023</v>
      </c>
    </row>
    <row r="610" spans="1:35" x14ac:dyDescent="0.25">
      <c r="A610" t="s">
        <v>622</v>
      </c>
      <c r="B610" s="4">
        <v>45623</v>
      </c>
      <c r="C610" s="4" t="str">
        <f t="shared" si="178"/>
        <v>Q4-2024</v>
      </c>
      <c r="D610" s="4" t="str">
        <f t="shared" si="179"/>
        <v>Nov-2024</v>
      </c>
      <c r="E610" s="4">
        <v>45650</v>
      </c>
      <c r="F610" s="12">
        <f t="shared" si="180"/>
        <v>27</v>
      </c>
      <c r="G610" s="12">
        <f t="shared" si="171"/>
        <v>0</v>
      </c>
      <c r="H610" s="4">
        <f t="shared" si="181"/>
        <v>45650</v>
      </c>
      <c r="I610" t="s">
        <v>646</v>
      </c>
      <c r="J610" t="s">
        <v>650</v>
      </c>
      <c r="K610" t="s">
        <v>675</v>
      </c>
      <c r="L610" t="s">
        <v>701</v>
      </c>
      <c r="M610" t="s">
        <v>710</v>
      </c>
      <c r="N610" t="s">
        <v>717</v>
      </c>
      <c r="O610" t="s">
        <v>728</v>
      </c>
      <c r="P610" t="str" cm="1">
        <f t="array" ref="P610">_xlfn.IFS(S610&lt;=PERCENTILE($S$2:$S$1000, 0.33), "Low", S610&lt;=PERCENTILE($S$2:$S$1000, 0.66), "Medium", TRUE, "High")</f>
        <v>Low</v>
      </c>
      <c r="Q610" t="s">
        <v>1340</v>
      </c>
      <c r="R610" s="10">
        <v>143.33000000000001</v>
      </c>
      <c r="S610" s="10">
        <v>233.51</v>
      </c>
      <c r="T610" s="8">
        <v>0.16300000000000001</v>
      </c>
      <c r="U610" s="12">
        <f t="shared" si="182"/>
        <v>0</v>
      </c>
      <c r="V610" s="6">
        <v>14</v>
      </c>
      <c r="W610" t="str">
        <f t="shared" si="172"/>
        <v>ok</v>
      </c>
      <c r="X610">
        <f t="shared" si="173"/>
        <v>27</v>
      </c>
      <c r="Y610">
        <f t="shared" si="183"/>
        <v>27</v>
      </c>
      <c r="Z610" s="10">
        <f t="shared" si="184"/>
        <v>2736.27018</v>
      </c>
      <c r="AA610" s="10">
        <f t="shared" si="185"/>
        <v>2006.6200000000001</v>
      </c>
      <c r="AB610" s="10">
        <f t="shared" si="186"/>
        <v>729.65017999999986</v>
      </c>
      <c r="AC610" s="10">
        <f t="shared" si="174"/>
        <v>606.37750000000005</v>
      </c>
      <c r="AD610" s="10">
        <f t="shared" si="175"/>
        <v>1193.865</v>
      </c>
      <c r="AE610" s="10">
        <f t="shared" si="176"/>
        <v>1912.0450000000001</v>
      </c>
      <c r="AF610" s="10" t="str">
        <f t="shared" si="177"/>
        <v>High</v>
      </c>
      <c r="AG610" s="6">
        <f t="shared" si="187"/>
        <v>0.26665867476580835</v>
      </c>
      <c r="AH610" s="4">
        <f t="shared" si="188"/>
        <v>44988</v>
      </c>
      <c r="AI610" t="str">
        <f t="shared" si="189"/>
        <v>Mar-2023</v>
      </c>
    </row>
    <row r="611" spans="1:35" x14ac:dyDescent="0.25">
      <c r="A611" t="s">
        <v>623</v>
      </c>
      <c r="B611" s="4">
        <v>45319</v>
      </c>
      <c r="C611" s="4" t="str">
        <f t="shared" si="178"/>
        <v>Q1-2024</v>
      </c>
      <c r="D611" s="4" t="str">
        <f t="shared" si="179"/>
        <v>Jan-2024</v>
      </c>
      <c r="E611" s="4">
        <v>45318</v>
      </c>
      <c r="F611" s="12">
        <f t="shared" si="180"/>
        <v>14</v>
      </c>
      <c r="G611" s="12">
        <f t="shared" si="171"/>
        <v>0</v>
      </c>
      <c r="H611" s="4">
        <f t="shared" si="181"/>
        <v>45333</v>
      </c>
      <c r="I611" t="s">
        <v>646</v>
      </c>
      <c r="J611" t="s">
        <v>661</v>
      </c>
      <c r="K611" t="s">
        <v>695</v>
      </c>
      <c r="L611" t="s">
        <v>706</v>
      </c>
      <c r="M611" t="s">
        <v>711</v>
      </c>
      <c r="N611" t="s">
        <v>719</v>
      </c>
      <c r="O611" t="s">
        <v>727</v>
      </c>
      <c r="P611" t="str" cm="1">
        <f t="array" ref="P611">_xlfn.IFS(S611&lt;=PERCENTILE($S$2:$S$1000, 0.33), "Low", S611&lt;=PERCENTILE($S$2:$S$1000, 0.66), "Medium", TRUE, "High")</f>
        <v>Low</v>
      </c>
      <c r="Q611" t="s">
        <v>1341</v>
      </c>
      <c r="R611" s="10">
        <v>109.75</v>
      </c>
      <c r="S611" s="10">
        <v>124.25</v>
      </c>
      <c r="T611" s="8">
        <v>0.12</v>
      </c>
      <c r="U611" s="12">
        <f t="shared" si="182"/>
        <v>0</v>
      </c>
      <c r="V611" s="6">
        <v>19</v>
      </c>
      <c r="W611" t="str">
        <f t="shared" si="172"/>
        <v>sus</v>
      </c>
      <c r="X611">
        <f t="shared" si="173"/>
        <v>-1</v>
      </c>
      <c r="Y611">
        <f t="shared" si="183"/>
        <v>1</v>
      </c>
      <c r="Z611" s="10">
        <f t="shared" si="184"/>
        <v>2077.46</v>
      </c>
      <c r="AA611" s="10">
        <f t="shared" si="185"/>
        <v>2085.25</v>
      </c>
      <c r="AB611" s="10">
        <f t="shared" si="186"/>
        <v>-7.7899999999999636</v>
      </c>
      <c r="AC611" s="10">
        <f t="shared" si="174"/>
        <v>606.37750000000005</v>
      </c>
      <c r="AD611" s="10">
        <f t="shared" si="175"/>
        <v>1193.865</v>
      </c>
      <c r="AE611" s="10">
        <f t="shared" si="176"/>
        <v>1912.0450000000001</v>
      </c>
      <c r="AF611" s="10" t="str">
        <f t="shared" si="177"/>
        <v>Low</v>
      </c>
      <c r="AG611" s="6">
        <f t="shared" si="187"/>
        <v>-3.7497713554051405E-3</v>
      </c>
      <c r="AH611" s="4">
        <f t="shared" si="188"/>
        <v>44988</v>
      </c>
      <c r="AI611" t="str">
        <f t="shared" si="189"/>
        <v>Mar-2023</v>
      </c>
    </row>
    <row r="612" spans="1:35" x14ac:dyDescent="0.25">
      <c r="A612" t="s">
        <v>624</v>
      </c>
      <c r="B612" s="4">
        <v>45032</v>
      </c>
      <c r="C612" s="4" t="str">
        <f t="shared" si="178"/>
        <v>Q2-2023</v>
      </c>
      <c r="D612" s="4" t="str">
        <f t="shared" si="179"/>
        <v>Apr-2023</v>
      </c>
      <c r="E612" s="4">
        <v>45039</v>
      </c>
      <c r="F612" s="12">
        <f t="shared" si="180"/>
        <v>7</v>
      </c>
      <c r="G612" s="12">
        <f t="shared" si="171"/>
        <v>1</v>
      </c>
      <c r="H612" s="4">
        <f t="shared" si="181"/>
        <v>45039</v>
      </c>
      <c r="I612" t="s">
        <v>648</v>
      </c>
      <c r="J612" t="s">
        <v>660</v>
      </c>
      <c r="K612" t="s">
        <v>697</v>
      </c>
      <c r="L612" t="s">
        <v>701</v>
      </c>
      <c r="M612" t="s">
        <v>710</v>
      </c>
      <c r="N612" t="s">
        <v>719</v>
      </c>
      <c r="O612" t="s">
        <v>728</v>
      </c>
      <c r="P612" t="str" cm="1">
        <f t="array" ref="P612">_xlfn.IFS(S612&lt;=PERCENTILE($S$2:$S$1000, 0.33), "Low", S612&lt;=PERCENTILE($S$2:$S$1000, 0.66), "Medium", TRUE, "High")</f>
        <v>Medium</v>
      </c>
      <c r="Q612" t="s">
        <v>1342</v>
      </c>
      <c r="R612" s="10">
        <v>1099.1500000000001</v>
      </c>
      <c r="S612" s="10">
        <v>1431.37</v>
      </c>
      <c r="T612" s="8">
        <v>0.104</v>
      </c>
      <c r="U612" s="12">
        <f t="shared" si="182"/>
        <v>0</v>
      </c>
      <c r="V612" s="6">
        <v>8</v>
      </c>
      <c r="W612" t="str">
        <f t="shared" si="172"/>
        <v>ok</v>
      </c>
      <c r="X612">
        <f t="shared" si="173"/>
        <v>7</v>
      </c>
      <c r="Y612">
        <f t="shared" si="183"/>
        <v>7</v>
      </c>
      <c r="Z612" s="10">
        <f t="shared" si="184"/>
        <v>10260.060159999999</v>
      </c>
      <c r="AA612" s="10">
        <f t="shared" si="185"/>
        <v>8793.2000000000007</v>
      </c>
      <c r="AB612" s="10">
        <f t="shared" si="186"/>
        <v>1466.8601599999984</v>
      </c>
      <c r="AC612" s="10">
        <f t="shared" si="174"/>
        <v>606.37750000000005</v>
      </c>
      <c r="AD612" s="10">
        <f t="shared" si="175"/>
        <v>1193.865</v>
      </c>
      <c r="AE612" s="10">
        <f t="shared" si="176"/>
        <v>1912.0450000000001</v>
      </c>
      <c r="AF612" s="10" t="str">
        <f t="shared" si="177"/>
        <v>Low</v>
      </c>
      <c r="AG612" s="6">
        <f t="shared" si="187"/>
        <v>0.14296798821109433</v>
      </c>
      <c r="AH612" s="4">
        <f t="shared" si="188"/>
        <v>44936</v>
      </c>
      <c r="AI612" t="str">
        <f t="shared" si="189"/>
        <v>Jan-2023</v>
      </c>
    </row>
    <row r="613" spans="1:35" x14ac:dyDescent="0.25">
      <c r="A613" t="s">
        <v>625</v>
      </c>
      <c r="B613" s="4">
        <v>45323</v>
      </c>
      <c r="C613" s="4" t="str">
        <f t="shared" si="178"/>
        <v>Q1-2024</v>
      </c>
      <c r="D613" s="4" t="str">
        <f t="shared" si="179"/>
        <v>Feb-2024</v>
      </c>
      <c r="E613" s="4">
        <v>45323</v>
      </c>
      <c r="F613" s="12">
        <f t="shared" si="180"/>
        <v>0</v>
      </c>
      <c r="G613" s="12">
        <f t="shared" si="171"/>
        <v>1</v>
      </c>
      <c r="H613" s="4">
        <f t="shared" si="181"/>
        <v>45323</v>
      </c>
      <c r="I613" t="s">
        <v>648</v>
      </c>
      <c r="J613" t="s">
        <v>660</v>
      </c>
      <c r="K613" t="s">
        <v>697</v>
      </c>
      <c r="L613" t="s">
        <v>704</v>
      </c>
      <c r="M613" t="s">
        <v>710</v>
      </c>
      <c r="N613" t="s">
        <v>722</v>
      </c>
      <c r="O613" t="s">
        <v>728</v>
      </c>
      <c r="P613" t="str" cm="1">
        <f t="array" ref="P613">_xlfn.IFS(S613&lt;=PERCENTILE($S$2:$S$1000, 0.33), "Low", S613&lt;=PERCENTILE($S$2:$S$1000, 0.66), "Medium", TRUE, "High")</f>
        <v>Medium</v>
      </c>
      <c r="Q613" t="s">
        <v>1343</v>
      </c>
      <c r="R613" s="10">
        <v>714.43</v>
      </c>
      <c r="S613" s="10">
        <v>1595.52</v>
      </c>
      <c r="T613" s="8">
        <v>0.19400000000000001</v>
      </c>
      <c r="U613" s="12">
        <f t="shared" si="182"/>
        <v>0</v>
      </c>
      <c r="V613" s="6">
        <v>14</v>
      </c>
      <c r="W613" t="str">
        <f t="shared" si="172"/>
        <v>sus</v>
      </c>
      <c r="X613">
        <f t="shared" si="173"/>
        <v>0</v>
      </c>
      <c r="Y613">
        <f t="shared" si="183"/>
        <v>0</v>
      </c>
      <c r="Z613" s="10">
        <f t="shared" si="184"/>
        <v>18003.847679999999</v>
      </c>
      <c r="AA613" s="10">
        <f t="shared" si="185"/>
        <v>10002.019999999999</v>
      </c>
      <c r="AB613" s="10">
        <f t="shared" si="186"/>
        <v>8001.8276800000003</v>
      </c>
      <c r="AC613" s="10">
        <f t="shared" si="174"/>
        <v>606.37750000000005</v>
      </c>
      <c r="AD613" s="10">
        <f t="shared" si="175"/>
        <v>1193.865</v>
      </c>
      <c r="AE613" s="10">
        <f t="shared" si="176"/>
        <v>1912.0450000000001</v>
      </c>
      <c r="AF613" s="10" t="str">
        <f t="shared" si="177"/>
        <v>Medium</v>
      </c>
      <c r="AG613" s="6">
        <f t="shared" si="187"/>
        <v>0.44445097638151093</v>
      </c>
      <c r="AH613" s="4">
        <f t="shared" si="188"/>
        <v>44948</v>
      </c>
      <c r="AI613" t="str">
        <f t="shared" si="189"/>
        <v>Jan-2023</v>
      </c>
    </row>
    <row r="614" spans="1:35" x14ac:dyDescent="0.25">
      <c r="A614" t="s">
        <v>626</v>
      </c>
      <c r="B614" s="4">
        <v>45584</v>
      </c>
      <c r="C614" s="4" t="str">
        <f t="shared" si="178"/>
        <v>Q4-2024</v>
      </c>
      <c r="D614" s="4" t="str">
        <f t="shared" si="179"/>
        <v>Oct-2024</v>
      </c>
      <c r="E614" s="4">
        <v>45602</v>
      </c>
      <c r="F614" s="12">
        <f t="shared" si="180"/>
        <v>18</v>
      </c>
      <c r="G614" s="12">
        <f t="shared" si="171"/>
        <v>0</v>
      </c>
      <c r="H614" s="4">
        <f t="shared" si="181"/>
        <v>45602</v>
      </c>
      <c r="I614" t="s">
        <v>648</v>
      </c>
      <c r="J614" t="s">
        <v>660</v>
      </c>
      <c r="K614" t="s">
        <v>677</v>
      </c>
      <c r="L614" t="s">
        <v>702</v>
      </c>
      <c r="M614" t="s">
        <v>1418</v>
      </c>
      <c r="N614" t="s">
        <v>712</v>
      </c>
      <c r="O614" t="s">
        <v>732</v>
      </c>
      <c r="P614" t="str" cm="1">
        <f t="array" ref="P614">_xlfn.IFS(S614&lt;=PERCENTILE($S$2:$S$1000, 0.33), "Low", S614&lt;=PERCENTILE($S$2:$S$1000, 0.66), "Medium", TRUE, "High")</f>
        <v>Medium</v>
      </c>
      <c r="Q614" t="s">
        <v>1344</v>
      </c>
      <c r="R614" s="10">
        <v>942.02</v>
      </c>
      <c r="S614" s="10">
        <v>1028.46</v>
      </c>
      <c r="T614" s="8">
        <v>0</v>
      </c>
      <c r="U614" s="12">
        <f t="shared" si="182"/>
        <v>0</v>
      </c>
      <c r="V614" s="6">
        <v>9</v>
      </c>
      <c r="W614" t="str">
        <f t="shared" si="172"/>
        <v>ok</v>
      </c>
      <c r="X614">
        <f t="shared" si="173"/>
        <v>18</v>
      </c>
      <c r="Y614">
        <f t="shared" si="183"/>
        <v>18</v>
      </c>
      <c r="Z614" s="10">
        <f t="shared" si="184"/>
        <v>9256.14</v>
      </c>
      <c r="AA614" s="10">
        <f t="shared" si="185"/>
        <v>8478.18</v>
      </c>
      <c r="AB614" s="10">
        <f t="shared" si="186"/>
        <v>777.95999999999913</v>
      </c>
      <c r="AC614" s="10">
        <f t="shared" si="174"/>
        <v>606.37750000000005</v>
      </c>
      <c r="AD614" s="10">
        <f t="shared" si="175"/>
        <v>1193.865</v>
      </c>
      <c r="AE614" s="10">
        <f t="shared" si="176"/>
        <v>1912.0450000000001</v>
      </c>
      <c r="AF614" s="10" t="str">
        <f t="shared" si="177"/>
        <v>Medium</v>
      </c>
      <c r="AG614" s="6">
        <f t="shared" si="187"/>
        <v>8.4047994088248354E-2</v>
      </c>
      <c r="AH614" s="4">
        <f t="shared" si="188"/>
        <v>44955</v>
      </c>
      <c r="AI614" t="str">
        <f t="shared" si="189"/>
        <v>Jan-2023</v>
      </c>
    </row>
    <row r="615" spans="1:35" x14ac:dyDescent="0.25">
      <c r="A615" t="s">
        <v>627</v>
      </c>
      <c r="B615" s="4">
        <v>45468</v>
      </c>
      <c r="C615" s="4" t="str">
        <f t="shared" si="178"/>
        <v>Q2-2024</v>
      </c>
      <c r="D615" s="4" t="str">
        <f t="shared" si="179"/>
        <v>Jun-2024</v>
      </c>
      <c r="E615" s="4">
        <v>45473</v>
      </c>
      <c r="F615" s="12">
        <f t="shared" si="180"/>
        <v>5</v>
      </c>
      <c r="G615" s="12">
        <f t="shared" si="171"/>
        <v>1</v>
      </c>
      <c r="H615" s="4">
        <f t="shared" si="181"/>
        <v>45473</v>
      </c>
      <c r="I615" t="s">
        <v>646</v>
      </c>
      <c r="J615" t="s">
        <v>650</v>
      </c>
      <c r="K615" t="s">
        <v>662</v>
      </c>
      <c r="L615" t="s">
        <v>702</v>
      </c>
      <c r="M615" t="s">
        <v>711</v>
      </c>
      <c r="N615" t="s">
        <v>724</v>
      </c>
      <c r="O615" t="s">
        <v>729</v>
      </c>
      <c r="P615" t="str" cm="1">
        <f t="array" ref="P615">_xlfn.IFS(S615&lt;=PERCENTILE($S$2:$S$1000, 0.33), "Low", S615&lt;=PERCENTILE($S$2:$S$1000, 0.66), "Medium", TRUE, "High")</f>
        <v>High</v>
      </c>
      <c r="Q615" t="s">
        <v>1345</v>
      </c>
      <c r="R615" s="10">
        <v>1323.55</v>
      </c>
      <c r="S615" s="10">
        <v>3230.35</v>
      </c>
      <c r="T615" s="8">
        <v>2.1999999999999999E-2</v>
      </c>
      <c r="U615" s="12">
        <f t="shared" si="182"/>
        <v>0</v>
      </c>
      <c r="V615" s="6">
        <v>26</v>
      </c>
      <c r="W615" t="str">
        <f t="shared" si="172"/>
        <v>ok</v>
      </c>
      <c r="X615">
        <f t="shared" si="173"/>
        <v>5</v>
      </c>
      <c r="Y615">
        <f t="shared" si="183"/>
        <v>5</v>
      </c>
      <c r="Z615" s="10">
        <f t="shared" si="184"/>
        <v>82141.339799999987</v>
      </c>
      <c r="AA615" s="10">
        <f t="shared" si="185"/>
        <v>34412.299999999996</v>
      </c>
      <c r="AB615" s="10">
        <f t="shared" si="186"/>
        <v>47729.039799999991</v>
      </c>
      <c r="AC615" s="10">
        <f t="shared" si="174"/>
        <v>606.37750000000005</v>
      </c>
      <c r="AD615" s="10">
        <f t="shared" si="175"/>
        <v>1193.865</v>
      </c>
      <c r="AE615" s="10">
        <f t="shared" si="176"/>
        <v>1912.0450000000001</v>
      </c>
      <c r="AF615" s="10" t="str">
        <f t="shared" si="177"/>
        <v>Medium</v>
      </c>
      <c r="AG615" s="6">
        <f t="shared" si="187"/>
        <v>0.58105991351263542</v>
      </c>
      <c r="AH615" s="4">
        <f t="shared" si="188"/>
        <v>44936</v>
      </c>
      <c r="AI615" t="str">
        <f t="shared" si="189"/>
        <v>Jan-2023</v>
      </c>
    </row>
    <row r="616" spans="1:35" x14ac:dyDescent="0.25">
      <c r="A616" t="s">
        <v>628</v>
      </c>
      <c r="B616" s="4">
        <v>45137</v>
      </c>
      <c r="C616" s="4" t="str">
        <f t="shared" si="178"/>
        <v>Q3-2023</v>
      </c>
      <c r="D616" s="4" t="str">
        <f t="shared" si="179"/>
        <v>Jul-2023</v>
      </c>
      <c r="E616" s="4">
        <v>45157</v>
      </c>
      <c r="F616" s="12">
        <f t="shared" si="180"/>
        <v>20</v>
      </c>
      <c r="G616" s="12">
        <f t="shared" si="171"/>
        <v>0</v>
      </c>
      <c r="H616" s="4">
        <f t="shared" si="181"/>
        <v>45157</v>
      </c>
      <c r="I616" t="s">
        <v>649</v>
      </c>
      <c r="J616" t="s">
        <v>657</v>
      </c>
      <c r="K616" t="s">
        <v>690</v>
      </c>
      <c r="L616" t="s">
        <v>706</v>
      </c>
      <c r="M616" t="s">
        <v>709</v>
      </c>
      <c r="N616" t="s">
        <v>715</v>
      </c>
      <c r="O616" t="s">
        <v>729</v>
      </c>
      <c r="P616" t="str" cm="1">
        <f t="array" ref="P616">_xlfn.IFS(S616&lt;=PERCENTILE($S$2:$S$1000, 0.33), "Low", S616&lt;=PERCENTILE($S$2:$S$1000, 0.66), "Medium", TRUE, "High")</f>
        <v>High</v>
      </c>
      <c r="Q616" t="s">
        <v>1346</v>
      </c>
      <c r="R616" s="10">
        <v>1418.51</v>
      </c>
      <c r="S616" s="10">
        <v>2789.61</v>
      </c>
      <c r="T616" s="8">
        <v>0.17100000000000001</v>
      </c>
      <c r="U616" s="12">
        <f t="shared" si="182"/>
        <v>0</v>
      </c>
      <c r="V616" s="6">
        <v>8</v>
      </c>
      <c r="W616" t="str">
        <f t="shared" si="172"/>
        <v>ok</v>
      </c>
      <c r="X616">
        <f t="shared" si="173"/>
        <v>20</v>
      </c>
      <c r="Y616">
        <f t="shared" si="183"/>
        <v>20</v>
      </c>
      <c r="Z616" s="10">
        <f t="shared" si="184"/>
        <v>18500.693520000001</v>
      </c>
      <c r="AA616" s="10">
        <f t="shared" si="185"/>
        <v>11348.08</v>
      </c>
      <c r="AB616" s="10">
        <f t="shared" si="186"/>
        <v>7152.6135200000008</v>
      </c>
      <c r="AC616" s="10">
        <f t="shared" si="174"/>
        <v>606.37750000000005</v>
      </c>
      <c r="AD616" s="10">
        <f t="shared" si="175"/>
        <v>1193.865</v>
      </c>
      <c r="AE616" s="10">
        <f t="shared" si="176"/>
        <v>1912.0450000000001</v>
      </c>
      <c r="AF616" s="10" t="str">
        <f t="shared" si="177"/>
        <v>High</v>
      </c>
      <c r="AG616" s="6">
        <f t="shared" si="187"/>
        <v>0.38661326464695689</v>
      </c>
      <c r="AH616" s="4">
        <f t="shared" si="188"/>
        <v>44936</v>
      </c>
      <c r="AI616" t="str">
        <f t="shared" si="189"/>
        <v>Jan-2023</v>
      </c>
    </row>
    <row r="617" spans="1:35" x14ac:dyDescent="0.25">
      <c r="A617" t="s">
        <v>629</v>
      </c>
      <c r="B617" s="4">
        <v>45727</v>
      </c>
      <c r="C617" s="4" t="str">
        <f t="shared" si="178"/>
        <v>Q1-2025</v>
      </c>
      <c r="D617" s="4" t="str">
        <f t="shared" si="179"/>
        <v>Mar-2025</v>
      </c>
      <c r="E617" s="4">
        <v>45743</v>
      </c>
      <c r="F617" s="12">
        <f t="shared" si="180"/>
        <v>16</v>
      </c>
      <c r="G617" s="12">
        <f t="shared" si="171"/>
        <v>0</v>
      </c>
      <c r="H617" s="4">
        <f t="shared" si="181"/>
        <v>45743</v>
      </c>
      <c r="I617" t="s">
        <v>647</v>
      </c>
      <c r="J617" t="s">
        <v>652</v>
      </c>
      <c r="K617" t="s">
        <v>689</v>
      </c>
      <c r="L617" t="s">
        <v>706</v>
      </c>
      <c r="M617" t="s">
        <v>710</v>
      </c>
      <c r="N617" t="s">
        <v>717</v>
      </c>
      <c r="O617" t="s">
        <v>728</v>
      </c>
      <c r="P617" t="str" cm="1">
        <f t="array" ref="P617">_xlfn.IFS(S617&lt;=PERCENTILE($S$2:$S$1000, 0.33), "Low", S617&lt;=PERCENTILE($S$2:$S$1000, 0.66), "Medium", TRUE, "High")</f>
        <v>High</v>
      </c>
      <c r="Q617" t="s">
        <v>1347</v>
      </c>
      <c r="R617" s="10">
        <v>1317.58</v>
      </c>
      <c r="S617" s="10">
        <v>1897.74</v>
      </c>
      <c r="T617" s="8">
        <v>8.1000000000000003E-2</v>
      </c>
      <c r="U617" s="12">
        <f t="shared" si="182"/>
        <v>0</v>
      </c>
      <c r="V617" s="6">
        <v>6</v>
      </c>
      <c r="W617" t="str">
        <f t="shared" si="172"/>
        <v>ok</v>
      </c>
      <c r="X617">
        <f t="shared" si="173"/>
        <v>16</v>
      </c>
      <c r="Y617">
        <f t="shared" si="183"/>
        <v>16</v>
      </c>
      <c r="Z617" s="10">
        <f t="shared" si="184"/>
        <v>10464.138360000001</v>
      </c>
      <c r="AA617" s="10">
        <f t="shared" si="185"/>
        <v>7905.48</v>
      </c>
      <c r="AB617" s="10">
        <f t="shared" si="186"/>
        <v>2558.6583600000013</v>
      </c>
      <c r="AC617" s="10">
        <f t="shared" si="174"/>
        <v>606.37750000000005</v>
      </c>
      <c r="AD617" s="10">
        <f t="shared" si="175"/>
        <v>1193.865</v>
      </c>
      <c r="AE617" s="10">
        <f t="shared" si="176"/>
        <v>1912.0450000000001</v>
      </c>
      <c r="AF617" s="10" t="str">
        <f t="shared" si="177"/>
        <v>High</v>
      </c>
      <c r="AG617" s="6">
        <f t="shared" si="187"/>
        <v>0.24451687009230266</v>
      </c>
      <c r="AH617" s="4">
        <f t="shared" si="188"/>
        <v>44928</v>
      </c>
      <c r="AI617" t="str">
        <f t="shared" si="189"/>
        <v>Jan-2023</v>
      </c>
    </row>
    <row r="618" spans="1:35" x14ac:dyDescent="0.25">
      <c r="A618" t="s">
        <v>630</v>
      </c>
      <c r="B618" s="4">
        <v>45208</v>
      </c>
      <c r="C618" s="4" t="str">
        <f t="shared" si="178"/>
        <v>Q4-2023</v>
      </c>
      <c r="D618" s="4" t="str">
        <f t="shared" si="179"/>
        <v>Oct-2023</v>
      </c>
      <c r="E618" s="4">
        <v>45210</v>
      </c>
      <c r="F618" s="12">
        <f t="shared" si="180"/>
        <v>2</v>
      </c>
      <c r="G618" s="12">
        <f t="shared" si="171"/>
        <v>1</v>
      </c>
      <c r="H618" s="4">
        <f t="shared" si="181"/>
        <v>45210</v>
      </c>
      <c r="I618" t="s">
        <v>646</v>
      </c>
      <c r="J618" t="s">
        <v>651</v>
      </c>
      <c r="K618" t="s">
        <v>663</v>
      </c>
      <c r="L618" t="s">
        <v>702</v>
      </c>
      <c r="M618" t="s">
        <v>709</v>
      </c>
      <c r="N618" t="s">
        <v>723</v>
      </c>
      <c r="O618" t="s">
        <v>729</v>
      </c>
      <c r="P618" t="str" cm="1">
        <f t="array" ref="P618">_xlfn.IFS(S618&lt;=PERCENTILE($S$2:$S$1000, 0.33), "Low", S618&lt;=PERCENTILE($S$2:$S$1000, 0.66), "Medium", TRUE, "High")</f>
        <v>Medium</v>
      </c>
      <c r="Q618" t="s">
        <v>1348</v>
      </c>
      <c r="R618" s="10">
        <v>391.16</v>
      </c>
      <c r="S618" s="10">
        <v>902.47</v>
      </c>
      <c r="T618" s="8">
        <v>4.0000000000000001E-3</v>
      </c>
      <c r="U618" s="12">
        <f t="shared" si="182"/>
        <v>0</v>
      </c>
      <c r="V618" s="6">
        <v>12</v>
      </c>
      <c r="W618" t="str">
        <f t="shared" si="172"/>
        <v>ok</v>
      </c>
      <c r="X618">
        <f t="shared" si="173"/>
        <v>2</v>
      </c>
      <c r="Y618">
        <f t="shared" si="183"/>
        <v>2</v>
      </c>
      <c r="Z618" s="10">
        <f t="shared" si="184"/>
        <v>10786.32144</v>
      </c>
      <c r="AA618" s="10">
        <f t="shared" si="185"/>
        <v>4693.92</v>
      </c>
      <c r="AB618" s="10">
        <f t="shared" si="186"/>
        <v>6092.4014399999996</v>
      </c>
      <c r="AC618" s="10">
        <f t="shared" si="174"/>
        <v>606.37750000000005</v>
      </c>
      <c r="AD618" s="10">
        <f t="shared" si="175"/>
        <v>1193.865</v>
      </c>
      <c r="AE618" s="10">
        <f t="shared" si="176"/>
        <v>1912.0450000000001</v>
      </c>
      <c r="AF618" s="10" t="str">
        <f t="shared" si="177"/>
        <v>Medium</v>
      </c>
      <c r="AG618" s="6">
        <f t="shared" si="187"/>
        <v>0.56482661618139207</v>
      </c>
      <c r="AH618" s="4">
        <f t="shared" si="188"/>
        <v>44945</v>
      </c>
      <c r="AI618" t="str">
        <f t="shared" si="189"/>
        <v>Jan-2023</v>
      </c>
    </row>
    <row r="619" spans="1:35" x14ac:dyDescent="0.25">
      <c r="A619" t="s">
        <v>631</v>
      </c>
      <c r="B619" s="4">
        <v>45643</v>
      </c>
      <c r="C619" s="4" t="str">
        <f t="shared" si="178"/>
        <v>Q4-2024</v>
      </c>
      <c r="D619" s="4" t="str">
        <f t="shared" si="179"/>
        <v>Dec-2024</v>
      </c>
      <c r="E619" s="4">
        <v>45673</v>
      </c>
      <c r="F619" s="12">
        <f t="shared" si="180"/>
        <v>30</v>
      </c>
      <c r="G619" s="12">
        <f t="shared" si="171"/>
        <v>0</v>
      </c>
      <c r="H619" s="4">
        <f t="shared" si="181"/>
        <v>45673</v>
      </c>
      <c r="I619" t="s">
        <v>649</v>
      </c>
      <c r="J619" t="s">
        <v>658</v>
      </c>
      <c r="K619" t="s">
        <v>693</v>
      </c>
      <c r="L619" t="s">
        <v>701</v>
      </c>
      <c r="M619" t="s">
        <v>707</v>
      </c>
      <c r="N619" t="s">
        <v>726</v>
      </c>
      <c r="O619" t="s">
        <v>732</v>
      </c>
      <c r="P619" t="str" cm="1">
        <f t="array" ref="P619">_xlfn.IFS(S619&lt;=PERCENTILE($S$2:$S$1000, 0.33), "Low", S619&lt;=PERCENTILE($S$2:$S$1000, 0.66), "Medium", TRUE, "High")</f>
        <v>Low</v>
      </c>
      <c r="Q619" t="s">
        <v>1349</v>
      </c>
      <c r="R619" s="10">
        <v>722.87</v>
      </c>
      <c r="S619" s="10">
        <v>33.659999999999997</v>
      </c>
      <c r="T619" s="8">
        <v>0.10199999999999999</v>
      </c>
      <c r="U619" s="12">
        <f t="shared" si="182"/>
        <v>0</v>
      </c>
      <c r="V619" s="6">
        <v>28</v>
      </c>
      <c r="W619" t="str">
        <f t="shared" si="172"/>
        <v>ok</v>
      </c>
      <c r="X619">
        <f t="shared" si="173"/>
        <v>30</v>
      </c>
      <c r="Y619">
        <f t="shared" si="183"/>
        <v>30</v>
      </c>
      <c r="Z619" s="10">
        <f t="shared" si="184"/>
        <v>846.34703999999988</v>
      </c>
      <c r="AA619" s="10">
        <f t="shared" si="185"/>
        <v>20240.36</v>
      </c>
      <c r="AB619" s="10">
        <f t="shared" si="186"/>
        <v>-19394.01296</v>
      </c>
      <c r="AC619" s="10">
        <f t="shared" si="174"/>
        <v>606.37750000000005</v>
      </c>
      <c r="AD619" s="10">
        <f t="shared" si="175"/>
        <v>1193.865</v>
      </c>
      <c r="AE619" s="10">
        <f t="shared" si="176"/>
        <v>1912.0450000000001</v>
      </c>
      <c r="AF619" s="10" t="str">
        <f t="shared" si="177"/>
        <v>Medium</v>
      </c>
      <c r="AG619" s="6">
        <f t="shared" si="187"/>
        <v>-22.914965189693348</v>
      </c>
      <c r="AH619" s="4">
        <f t="shared" si="188"/>
        <v>44988</v>
      </c>
      <c r="AI619" t="str">
        <f t="shared" si="189"/>
        <v>Mar-2023</v>
      </c>
    </row>
    <row r="620" spans="1:35" x14ac:dyDescent="0.25">
      <c r="A620" t="s">
        <v>632</v>
      </c>
      <c r="B620" s="4">
        <v>45849</v>
      </c>
      <c r="C620" s="4" t="str">
        <f t="shared" si="178"/>
        <v>Q3-2025</v>
      </c>
      <c r="D620" s="4" t="str">
        <f t="shared" si="179"/>
        <v>Jul-2025</v>
      </c>
      <c r="E620" s="4">
        <v>45854</v>
      </c>
      <c r="F620" s="12">
        <f t="shared" si="180"/>
        <v>5</v>
      </c>
      <c r="G620" s="12">
        <f t="shared" si="171"/>
        <v>1</v>
      </c>
      <c r="H620" s="4">
        <f t="shared" si="181"/>
        <v>45854</v>
      </c>
      <c r="I620" t="s">
        <v>649</v>
      </c>
      <c r="J620" t="s">
        <v>658</v>
      </c>
      <c r="K620" t="s">
        <v>683</v>
      </c>
      <c r="L620" t="s">
        <v>706</v>
      </c>
      <c r="M620" t="s">
        <v>708</v>
      </c>
      <c r="N620" t="s">
        <v>723</v>
      </c>
      <c r="O620" t="s">
        <v>728</v>
      </c>
      <c r="P620" t="str" cm="1">
        <f t="array" ref="P620">_xlfn.IFS(S620&lt;=PERCENTILE($S$2:$S$1000, 0.33), "Low", S620&lt;=PERCENTILE($S$2:$S$1000, 0.66), "Medium", TRUE, "High")</f>
        <v>Medium</v>
      </c>
      <c r="Q620" t="s">
        <v>1350</v>
      </c>
      <c r="R620" s="10">
        <v>930.03</v>
      </c>
      <c r="S620" s="10">
        <v>1086.68</v>
      </c>
      <c r="T620" s="8">
        <v>0.109</v>
      </c>
      <c r="U620" s="12">
        <f t="shared" si="182"/>
        <v>0</v>
      </c>
      <c r="V620" s="6">
        <v>26</v>
      </c>
      <c r="W620" t="str">
        <f t="shared" si="172"/>
        <v>ok</v>
      </c>
      <c r="X620">
        <f t="shared" si="173"/>
        <v>5</v>
      </c>
      <c r="Y620">
        <f t="shared" si="183"/>
        <v>5</v>
      </c>
      <c r="Z620" s="10">
        <f t="shared" si="184"/>
        <v>25174.028880000002</v>
      </c>
      <c r="AA620" s="10">
        <f t="shared" si="185"/>
        <v>24180.78</v>
      </c>
      <c r="AB620" s="10">
        <f t="shared" si="186"/>
        <v>993.24888000000283</v>
      </c>
      <c r="AC620" s="10">
        <f t="shared" si="174"/>
        <v>606.37750000000005</v>
      </c>
      <c r="AD620" s="10">
        <f t="shared" si="175"/>
        <v>1193.865</v>
      </c>
      <c r="AE620" s="10">
        <f t="shared" si="176"/>
        <v>1912.0450000000001</v>
      </c>
      <c r="AF620" s="10" t="str">
        <f t="shared" si="177"/>
        <v>Low</v>
      </c>
      <c r="AG620" s="6">
        <f t="shared" si="187"/>
        <v>3.9455300728168656E-2</v>
      </c>
      <c r="AH620" s="4">
        <f t="shared" si="188"/>
        <v>44941</v>
      </c>
      <c r="AI620" t="str">
        <f t="shared" si="189"/>
        <v>Jan-2023</v>
      </c>
    </row>
    <row r="621" spans="1:35" x14ac:dyDescent="0.25">
      <c r="A621" t="s">
        <v>633</v>
      </c>
      <c r="B621" s="4">
        <v>45578</v>
      </c>
      <c r="C621" s="4" t="str">
        <f t="shared" si="178"/>
        <v>Q4-2024</v>
      </c>
      <c r="D621" s="4" t="str">
        <f t="shared" si="179"/>
        <v>Oct-2024</v>
      </c>
      <c r="E621" s="4">
        <v>45589</v>
      </c>
      <c r="F621" s="12">
        <f t="shared" si="180"/>
        <v>11</v>
      </c>
      <c r="G621" s="12">
        <f t="shared" si="171"/>
        <v>0</v>
      </c>
      <c r="H621" s="4">
        <f t="shared" si="181"/>
        <v>45589</v>
      </c>
      <c r="I621" t="s">
        <v>649</v>
      </c>
      <c r="J621" t="s">
        <v>657</v>
      </c>
      <c r="K621" t="s">
        <v>690</v>
      </c>
      <c r="L621" t="s">
        <v>702</v>
      </c>
      <c r="M621" t="s">
        <v>710</v>
      </c>
      <c r="N621" t="s">
        <v>721</v>
      </c>
      <c r="O621" t="s">
        <v>727</v>
      </c>
      <c r="P621" t="str" cm="1">
        <f t="array" ref="P621">_xlfn.IFS(S621&lt;=PERCENTILE($S$2:$S$1000, 0.33), "Low", S621&lt;=PERCENTILE($S$2:$S$1000, 0.66), "Medium", TRUE, "High")</f>
        <v>Medium</v>
      </c>
      <c r="Q621" t="s">
        <v>1351</v>
      </c>
      <c r="R621" s="10">
        <v>816.7</v>
      </c>
      <c r="S621" s="10">
        <v>1010.75</v>
      </c>
      <c r="T621" s="8">
        <v>4.7E-2</v>
      </c>
      <c r="U621" s="12">
        <f t="shared" si="182"/>
        <v>0</v>
      </c>
      <c r="V621" s="6">
        <v>43</v>
      </c>
      <c r="W621" t="str">
        <f t="shared" si="172"/>
        <v>ok</v>
      </c>
      <c r="X621">
        <f t="shared" si="173"/>
        <v>11</v>
      </c>
      <c r="Y621">
        <f t="shared" si="183"/>
        <v>11</v>
      </c>
      <c r="Z621" s="10">
        <f t="shared" si="184"/>
        <v>41419.524249999995</v>
      </c>
      <c r="AA621" s="10">
        <f t="shared" si="185"/>
        <v>35118.1</v>
      </c>
      <c r="AB621" s="10">
        <f t="shared" si="186"/>
        <v>6301.4242499999964</v>
      </c>
      <c r="AC621" s="10">
        <f t="shared" si="174"/>
        <v>606.37750000000005</v>
      </c>
      <c r="AD621" s="10">
        <f t="shared" si="175"/>
        <v>1193.865</v>
      </c>
      <c r="AE621" s="10">
        <f t="shared" si="176"/>
        <v>1912.0450000000001</v>
      </c>
      <c r="AF621" s="10" t="str">
        <f t="shared" si="177"/>
        <v>Medium</v>
      </c>
      <c r="AG621" s="6">
        <f t="shared" si="187"/>
        <v>0.15213656757537472</v>
      </c>
      <c r="AH621" s="4">
        <f t="shared" si="188"/>
        <v>44936</v>
      </c>
      <c r="AI621" t="str">
        <f t="shared" si="189"/>
        <v>Jan-2023</v>
      </c>
    </row>
    <row r="622" spans="1:35" x14ac:dyDescent="0.25">
      <c r="A622" t="s">
        <v>634</v>
      </c>
      <c r="B622" s="4">
        <v>45177</v>
      </c>
      <c r="C622" s="4" t="str">
        <f t="shared" si="178"/>
        <v>Q3-2023</v>
      </c>
      <c r="D622" s="4" t="str">
        <f t="shared" si="179"/>
        <v>Sept-2023</v>
      </c>
      <c r="E622" s="4">
        <v>45183</v>
      </c>
      <c r="F622" s="12">
        <f t="shared" si="180"/>
        <v>6</v>
      </c>
      <c r="G622" s="12">
        <f t="shared" si="171"/>
        <v>1</v>
      </c>
      <c r="H622" s="4">
        <f t="shared" si="181"/>
        <v>45183</v>
      </c>
      <c r="I622" t="s">
        <v>646</v>
      </c>
      <c r="J622" t="s">
        <v>650</v>
      </c>
      <c r="K622" t="s">
        <v>678</v>
      </c>
      <c r="L622" t="s">
        <v>702</v>
      </c>
      <c r="M622" t="s">
        <v>711</v>
      </c>
      <c r="N622" t="s">
        <v>714</v>
      </c>
      <c r="O622" t="s">
        <v>733</v>
      </c>
      <c r="P622" t="str" cm="1">
        <f t="array" ref="P622">_xlfn.IFS(S622&lt;=PERCENTILE($S$2:$S$1000, 0.33), "Low", S622&lt;=PERCENTILE($S$2:$S$1000, 0.66), "Medium", TRUE, "High")</f>
        <v>Low</v>
      </c>
      <c r="Q622" t="s">
        <v>1352</v>
      </c>
      <c r="R622" s="10">
        <v>251.03</v>
      </c>
      <c r="S622" s="10">
        <v>411.48</v>
      </c>
      <c r="T622" s="8">
        <v>0.16500000000000001</v>
      </c>
      <c r="U622" s="12">
        <f t="shared" si="182"/>
        <v>0</v>
      </c>
      <c r="V622" s="6">
        <v>3</v>
      </c>
      <c r="W622" t="str">
        <f t="shared" si="172"/>
        <v>ok</v>
      </c>
      <c r="X622">
        <f t="shared" si="173"/>
        <v>6</v>
      </c>
      <c r="Y622">
        <f t="shared" si="183"/>
        <v>6</v>
      </c>
      <c r="Z622" s="10">
        <f t="shared" si="184"/>
        <v>1030.7574</v>
      </c>
      <c r="AA622" s="10">
        <f t="shared" si="185"/>
        <v>753.09</v>
      </c>
      <c r="AB622" s="10">
        <f t="shared" si="186"/>
        <v>277.66739999999993</v>
      </c>
      <c r="AC622" s="10">
        <f t="shared" si="174"/>
        <v>606.37750000000005</v>
      </c>
      <c r="AD622" s="10">
        <f t="shared" si="175"/>
        <v>1193.865</v>
      </c>
      <c r="AE622" s="10">
        <f t="shared" si="176"/>
        <v>1912.0450000000001</v>
      </c>
      <c r="AF622" s="10" t="str">
        <f t="shared" si="177"/>
        <v>Medium</v>
      </c>
      <c r="AG622" s="6">
        <f t="shared" si="187"/>
        <v>0.26938191275658069</v>
      </c>
      <c r="AH622" s="4">
        <f t="shared" si="188"/>
        <v>44988</v>
      </c>
      <c r="AI622" t="str">
        <f t="shared" si="189"/>
        <v>Mar-2023</v>
      </c>
    </row>
    <row r="623" spans="1:35" x14ac:dyDescent="0.25">
      <c r="A623" t="s">
        <v>635</v>
      </c>
      <c r="B623" s="4">
        <v>45764</v>
      </c>
      <c r="C623" s="4" t="str">
        <f t="shared" si="178"/>
        <v>Q2-2025</v>
      </c>
      <c r="D623" s="4" t="str">
        <f t="shared" si="179"/>
        <v>Apr-2025</v>
      </c>
      <c r="E623" s="4">
        <v>45780</v>
      </c>
      <c r="F623" s="12">
        <f t="shared" si="180"/>
        <v>16</v>
      </c>
      <c r="G623" s="12">
        <f t="shared" si="171"/>
        <v>0</v>
      </c>
      <c r="H623" s="4">
        <f t="shared" si="181"/>
        <v>45780</v>
      </c>
      <c r="I623" t="s">
        <v>648</v>
      </c>
      <c r="J623" t="s">
        <v>655</v>
      </c>
      <c r="K623" t="s">
        <v>692</v>
      </c>
      <c r="L623" t="s">
        <v>704</v>
      </c>
      <c r="M623" t="s">
        <v>709</v>
      </c>
      <c r="N623" t="s">
        <v>713</v>
      </c>
      <c r="O623" t="s">
        <v>729</v>
      </c>
      <c r="P623" t="str" cm="1">
        <f t="array" ref="P623">_xlfn.IFS(S623&lt;=PERCENTILE($S$2:$S$1000, 0.33), "Low", S623&lt;=PERCENTILE($S$2:$S$1000, 0.66), "Medium", TRUE, "High")</f>
        <v>Low</v>
      </c>
      <c r="Q623" t="s">
        <v>1353</v>
      </c>
      <c r="R623" s="10">
        <v>168.68</v>
      </c>
      <c r="S623" s="10">
        <v>413.34</v>
      </c>
      <c r="T623" s="8">
        <v>0.186</v>
      </c>
      <c r="U623" s="12">
        <f t="shared" si="182"/>
        <v>0</v>
      </c>
      <c r="V623" s="6">
        <v>7</v>
      </c>
      <c r="W623" t="str">
        <f t="shared" si="172"/>
        <v>ok</v>
      </c>
      <c r="X623">
        <f t="shared" si="173"/>
        <v>16</v>
      </c>
      <c r="Y623">
        <f t="shared" si="183"/>
        <v>16</v>
      </c>
      <c r="Z623" s="10">
        <f t="shared" si="184"/>
        <v>2355.2113199999999</v>
      </c>
      <c r="AA623" s="10">
        <f t="shared" si="185"/>
        <v>1180.76</v>
      </c>
      <c r="AB623" s="10">
        <f t="shared" si="186"/>
        <v>1174.4513199999999</v>
      </c>
      <c r="AC623" s="10">
        <f t="shared" si="174"/>
        <v>606.37750000000005</v>
      </c>
      <c r="AD623" s="10">
        <f t="shared" si="175"/>
        <v>1193.865</v>
      </c>
      <c r="AE623" s="10">
        <f t="shared" si="176"/>
        <v>1912.0450000000001</v>
      </c>
      <c r="AF623" s="10" t="str">
        <f t="shared" si="177"/>
        <v>Low</v>
      </c>
      <c r="AG623" s="6">
        <f t="shared" si="187"/>
        <v>0.49866069767361682</v>
      </c>
      <c r="AH623" s="4">
        <f t="shared" si="188"/>
        <v>44955</v>
      </c>
      <c r="AI623" t="str">
        <f t="shared" si="189"/>
        <v>Jan-2023</v>
      </c>
    </row>
    <row r="624" spans="1:35" x14ac:dyDescent="0.25">
      <c r="A624" t="s">
        <v>636</v>
      </c>
      <c r="B624" s="4">
        <v>45501</v>
      </c>
      <c r="C624" s="4" t="str">
        <f t="shared" si="178"/>
        <v>Q3-2024</v>
      </c>
      <c r="D624" s="4" t="str">
        <f t="shared" si="179"/>
        <v>Jul-2024</v>
      </c>
      <c r="E624" s="4">
        <v>45527</v>
      </c>
      <c r="F624" s="12">
        <f t="shared" si="180"/>
        <v>26</v>
      </c>
      <c r="G624" s="12">
        <f t="shared" si="171"/>
        <v>0</v>
      </c>
      <c r="H624" s="4">
        <f t="shared" si="181"/>
        <v>45527</v>
      </c>
      <c r="I624" t="s">
        <v>647</v>
      </c>
      <c r="J624" t="s">
        <v>654</v>
      </c>
      <c r="K624" t="s">
        <v>696</v>
      </c>
      <c r="L624" t="s">
        <v>701</v>
      </c>
      <c r="M624" t="s">
        <v>707</v>
      </c>
      <c r="N624" t="s">
        <v>713</v>
      </c>
      <c r="O624" t="s">
        <v>729</v>
      </c>
      <c r="P624" t="str" cm="1">
        <f t="array" ref="P624">_xlfn.IFS(S624&lt;=PERCENTILE($S$2:$S$1000, 0.33), "Low", S624&lt;=PERCENTILE($S$2:$S$1000, 0.66), "Medium", TRUE, "High")</f>
        <v>Medium</v>
      </c>
      <c r="Q624" t="s">
        <v>1354</v>
      </c>
      <c r="R624" s="10">
        <v>1339.24</v>
      </c>
      <c r="S624" s="10">
        <v>1558.89</v>
      </c>
      <c r="T624" s="8">
        <v>0.192</v>
      </c>
      <c r="U624" s="12">
        <f t="shared" si="182"/>
        <v>0</v>
      </c>
      <c r="V624" s="6">
        <v>24</v>
      </c>
      <c r="W624" t="str">
        <f t="shared" si="172"/>
        <v>ok</v>
      </c>
      <c r="X624">
        <f t="shared" si="173"/>
        <v>26</v>
      </c>
      <c r="Y624">
        <f t="shared" si="183"/>
        <v>26</v>
      </c>
      <c r="Z624" s="10">
        <f t="shared" si="184"/>
        <v>30229.994880000002</v>
      </c>
      <c r="AA624" s="10">
        <f t="shared" si="185"/>
        <v>32141.760000000002</v>
      </c>
      <c r="AB624" s="10">
        <f t="shared" si="186"/>
        <v>-1911.76512</v>
      </c>
      <c r="AC624" s="10">
        <f t="shared" si="174"/>
        <v>606.37750000000005</v>
      </c>
      <c r="AD624" s="10">
        <f t="shared" si="175"/>
        <v>1193.865</v>
      </c>
      <c r="AE624" s="10">
        <f t="shared" si="176"/>
        <v>1912.0450000000001</v>
      </c>
      <c r="AF624" s="10" t="str">
        <f t="shared" si="177"/>
        <v>Low</v>
      </c>
      <c r="AG624" s="6">
        <f t="shared" si="187"/>
        <v>-6.3240669659021781E-2</v>
      </c>
      <c r="AH624" s="4">
        <f t="shared" si="188"/>
        <v>44955</v>
      </c>
      <c r="AI624" t="str">
        <f t="shared" si="189"/>
        <v>Jan-2023</v>
      </c>
    </row>
    <row r="625" spans="1:35" x14ac:dyDescent="0.25">
      <c r="A625" t="s">
        <v>637</v>
      </c>
      <c r="B625" s="4">
        <v>45857</v>
      </c>
      <c r="C625" s="4" t="str">
        <f t="shared" si="178"/>
        <v>Q3-2025</v>
      </c>
      <c r="D625" s="4" t="str">
        <f t="shared" si="179"/>
        <v>Jul-2025</v>
      </c>
      <c r="E625" s="4">
        <v>45869</v>
      </c>
      <c r="F625" s="12">
        <f t="shared" si="180"/>
        <v>12</v>
      </c>
      <c r="G625" s="12">
        <f t="shared" si="171"/>
        <v>0</v>
      </c>
      <c r="H625" s="4">
        <f t="shared" si="181"/>
        <v>45869</v>
      </c>
      <c r="I625" t="s">
        <v>646</v>
      </c>
      <c r="J625" t="s">
        <v>650</v>
      </c>
      <c r="K625" t="s">
        <v>664</v>
      </c>
      <c r="L625" t="s">
        <v>705</v>
      </c>
      <c r="M625" t="s">
        <v>709</v>
      </c>
      <c r="N625" t="s">
        <v>719</v>
      </c>
      <c r="O625" t="s">
        <v>733</v>
      </c>
      <c r="P625" t="str" cm="1">
        <f t="array" ref="P625">_xlfn.IFS(S625&lt;=PERCENTILE($S$2:$S$1000, 0.33), "Low", S625&lt;=PERCENTILE($S$2:$S$1000, 0.66), "Medium", TRUE, "High")</f>
        <v>Medium</v>
      </c>
      <c r="Q625" t="s">
        <v>1355</v>
      </c>
      <c r="R625" s="10">
        <v>619.64</v>
      </c>
      <c r="S625" s="10">
        <v>861.16</v>
      </c>
      <c r="T625" s="8">
        <v>0.113</v>
      </c>
      <c r="U625" s="12">
        <f t="shared" si="182"/>
        <v>0</v>
      </c>
      <c r="V625" s="6">
        <v>14</v>
      </c>
      <c r="W625" t="str">
        <f t="shared" si="172"/>
        <v>ok</v>
      </c>
      <c r="X625">
        <f t="shared" si="173"/>
        <v>12</v>
      </c>
      <c r="Y625">
        <f t="shared" si="183"/>
        <v>12</v>
      </c>
      <c r="Z625" s="10">
        <f t="shared" si="184"/>
        <v>10693.88488</v>
      </c>
      <c r="AA625" s="10">
        <f t="shared" si="185"/>
        <v>8674.9599999999991</v>
      </c>
      <c r="AB625" s="10">
        <f t="shared" si="186"/>
        <v>2018.9248800000005</v>
      </c>
      <c r="AC625" s="10">
        <f t="shared" si="174"/>
        <v>606.37750000000005</v>
      </c>
      <c r="AD625" s="10">
        <f t="shared" si="175"/>
        <v>1193.865</v>
      </c>
      <c r="AE625" s="10">
        <f t="shared" si="176"/>
        <v>1912.0450000000001</v>
      </c>
      <c r="AF625" s="10" t="str">
        <f t="shared" si="177"/>
        <v>Medium</v>
      </c>
      <c r="AG625" s="6">
        <f t="shared" si="187"/>
        <v>0.18879246435276761</v>
      </c>
      <c r="AH625" s="4">
        <f t="shared" si="188"/>
        <v>44939</v>
      </c>
      <c r="AI625" t="str">
        <f t="shared" si="189"/>
        <v>Jan-2023</v>
      </c>
    </row>
    <row r="626" spans="1:35" x14ac:dyDescent="0.25">
      <c r="A626" t="s">
        <v>638</v>
      </c>
      <c r="B626" s="4">
        <v>45141</v>
      </c>
      <c r="C626" s="4" t="str">
        <f t="shared" si="178"/>
        <v>Q3-2023</v>
      </c>
      <c r="D626" s="4" t="str">
        <f t="shared" si="179"/>
        <v>Aug-2023</v>
      </c>
      <c r="E626" s="4">
        <v>45140</v>
      </c>
      <c r="F626" s="12">
        <f t="shared" si="180"/>
        <v>14</v>
      </c>
      <c r="G626" s="12">
        <f t="shared" si="171"/>
        <v>0</v>
      </c>
      <c r="H626" s="4">
        <f t="shared" si="181"/>
        <v>45155</v>
      </c>
      <c r="I626" t="s">
        <v>647</v>
      </c>
      <c r="J626" t="s">
        <v>659</v>
      </c>
      <c r="K626" t="s">
        <v>685</v>
      </c>
      <c r="L626" t="s">
        <v>703</v>
      </c>
      <c r="M626" t="s">
        <v>711</v>
      </c>
      <c r="N626" t="s">
        <v>713</v>
      </c>
      <c r="O626" t="s">
        <v>729</v>
      </c>
      <c r="P626" t="str" cm="1">
        <f t="array" ref="P626">_xlfn.IFS(S626&lt;=PERCENTILE($S$2:$S$1000, 0.33), "Low", S626&lt;=PERCENTILE($S$2:$S$1000, 0.66), "Medium", TRUE, "High")</f>
        <v>High</v>
      </c>
      <c r="Q626" t="s">
        <v>1356</v>
      </c>
      <c r="R626" s="10">
        <v>1021.97</v>
      </c>
      <c r="S626" s="10">
        <v>2296.25</v>
      </c>
      <c r="T626" s="8">
        <v>0.161</v>
      </c>
      <c r="U626" s="12">
        <f t="shared" si="182"/>
        <v>0</v>
      </c>
      <c r="V626" s="6">
        <v>26</v>
      </c>
      <c r="W626" t="str">
        <f t="shared" si="172"/>
        <v>sus</v>
      </c>
      <c r="X626">
        <f t="shared" si="173"/>
        <v>-1</v>
      </c>
      <c r="Y626">
        <f t="shared" si="183"/>
        <v>1</v>
      </c>
      <c r="Z626" s="10">
        <f t="shared" si="184"/>
        <v>50090.397499999999</v>
      </c>
      <c r="AA626" s="10">
        <f t="shared" si="185"/>
        <v>26571.22</v>
      </c>
      <c r="AB626" s="10">
        <f t="shared" si="186"/>
        <v>23519.177499999998</v>
      </c>
      <c r="AC626" s="10">
        <f t="shared" si="174"/>
        <v>606.37750000000005</v>
      </c>
      <c r="AD626" s="10">
        <f t="shared" si="175"/>
        <v>1193.865</v>
      </c>
      <c r="AE626" s="10">
        <f t="shared" si="176"/>
        <v>1912.0450000000001</v>
      </c>
      <c r="AF626" s="10" t="str">
        <f t="shared" si="177"/>
        <v>Medium</v>
      </c>
      <c r="AG626" s="6">
        <f t="shared" si="187"/>
        <v>0.46953465482081669</v>
      </c>
      <c r="AH626" s="4">
        <f t="shared" si="188"/>
        <v>44955</v>
      </c>
      <c r="AI626" t="str">
        <f t="shared" si="189"/>
        <v>Jan-2023</v>
      </c>
    </row>
    <row r="627" spans="1:35" x14ac:dyDescent="0.25">
      <c r="A627" t="s">
        <v>639</v>
      </c>
      <c r="B627" s="4">
        <v>45249</v>
      </c>
      <c r="C627" s="4" t="str">
        <f t="shared" si="178"/>
        <v>Q4-2023</v>
      </c>
      <c r="D627" s="4" t="str">
        <f t="shared" si="179"/>
        <v>Nov-2023</v>
      </c>
      <c r="E627" s="4">
        <v>45272</v>
      </c>
      <c r="F627" s="12">
        <f t="shared" si="180"/>
        <v>23</v>
      </c>
      <c r="G627" s="12">
        <f t="shared" si="171"/>
        <v>0</v>
      </c>
      <c r="H627" s="4">
        <f t="shared" si="181"/>
        <v>45272</v>
      </c>
      <c r="I627" t="s">
        <v>647</v>
      </c>
      <c r="J627" t="s">
        <v>654</v>
      </c>
      <c r="K627" t="s">
        <v>680</v>
      </c>
      <c r="L627" t="s">
        <v>705</v>
      </c>
      <c r="M627" t="s">
        <v>711</v>
      </c>
      <c r="N627" t="s">
        <v>712</v>
      </c>
      <c r="O627" t="s">
        <v>729</v>
      </c>
      <c r="P627" t="str" cm="1">
        <f t="array" ref="P627">_xlfn.IFS(S627&lt;=PERCENTILE($S$2:$S$1000, 0.33), "Low", S627&lt;=PERCENTILE($S$2:$S$1000, 0.66), "Medium", TRUE, "High")</f>
        <v>High</v>
      </c>
      <c r="Q627" t="s">
        <v>1357</v>
      </c>
      <c r="R627" s="10">
        <v>1349.04</v>
      </c>
      <c r="S627" s="10">
        <v>2636.6</v>
      </c>
      <c r="T627" s="8">
        <v>0.114</v>
      </c>
      <c r="U627" s="12">
        <f t="shared" si="182"/>
        <v>0</v>
      </c>
      <c r="V627" s="6">
        <v>14</v>
      </c>
      <c r="W627" t="str">
        <f t="shared" si="172"/>
        <v>ok</v>
      </c>
      <c r="X627">
        <f t="shared" si="173"/>
        <v>23</v>
      </c>
      <c r="Y627">
        <f t="shared" si="183"/>
        <v>23</v>
      </c>
      <c r="Z627" s="10">
        <f t="shared" si="184"/>
        <v>32704.386400000003</v>
      </c>
      <c r="AA627" s="10">
        <f t="shared" si="185"/>
        <v>18886.559999999998</v>
      </c>
      <c r="AB627" s="10">
        <f t="shared" si="186"/>
        <v>13817.826400000005</v>
      </c>
      <c r="AC627" s="10">
        <f t="shared" si="174"/>
        <v>606.37750000000005</v>
      </c>
      <c r="AD627" s="10">
        <f t="shared" si="175"/>
        <v>1193.865</v>
      </c>
      <c r="AE627" s="10">
        <f t="shared" si="176"/>
        <v>1912.0450000000001</v>
      </c>
      <c r="AF627" s="10" t="str">
        <f t="shared" si="177"/>
        <v>High</v>
      </c>
      <c r="AG627" s="6">
        <f t="shared" si="187"/>
        <v>0.42250682312143928</v>
      </c>
      <c r="AH627" s="4">
        <f t="shared" si="188"/>
        <v>44945</v>
      </c>
      <c r="AI627" t="str">
        <f t="shared" si="189"/>
        <v>Jan-2023</v>
      </c>
    </row>
    <row r="628" spans="1:35" x14ac:dyDescent="0.25">
      <c r="A628" t="s">
        <v>640</v>
      </c>
      <c r="B628" s="4">
        <v>45282</v>
      </c>
      <c r="C628" s="4" t="str">
        <f t="shared" si="178"/>
        <v>Q4-2023</v>
      </c>
      <c r="D628" s="4" t="str">
        <f t="shared" si="179"/>
        <v>Dec-2023</v>
      </c>
      <c r="E628" s="4">
        <v>45307</v>
      </c>
      <c r="F628" s="12">
        <f t="shared" si="180"/>
        <v>25</v>
      </c>
      <c r="G628" s="12">
        <f t="shared" si="171"/>
        <v>0</v>
      </c>
      <c r="H628" s="4">
        <f t="shared" si="181"/>
        <v>45307</v>
      </c>
      <c r="I628" t="s">
        <v>647</v>
      </c>
      <c r="J628" t="s">
        <v>654</v>
      </c>
      <c r="K628" t="s">
        <v>696</v>
      </c>
      <c r="L628" t="s">
        <v>705</v>
      </c>
      <c r="M628" t="s">
        <v>707</v>
      </c>
      <c r="N628" t="s">
        <v>720</v>
      </c>
      <c r="O628" t="s">
        <v>727</v>
      </c>
      <c r="P628" t="str" cm="1">
        <f t="array" ref="P628">_xlfn.IFS(S628&lt;=PERCENTILE($S$2:$S$1000, 0.33), "Low", S628&lt;=PERCENTILE($S$2:$S$1000, 0.66), "Medium", TRUE, "High")</f>
        <v>Medium</v>
      </c>
      <c r="Q628" t="s">
        <v>1358</v>
      </c>
      <c r="R628" s="10">
        <v>1346.81</v>
      </c>
      <c r="S628" s="10">
        <v>978.09</v>
      </c>
      <c r="T628" s="8">
        <v>0.159</v>
      </c>
      <c r="U628" s="12">
        <f t="shared" si="182"/>
        <v>0</v>
      </c>
      <c r="V628" s="6">
        <v>17</v>
      </c>
      <c r="W628" t="str">
        <f t="shared" si="172"/>
        <v>ok</v>
      </c>
      <c r="X628">
        <f t="shared" si="173"/>
        <v>25</v>
      </c>
      <c r="Y628">
        <f t="shared" si="183"/>
        <v>25</v>
      </c>
      <c r="Z628" s="10">
        <f t="shared" si="184"/>
        <v>13983.752729999998</v>
      </c>
      <c r="AA628" s="10">
        <f t="shared" si="185"/>
        <v>22895.77</v>
      </c>
      <c r="AB628" s="10">
        <f t="shared" si="186"/>
        <v>-8912.0172700000021</v>
      </c>
      <c r="AC628" s="10">
        <f t="shared" si="174"/>
        <v>606.37750000000005</v>
      </c>
      <c r="AD628" s="10">
        <f t="shared" si="175"/>
        <v>1193.865</v>
      </c>
      <c r="AE628" s="10">
        <f t="shared" si="176"/>
        <v>1912.0450000000001</v>
      </c>
      <c r="AF628" s="10" t="str">
        <f t="shared" si="177"/>
        <v>High</v>
      </c>
      <c r="AG628" s="6">
        <f t="shared" si="187"/>
        <v>-0.6373122753293996</v>
      </c>
      <c r="AH628" s="4">
        <f t="shared" si="188"/>
        <v>44955</v>
      </c>
      <c r="AI628" t="str">
        <f t="shared" si="189"/>
        <v>Jan-2023</v>
      </c>
    </row>
    <row r="629" spans="1:35" x14ac:dyDescent="0.25">
      <c r="A629" t="s">
        <v>641</v>
      </c>
      <c r="B629" s="4">
        <v>45141</v>
      </c>
      <c r="C629" s="4" t="str">
        <f t="shared" si="178"/>
        <v>Q3-2023</v>
      </c>
      <c r="D629" s="4" t="str">
        <f t="shared" si="179"/>
        <v>Aug-2023</v>
      </c>
      <c r="E629" s="4">
        <v>45168</v>
      </c>
      <c r="F629" s="12">
        <f t="shared" si="180"/>
        <v>27</v>
      </c>
      <c r="G629" s="12">
        <f t="shared" si="171"/>
        <v>0</v>
      </c>
      <c r="H629" s="4">
        <f t="shared" si="181"/>
        <v>45168</v>
      </c>
      <c r="I629" t="s">
        <v>647</v>
      </c>
      <c r="J629" t="s">
        <v>659</v>
      </c>
      <c r="K629" t="s">
        <v>685</v>
      </c>
      <c r="L629" t="s">
        <v>704</v>
      </c>
      <c r="M629" t="s">
        <v>710</v>
      </c>
      <c r="N629" t="s">
        <v>725</v>
      </c>
      <c r="O629" t="s">
        <v>732</v>
      </c>
      <c r="P629" t="str" cm="1">
        <f t="array" ref="P629">_xlfn.IFS(S629&lt;=PERCENTILE($S$2:$S$1000, 0.33), "Low", S629&lt;=PERCENTILE($S$2:$S$1000, 0.66), "Medium", TRUE, "High")</f>
        <v>Low</v>
      </c>
      <c r="Q629" t="s">
        <v>1359</v>
      </c>
      <c r="R629" s="10">
        <v>226.04</v>
      </c>
      <c r="S629" s="10">
        <v>545.72</v>
      </c>
      <c r="T629" s="8">
        <v>0.151</v>
      </c>
      <c r="U629" s="12">
        <f t="shared" si="182"/>
        <v>0</v>
      </c>
      <c r="V629" s="6">
        <v>11</v>
      </c>
      <c r="W629" t="str">
        <f t="shared" si="172"/>
        <v>ok</v>
      </c>
      <c r="X629">
        <f t="shared" si="173"/>
        <v>27</v>
      </c>
      <c r="Y629">
        <f t="shared" si="183"/>
        <v>27</v>
      </c>
      <c r="Z629" s="10">
        <f t="shared" si="184"/>
        <v>5096.4790800000001</v>
      </c>
      <c r="AA629" s="10">
        <f t="shared" si="185"/>
        <v>2486.44</v>
      </c>
      <c r="AB629" s="10">
        <f t="shared" si="186"/>
        <v>2610.03908</v>
      </c>
      <c r="AC629" s="10">
        <f t="shared" si="174"/>
        <v>606.37750000000005</v>
      </c>
      <c r="AD629" s="10">
        <f t="shared" si="175"/>
        <v>1193.865</v>
      </c>
      <c r="AE629" s="10">
        <f t="shared" si="176"/>
        <v>1912.0450000000001</v>
      </c>
      <c r="AF629" s="10" t="str">
        <f t="shared" si="177"/>
        <v>Medium</v>
      </c>
      <c r="AG629" s="6">
        <f t="shared" si="187"/>
        <v>0.51212592831834014</v>
      </c>
      <c r="AH629" s="4">
        <f t="shared" si="188"/>
        <v>44955</v>
      </c>
      <c r="AI629" t="str">
        <f t="shared" si="189"/>
        <v>Jan-2023</v>
      </c>
    </row>
    <row r="630" spans="1:35" x14ac:dyDescent="0.25">
      <c r="A630" t="s">
        <v>642</v>
      </c>
      <c r="B630" s="4">
        <v>45100</v>
      </c>
      <c r="C630" s="4" t="str">
        <f t="shared" si="178"/>
        <v>Q2-2023</v>
      </c>
      <c r="D630" s="4" t="str">
        <f t="shared" si="179"/>
        <v>Jun-2023</v>
      </c>
      <c r="E630" s="4">
        <v>45125</v>
      </c>
      <c r="F630" s="12">
        <f t="shared" si="180"/>
        <v>25</v>
      </c>
      <c r="G630" s="12">
        <f t="shared" si="171"/>
        <v>0</v>
      </c>
      <c r="H630" s="4">
        <f t="shared" si="181"/>
        <v>45125</v>
      </c>
      <c r="I630" t="s">
        <v>648</v>
      </c>
      <c r="J630" t="s">
        <v>653</v>
      </c>
      <c r="K630" t="s">
        <v>688</v>
      </c>
      <c r="L630" t="s">
        <v>706</v>
      </c>
      <c r="M630" t="s">
        <v>708</v>
      </c>
      <c r="N630" t="s">
        <v>725</v>
      </c>
      <c r="O630" t="s">
        <v>730</v>
      </c>
      <c r="P630" t="str" cm="1">
        <f t="array" ref="P630">_xlfn.IFS(S630&lt;=PERCENTILE($S$2:$S$1000, 0.33), "Low", S630&lt;=PERCENTILE($S$2:$S$1000, 0.66), "Medium", TRUE, "High")</f>
        <v>Medium</v>
      </c>
      <c r="Q630" t="s">
        <v>1360</v>
      </c>
      <c r="R630" s="10">
        <v>807.02</v>
      </c>
      <c r="S630" s="10">
        <v>1435.54</v>
      </c>
      <c r="T630" s="8">
        <v>0</v>
      </c>
      <c r="U630" s="12">
        <f t="shared" si="182"/>
        <v>0</v>
      </c>
      <c r="V630" s="6">
        <v>23</v>
      </c>
      <c r="W630" t="str">
        <f t="shared" si="172"/>
        <v>ok</v>
      </c>
      <c r="X630">
        <f t="shared" si="173"/>
        <v>25</v>
      </c>
      <c r="Y630">
        <f t="shared" si="183"/>
        <v>25</v>
      </c>
      <c r="Z630" s="10">
        <f t="shared" si="184"/>
        <v>33017.42</v>
      </c>
      <c r="AA630" s="10">
        <f t="shared" si="185"/>
        <v>18561.46</v>
      </c>
      <c r="AB630" s="10">
        <f t="shared" si="186"/>
        <v>14455.96</v>
      </c>
      <c r="AC630" s="10">
        <f t="shared" si="174"/>
        <v>606.37750000000005</v>
      </c>
      <c r="AD630" s="10">
        <f t="shared" si="175"/>
        <v>1193.865</v>
      </c>
      <c r="AE630" s="10">
        <f t="shared" si="176"/>
        <v>1912.0450000000001</v>
      </c>
      <c r="AF630" s="10" t="str">
        <f t="shared" si="177"/>
        <v>Low</v>
      </c>
      <c r="AG630" s="6">
        <f t="shared" si="187"/>
        <v>0.43782827368098415</v>
      </c>
      <c r="AH630" s="4">
        <f t="shared" si="188"/>
        <v>44955</v>
      </c>
      <c r="AI630" t="str">
        <f t="shared" si="189"/>
        <v>Jan-2023</v>
      </c>
    </row>
    <row r="631" spans="1:35" x14ac:dyDescent="0.25">
      <c r="A631" t="s">
        <v>643</v>
      </c>
      <c r="B631" s="4">
        <v>45267</v>
      </c>
      <c r="C631" s="4" t="str">
        <f t="shared" si="178"/>
        <v>Q4-2023</v>
      </c>
      <c r="D631" s="4" t="str">
        <f t="shared" si="179"/>
        <v>Dec-2023</v>
      </c>
      <c r="E631" s="4">
        <v>45293</v>
      </c>
      <c r="F631" s="12">
        <f t="shared" si="180"/>
        <v>26</v>
      </c>
      <c r="G631" s="12">
        <f t="shared" si="171"/>
        <v>0</v>
      </c>
      <c r="H631" s="4">
        <f t="shared" si="181"/>
        <v>45293</v>
      </c>
      <c r="I631" t="s">
        <v>649</v>
      </c>
      <c r="J631" t="s">
        <v>656</v>
      </c>
      <c r="K631" t="s">
        <v>698</v>
      </c>
      <c r="L631" t="s">
        <v>706</v>
      </c>
      <c r="M631" t="s">
        <v>710</v>
      </c>
      <c r="N631" t="s">
        <v>718</v>
      </c>
      <c r="O631" t="s">
        <v>727</v>
      </c>
      <c r="P631" t="str" cm="1">
        <f t="array" ref="P631">_xlfn.IFS(S631&lt;=PERCENTILE($S$2:$S$1000, 0.33), "Low", S631&lt;=PERCENTILE($S$2:$S$1000, 0.66), "Medium", TRUE, "High")</f>
        <v>High</v>
      </c>
      <c r="Q631" t="s">
        <v>1361</v>
      </c>
      <c r="R631" s="10">
        <v>1071.99</v>
      </c>
      <c r="S631" s="10">
        <v>2397.3000000000002</v>
      </c>
      <c r="T631" s="8">
        <v>6.2E-2</v>
      </c>
      <c r="U631" s="12">
        <f t="shared" si="182"/>
        <v>0</v>
      </c>
      <c r="V631" s="6">
        <v>18</v>
      </c>
      <c r="W631" t="str">
        <f t="shared" si="172"/>
        <v>ok</v>
      </c>
      <c r="X631">
        <f t="shared" si="173"/>
        <v>26</v>
      </c>
      <c r="Y631">
        <f t="shared" si="183"/>
        <v>26</v>
      </c>
      <c r="Z631" s="10">
        <f t="shared" si="184"/>
        <v>40476.013200000001</v>
      </c>
      <c r="AA631" s="10">
        <f t="shared" si="185"/>
        <v>19295.82</v>
      </c>
      <c r="AB631" s="10">
        <f t="shared" si="186"/>
        <v>21180.193200000002</v>
      </c>
      <c r="AC631" s="10">
        <f t="shared" si="174"/>
        <v>606.37750000000005</v>
      </c>
      <c r="AD631" s="10">
        <f t="shared" si="175"/>
        <v>1193.865</v>
      </c>
      <c r="AE631" s="10">
        <f t="shared" si="176"/>
        <v>1912.0450000000001</v>
      </c>
      <c r="AF631" s="10" t="str">
        <f t="shared" si="177"/>
        <v>Medium</v>
      </c>
      <c r="AG631" s="6">
        <f t="shared" si="187"/>
        <v>0.52327765324476183</v>
      </c>
      <c r="AH631" s="4">
        <f t="shared" si="188"/>
        <v>44945</v>
      </c>
      <c r="AI631" t="str">
        <f t="shared" si="189"/>
        <v>Jan-2023</v>
      </c>
    </row>
    <row r="632" spans="1:35" x14ac:dyDescent="0.25">
      <c r="A632" t="s">
        <v>644</v>
      </c>
      <c r="B632" s="4">
        <v>45249</v>
      </c>
      <c r="C632" s="4" t="str">
        <f t="shared" si="178"/>
        <v>Q4-2023</v>
      </c>
      <c r="D632" s="4" t="str">
        <f t="shared" si="179"/>
        <v>Nov-2023</v>
      </c>
      <c r="E632" s="4">
        <v>45279</v>
      </c>
      <c r="F632" s="12">
        <f t="shared" si="180"/>
        <v>30</v>
      </c>
      <c r="G632" s="12">
        <f t="shared" si="171"/>
        <v>0</v>
      </c>
      <c r="H632" s="4">
        <f t="shared" si="181"/>
        <v>45279</v>
      </c>
      <c r="I632" t="s">
        <v>647</v>
      </c>
      <c r="J632" t="s">
        <v>652</v>
      </c>
      <c r="K632" t="s">
        <v>694</v>
      </c>
      <c r="L632" t="s">
        <v>704</v>
      </c>
      <c r="M632" t="s">
        <v>707</v>
      </c>
      <c r="N632" t="s">
        <v>1418</v>
      </c>
      <c r="O632" t="s">
        <v>730</v>
      </c>
      <c r="P632" t="str" cm="1">
        <f t="array" ref="P632">_xlfn.IFS(S632&lt;=PERCENTILE($S$2:$S$1000, 0.33), "Low", S632&lt;=PERCENTILE($S$2:$S$1000, 0.66), "Medium", TRUE, "High")</f>
        <v>High</v>
      </c>
      <c r="Q632" t="s">
        <v>1362</v>
      </c>
      <c r="R632" s="10">
        <v>807.11</v>
      </c>
      <c r="S632" s="10">
        <v>1853.86</v>
      </c>
      <c r="T632" s="8">
        <v>0.13900000000000001</v>
      </c>
      <c r="U632" s="12">
        <f t="shared" si="182"/>
        <v>0</v>
      </c>
      <c r="V632" s="6">
        <v>8</v>
      </c>
      <c r="W632" t="str">
        <f t="shared" si="172"/>
        <v>ok</v>
      </c>
      <c r="X632">
        <f t="shared" si="173"/>
        <v>30</v>
      </c>
      <c r="Y632">
        <f t="shared" si="183"/>
        <v>30</v>
      </c>
      <c r="Z632" s="10">
        <f t="shared" si="184"/>
        <v>12769.38768</v>
      </c>
      <c r="AA632" s="10">
        <f t="shared" si="185"/>
        <v>6456.88</v>
      </c>
      <c r="AB632" s="10">
        <f t="shared" si="186"/>
        <v>6312.5076799999997</v>
      </c>
      <c r="AC632" s="10">
        <f t="shared" si="174"/>
        <v>606.37750000000005</v>
      </c>
      <c r="AD632" s="10">
        <f t="shared" si="175"/>
        <v>1193.865</v>
      </c>
      <c r="AE632" s="10">
        <f t="shared" si="176"/>
        <v>1912.0450000000001</v>
      </c>
      <c r="AF632" s="10" t="str">
        <f t="shared" si="177"/>
        <v>High</v>
      </c>
      <c r="AG632" s="6">
        <f t="shared" si="187"/>
        <v>0.49434693645388639</v>
      </c>
      <c r="AH632" s="4">
        <f t="shared" si="188"/>
        <v>44938</v>
      </c>
      <c r="AI632" t="str">
        <f t="shared" si="189"/>
        <v>Jan-2023</v>
      </c>
    </row>
    <row r="633" spans="1:35" x14ac:dyDescent="0.25">
      <c r="A633" t="s">
        <v>645</v>
      </c>
      <c r="B633" s="4">
        <v>45716</v>
      </c>
      <c r="C633" s="4" t="str">
        <f t="shared" si="178"/>
        <v>Q1-2025</v>
      </c>
      <c r="D633" s="4" t="str">
        <f t="shared" si="179"/>
        <v>Feb-2025</v>
      </c>
      <c r="E633" s="4">
        <v>45726</v>
      </c>
      <c r="F633" s="12">
        <f t="shared" si="180"/>
        <v>10</v>
      </c>
      <c r="G633" s="12">
        <f t="shared" si="171"/>
        <v>0</v>
      </c>
      <c r="H633" s="4">
        <f t="shared" si="181"/>
        <v>45726</v>
      </c>
      <c r="I633" t="s">
        <v>647</v>
      </c>
      <c r="J633" t="s">
        <v>652</v>
      </c>
      <c r="K633" t="s">
        <v>666</v>
      </c>
      <c r="L633" t="s">
        <v>702</v>
      </c>
      <c r="M633" t="s">
        <v>710</v>
      </c>
      <c r="N633" t="s">
        <v>725</v>
      </c>
      <c r="O633" t="s">
        <v>731</v>
      </c>
      <c r="P633" t="str" cm="1">
        <f t="array" ref="P633">_xlfn.IFS(S633&lt;=PERCENTILE($S$2:$S$1000, 0.33), "Low", S633&lt;=PERCENTILE($S$2:$S$1000, 0.66), "Medium", TRUE, "High")</f>
        <v>Low</v>
      </c>
      <c r="Q633" t="s">
        <v>1363</v>
      </c>
      <c r="R633" s="10">
        <v>51.86</v>
      </c>
      <c r="S633" s="10">
        <v>45.98</v>
      </c>
      <c r="T633" s="8">
        <v>0.17299999999999999</v>
      </c>
      <c r="U633" s="12">
        <f t="shared" si="182"/>
        <v>0</v>
      </c>
      <c r="V633" s="6">
        <v>7</v>
      </c>
      <c r="W633" t="str">
        <f t="shared" si="172"/>
        <v>ok</v>
      </c>
      <c r="X633">
        <f t="shared" si="173"/>
        <v>10</v>
      </c>
      <c r="Y633">
        <f t="shared" si="183"/>
        <v>10</v>
      </c>
      <c r="Z633" s="10">
        <f t="shared" si="184"/>
        <v>266.17821999999995</v>
      </c>
      <c r="AA633" s="10">
        <f t="shared" si="185"/>
        <v>363.02</v>
      </c>
      <c r="AB633" s="10">
        <f t="shared" si="186"/>
        <v>-96.841780000000028</v>
      </c>
      <c r="AC633" s="10">
        <f t="shared" si="174"/>
        <v>606.37750000000005</v>
      </c>
      <c r="AD633" s="10">
        <f t="shared" si="175"/>
        <v>1193.865</v>
      </c>
      <c r="AE633" s="10">
        <f t="shared" si="176"/>
        <v>1912.0450000000001</v>
      </c>
      <c r="AF633" s="10" t="str">
        <f t="shared" si="177"/>
        <v>Medium</v>
      </c>
      <c r="AG633" s="6">
        <f t="shared" si="187"/>
        <v>-0.3638230806412337</v>
      </c>
      <c r="AH633" s="4">
        <f t="shared" si="188"/>
        <v>44938</v>
      </c>
      <c r="AI633" t="str">
        <f t="shared" si="189"/>
        <v>Jan-2023</v>
      </c>
    </row>
    <row r="634" spans="1:35" x14ac:dyDescent="0.25">
      <c r="A634">
        <f>COUNTA(A2:A633)</f>
        <v>632</v>
      </c>
      <c r="G634" s="12">
        <f>SUBTOTAL(109,Table3[7Target])</f>
        <v>138</v>
      </c>
      <c r="X634">
        <f>AVERAGE(X2:X633)</f>
        <v>14.262658227848101</v>
      </c>
      <c r="Y634">
        <f>AVERAGE(Y2:Y633)</f>
        <v>14.430379746835444</v>
      </c>
      <c r="Z634">
        <f>SUBTOTAL(109,Table3[GrossRevenue])</f>
        <v>10928845.716499997</v>
      </c>
      <c r="AA634">
        <f>SUBTOTAL(109,Table3[CostOfGoods])</f>
        <v>7527747.7100000018</v>
      </c>
      <c r="AB634">
        <f>SUBTOTAL(109,Table3[GrossProfit])</f>
        <v>3401098.0065000025</v>
      </c>
      <c r="AG634" s="8"/>
    </row>
    <row r="636" spans="1:35" x14ac:dyDescent="0.25">
      <c r="F636" s="12">
        <f>(G634/A634)*100</f>
        <v>21.835443037974684</v>
      </c>
      <c r="AD636" s="6">
        <f>(AB634/Z634)*100</f>
        <v>31.120377162659924</v>
      </c>
    </row>
    <row r="637" spans="1:35" x14ac:dyDescent="0.25">
      <c r="AA637">
        <f>Z634/A634</f>
        <v>17292.477399525313</v>
      </c>
    </row>
    <row r="638" spans="1:35" x14ac:dyDescent="0.25">
      <c r="AF638">
        <f>SUBTOTAL(101,Table3[GrossRevenue])</f>
        <v>17292.477399525313</v>
      </c>
    </row>
  </sheetData>
  <phoneticPr fontId="3" type="noConversion"/>
  <conditionalFormatting sqref="T167:T633">
    <cfRule type="cellIs" dxfId="0" priority="1" operator="greaterThan">
      <formula>0.3</formula>
    </cfRule>
  </conditionalFormatting>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region hierachy</vt:lpstr>
      <vt:lpstr>cohort analysis</vt:lpstr>
      <vt:lpstr>ABC pivot table</vt:lpstr>
      <vt:lpstr>ABC analysis by SKU</vt:lpstr>
      <vt:lpstr>salesperson pivot_table</vt:lpstr>
      <vt:lpstr>Salesperson_productivity</vt:lpstr>
      <vt:lpstr>Cannibalization</vt:lpstr>
      <vt:lpstr>Price compliance</vt:lpstr>
      <vt:lpstr>Box and whisker chart</vt:lpstr>
      <vt:lpstr>Scenario Summary 2</vt:lpstr>
      <vt:lpstr>Scenario Model</vt:lpstr>
      <vt:lpstr>Scenario Summary</vt:lpstr>
      <vt:lpstr>data table what-if </vt:lpstr>
      <vt:lpstr>service_level_proxy</vt:lpstr>
      <vt:lpstr>Dashboard</vt:lpstr>
      <vt:lpstr>Assignment</vt:lpstr>
      <vt:lpstr>revenue by month</vt:lpstr>
      <vt:lpstr>profit by region and channel</vt:lpstr>
      <vt:lpstr>Top 10 SKUs by Revenue (bar)</vt:lpstr>
      <vt:lpstr>Original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Alex Murithi</cp:lastModifiedBy>
  <dcterms:created xsi:type="dcterms:W3CDTF">2025-09-28T10:49:35Z</dcterms:created>
  <dcterms:modified xsi:type="dcterms:W3CDTF">2026-06-25T06:39:59Z</dcterms:modified>
</cp:coreProperties>
</file>